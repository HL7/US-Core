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1D0419B2-789A-0342-BEF3-08C68052035F}" xr6:coauthVersionLast="47" xr6:coauthVersionMax="47" xr10:uidLastSave="{00000000-0000-0000-0000-000000000000}"/>
  <bookViews>
    <workbookView xWindow="29320" yWindow="500" windowWidth="34140" windowHeight="28300" activeTab="1" xr2:uid="{D251129A-65BB-5042-909C-749E11B8C0B0}"/>
  </bookViews>
  <sheets>
    <sheet name="Info" sheetId="9" r:id="rId1"/>
    <sheet name="us_core_reqs" sheetId="11" r:id="rId2"/>
    <sheet name="Sheet2" sheetId="12" r:id="rId3"/>
    <sheet name="Requirements" sheetId="5" r:id="rId4"/>
    <sheet name="Sheet1" sheetId="10" r:id="rId5"/>
    <sheet name="Metadata" sheetId="3" r:id="rId6"/>
    <sheet name="Change Log" sheetId="8" r:id="rId7"/>
    <sheet name="Column Data" sheetId="7" r:id="rId8"/>
  </sheets>
  <definedNames>
    <definedName name="_xlnm._FilterDatabase" localSheetId="3"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us_core_reqs!$A$1:$AE$696</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4" i="11" l="1" a="1"/>
  <c r="H694" i="11" s="1"/>
  <c r="E694" i="11" a="1"/>
  <c r="E694" i="11" s="1"/>
  <c r="C694" i="11"/>
  <c r="H693" i="11" a="1"/>
  <c r="H693" i="11" s="1"/>
  <c r="E693" i="11" a="1"/>
  <c r="E693" i="11" s="1"/>
  <c r="C693" i="11"/>
  <c r="H691" i="11" a="1"/>
  <c r="H691" i="11" s="1"/>
  <c r="E691" i="11" a="1"/>
  <c r="E691" i="11" s="1"/>
  <c r="C691" i="11"/>
  <c r="H690" i="11" a="1"/>
  <c r="H690" i="11" s="1"/>
  <c r="E690" i="11" a="1"/>
  <c r="E690" i="11" s="1"/>
  <c r="C690" i="11"/>
  <c r="H689" i="11" a="1"/>
  <c r="H689" i="11" s="1"/>
  <c r="E689" i="11" a="1"/>
  <c r="E689" i="11" s="1"/>
  <c r="C689" i="11"/>
  <c r="H695" i="11" a="1"/>
  <c r="H695" i="11" s="1"/>
  <c r="E695" i="11" a="1"/>
  <c r="E695" i="11" s="1"/>
  <c r="C695" i="11"/>
  <c r="H692" i="11" a="1"/>
  <c r="H692" i="11" s="1"/>
  <c r="E692" i="11" a="1"/>
  <c r="E692" i="11" s="1"/>
  <c r="C692" i="11"/>
  <c r="H688" i="11" a="1"/>
  <c r="H688" i="11" s="1"/>
  <c r="E688" i="11" a="1"/>
  <c r="E688" i="11" s="1"/>
  <c r="C688" i="11"/>
  <c r="H696" i="11" a="1"/>
  <c r="H696" i="11" s="1"/>
  <c r="E696" i="11" a="1"/>
  <c r="E696" i="11" s="1"/>
  <c r="C696" i="11"/>
  <c r="H687" i="11" a="1"/>
  <c r="H687" i="11" s="1"/>
  <c r="E687" i="11" a="1"/>
  <c r="E687" i="11" s="1"/>
  <c r="C687" i="11"/>
  <c r="H686" i="11" a="1"/>
  <c r="H686" i="11" s="1"/>
  <c r="E686" i="11" a="1"/>
  <c r="E686" i="11" s="1"/>
  <c r="C686" i="11"/>
  <c r="H685" i="1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0" i="11" a="1"/>
  <c r="E680" i="11" s="1"/>
  <c r="S680" i="11" s="1" a="1"/>
  <c r="S680" i="11" s="1"/>
  <c r="E679" i="11" a="1"/>
  <c r="E679" i="11" s="1"/>
  <c r="S679" i="11" s="1" a="1"/>
  <c r="S679" i="11" s="1"/>
  <c r="E678" i="11" a="1"/>
  <c r="E678" i="11" s="1"/>
  <c r="T678" i="11" s="1" a="1"/>
  <c r="T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T669" i="11" s="1" a="1"/>
  <c r="T669" i="11" s="1"/>
  <c r="E668" i="11" a="1"/>
  <c r="E668" i="11" s="1"/>
  <c r="T668" i="11" s="1" a="1"/>
  <c r="T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T636" i="11" s="1" a="1"/>
  <c r="T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S629" i="11" s="1" a="1"/>
  <c r="S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T620" i="11" s="1" a="1"/>
  <c r="T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T606" i="11" s="1" a="1"/>
  <c r="T606" i="11" s="1"/>
  <c r="E605" i="11" a="1"/>
  <c r="E605" i="11" s="1"/>
  <c r="T605" i="11" s="1" a="1"/>
  <c r="T605" i="11" s="1"/>
  <c r="E604" i="11" a="1"/>
  <c r="E604" i="11" s="1"/>
  <c r="S604" i="11" s="1" a="1"/>
  <c r="S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T547" i="11" s="1" a="1"/>
  <c r="T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T524" i="11" s="1" a="1"/>
  <c r="T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T515" i="11" s="1" a="1"/>
  <c r="T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T508" i="11" s="1" a="1"/>
  <c r="T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S678" i="11" a="1"/>
  <c r="S678" i="11" s="1"/>
  <c r="S668" i="11" a="1"/>
  <c r="S668" i="11" s="1"/>
  <c r="T652" i="11" a="1"/>
  <c r="T652" i="11" s="1"/>
  <c r="S652" i="11" a="1"/>
  <c r="S652" i="11" s="1"/>
  <c r="T647" i="11" a="1"/>
  <c r="T647" i="11" s="1"/>
  <c r="S631" i="11" a="1"/>
  <c r="S631" i="11" s="1"/>
  <c r="T629" i="11" a="1"/>
  <c r="T629" i="11" s="1"/>
  <c r="S620" i="11" a="1"/>
  <c r="S620" i="11" s="1"/>
  <c r="S615" i="11" a="1"/>
  <c r="S615" i="11" s="1"/>
  <c r="S613" i="11" a="1"/>
  <c r="S613" i="11" s="1"/>
  <c r="T599" i="11" a="1"/>
  <c r="T599" i="11" s="1"/>
  <c r="S597" i="11" a="1"/>
  <c r="S597" i="11" s="1"/>
  <c r="S563" i="11" a="1"/>
  <c r="S563" i="11" s="1"/>
  <c r="S551" i="11" a="1"/>
  <c r="S551" i="11" s="1"/>
  <c r="T535" i="11" a="1"/>
  <c r="T535" i="11" s="1"/>
  <c r="S524" i="11" a="1"/>
  <c r="S524" i="11" s="1"/>
  <c r="T519" i="11" a="1"/>
  <c r="T519" i="11" s="1"/>
  <c r="S503" i="11" a="1"/>
  <c r="S503" i="11" s="1"/>
  <c r="B3" i="12" a="1"/>
  <c r="B3" i="12" s="1"/>
  <c r="B1" i="12" a="1"/>
  <c r="B1" i="12" s="1"/>
  <c r="B2" i="12" a="1"/>
  <c r="B2" i="12" s="1"/>
  <c r="C3" i="12" a="1"/>
  <c r="C3" i="12" s="1"/>
  <c r="C1" i="12"/>
  <c r="C1" i="12" a="1"/>
  <c r="C2" i="12" a="1"/>
  <c r="C2" i="12"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S693" i="11" l="1" a="1"/>
  <c r="S693" i="11" s="1"/>
  <c r="T693" i="11" a="1"/>
  <c r="T693" i="11" s="1"/>
  <c r="T694" i="11" a="1"/>
  <c r="T694" i="11" s="1"/>
  <c r="S694" i="11" a="1"/>
  <c r="S694" i="11" s="1"/>
  <c r="U694" i="11" s="1" a="1"/>
  <c r="U694" i="11" s="1"/>
  <c r="S690" i="11" a="1"/>
  <c r="S690" i="11" s="1"/>
  <c r="T690" i="11" a="1"/>
  <c r="T690" i="11" s="1"/>
  <c r="T691" i="11" a="1"/>
  <c r="T691" i="11" s="1"/>
  <c r="S691" i="11" a="1"/>
  <c r="S691" i="11" s="1"/>
  <c r="T689" i="11" a="1"/>
  <c r="T689" i="11" s="1"/>
  <c r="S689" i="11" a="1"/>
  <c r="S689" i="11" s="1"/>
  <c r="T695" i="11" a="1"/>
  <c r="T695" i="11" s="1"/>
  <c r="S695" i="11" a="1"/>
  <c r="S695" i="11" s="1"/>
  <c r="U695" i="11" s="1" a="1"/>
  <c r="U695" i="11" s="1"/>
  <c r="S606" i="11" a="1"/>
  <c r="S606" i="11" s="1"/>
  <c r="T614" i="11" a="1"/>
  <c r="T614" i="11" s="1"/>
  <c r="S590" i="11" a="1"/>
  <c r="S590" i="11" s="1"/>
  <c r="S512" i="11" a="1"/>
  <c r="S512" i="11" s="1"/>
  <c r="T692" i="11" a="1"/>
  <c r="T692" i="11" s="1"/>
  <c r="S692" i="11" a="1"/>
  <c r="S692" i="11" s="1"/>
  <c r="U692" i="11" s="1" a="1"/>
  <c r="U692" i="11" s="1"/>
  <c r="S544" i="11" a="1"/>
  <c r="S544" i="11" s="1"/>
  <c r="T688" i="11" a="1"/>
  <c r="T688" i="11" s="1"/>
  <c r="S688" i="11" a="1"/>
  <c r="S688" i="11" s="1"/>
  <c r="T507" i="11" a="1"/>
  <c r="T507" i="11" s="1"/>
  <c r="S560" i="11" a="1"/>
  <c r="S560" i="11" s="1"/>
  <c r="S547" i="11" a="1"/>
  <c r="S547" i="11" s="1"/>
  <c r="S508" i="11" a="1"/>
  <c r="S508" i="11" s="1"/>
  <c r="T604" i="11" a="1"/>
  <c r="T604" i="11" s="1"/>
  <c r="T428" i="11" a="1"/>
  <c r="T428" i="11" s="1"/>
  <c r="S444" i="11" a="1"/>
  <c r="S444" i="11" s="1"/>
  <c r="T696" i="11" a="1"/>
  <c r="T696" i="11" s="1"/>
  <c r="S696" i="11" a="1"/>
  <c r="S696" i="11" s="1"/>
  <c r="S523" i="11" a="1"/>
  <c r="S523" i="11" s="1"/>
  <c r="T687" i="11" a="1"/>
  <c r="T687" i="11" s="1"/>
  <c r="S687" i="11" a="1"/>
  <c r="S687" i="11" s="1"/>
  <c r="T522" i="11" a="1"/>
  <c r="T522" i="11" s="1"/>
  <c r="T686" i="11" a="1"/>
  <c r="T686" i="11" s="1"/>
  <c r="S686" i="11" a="1"/>
  <c r="S686" i="11" s="1"/>
  <c r="S669" i="11" a="1"/>
  <c r="S669" i="11" s="1"/>
  <c r="T549" i="11" a="1"/>
  <c r="T549" i="11" s="1"/>
  <c r="S546" i="11" a="1"/>
  <c r="S546" i="11" s="1"/>
  <c r="S506" i="11" a="1"/>
  <c r="S506" i="11" s="1"/>
  <c r="U506" i="11" s="1" a="1"/>
  <c r="U506" i="11" s="1"/>
  <c r="T429" i="11" a="1"/>
  <c r="T429" i="11" s="1"/>
  <c r="T569" i="11" a="1"/>
  <c r="T569" i="11" s="1"/>
  <c r="U569" i="11" s="1" a="1"/>
  <c r="U569" i="11" s="1"/>
  <c r="S626" i="11" a="1"/>
  <c r="S626" i="11" s="1"/>
  <c r="T466" i="11" a="1"/>
  <c r="T466" i="11" s="1"/>
  <c r="T529" i="11" a="1"/>
  <c r="T529" i="11" s="1"/>
  <c r="T491" i="11" a="1"/>
  <c r="T491" i="11" s="1"/>
  <c r="S515" i="11" a="1"/>
  <c r="S515" i="11" s="1"/>
  <c r="U515" i="11" s="1" a="1"/>
  <c r="U515" i="11" s="1"/>
  <c r="S531" i="11" a="1"/>
  <c r="S531" i="11" s="1"/>
  <c r="U531" i="11" s="1" a="1"/>
  <c r="U531" i="11" s="1"/>
  <c r="T555" i="11" a="1"/>
  <c r="T555" i="11" s="1"/>
  <c r="U555" i="11" s="1" a="1"/>
  <c r="U555" i="11" s="1"/>
  <c r="S593" i="11" a="1"/>
  <c r="S593" i="11" s="1"/>
  <c r="S636" i="11" a="1"/>
  <c r="S636" i="11" s="1"/>
  <c r="T570" i="11" a="1"/>
  <c r="T570" i="11" s="1"/>
  <c r="T571" i="11" a="1"/>
  <c r="T571" i="11" s="1"/>
  <c r="S578" i="11" a="1"/>
  <c r="S578" i="11" s="1"/>
  <c r="T476" i="11" a="1"/>
  <c r="T476" i="11" s="1"/>
  <c r="U476" i="11" s="1" a="1"/>
  <c r="U476" i="11" s="1"/>
  <c r="T492" i="11" a="1"/>
  <c r="T492" i="11" s="1"/>
  <c r="U492" i="11" s="1" a="1"/>
  <c r="U492" i="11" s="1"/>
  <c r="T685" i="11" a="1"/>
  <c r="T685" i="11" s="1"/>
  <c r="S685" i="11" a="1"/>
  <c r="S685" i="11" s="1"/>
  <c r="T399" i="11" a="1"/>
  <c r="T399" i="11" s="1"/>
  <c r="S407" i="11" a="1"/>
  <c r="S407" i="11" s="1"/>
  <c r="S343" i="11" a="1"/>
  <c r="S343" i="11" s="1"/>
  <c r="S471" i="11" a="1"/>
  <c r="S471" i="11" s="1"/>
  <c r="T683" i="11" a="1"/>
  <c r="T683" i="11" s="1"/>
  <c r="S683" i="11" a="1"/>
  <c r="S683" i="11" s="1"/>
  <c r="S498" i="11" a="1"/>
  <c r="S498" i="11" s="1"/>
  <c r="U498" i="11" s="1" a="1"/>
  <c r="U498" i="11" s="1"/>
  <c r="T538" i="11" a="1"/>
  <c r="T538" i="11" s="1"/>
  <c r="T682" i="11" a="1"/>
  <c r="T682" i="11" s="1"/>
  <c r="U682" i="11" s="1" a="1"/>
  <c r="U682" i="11" s="1"/>
  <c r="T586" i="11" a="1"/>
  <c r="T586" i="11" s="1"/>
  <c r="S393" i="11" a="1"/>
  <c r="S393" i="11" s="1"/>
  <c r="S465" i="11" a="1"/>
  <c r="S465" i="11" s="1"/>
  <c r="S361" i="11" a="1"/>
  <c r="S361" i="11" s="1"/>
  <c r="T460" i="11" a="1"/>
  <c r="T460" i="11" s="1"/>
  <c r="U460" i="11" s="1" a="1"/>
  <c r="U460" i="11" s="1"/>
  <c r="T419" i="11" a="1"/>
  <c r="T419" i="11" s="1"/>
  <c r="U419" i="11" s="1" a="1"/>
  <c r="U419" i="11" s="1"/>
  <c r="T539" i="11" a="1"/>
  <c r="T539" i="11" s="1"/>
  <c r="S338" i="11" a="1"/>
  <c r="S338" i="11" s="1"/>
  <c r="T562" i="11" a="1"/>
  <c r="T562" i="11" s="1"/>
  <c r="T453" i="11" a="1"/>
  <c r="T453" i="11" s="1"/>
  <c r="T509" i="11" a="1"/>
  <c r="T509" i="11" s="1"/>
  <c r="T557" i="11" a="1"/>
  <c r="T557" i="11" s="1"/>
  <c r="U557" i="11" s="1" a="1"/>
  <c r="U557" i="11" s="1"/>
  <c r="T581" i="11" a="1"/>
  <c r="T581" i="11" s="1"/>
  <c r="U581" i="11" s="1" a="1"/>
  <c r="U581" i="11" s="1"/>
  <c r="S661" i="11" a="1"/>
  <c r="S661" i="11" s="1"/>
  <c r="U661" i="11" s="1" a="1"/>
  <c r="U661" i="11" s="1"/>
  <c r="T421" i="11" a="1"/>
  <c r="T421" i="11" s="1"/>
  <c r="U421" i="11" s="1" a="1"/>
  <c r="U421" i="11" s="1"/>
  <c r="S605" i="11" a="1"/>
  <c r="S605" i="11" s="1"/>
  <c r="S621" i="11" a="1"/>
  <c r="S621" i="11" s="1"/>
  <c r="U621" i="11" s="1" a="1"/>
  <c r="U621" i="11" s="1"/>
  <c r="S637" i="11" a="1"/>
  <c r="S637" i="11" s="1"/>
  <c r="T589" i="11" a="1"/>
  <c r="T589" i="11" s="1"/>
  <c r="S645" i="11" a="1"/>
  <c r="S645" i="11" s="1"/>
  <c r="U645" i="11" s="1" a="1"/>
  <c r="U645" i="11" s="1"/>
  <c r="S445" i="11" a="1"/>
  <c r="S445" i="11" s="1"/>
  <c r="U445" i="11" s="1" a="1"/>
  <c r="U445" i="11" s="1"/>
  <c r="S477" i="11" a="1"/>
  <c r="S477" i="11" s="1"/>
  <c r="U477" i="11" s="1" a="1"/>
  <c r="U477" i="11" s="1"/>
  <c r="S677" i="11" a="1"/>
  <c r="S677" i="11" s="1"/>
  <c r="T653" i="11" a="1"/>
  <c r="T653" i="11" s="1"/>
  <c r="T385" i="11" a="1"/>
  <c r="T385" i="11" s="1"/>
  <c r="U385" i="11" s="1" a="1"/>
  <c r="U385" i="11" s="1"/>
  <c r="T425" i="11" a="1"/>
  <c r="T425" i="11" s="1"/>
  <c r="T521" i="11" a="1"/>
  <c r="T521" i="11" s="1"/>
  <c r="S505" i="11" a="1"/>
  <c r="S505" i="11" s="1"/>
  <c r="S409" i="11" a="1"/>
  <c r="S409" i="11" s="1"/>
  <c r="U409" i="11" s="1" a="1"/>
  <c r="U409" i="11" s="1"/>
  <c r="S513" i="11" a="1"/>
  <c r="S513" i="11" s="1"/>
  <c r="S632" i="11" a="1"/>
  <c r="S632" i="11" s="1"/>
  <c r="S656" i="11" a="1"/>
  <c r="S656" i="11" s="1"/>
  <c r="S624" i="11" a="1"/>
  <c r="S624" i="11" s="1"/>
  <c r="U624" i="11" s="1" a="1"/>
  <c r="U624" i="11" s="1"/>
  <c r="S640" i="11" a="1"/>
  <c r="S640" i="11" s="1"/>
  <c r="S344" i="11" a="1"/>
  <c r="S344" i="11" s="1"/>
  <c r="U344" i="11" s="1" a="1"/>
  <c r="U344" i="11" s="1"/>
  <c r="S369" i="11" a="1"/>
  <c r="S369" i="11" s="1"/>
  <c r="U369" i="11" s="1" a="1"/>
  <c r="U369" i="11" s="1"/>
  <c r="S417" i="11" a="1"/>
  <c r="S417" i="11" s="1"/>
  <c r="U417" i="11" s="1" a="1"/>
  <c r="U417" i="11" s="1"/>
  <c r="S585" i="11" a="1"/>
  <c r="S585" i="11" s="1"/>
  <c r="U585" i="11" s="1" a="1"/>
  <c r="U585" i="11" s="1"/>
  <c r="T616" i="11" a="1"/>
  <c r="T616" i="11" s="1"/>
  <c r="S345" i="11" a="1"/>
  <c r="S345" i="11" s="1"/>
  <c r="T481" i="11" a="1"/>
  <c r="T481" i="11" s="1"/>
  <c r="S497" i="11" a="1"/>
  <c r="S497" i="11" s="1"/>
  <c r="S536" i="11" a="1"/>
  <c r="S536" i="11" s="1"/>
  <c r="U536" i="11" s="1" a="1"/>
  <c r="U536" i="11" s="1"/>
  <c r="T545" i="11" a="1"/>
  <c r="T545" i="11" s="1"/>
  <c r="U545" i="11" s="1" a="1"/>
  <c r="U545" i="11" s="1"/>
  <c r="S553" i="11" a="1"/>
  <c r="S553" i="11" s="1"/>
  <c r="U553" i="11" s="1" a="1"/>
  <c r="U553" i="11" s="1"/>
  <c r="T561" i="11" a="1"/>
  <c r="T561" i="11" s="1"/>
  <c r="S617" i="11" a="1"/>
  <c r="S617" i="11" s="1"/>
  <c r="S625" i="11" a="1"/>
  <c r="S625" i="11" s="1"/>
  <c r="S633" i="11" a="1"/>
  <c r="S633" i="11" s="1"/>
  <c r="S657" i="11" a="1"/>
  <c r="S657" i="11" s="1"/>
  <c r="S648" i="11" a="1"/>
  <c r="S648" i="11" s="1"/>
  <c r="U648" i="11" s="1" a="1"/>
  <c r="U648" i="11" s="1"/>
  <c r="S584" i="11" a="1"/>
  <c r="S584" i="11" s="1"/>
  <c r="U584" i="11" s="1" a="1"/>
  <c r="U584" i="11" s="1"/>
  <c r="S449" i="11" a="1"/>
  <c r="S449" i="11" s="1"/>
  <c r="U449" i="11" s="1" a="1"/>
  <c r="U449" i="11" s="1"/>
  <c r="S496" i="11" a="1"/>
  <c r="S496" i="11" s="1"/>
  <c r="S376" i="11" a="1"/>
  <c r="S376" i="11" s="1"/>
  <c r="S433" i="11" a="1"/>
  <c r="S433" i="11" s="1"/>
  <c r="T576" i="11" a="1"/>
  <c r="T576" i="11" s="1"/>
  <c r="U576" i="11" s="1" a="1"/>
  <c r="U576" i="11" s="1"/>
  <c r="S600" i="11" a="1"/>
  <c r="S600" i="11" s="1"/>
  <c r="T608" i="11" a="1"/>
  <c r="T608" i="11" s="1"/>
  <c r="S353" i="11" a="1"/>
  <c r="S353" i="11" s="1"/>
  <c r="U353" i="11" s="1" a="1"/>
  <c r="U353" i="11" s="1"/>
  <c r="S377" i="11" a="1"/>
  <c r="S377" i="11" s="1"/>
  <c r="U377" i="11" s="1" a="1"/>
  <c r="U377" i="11" s="1"/>
  <c r="T401" i="11" a="1"/>
  <c r="T401" i="11" s="1"/>
  <c r="S457" i="11" a="1"/>
  <c r="S457" i="11" s="1"/>
  <c r="S473" i="11" a="1"/>
  <c r="S473" i="11" s="1"/>
  <c r="S489" i="11" a="1"/>
  <c r="S489" i="11" s="1"/>
  <c r="U489" i="11" s="1" a="1"/>
  <c r="U489" i="11" s="1"/>
  <c r="T537" i="11" a="1"/>
  <c r="T537" i="11" s="1"/>
  <c r="S577" i="11" a="1"/>
  <c r="S577" i="11" s="1"/>
  <c r="U577" i="11" s="1" a="1"/>
  <c r="U577" i="11" s="1"/>
  <c r="S601" i="11" a="1"/>
  <c r="S601" i="11" s="1"/>
  <c r="U601" i="11" s="1" a="1"/>
  <c r="U601" i="11" s="1"/>
  <c r="S609" i="11" a="1"/>
  <c r="S609" i="11" s="1"/>
  <c r="U609" i="11" s="1" a="1"/>
  <c r="U609" i="11" s="1"/>
  <c r="S88" i="11" a="1"/>
  <c r="S88" i="11" s="1"/>
  <c r="S424" i="11" a="1"/>
  <c r="S424" i="11" s="1"/>
  <c r="S528" i="11" a="1"/>
  <c r="S528" i="11" s="1"/>
  <c r="S568" i="11" a="1"/>
  <c r="S568" i="11" s="1"/>
  <c r="U568" i="11" s="1" a="1"/>
  <c r="U568" i="11" s="1"/>
  <c r="T665" i="11" a="1"/>
  <c r="T665" i="11" s="1"/>
  <c r="S552" i="11" a="1"/>
  <c r="S552" i="11" s="1"/>
  <c r="S472" i="11" a="1"/>
  <c r="S472" i="11" s="1"/>
  <c r="U472" i="11" s="1" a="1"/>
  <c r="U472" i="11" s="1"/>
  <c r="T488" i="11" a="1"/>
  <c r="T488" i="11" s="1"/>
  <c r="U488" i="11" s="1" a="1"/>
  <c r="U488" i="11" s="1"/>
  <c r="T440" i="11" a="1"/>
  <c r="T440" i="11" s="1"/>
  <c r="T520" i="11" a="1"/>
  <c r="T520" i="11" s="1"/>
  <c r="T220" i="11" a="1"/>
  <c r="T220" i="11" s="1"/>
  <c r="T360" i="11" a="1"/>
  <c r="T360" i="11" s="1"/>
  <c r="U360" i="11" s="1" a="1"/>
  <c r="U360" i="11" s="1"/>
  <c r="S408" i="11" a="1"/>
  <c r="S408" i="11" s="1"/>
  <c r="T442" i="11" a="1"/>
  <c r="T442" i="11" s="1"/>
  <c r="U442" i="11" s="1" a="1"/>
  <c r="U442" i="11" s="1"/>
  <c r="S474" i="11" a="1"/>
  <c r="S474" i="11" s="1"/>
  <c r="U474" i="11" s="1" a="1"/>
  <c r="U474" i="11" s="1"/>
  <c r="T490" i="11" a="1"/>
  <c r="T490" i="11" s="1"/>
  <c r="U490" i="11" s="1" a="1"/>
  <c r="U490" i="11" s="1"/>
  <c r="S504" i="11" a="1"/>
  <c r="S504" i="11" s="1"/>
  <c r="T592" i="11" a="1"/>
  <c r="T592" i="11" s="1"/>
  <c r="T680" i="11" a="1"/>
  <c r="T680" i="11" s="1"/>
  <c r="S104" i="11" a="1"/>
  <c r="S104" i="11" s="1"/>
  <c r="U104" i="11" s="1" a="1"/>
  <c r="U104" i="11" s="1"/>
  <c r="S410" i="11" a="1"/>
  <c r="S410" i="11" s="1"/>
  <c r="S462" i="11" a="1"/>
  <c r="S462" i="11" s="1"/>
  <c r="U462" i="11" s="1" a="1"/>
  <c r="U462" i="11" s="1"/>
  <c r="S342" i="11" a="1"/>
  <c r="S342" i="11" s="1"/>
  <c r="U342" i="11" s="1" a="1"/>
  <c r="U342" i="11" s="1"/>
  <c r="S598" i="11" a="1"/>
  <c r="S598" i="11" s="1"/>
  <c r="U598" i="11" s="1" a="1"/>
  <c r="U598" i="11" s="1"/>
  <c r="S32" i="11" a="1"/>
  <c r="S32" i="11" s="1"/>
  <c r="T392" i="11" a="1"/>
  <c r="T392" i="11" s="1"/>
  <c r="T456" i="11" a="1"/>
  <c r="T456" i="11" s="1"/>
  <c r="T582" i="11" a="1"/>
  <c r="T582" i="11" s="1"/>
  <c r="U582" i="11" s="1" a="1"/>
  <c r="U582" i="11" s="1"/>
  <c r="T638" i="11" a="1"/>
  <c r="T638" i="11" s="1"/>
  <c r="S8" i="11" a="1"/>
  <c r="S8" i="11" s="1"/>
  <c r="U8" i="11" s="1" a="1"/>
  <c r="U8" i="11" s="1"/>
  <c r="S458" i="11" a="1"/>
  <c r="S458" i="11" s="1"/>
  <c r="U458" i="11" s="1" a="1"/>
  <c r="U458" i="11" s="1"/>
  <c r="S482" i="11" a="1"/>
  <c r="S482" i="11" s="1"/>
  <c r="U482" i="11" s="1" a="1"/>
  <c r="U482" i="11" s="1"/>
  <c r="S56" i="11" a="1"/>
  <c r="S56" i="11" s="1"/>
  <c r="T402" i="11" a="1"/>
  <c r="T402" i="11" s="1"/>
  <c r="S226" i="11" a="1"/>
  <c r="S226" i="11" s="1"/>
  <c r="U226" i="11" s="1" a="1"/>
  <c r="U226" i="11" s="1"/>
  <c r="T397" i="11" a="1"/>
  <c r="T397" i="11" s="1"/>
  <c r="U397" i="11" s="1" a="1"/>
  <c r="U397" i="11" s="1"/>
  <c r="T365" i="11" a="1"/>
  <c r="T365" i="11" s="1"/>
  <c r="S405" i="11" a="1"/>
  <c r="S405" i="11" s="1"/>
  <c r="U405" i="11" s="1" a="1"/>
  <c r="U405" i="11" s="1"/>
  <c r="T413" i="11" a="1"/>
  <c r="T413" i="11" s="1"/>
  <c r="U413" i="11" s="1" a="1"/>
  <c r="U413" i="11" s="1"/>
  <c r="S437" i="11" a="1"/>
  <c r="S437" i="11" s="1"/>
  <c r="U437" i="11" s="1" a="1"/>
  <c r="U437" i="11" s="1"/>
  <c r="S451" i="11" a="1"/>
  <c r="S451" i="11" s="1"/>
  <c r="T461" i="11" a="1"/>
  <c r="T461" i="11" s="1"/>
  <c r="T483" i="11" a="1"/>
  <c r="T483" i="11" s="1"/>
  <c r="S258" i="11" a="1"/>
  <c r="S258" i="11" s="1"/>
  <c r="U258" i="11" s="1" a="1"/>
  <c r="U258" i="11" s="1"/>
  <c r="S298" i="11" a="1"/>
  <c r="S298" i="11" s="1"/>
  <c r="U298" i="11" s="1" a="1"/>
  <c r="U298" i="11" s="1"/>
  <c r="S346" i="11" a="1"/>
  <c r="S346" i="11" s="1"/>
  <c r="U346" i="11" s="1" a="1"/>
  <c r="U346" i="11" s="1"/>
  <c r="T154" i="11" a="1"/>
  <c r="T154" i="11" s="1"/>
  <c r="U154" i="11" s="1" a="1"/>
  <c r="U154" i="11" s="1"/>
  <c r="T178" i="11" a="1"/>
  <c r="T178" i="11" s="1"/>
  <c r="U178" i="11" s="1" a="1"/>
  <c r="U178" i="11" s="1"/>
  <c r="S130" i="11" a="1"/>
  <c r="S130" i="11" s="1"/>
  <c r="S294" i="11" a="1"/>
  <c r="S294" i="11" s="1"/>
  <c r="S76" i="11" a="1"/>
  <c r="S76" i="11" s="1"/>
  <c r="U76" i="11" s="1" a="1"/>
  <c r="U76" i="11" s="1"/>
  <c r="T238" i="11" a="1"/>
  <c r="T238" i="11" s="1"/>
  <c r="U238" i="11" s="1" a="1"/>
  <c r="U238" i="11" s="1"/>
  <c r="S290" i="11" a="1"/>
  <c r="S290" i="11" s="1"/>
  <c r="S198" i="11" a="1"/>
  <c r="S198" i="11" s="1"/>
  <c r="U198" i="11" s="1" a="1"/>
  <c r="U198" i="11" s="1"/>
  <c r="T502" i="11" a="1"/>
  <c r="T502" i="11" s="1"/>
  <c r="U502" i="11" s="1" a="1"/>
  <c r="U502" i="11" s="1"/>
  <c r="T124" i="11" a="1"/>
  <c r="T124" i="11" s="1"/>
  <c r="U124" i="11" s="1" a="1"/>
  <c r="U124" i="11" s="1"/>
  <c r="T206" i="11" a="1"/>
  <c r="T206" i="11" s="1"/>
  <c r="T286" i="11" a="1"/>
  <c r="T286" i="11" s="1"/>
  <c r="U286" i="11" s="1" a="1"/>
  <c r="U286" i="11" s="1"/>
  <c r="T214" i="11" a="1"/>
  <c r="T214" i="11" s="1"/>
  <c r="S396" i="11" a="1"/>
  <c r="S396" i="11" s="1"/>
  <c r="U396" i="11" s="1" a="1"/>
  <c r="U396" i="11" s="1"/>
  <c r="S534" i="11" a="1"/>
  <c r="S534" i="11" s="1"/>
  <c r="U534" i="11" s="1" a="1"/>
  <c r="U534" i="11" s="1"/>
  <c r="T542" i="11" a="1"/>
  <c r="T542" i="11" s="1"/>
  <c r="U542" i="11" s="1" a="1"/>
  <c r="U542" i="11" s="1"/>
  <c r="S60" i="11" a="1"/>
  <c r="S60" i="11" s="1"/>
  <c r="U60" i="11" s="1" a="1"/>
  <c r="U60" i="11" s="1"/>
  <c r="T166" i="11" a="1"/>
  <c r="T166" i="11" s="1"/>
  <c r="U166" i="11" s="1" a="1"/>
  <c r="U166" i="11" s="1"/>
  <c r="T526" i="11" a="1"/>
  <c r="T526" i="11" s="1"/>
  <c r="S550" i="11" a="1"/>
  <c r="S550" i="11" s="1"/>
  <c r="U550" i="11" s="1" a="1"/>
  <c r="U550" i="11" s="1"/>
  <c r="T78" i="11" a="1"/>
  <c r="T78" i="11" s="1"/>
  <c r="U78" i="11" s="1" a="1"/>
  <c r="U78" i="11" s="1"/>
  <c r="T180" i="11" a="1"/>
  <c r="T180" i="11" s="1"/>
  <c r="U180" i="11" s="1" a="1"/>
  <c r="U180" i="11" s="1"/>
  <c r="T252" i="11" a="1"/>
  <c r="T252" i="11" s="1"/>
  <c r="U252" i="11" s="1" a="1"/>
  <c r="U252" i="11" s="1"/>
  <c r="T318" i="11" a="1"/>
  <c r="T318" i="11" s="1"/>
  <c r="U318" i="11" s="1" a="1"/>
  <c r="U318" i="11" s="1"/>
  <c r="S186" i="11" a="1"/>
  <c r="S186" i="11" s="1"/>
  <c r="U186" i="11" s="1" a="1"/>
  <c r="U186" i="11" s="1"/>
  <c r="T254" i="11" a="1"/>
  <c r="T254" i="11" s="1"/>
  <c r="U254" i="11" s="1" a="1"/>
  <c r="U254" i="11" s="1"/>
  <c r="T326" i="11" a="1"/>
  <c r="T326" i="11" s="1"/>
  <c r="S366" i="11" a="1"/>
  <c r="S366" i="11" s="1"/>
  <c r="U366" i="11" s="1" a="1"/>
  <c r="U366" i="11" s="1"/>
  <c r="S478" i="11" a="1"/>
  <c r="S478" i="11" s="1"/>
  <c r="T14" i="11" a="1"/>
  <c r="T14" i="11" s="1"/>
  <c r="U14" i="11" s="1" a="1"/>
  <c r="U14" i="11" s="1"/>
  <c r="T406" i="11" a="1"/>
  <c r="T406" i="11" s="1"/>
  <c r="U406" i="11" s="1" a="1"/>
  <c r="U406" i="11" s="1"/>
  <c r="S414" i="11" a="1"/>
  <c r="S414" i="11" s="1"/>
  <c r="U414" i="11" s="1" a="1"/>
  <c r="U414" i="11" s="1"/>
  <c r="T470" i="11" a="1"/>
  <c r="T470" i="11" s="1"/>
  <c r="U470" i="11" s="1" a="1"/>
  <c r="U470" i="11" s="1"/>
  <c r="T558" i="11" a="1"/>
  <c r="T558" i="11" s="1"/>
  <c r="U558" i="11" s="1" a="1"/>
  <c r="U558" i="11" s="1"/>
  <c r="T566" i="11" a="1"/>
  <c r="T566" i="11" s="1"/>
  <c r="T574" i="11" a="1"/>
  <c r="T574" i="11" s="1"/>
  <c r="U574" i="11" s="1" a="1"/>
  <c r="U574" i="11" s="1"/>
  <c r="T622" i="11" a="1"/>
  <c r="T622" i="11" s="1"/>
  <c r="S630" i="11" a="1"/>
  <c r="S630" i="11" s="1"/>
  <c r="U630" i="11" s="1" a="1"/>
  <c r="U630" i="11" s="1"/>
  <c r="S670" i="11" a="1"/>
  <c r="S670" i="11" s="1"/>
  <c r="U670" i="11" s="1" a="1"/>
  <c r="U670" i="11" s="1"/>
  <c r="S646" i="11" a="1"/>
  <c r="S646" i="11" s="1"/>
  <c r="U646" i="11" s="1" a="1"/>
  <c r="U646" i="11" s="1"/>
  <c r="S662" i="11" a="1"/>
  <c r="S662" i="11" s="1"/>
  <c r="U662" i="11" s="1" a="1"/>
  <c r="U662" i="11" s="1"/>
  <c r="S182" i="11" a="1"/>
  <c r="S182" i="11" s="1"/>
  <c r="U182" i="11" s="1" a="1"/>
  <c r="U182" i="11" s="1"/>
  <c r="S126" i="11" a="1"/>
  <c r="S126" i="11" s="1"/>
  <c r="S246" i="11" a="1"/>
  <c r="S246" i="11" s="1"/>
  <c r="U246" i="11" s="1" a="1"/>
  <c r="U246" i="11" s="1"/>
  <c r="S382" i="11" a="1"/>
  <c r="S382" i="11" s="1"/>
  <c r="S654" i="11" a="1"/>
  <c r="S654" i="11" s="1"/>
  <c r="U654" i="11" s="1" a="1"/>
  <c r="U654" i="11" s="1"/>
  <c r="S174" i="11" a="1"/>
  <c r="S174" i="11" s="1"/>
  <c r="U174" i="11" s="1" a="1"/>
  <c r="U174" i="11" s="1"/>
  <c r="S270" i="11" a="1"/>
  <c r="S270" i="11" s="1"/>
  <c r="U270" i="11" s="1" a="1"/>
  <c r="U270" i="11" s="1"/>
  <c r="S302" i="11" a="1"/>
  <c r="S302" i="11" s="1"/>
  <c r="U302" i="11" s="1" a="1"/>
  <c r="U302" i="11" s="1"/>
  <c r="S374" i="11" a="1"/>
  <c r="S374" i="11" s="1"/>
  <c r="S518" i="11" a="1"/>
  <c r="S518" i="11" s="1"/>
  <c r="S102" i="11" a="1"/>
  <c r="S102" i="11" s="1"/>
  <c r="U102" i="11" s="1" a="1"/>
  <c r="U102" i="11" s="1"/>
  <c r="S222" i="11" a="1"/>
  <c r="S222" i="11" s="1"/>
  <c r="U222" i="11" s="1" a="1"/>
  <c r="U222" i="11" s="1"/>
  <c r="S278" i="11" a="1"/>
  <c r="S278" i="11" s="1"/>
  <c r="U278" i="11" s="1" a="1"/>
  <c r="U278" i="11" s="1"/>
  <c r="T310" i="11" a="1"/>
  <c r="T310" i="11" s="1"/>
  <c r="S486" i="11" a="1"/>
  <c r="S486" i="11" s="1"/>
  <c r="U486" i="11" s="1" a="1"/>
  <c r="U486" i="11" s="1"/>
  <c r="T684" i="11" a="1"/>
  <c r="T684" i="11" s="1"/>
  <c r="S684" i="11" a="1"/>
  <c r="S684" i="11" s="1"/>
  <c r="T92" i="11" a="1"/>
  <c r="T92" i="11" s="1"/>
  <c r="U92" i="11" s="1" a="1"/>
  <c r="U92" i="11" s="1"/>
  <c r="S164" i="11" a="1"/>
  <c r="S164" i="11" s="1"/>
  <c r="U164" i="11" s="1" a="1"/>
  <c r="U164" i="11" s="1"/>
  <c r="S36" i="11" a="1"/>
  <c r="S36" i="11" s="1"/>
  <c r="U36" i="11" s="1" a="1"/>
  <c r="U36" i="11" s="1"/>
  <c r="S172" i="11" a="1"/>
  <c r="S172" i="11" s="1"/>
  <c r="S212" i="11" a="1"/>
  <c r="S212" i="11" s="1"/>
  <c r="U212" i="11" s="1" a="1"/>
  <c r="U212" i="11" s="1"/>
  <c r="S244" i="11" a="1"/>
  <c r="S244" i="11" s="1"/>
  <c r="U244" i="11" s="1" a="1"/>
  <c r="U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U4" i="11" s="1" a="1"/>
  <c r="U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S435" i="11" a="1"/>
  <c r="S435" i="11" s="1"/>
  <c r="U435" i="11" s="1" a="1"/>
  <c r="U435" i="11" s="1"/>
  <c r="T16" i="11" a="1"/>
  <c r="T16" i="11" s="1"/>
  <c r="T134" i="11" a="1"/>
  <c r="T134" i="11" s="1"/>
  <c r="U134" i="11" s="1" a="1"/>
  <c r="U134" i="11" s="1"/>
  <c r="S40" i="11" a="1"/>
  <c r="S40" i="11" s="1"/>
  <c r="U40" i="11" s="1" a="1"/>
  <c r="U40" i="11" s="1"/>
  <c r="T64" i="11" a="1"/>
  <c r="T64" i="11" s="1"/>
  <c r="U64" i="11" s="1" a="1"/>
  <c r="U64" i="11" s="1"/>
  <c r="T110" i="11" a="1"/>
  <c r="T110" i="11" s="1"/>
  <c r="U110" i="11" s="1" a="1"/>
  <c r="U110" i="11" s="1"/>
  <c r="S22" i="11" a="1"/>
  <c r="S22" i="11" s="1"/>
  <c r="U22" i="11" s="1" a="1"/>
  <c r="U22" i="11" s="1"/>
  <c r="S72" i="11" a="1"/>
  <c r="S72" i="11" s="1"/>
  <c r="S94" i="11" a="1"/>
  <c r="S94" i="11" s="1"/>
  <c r="U94" i="11" s="1" a="1"/>
  <c r="U94" i="11" s="1"/>
  <c r="S118" i="11" a="1"/>
  <c r="S118" i="11" s="1"/>
  <c r="U118" i="11" s="1" a="1"/>
  <c r="U118" i="11" s="1"/>
  <c r="S136" i="11" a="1"/>
  <c r="S136" i="11" s="1"/>
  <c r="U136" i="11" s="1" a="1"/>
  <c r="U136" i="11" s="1"/>
  <c r="S24" i="11" a="1"/>
  <c r="S24" i="11" s="1"/>
  <c r="U24" i="11" s="1" a="1"/>
  <c r="U24" i="11" s="1"/>
  <c r="S48" i="11" a="1"/>
  <c r="S48" i="11" s="1"/>
  <c r="U48" i="11" s="1" a="1"/>
  <c r="U48" i="11" s="1"/>
  <c r="S96" i="11" a="1"/>
  <c r="S96" i="11" s="1"/>
  <c r="U96" i="11" s="1" a="1"/>
  <c r="U96" i="11" s="1"/>
  <c r="S208" i="11" a="1"/>
  <c r="S208" i="11" s="1"/>
  <c r="U208" i="11" s="1" a="1"/>
  <c r="U208" i="11" s="1"/>
  <c r="S86" i="11" a="1"/>
  <c r="S86" i="11" s="1"/>
  <c r="U86" i="11" s="1" a="1"/>
  <c r="U86" i="11" s="1"/>
  <c r="T38" i="11" a="1"/>
  <c r="T38" i="11" s="1"/>
  <c r="U38" i="11" s="1" a="1"/>
  <c r="U38" i="11" s="1"/>
  <c r="T90" i="11" a="1"/>
  <c r="T90" i="11" s="1"/>
  <c r="U90" i="11" s="1" a="1"/>
  <c r="U90" i="11" s="1"/>
  <c r="S190" i="11" a="1"/>
  <c r="S190" i="11" s="1"/>
  <c r="U190" i="11" s="1" a="1"/>
  <c r="U190" i="11" s="1"/>
  <c r="T50" i="11" a="1"/>
  <c r="T50" i="11" s="1"/>
  <c r="U50" i="11" s="1" a="1"/>
  <c r="U50" i="11" s="1"/>
  <c r="S266" i="11" a="1"/>
  <c r="S266" i="11" s="1"/>
  <c r="U266" i="11" s="1" a="1"/>
  <c r="U266" i="11" s="1"/>
  <c r="S354" i="11" a="1"/>
  <c r="S354" i="11" s="1"/>
  <c r="U354" i="11" s="1" a="1"/>
  <c r="U354" i="11" s="1"/>
  <c r="T370" i="11" a="1"/>
  <c r="T370" i="11" s="1"/>
  <c r="U370" i="11" s="1" a="1"/>
  <c r="U370" i="11" s="1"/>
  <c r="T20" i="11" a="1"/>
  <c r="T20" i="11" s="1"/>
  <c r="S82" i="11" a="1"/>
  <c r="S82" i="11" s="1"/>
  <c r="U82" i="11" s="1" a="1"/>
  <c r="U82" i="11" s="1"/>
  <c r="S146" i="11" a="1"/>
  <c r="S146" i="11" s="1"/>
  <c r="S202" i="11" a="1"/>
  <c r="S202" i="11" s="1"/>
  <c r="U202" i="11" s="1" a="1"/>
  <c r="U202" i="11" s="1"/>
  <c r="T234" i="11" a="1"/>
  <c r="T234" i="11" s="1"/>
  <c r="U234" i="11" s="1" a="1"/>
  <c r="U234" i="11" s="1"/>
  <c r="T250" i="11" a="1"/>
  <c r="T250" i="11" s="1"/>
  <c r="U250" i="11" s="1" a="1"/>
  <c r="U250" i="11" s="1"/>
  <c r="T306" i="11" a="1"/>
  <c r="T306" i="11" s="1"/>
  <c r="U306" i="11" s="1" a="1"/>
  <c r="U306" i="11" s="1"/>
  <c r="S330" i="11" a="1"/>
  <c r="S330" i="11" s="1"/>
  <c r="U330" i="11" s="1" a="1"/>
  <c r="U330" i="11" s="1"/>
  <c r="T383" i="11" a="1"/>
  <c r="T383" i="11" s="1"/>
  <c r="T423" i="11" a="1"/>
  <c r="T423" i="11" s="1"/>
  <c r="U423" i="11" s="1" a="1"/>
  <c r="U423" i="11" s="1"/>
  <c r="T439" i="11" a="1"/>
  <c r="T439" i="11" s="1"/>
  <c r="U439" i="11" s="1" a="1"/>
  <c r="U439" i="11" s="1"/>
  <c r="T455" i="11" a="1"/>
  <c r="T455" i="11" s="1"/>
  <c r="U455" i="11" s="1" a="1"/>
  <c r="U455" i="11" s="1"/>
  <c r="T514" i="11" a="1"/>
  <c r="T514" i="11" s="1"/>
  <c r="U514" i="11" s="1" a="1"/>
  <c r="U514" i="11" s="1"/>
  <c r="T530" i="11" a="1"/>
  <c r="T530" i="11" s="1"/>
  <c r="U530" i="11" s="1" a="1"/>
  <c r="U530" i="11" s="1"/>
  <c r="T583" i="11" a="1"/>
  <c r="T583" i="11" s="1"/>
  <c r="U583" i="11" s="1" a="1"/>
  <c r="U583" i="11" s="1"/>
  <c r="T594" i="11" a="1"/>
  <c r="T594" i="11" s="1"/>
  <c r="U594" i="11" s="1" a="1"/>
  <c r="U594" i="11" s="1"/>
  <c r="T679" i="11" a="1"/>
  <c r="T679" i="11" s="1"/>
  <c r="T116" i="11" a="1"/>
  <c r="T116" i="11" s="1"/>
  <c r="U116" i="11" s="1" a="1"/>
  <c r="U116" i="11" s="1"/>
  <c r="S274" i="11" a="1"/>
  <c r="S274" i="11" s="1"/>
  <c r="U274" i="11" s="1" a="1"/>
  <c r="U274" i="11" s="1"/>
  <c r="T367" i="11" a="1"/>
  <c r="T367" i="11" s="1"/>
  <c r="U367" i="11" s="1" a="1"/>
  <c r="U367" i="11" s="1"/>
  <c r="T394" i="11" a="1"/>
  <c r="T394" i="11" s="1"/>
  <c r="U394" i="11" s="1" a="1"/>
  <c r="U394" i="11" s="1"/>
  <c r="S554" i="11" a="1"/>
  <c r="S554" i="11" s="1"/>
  <c r="U554" i="11" s="1" a="1"/>
  <c r="U554" i="11" s="1"/>
  <c r="S567" i="11" a="1"/>
  <c r="S567" i="11" s="1"/>
  <c r="U567" i="11" s="1" a="1"/>
  <c r="U567" i="11" s="1"/>
  <c r="S663" i="11" a="1"/>
  <c r="S663" i="11" s="1"/>
  <c r="U663" i="11" s="1" a="1"/>
  <c r="U663" i="11" s="1"/>
  <c r="S44" i="11" a="1"/>
  <c r="S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U487" i="11" s="1" a="1"/>
  <c r="U487" i="11" s="1"/>
  <c r="T100" i="11" a="1"/>
  <c r="T100" i="11" s="1"/>
  <c r="U100" i="11" s="1" a="1"/>
  <c r="U100" i="11" s="1"/>
  <c r="T188" i="11" a="1"/>
  <c r="T188" i="11" s="1"/>
  <c r="U188" i="11" s="1" a="1"/>
  <c r="U188" i="11" s="1"/>
  <c r="T351" i="11" a="1"/>
  <c r="T351" i="11" s="1"/>
  <c r="T386" i="11" a="1"/>
  <c r="T386" i="11" s="1"/>
  <c r="U386" i="11" s="1" a="1"/>
  <c r="U386" i="11" s="1"/>
  <c r="S434" i="11" a="1"/>
  <c r="S434" i="11" s="1"/>
  <c r="U434" i="11" s="1" a="1"/>
  <c r="U434" i="11" s="1"/>
  <c r="T122" i="11" a="1"/>
  <c r="T122" i="11" s="1"/>
  <c r="U122" i="11" s="1" a="1"/>
  <c r="U122" i="11" s="1"/>
  <c r="S162" i="11" a="1"/>
  <c r="S162" i="11" s="1"/>
  <c r="U162" i="11" s="1" a="1"/>
  <c r="U162" i="11" s="1"/>
  <c r="S194" i="11" a="1"/>
  <c r="S194" i="11" s="1"/>
  <c r="S282" i="11" a="1"/>
  <c r="S282" i="11" s="1"/>
  <c r="U282" i="11" s="1" a="1"/>
  <c r="U282" i="11" s="1"/>
  <c r="S658" i="11" a="1"/>
  <c r="S658" i="11" s="1"/>
  <c r="U658" i="11" s="1" a="1"/>
  <c r="U658" i="11" s="1"/>
  <c r="S138" i="11" a="1"/>
  <c r="S138" i="11" s="1"/>
  <c r="S362" i="11" a="1"/>
  <c r="S362" i="11" s="1"/>
  <c r="U362" i="11" s="1" a="1"/>
  <c r="U362" i="11" s="1"/>
  <c r="S378" i="11" a="1"/>
  <c r="S378" i="11" s="1"/>
  <c r="U378" i="11" s="1" a="1"/>
  <c r="U378" i="11" s="1"/>
  <c r="T18" i="11" a="1"/>
  <c r="T18" i="11" s="1"/>
  <c r="U18" i="11" s="1" a="1"/>
  <c r="U18" i="11" s="1"/>
  <c r="S106" i="11" a="1"/>
  <c r="S106" i="11" s="1"/>
  <c r="U106" i="11" s="1" a="1"/>
  <c r="U106" i="11" s="1"/>
  <c r="T218" i="11" a="1"/>
  <c r="T218" i="11" s="1"/>
  <c r="U218" i="11" s="1" a="1"/>
  <c r="U218" i="11" s="1"/>
  <c r="S28" i="11" a="1"/>
  <c r="S28" i="11" s="1"/>
  <c r="U28" i="11" s="1" a="1"/>
  <c r="U28" i="11" s="1"/>
  <c r="S52" i="11" a="1"/>
  <c r="S52" i="11" s="1"/>
  <c r="U52" i="11" s="1" a="1"/>
  <c r="U52" i="11" s="1"/>
  <c r="S68" i="11" a="1"/>
  <c r="S68" i="11" s="1"/>
  <c r="U68" i="11" s="1" a="1"/>
  <c r="U68" i="11" s="1"/>
  <c r="S84" i="11" a="1"/>
  <c r="S84" i="11" s="1"/>
  <c r="U84" i="11" s="1" a="1"/>
  <c r="U84" i="11" s="1"/>
  <c r="S140" i="11" a="1"/>
  <c r="S140" i="11" s="1"/>
  <c r="U140" i="11" s="1" a="1"/>
  <c r="U140" i="11" s="1"/>
  <c r="S156" i="11" a="1"/>
  <c r="S156" i="11" s="1"/>
  <c r="U156" i="11" s="1" a="1"/>
  <c r="U156" i="11" s="1"/>
  <c r="T196" i="11" a="1"/>
  <c r="T196" i="11" s="1"/>
  <c r="U196" i="11" s="1" a="1"/>
  <c r="U196" i="11" s="1"/>
  <c r="T667" i="11" a="1"/>
  <c r="T667" i="11" s="1"/>
  <c r="U667" i="11" s="1" a="1"/>
  <c r="U667" i="11" s="1"/>
  <c r="T675" i="11" a="1"/>
  <c r="T675" i="11" s="1"/>
  <c r="U675" i="11" s="1" a="1"/>
  <c r="U675" i="11" s="1"/>
  <c r="T42" i="11" a="1"/>
  <c r="T42" i="11" s="1"/>
  <c r="U42" i="11" s="1" a="1"/>
  <c r="U42" i="11" s="1"/>
  <c r="T364" i="11" a="1"/>
  <c r="T364" i="11" s="1"/>
  <c r="U364" i="11" s="1" a="1"/>
  <c r="U364" i="11" s="1"/>
  <c r="T418" i="11" a="1"/>
  <c r="T418" i="11" s="1"/>
  <c r="U562" i="11" a="1"/>
  <c r="U562" i="11" s="1"/>
  <c r="S681" i="11" a="1"/>
  <c r="S681" i="11" s="1"/>
  <c r="U681" i="11" s="1" a="1"/>
  <c r="U681" i="11" s="1"/>
  <c r="U393" i="11" a="1"/>
  <c r="U393" i="11" s="1"/>
  <c r="S3" i="11" a="1"/>
  <c r="S3" i="11" s="1"/>
  <c r="T3" i="11" a="1"/>
  <c r="T3" i="11" s="1"/>
  <c r="S340" i="11" a="1"/>
  <c r="S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S200" i="11" a="1"/>
  <c r="S200" i="11" s="1"/>
  <c r="U200" i="11" s="1" a="1"/>
  <c r="U200" i="11" s="1"/>
  <c r="T373" i="11" a="1"/>
  <c r="T373" i="11" s="1"/>
  <c r="U373" i="11" s="1" a="1"/>
  <c r="U373" i="11" s="1"/>
  <c r="S501" i="11" a="1"/>
  <c r="S501" i="11" s="1"/>
  <c r="U501" i="11" s="1" a="1"/>
  <c r="U501" i="11" s="1"/>
  <c r="S588" i="11" a="1"/>
  <c r="S588" i="11" s="1"/>
  <c r="U588" i="11" s="1" a="1"/>
  <c r="U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U350" i="11" s="1" a="1"/>
  <c r="U350" i="11" s="1"/>
  <c r="S390" i="11" a="1"/>
  <c r="S390" i="11" s="1"/>
  <c r="U390" i="11" s="1" a="1"/>
  <c r="U390" i="11" s="1"/>
  <c r="T485" i="11" a="1"/>
  <c r="T485" i="11" s="1"/>
  <c r="U485" i="11" s="1" a="1"/>
  <c r="U485" i="11" s="1"/>
  <c r="U507" i="11" a="1"/>
  <c r="U507" i="11" s="1"/>
  <c r="S184" i="11" a="1"/>
  <c r="S184" i="11" s="1"/>
  <c r="U184" i="11" s="1" a="1"/>
  <c r="U184" i="11" s="1"/>
  <c r="S357" i="11" a="1"/>
  <c r="S357" i="11" s="1"/>
  <c r="U357" i="11" s="1" a="1"/>
  <c r="U357" i="11" s="1"/>
  <c r="S430" i="11" a="1"/>
  <c r="S430" i="11" s="1"/>
  <c r="U430" i="11" s="1" a="1"/>
  <c r="U430" i="11" s="1"/>
  <c r="T2" i="11" a="1"/>
  <c r="T2" i="11" s="1"/>
  <c r="U2" i="11" s="1" a="1"/>
  <c r="U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U120" i="11" s="1" a="1"/>
  <c r="U120" i="11" s="1"/>
  <c r="S240" i="11" a="1"/>
  <c r="S240" i="11" s="1"/>
  <c r="U240" i="11" s="1" a="1"/>
  <c r="U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U391" i="11" s="1" a="1"/>
  <c r="U391" i="11" s="1"/>
  <c r="S438" i="11" a="1"/>
  <c r="S438" i="11" s="1"/>
  <c r="U438" i="11" s="1" a="1"/>
  <c r="U438" i="11" s="1"/>
  <c r="S493" i="11" a="1"/>
  <c r="S493" i="11" s="1"/>
  <c r="U493" i="11" s="1" a="1"/>
  <c r="U493" i="11" s="1"/>
  <c r="U571" i="11" a="1"/>
  <c r="U571" i="11" s="1"/>
  <c r="S587" i="11" a="1"/>
  <c r="S587" i="11" s="1"/>
  <c r="U587" i="11" s="1" a="1"/>
  <c r="U587" i="11" s="1"/>
  <c r="T659" i="11" a="1"/>
  <c r="T659" i="11" s="1"/>
  <c r="U659" i="11" s="1" a="1"/>
  <c r="U659" i="11" s="1"/>
  <c r="T556" i="11" a="1"/>
  <c r="T556" i="11" s="1"/>
  <c r="U556" i="11" s="1" a="1"/>
  <c r="U556" i="11" s="1"/>
  <c r="S635" i="11" a="1"/>
  <c r="S635" i="11" s="1"/>
  <c r="U635" i="11" s="1" a="1"/>
  <c r="U635" i="11" s="1"/>
  <c r="U640" i="11" a="1"/>
  <c r="U640" i="11" s="1"/>
  <c r="U677" i="11" a="1"/>
  <c r="U677"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U422" i="11" s="1" a="1"/>
  <c r="U422" i="11" s="1"/>
  <c r="T517" i="11" a="1"/>
  <c r="T517" i="11" s="1"/>
  <c r="U517" i="11" s="1" a="1"/>
  <c r="U517" i="11" s="1"/>
  <c r="U544" i="11" a="1"/>
  <c r="U544" i="11" s="1"/>
  <c r="S643" i="11" a="1"/>
  <c r="S643" i="11" s="1"/>
  <c r="U643" i="11" s="1" a="1"/>
  <c r="U643" i="11" s="1"/>
  <c r="S359" i="11" a="1"/>
  <c r="S359" i="11" s="1"/>
  <c r="U359" i="11" s="1" a="1"/>
  <c r="U359" i="11" s="1"/>
  <c r="S375" i="11" a="1"/>
  <c r="S375" i="11" s="1"/>
  <c r="U375" i="11" s="1" a="1"/>
  <c r="U375" i="11" s="1"/>
  <c r="S446" i="11" a="1"/>
  <c r="S446" i="11" s="1"/>
  <c r="U446" i="11" s="1" a="1"/>
  <c r="U446" i="11" s="1"/>
  <c r="S54" i="11" a="1"/>
  <c r="S54" i="11" s="1"/>
  <c r="U54" i="11" s="1" a="1"/>
  <c r="U54" i="11" s="1"/>
  <c r="S62" i="11" a="1"/>
  <c r="S62" i="11" s="1"/>
  <c r="U62" i="11" s="1" a="1"/>
  <c r="U62" i="11" s="1"/>
  <c r="S454" i="11" a="1"/>
  <c r="S454" i="11" s="1"/>
  <c r="U454" i="11" s="1" a="1"/>
  <c r="U454" i="11" s="1"/>
  <c r="S651" i="11" a="1"/>
  <c r="S651" i="11" s="1"/>
  <c r="U651" i="11" s="1" a="1"/>
  <c r="U651" i="11" s="1"/>
  <c r="S674" i="11" a="1"/>
  <c r="S674" i="11" s="1"/>
  <c r="U674" i="11" s="1" a="1"/>
  <c r="U674" i="11" s="1"/>
  <c r="S46" i="11" a="1"/>
  <c r="S46" i="11" s="1"/>
  <c r="U46" i="11" s="1" a="1"/>
  <c r="U46" i="11" s="1"/>
  <c r="T158" i="11" a="1"/>
  <c r="T158" i="11" s="1"/>
  <c r="U158" i="11" s="1" a="1"/>
  <c r="U158" i="11" s="1"/>
  <c r="U523" i="11" a="1"/>
  <c r="U523" i="11" s="1"/>
  <c r="U560" i="11" a="1"/>
  <c r="U560" i="11" s="1"/>
  <c r="U592" i="11" a="1"/>
  <c r="U592" i="11" s="1"/>
  <c r="U604" i="11" a="1"/>
  <c r="U604"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S610" i="11" a="1"/>
  <c r="S610" i="11" s="1"/>
  <c r="U610" i="11" s="1" a="1"/>
  <c r="U610" i="11" s="1"/>
  <c r="U615" i="11" a="1"/>
  <c r="U615"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U606" i="11" a="1"/>
  <c r="U606" i="11" s="1"/>
  <c r="S641" i="11" a="1"/>
  <c r="S641" i="11" s="1"/>
  <c r="U641" i="11" s="1" a="1"/>
  <c r="U641" i="11" s="1"/>
  <c r="S672" i="11" a="1"/>
  <c r="S672" i="11" s="1"/>
  <c r="U672" i="11" s="1" a="1"/>
  <c r="U672" i="11" s="1"/>
  <c r="U236" i="11" a="1"/>
  <c r="U236"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U16" i="11" a="1"/>
  <c r="U16" i="11" s="1"/>
  <c r="S34" i="11" a="1"/>
  <c r="S34" i="11" s="1"/>
  <c r="U34" i="11" s="1" a="1"/>
  <c r="U34" i="11" s="1"/>
  <c r="S74" i="11" a="1"/>
  <c r="S74" i="11" s="1"/>
  <c r="U74" i="11" s="1" a="1"/>
  <c r="U74" i="11" s="1"/>
  <c r="S80" i="11" a="1"/>
  <c r="S80" i="11" s="1"/>
  <c r="U80" i="11" s="1" a="1"/>
  <c r="U80" i="11" s="1"/>
  <c r="S87" i="11" a="1"/>
  <c r="S87" i="11" s="1"/>
  <c r="U87" i="11" s="1" a="1"/>
  <c r="U87" i="11" s="1"/>
  <c r="S114" i="11" a="1"/>
  <c r="S114" i="11" s="1"/>
  <c r="U114" i="11" s="1" a="1"/>
  <c r="U114"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U590" i="11" a="1"/>
  <c r="U590"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U428" i="11" a="1"/>
  <c r="U428"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U522" i="11" a="1"/>
  <c r="U522" i="11" s="1"/>
  <c r="U653" i="11" a="1"/>
  <c r="U653" i="11" s="1"/>
  <c r="U626" i="11" a="1"/>
  <c r="U626" i="11" s="1"/>
  <c r="U669" i="11" a="1"/>
  <c r="U669" i="11" s="1"/>
  <c r="U461" i="11" a="1"/>
  <c r="U461" i="11" s="1"/>
  <c r="U593" i="11" a="1"/>
  <c r="U593" i="11" s="1"/>
  <c r="U597" i="11" a="1"/>
  <c r="U597" i="11" s="1"/>
  <c r="U345" i="11" a="1"/>
  <c r="U345" i="11" s="1"/>
  <c r="U453" i="11" a="1"/>
  <c r="U453" i="11" s="1"/>
  <c r="U496" i="11" a="1"/>
  <c r="U496" i="11" s="1"/>
  <c r="U547" i="11" a="1"/>
  <c r="U547" i="11" s="1"/>
  <c r="U551" i="11" a="1"/>
  <c r="U551" i="11" s="1"/>
  <c r="U563" i="11" a="1"/>
  <c r="U563" i="11" s="1"/>
  <c r="U401" i="11" a="1"/>
  <c r="U401" i="11" s="1"/>
  <c r="U483" i="11" a="1"/>
  <c r="U483" i="11" s="1"/>
  <c r="U633" i="11" a="1"/>
  <c r="U633" i="11" s="1"/>
  <c r="U637" i="11" a="1"/>
  <c r="U637"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424" i="11" a="1"/>
  <c r="U424" i="11" s="1"/>
  <c r="U528" i="11" a="1"/>
  <c r="U528" i="11" s="1"/>
  <c r="U535" i="11" a="1"/>
  <c r="U535" i="11" s="1"/>
  <c r="U613" i="11" a="1"/>
  <c r="U613" i="11" s="1"/>
  <c r="U665" i="11" a="1"/>
  <c r="U665" i="11" s="1"/>
  <c r="U72" i="11" a="1"/>
  <c r="U72" i="11" s="1"/>
  <c r="U478" i="11" a="1"/>
  <c r="U478" i="11" s="1"/>
  <c r="U504" i="11" a="1"/>
  <c r="U504" i="11" s="1"/>
  <c r="U56" i="11" a="1"/>
  <c r="U56" i="11" s="1"/>
  <c r="U310" i="11" a="1"/>
  <c r="U310" i="11" s="1"/>
  <c r="U138" i="11" a="1"/>
  <c r="U138" i="11" s="1"/>
  <c r="U168" i="11" a="1"/>
  <c r="U168" i="11" s="1"/>
  <c r="U537" i="11" a="1"/>
  <c r="U537" i="11" s="1"/>
  <c r="U566" i="11" a="1"/>
  <c r="U566" i="11" s="1"/>
  <c r="U599" i="11" a="1"/>
  <c r="U599" i="11" s="1"/>
  <c r="U656" i="11" a="1"/>
  <c r="U656" i="11" s="1"/>
  <c r="U20" i="11" a="1"/>
  <c r="U20" i="11" s="1"/>
  <c r="U538" i="11" a="1"/>
  <c r="U538" i="11" s="1"/>
  <c r="U578" i="11" a="1"/>
  <c r="U578" i="11" s="1"/>
  <c r="U600" i="11" a="1"/>
  <c r="U600" i="11" s="1"/>
  <c r="U631" i="11" a="1"/>
  <c r="U631" i="11" s="1"/>
  <c r="U657" i="11" a="1"/>
  <c r="U657" i="11" s="1"/>
  <c r="U679" i="11" a="1"/>
  <c r="U679" i="11" s="1"/>
  <c r="U88" i="11" a="1"/>
  <c r="U88" i="11" s="1"/>
  <c r="U194" i="11" a="1"/>
  <c r="U194" i="11" s="1"/>
  <c r="U220" i="11" a="1"/>
  <c r="U220" i="11" s="1"/>
  <c r="U294" i="11" a="1"/>
  <c r="U294" i="11" s="1"/>
  <c r="U343" i="11" a="1"/>
  <c r="U343" i="11" s="1"/>
  <c r="U383" i="11" a="1"/>
  <c r="U383" i="11" s="1"/>
  <c r="U399" i="11" a="1"/>
  <c r="U399" i="11" s="1"/>
  <c r="U407" i="11" a="1"/>
  <c r="U407" i="11" s="1"/>
  <c r="U429" i="11" a="1"/>
  <c r="U429" i="11" s="1"/>
  <c r="U471" i="11" a="1"/>
  <c r="U471" i="11" s="1"/>
  <c r="U505" i="11" a="1"/>
  <c r="U505" i="11" s="1"/>
  <c r="U546" i="11" a="1"/>
  <c r="U546" i="11" s="1"/>
  <c r="U549" i="11" a="1"/>
  <c r="U549" i="11" s="1"/>
  <c r="U605" i="11" a="1"/>
  <c r="U605" i="11" s="1"/>
  <c r="U608" i="11" a="1"/>
  <c r="U608" i="11" s="1"/>
  <c r="U126" i="11" a="1"/>
  <c r="U126" i="11" s="1"/>
  <c r="U365" i="11" a="1"/>
  <c r="U365" i="11" s="1"/>
  <c r="U402" i="11" a="1"/>
  <c r="U402" i="11" s="1"/>
  <c r="U410" i="11" a="1"/>
  <c r="U410" i="11" s="1"/>
  <c r="U418" i="11" a="1"/>
  <c r="U418" i="11" s="1"/>
  <c r="U444" i="11" a="1"/>
  <c r="U444" i="11" s="1"/>
  <c r="U456" i="11" a="1"/>
  <c r="U456" i="11" s="1"/>
  <c r="U465" i="11" a="1"/>
  <c r="U465" i="11" s="1"/>
  <c r="U539" i="11" a="1"/>
  <c r="U539" i="11" s="1"/>
  <c r="U44" i="11" a="1"/>
  <c r="U44" i="11" s="1"/>
  <c r="U130" i="11" a="1"/>
  <c r="U130" i="11" s="1"/>
  <c r="U172" i="11" a="1"/>
  <c r="U172" i="11" s="1"/>
  <c r="U206" i="11" a="1"/>
  <c r="U206" i="11" s="1"/>
  <c r="U214" i="11" a="1"/>
  <c r="U214" i="11" s="1"/>
  <c r="U326" i="11" a="1"/>
  <c r="U326" i="11" s="1"/>
  <c r="U338" i="11" a="1"/>
  <c r="U338" i="11" s="1"/>
  <c r="U376" i="11" a="1"/>
  <c r="U376" i="11" s="1"/>
  <c r="U392" i="11" a="1"/>
  <c r="U392" i="11" s="1"/>
  <c r="U408" i="11" a="1"/>
  <c r="U408" i="11" s="1"/>
  <c r="U433" i="11" a="1"/>
  <c r="U433" i="11" s="1"/>
  <c r="U481" i="11" a="1"/>
  <c r="U481" i="11" s="1"/>
  <c r="U497" i="11" a="1"/>
  <c r="U497" i="11" s="1"/>
  <c r="U512" i="11" a="1"/>
  <c r="U512" i="11" s="1"/>
  <c r="U561" i="11" a="1"/>
  <c r="U561" i="11" s="1"/>
  <c r="U374" i="11" a="1"/>
  <c r="U374" i="11" s="1"/>
  <c r="U382" i="11" a="1"/>
  <c r="U382" i="11" s="1"/>
  <c r="U457" i="11" a="1"/>
  <c r="U457" i="11" s="1"/>
  <c r="U466" i="11" a="1"/>
  <c r="U466" i="11" s="1"/>
  <c r="U491" i="11" a="1"/>
  <c r="U491" i="11" s="1"/>
  <c r="U518" i="11" a="1"/>
  <c r="U518" i="11" s="1"/>
  <c r="U521" i="11" a="1"/>
  <c r="U521" i="11" s="1"/>
  <c r="U524" i="11" a="1"/>
  <c r="U524" i="11" s="1"/>
  <c r="U586" i="11" a="1"/>
  <c r="U586" i="11" s="1"/>
  <c r="U652" i="11" a="1"/>
  <c r="U652" i="11" s="1"/>
  <c r="U32" i="11" a="1"/>
  <c r="U32" i="11" s="1"/>
  <c r="U351" i="11" a="1"/>
  <c r="U351" i="11" s="1"/>
  <c r="U425" i="11" a="1"/>
  <c r="U425" i="11" s="1"/>
  <c r="U451" i="11" a="1"/>
  <c r="U451" i="11" s="1"/>
  <c r="U440" i="11" a="1"/>
  <c r="U440" i="11" s="1"/>
  <c r="U473" i="11" a="1"/>
  <c r="U473" i="11" s="1"/>
  <c r="U513" i="11" a="1"/>
  <c r="U513" i="11" s="1"/>
  <c r="U614" i="11" a="1"/>
  <c r="U614" i="11" s="1"/>
  <c r="U146" i="11" a="1"/>
  <c r="U146" i="11" s="1"/>
  <c r="U290" i="11" a="1"/>
  <c r="U290" i="11" s="1"/>
  <c r="U361" i="11" a="1"/>
  <c r="U361" i="11" s="1"/>
  <c r="U508" i="11" a="1"/>
  <c r="U508" i="11" s="1"/>
  <c r="U519" i="11" a="1"/>
  <c r="U519" i="11" s="1"/>
  <c r="U509" i="11" a="1"/>
  <c r="U509" i="11" s="1"/>
  <c r="U520" i="11" a="1"/>
  <c r="U520" i="11" s="1"/>
  <c r="U526" i="11" a="1"/>
  <c r="U526" i="11" s="1"/>
  <c r="U552" i="11" a="1"/>
  <c r="U552" i="11" s="1"/>
  <c r="U570" i="11" a="1"/>
  <c r="U570" i="11" s="1"/>
  <c r="U589" i="11" a="1"/>
  <c r="U589" i="11" s="1"/>
  <c r="U617" i="11" a="1"/>
  <c r="U617" i="11" s="1"/>
  <c r="U636" i="11" a="1"/>
  <c r="U636" i="11" s="1"/>
  <c r="U680" i="11" a="1"/>
  <c r="U680" i="11" s="1"/>
  <c r="U616" i="11" a="1"/>
  <c r="U616" i="11" s="1"/>
  <c r="U622" i="11" a="1"/>
  <c r="U622" i="11" s="1"/>
  <c r="U625" i="11" a="1"/>
  <c r="U625" i="11" s="1"/>
  <c r="U647" i="11" a="1"/>
  <c r="U647" i="11" s="1"/>
  <c r="U678" i="11" a="1"/>
  <c r="U678" i="11" s="1"/>
  <c r="U632" i="11" a="1"/>
  <c r="U632" i="11" s="1"/>
  <c r="U638" i="11" a="1"/>
  <c r="U638" i="11" s="1"/>
  <c r="U503" i="11" a="1"/>
  <c r="U503" i="11" s="1"/>
  <c r="U529" i="11" a="1"/>
  <c r="U529" i="11" s="1"/>
  <c r="U620" i="11" a="1"/>
  <c r="U620" i="11" s="1"/>
  <c r="U629" i="11" a="1"/>
  <c r="U629"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91" i="11" l="1" a="1"/>
  <c r="U691" i="11" s="1"/>
  <c r="U693" i="11" a="1"/>
  <c r="U693" i="11" s="1"/>
  <c r="U689" i="11" a="1"/>
  <c r="U689" i="11" s="1"/>
  <c r="U690" i="11" a="1"/>
  <c r="U690" i="11" s="1"/>
  <c r="U688" i="11" a="1"/>
  <c r="U688" i="11" s="1"/>
  <c r="U696" i="11" a="1"/>
  <c r="U696" i="11" s="1"/>
  <c r="U687" i="11" a="1"/>
  <c r="U687" i="11" s="1"/>
  <c r="U163" i="11" a="1"/>
  <c r="U163" i="11" s="1"/>
  <c r="U686" i="11" a="1"/>
  <c r="U686" i="11" s="1"/>
  <c r="U340" i="11" a="1"/>
  <c r="U340" i="11" s="1"/>
  <c r="U683" i="11" a="1"/>
  <c r="U683" i="11" s="1"/>
  <c r="U685" i="11" a="1"/>
  <c r="U685" i="11" s="1"/>
  <c r="U596" i="1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<sst xmlns="http://schemas.openxmlformats.org/spreadsheetml/2006/main" count="19857" uniqueCount="2375">
  <si>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</si>
  <si>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</si>
  <si>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</si>
  <si>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</si>
  <si>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</si>
  <si>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</si>
  <si>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</si>
  <si>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</si>
  <si>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</si>
  <si>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</si>
  <si>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</si>
  <si>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</si>
  <si>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</si>
  <si>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</si>
  <si>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</si>
  <si>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</si>
  <si>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</si>
  <si>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</si>
  <si>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</si>
  <si>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</si>
  <si>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</si>
  <si>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</si>
  <si>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</si>
  <si>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</si>
  <si>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</si>
  <si>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</si>
  <si>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</si>
  <si>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</si>
  <si>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</si>
  <si>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</si>
  <si>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</si>
  <si>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</si>
  <si>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</si>
  <si>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</si>
  <si>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</si>
  <si>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</si>
  <si>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</si>
  <si>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</si>
  <si>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</si>
  <si>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</si>
  <si>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</si>
  <si>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</si>
  <si>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</si>
  <si>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</si>
  <si>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</si>
  <si>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</si>
  <si>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</si>
  <si>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</si>
  <si>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</si>
  <si>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</si>
  <si>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</si>
  <si>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</si>
  <si>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</si>
  <si>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</si>
  <si>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</si>
  <si>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</si>
  <si>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</si>
  <si>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</si>
  <si>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</si>
  <si>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</si>
  <si>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</si>
  <si>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</si>
  <si>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</si>
  <si>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</si>
  <si>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</si>
  <si>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</si>
  <si>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</si>
  <si>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</si>
  <si>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</si>
  <si>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</si>
  <si>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</si>
  <si>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</si>
  <si>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</si>
  <si>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</si>
  <si>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</si>
  <si>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</si>
  <si>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</si>
  <si>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</si>
  <si>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</si>
  <si>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</si>
  <si>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</si>
  <si>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</si>
  <si>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</si>
  <si>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</si>
  <si>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</si>
  <si>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</si>
  <si>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</si>
  <si>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</si>
  <si>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</si>
  <si>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</si>
  <si>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</si>
  <si>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</si>
  <si>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</si>
  <si>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</si>
  <si>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</si>
  <si>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</si>
  <si>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</si>
  <si>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</si>
  <si>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</si>
  <si>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</si>
  <si>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</si>
  <si>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</si>
  <si>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</si>
  <si>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</si>
  <si>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</si>
  <si>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</si>
  <si>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</si>
  <si>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</si>
  <si>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</si>
  <si>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</si>
  <si>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</si>
  <si>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</si>
  <si>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</si>
  <si>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</si>
  <si>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</si>
  <si>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</si>
  <si>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</si>
  <si>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</si>
  <si>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</si>
  <si>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</si>
  <si>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</si>
  <si>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</si>
  <si>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</si>
  <si>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</si>
  <si>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</si>
  <si>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</si>
  <si>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</si>
  <si>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</si>
  <si>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</si>
  <si>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</si>
  <si>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</si>
  <si>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</si>
  <si>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</si>
  <si>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</si>
  <si>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</si>
  <si>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</si>
  <si>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</si>
  <si>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</si>
  <si>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</si>
  <si>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</si>
  <si>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</si>
  <si>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</si>
  <si>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</si>
  <si>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</si>
  <si>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</si>
  <si>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</si>
  <si>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</si>
  <si>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</si>
  <si>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</si>
  <si>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</si>
  <si>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</si>
  <si>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</si>
  <si>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</si>
  <si>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</si>
  <si>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</si>
  <si>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</si>
  <si>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</si>
  <si>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</si>
  <si>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</si>
  <si>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</si>
  <si>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</si>
  <si>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</si>
  <si>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</si>
  <si>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</si>
  <si>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</si>
  <si>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</si>
  <si>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</si>
  <si>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</si>
  <si>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</si>
  <si>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</si>
  <si>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</si>
  <si>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</si>
  <si>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</si>
  <si>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</si>
  <si>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</si>
  <si>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</si>
  <si>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</si>
  <si>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</si>
  <si>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</si>
  <si>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</si>
  <si>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</si>
  <si>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</si>
  <si>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</si>
  <si>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</si>
  <si>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</si>
  <si>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</si>
  <si>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</si>
  <si>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</si>
  <si>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</si>
  <si>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</si>
  <si>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</si>
  <si>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</si>
  <si>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</si>
  <si>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</si>
  <si>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</si>
  <si>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</si>
  <si>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</si>
  <si>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</si>
  <si>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</si>
  <si>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</si>
  <si>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</si>
  <si>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</si>
  <si>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</si>
  <si>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</si>
  <si>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</si>
  <si>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</si>
  <si>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</si>
  <si>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</si>
  <si>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</si>
  <si>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</si>
  <si>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</si>
  <si>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</si>
  <si>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</si>
  <si>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</si>
  <si>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</si>
  <si>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</si>
  <si>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</si>
  <si>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</si>
  <si>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</si>
  <si>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</si>
  <si>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</si>
  <si>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</si>
  <si>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</si>
  <si>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</si>
  <si>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</si>
  <si>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</si>
  <si>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</si>
  <si>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</si>
  <si>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</si>
  <si>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</si>
  <si>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</si>
  <si>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</si>
  <si>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</si>
  <si>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</si>
  <si>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</si>
  <si>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</si>
  <si>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</si>
  <si>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</si>
  <si>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</si>
  <si>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</si>
  <si>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</si>
  <si>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</si>
  <si>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</si>
  <si>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</si>
  <si>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</si>
  <si>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</si>
  <si>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</si>
  <si>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</si>
  <si>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</si>
  <si>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</si>
  <si>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</si>
  <si>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</si>
  <si>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</si>
  <si>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</si>
  <si>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</si>
  <si>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</si>
  <si>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</si>
  <si>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</si>
  <si>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</si>
  <si>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</si>
  <si>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</si>
  <si>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</si>
  <si>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</si>
  <si>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</si>
  <si>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</si>
  <si>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</si>
  <si>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</si>
  <si>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</si>
  <si>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</si>
  <si>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</si>
  <si>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</si>
  <si>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</si>
  <si>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</si>
  <si>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</si>
  <si>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</si>
  <si>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</si>
  <si>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</si>
  <si>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</si>
  <si>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</si>
  <si>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</si>
  <si>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</si>
  <si>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</si>
  <si>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</si>
  <si>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</si>
  <si>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</si>
  <si>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</si>
  <si>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</si>
  <si>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</si>
  <si>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</si>
  <si>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</si>
  <si>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</si>
  <si>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</si>
  <si>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</si>
  <si>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</si>
  <si>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</si>
  <si>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</si>
  <si>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</si>
  <si>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</si>
  <si>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</si>
  <si>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</si>
  <si>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</si>
  <si>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</si>
  <si>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</si>
  <si>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</si>
  <si>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</si>
  <si>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</si>
  <si>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</si>
  <si>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</si>
  <si>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</si>
  <si>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</si>
  <si>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</si>
  <si>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</si>
  <si>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</si>
  <si>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</si>
  <si>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</si>
  <si>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</si>
  <si>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</si>
  <si>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</si>
  <si>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</si>
  <si>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</si>
  <si>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</si>
  <si>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</si>
  <si>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</si>
  <si>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</si>
  <si>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</si>
  <si>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</si>
  <si>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</si>
  <si>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</si>
  <si>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</si>
  <si>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</si>
  <si>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</si>
  <si>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</si>
  <si>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</si>
  <si>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</si>
  <si>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</si>
  <si>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</si>
  <si>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</si>
  <si>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</si>
  <si>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</si>
  <si>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</si>
  <si>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</si>
  <si>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</si>
  <si>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</si>
  <si>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</si>
  <si>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</si>
  <si>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</si>
  <si>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</si>
  <si>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</si>
  <si>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</si>
  <si>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</si>
  <si>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</si>
  <si>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</si>
  <si>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</si>
  <si>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</si>
  <si>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</si>
  <si>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</si>
  <si>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</si>
  <si>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</si>
  <si>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</si>
  <si>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</si>
  <si>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</si>
  <si>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</si>
  <si>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</si>
  <si>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</si>
  <si>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</si>
  <si>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</si>
  <si>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</si>
  <si>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</si>
  <si>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</si>
  <si>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</si>
  <si>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</si>
  <si>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</si>
  <si>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</si>
  <si>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</si>
  <si>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</si>
  <si>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</si>
  <si>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</si>
  <si>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</si>
  <si>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</si>
  <si>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</si>
  <si>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</si>
  <si>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</si>
  <si>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</si>
  <si>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</si>
  <si>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</si>
  <si>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</si>
  <si>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</si>
  <si>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</si>
  <si>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</si>
  <si>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</si>
  <si>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</si>
  <si>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</si>
  <si>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</si>
  <si>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</si>
  <si>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</si>
  <si>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</si>
  <si>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</si>
  <si>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</si>
  <si>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</si>
  <si>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</si>
  <si>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</si>
  <si>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</si>
  <si>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</si>
  <si>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</si>
  <si>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</si>
  <si>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</si>
  <si>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</si>
  <si>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</si>
  <si>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</si>
  <si>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</si>
  <si>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</si>
  <si>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</si>
  <si>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</si>
  <si>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</si>
  <si>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</si>
  <si>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</si>
  <si>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</si>
  <si>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</si>
  <si>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</si>
  <si>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</si>
  <si>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</si>
  <si>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</si>
  <si>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</si>
  <si>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</si>
  <si>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</si>
  <si>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</si>
  <si>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</si>
  <si>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</si>
  <si>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</si>
  <si>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</si>
  <si>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</si>
  <si>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</si>
  <si>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</si>
  <si>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</si>
  <si>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</si>
  <si>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</si>
  <si>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</si>
  <si>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</si>
  <si>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</si>
  <si>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</si>
  <si>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</si>
  <si>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</si>
  <si>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</si>
  <si>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</si>
  <si>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</si>
  <si>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</si>
  <si>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</si>
  <si>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</si>
  <si>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</si>
  <si>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</si>
  <si>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</si>
  <si>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</si>
  <si>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</si>
  <si>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</si>
  <si>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</si>
  <si>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</si>
  <si>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</si>
  <si>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</si>
  <si>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</si>
  <si>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</si>
  <si>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</si>
  <si>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</si>
  <si>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</si>
  <si>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</si>
  <si>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</si>
  <si>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</si>
  <si>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</si>
  <si>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</si>
  <si>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</si>
  <si>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</si>
  <si>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</si>
  <si>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</si>
  <si>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</si>
  <si>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</si>
  <si>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</si>
  <si>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</si>
  <si>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</si>
  <si>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</si>
  <si>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</si>
  <si>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</si>
  <si>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</si>
  <si>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</si>
  <si>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</si>
  <si>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</si>
  <si>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</si>
  <si>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</si>
  <si>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</si>
  <si>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</si>
  <si>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</si>
  <si>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</si>
  <si>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</si>
  <si>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</si>
  <si>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</si>
  <si>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</si>
  <si>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</si>
  <si>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</si>
  <si>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</si>
  <si>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</si>
  <si>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</si>
  <si>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</si>
  <si>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</si>
  <si>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</si>
  <si>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</si>
  <si>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</si>
  <si>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</si>
  <si>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</si>
  <si>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</si>
  <si>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</si>
  <si>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</si>
  <si>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</si>
  <si>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</si>
  <si>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</si>
  <si>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</si>
  <si>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</si>
  <si>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</si>
  <si>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</si>
  <si>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</si>
  <si>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</si>
  <si>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</si>
  <si>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</si>
  <si>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</si>
  <si>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</si>
  <si>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</si>
  <si>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</si>
  <si>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</si>
  <si>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</si>
  <si>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</si>
  <si>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</si>
  <si>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</si>
  <si>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</si>
  <si>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</si>
  <si>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</si>
  <si>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</si>
  <si>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</si>
  <si>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</si>
  <si>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</si>
  <si>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</si>
  <si>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</si>
  <si>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</si>
  <si>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</si>
  <si>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</si>
  <si>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</si>
  <si>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</si>
  <si>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</si>
  <si>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</si>
  <si>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</si>
  <si>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</si>
  <si>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</si>
  <si>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</si>
  <si>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</si>
  <si>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</si>
  <si>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</si>
  <si>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</si>
  <si>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</si>
  <si>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</si>
  <si>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</si>
  <si>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</si>
  <si>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</si>
  <si>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</si>
  <si>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</si>
  <si>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</si>
  <si>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</si>
  <si>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</si>
  <si>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</si>
  <si>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</si>
  <si>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</si>
  <si>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</si>
  <si>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</si>
  <si>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</si>
  <si>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</si>
  <si>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</si>
  <si>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</si>
  <si>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</si>
  <si>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</si>
  <si>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</si>
  <si>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</si>
  <si>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</si>
  <si>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</si>
  <si>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</si>
  <si>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</si>
  <si>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</si>
  <si>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</si>
  <si>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</si>
  <si>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</si>
  <si>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</si>
  <si>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</si>
  <si>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</si>
  <si>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</si>
  <si>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</si>
  <si>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</si>
  <si>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</si>
  <si>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</si>
  <si>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</si>
  <si>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</si>
  <si>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</si>
  <si>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</si>
  <si>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</si>
  <si>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</si>
  <si>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</si>
  <si>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</si>
  <si>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</si>
  <si>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</si>
  <si>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</si>
  <si>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</si>
  <si>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</si>
  <si>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</si>
  <si>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</si>
  <si>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</si>
  <si>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</si>
  <si>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</si>
  <si>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</si>
  <si>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</si>
  <si>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</si>
  <si>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</si>
  <si>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</si>
  <si>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</si>
  <si>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</si>
  <si>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</si>
  <si>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</si>
  <si>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</si>
  <si>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</si>
  <si>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</si>
  <si>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</si>
  <si>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</si>
  <si>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</si>
  <si>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</si>
  <si>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</si>
  <si>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</si>
  <si>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</si>
  <si>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</si>
  <si>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</si>
  <si>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</si>
  <si>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</si>
  <si>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</si>
  <si>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</si>
  <si>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</si>
  <si>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</si>
  <si>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</si>
  <si>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</si>
  <si>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</si>
  <si>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</si>
  <si>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</si>
  <si>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</si>
  <si>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</si>
  <si>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</si>
  <si>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</si>
  <si>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</si>
  <si>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</si>
  <si>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</si>
  <si>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</si>
  <si>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</si>
  <si>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</si>
  <si>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</si>
  <si>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</si>
  <si>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</si>
  <si>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</si>
  <si>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</si>
  <si>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</si>
  <si>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</si>
  <si>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</si>
  <si>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</si>
  <si>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</si>
  <si>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</si>
  <si>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</si>
  <si>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</si>
  <si>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</si>
  <si>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</si>
  <si>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</si>
  <si>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</si>
  <si>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</si>
  <si>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</si>
  <si>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</si>
  <si>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</si>
  <si>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</si>
  <si>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</si>
  <si>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</si>
  <si>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</si>
  <si>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</si>
  <si>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</si>
  <si>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</si>
  <si>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</si>
  <si>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</si>
  <si>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</si>
  <si>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</si>
  <si>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</si>
  <si>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</si>
  <si>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</si>
  <si>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</si>
  <si>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</si>
  <si>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</si>
  <si>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</si>
  <si>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</si>
  <si>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</si>
  <si>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</si>
  <si>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</si>
  <si>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</si>
  <si>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</si>
  <si>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</si>
  <si>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</si>
  <si>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</si>
  <si>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</si>
  <si>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</si>
  <si>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</si>
  <si>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</si>
  <si>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</si>
  <si>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</si>
  <si>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</si>
  <si>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</si>
  <si>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</si>
  <si>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</si>
  <si>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</si>
  <si>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</si>
  <si>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</si>
  <si>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</si>
  <si>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</si>
  <si>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</si>
  <si>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</si>
  <si>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</si>
  <si>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</si>
  <si>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</si>
  <si>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</si>
  <si>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</si>
  <si>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</si>
  <si>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</si>
  <si>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</si>
  <si>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</si>
  <si>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</si>
  <si>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</si>
  <si>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</si>
  <si>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</si>
  <si>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</si>
  <si>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</si>
  <si>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</si>
  <si>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</si>
  <si>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</si>
  <si>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</si>
  <si>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</si>
  <si>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</si>
  <si>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</si>
  <si>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</si>
  <si>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</si>
  <si>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</si>
  <si>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</si>
  <si>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</si>
  <si>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</si>
  <si>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</si>
  <si>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</si>
  <si>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</si>
  <si>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</si>
  <si>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</si>
  <si>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</si>
  <si>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</si>
  <si>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</si>
  <si>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</si>
  <si>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</si>
  <si>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</si>
  <si>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</si>
  <si>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</si>
  <si>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</si>
  <si>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</si>
  <si>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</si>
  <si>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</si>
  <si>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</si>
  <si>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</si>
  <si>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</si>
  <si>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</si>
  <si>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</si>
  <si>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</si>
  <si>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</si>
  <si>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</si>
  <si>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</si>
  <si>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</si>
  <si>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</si>
  <si>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</si>
  <si>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</si>
  <si>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</si>
  <si>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</si>
  <si>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</si>
  <si>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</si>
  <si>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</si>
  <si>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</si>
  <si>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</si>
  <si>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</si>
  <si>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</si>
  <si>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</si>
  <si>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</si>
  <si>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</si>
  <si>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</si>
  <si>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</si>
  <si>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</si>
  <si>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</si>
  <si>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</si>
  <si>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</si>
  <si>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</si>
  <si>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</si>
  <si>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</si>
  <si>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</si>
  <si>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</si>
  <si>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</si>
  <si>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</si>
  <si>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</si>
  <si>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</si>
  <si>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</si>
  <si>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</si>
  <si>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</si>
  <si>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</si>
  <si>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</si>
  <si>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</si>
  <si>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</si>
  <si>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</si>
  <si>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</si>
  <si>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</si>
  <si>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</si>
  <si>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</si>
  <si>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</si>
  <si>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</si>
  <si>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</si>
  <si>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</si>
  <si>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</si>
  <si>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</si>
  <si>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</si>
  <si>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</si>
  <si>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</si>
  <si>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</si>
  <si>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</si>
  <si>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</si>
  <si>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</si>
  <si>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</si>
  <si>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</si>
  <si>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</si>
  <si>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</si>
  <si>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</si>
  <si>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</si>
  <si>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</si>
  <si>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</si>
  <si>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</si>
  <si>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</si>
  <si>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</si>
  <si>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</si>
  <si>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</si>
  <si>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</si>
  <si>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</si>
  <si>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</si>
  <si>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</si>
  <si>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</si>
  <si>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</si>
  <si>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</si>
  <si>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</si>
  <si>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</si>
  <si>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</si>
  <si>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</si>
  <si>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</si>
  <si>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</si>
  <si>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</si>
  <si>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</si>
  <si>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</si>
  <si>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</si>
  <si>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</si>
  <si>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</si>
  <si>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</si>
  <si>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</si>
  <si>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</si>
  <si>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</si>
  <si>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</si>
  <si>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</si>
  <si>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</si>
  <si>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</si>
  <si>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</si>
  <si>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</si>
  <si>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</si>
  <si>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</si>
  <si>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</si>
  <si>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</si>
  <si>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</si>
  <si>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</si>
  <si>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</si>
  <si>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</si>
  <si>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</si>
  <si>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</si>
  <si>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</si>
  <si>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</si>
  <si>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</si>
  <si>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</si>
  <si>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</si>
  <si>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</si>
  <si>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</si>
  <si>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</si>
  <si>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</si>
  <si>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</si>
  <si>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</si>
  <si>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</si>
  <si>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</si>
  <si>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</si>
  <si>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</si>
  <si>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</si>
  <si>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</si>
  <si>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</si>
  <si>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</si>
  <si>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</si>
  <si>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</si>
  <si>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</si>
  <si>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</si>
  <si>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</si>
  <si>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</si>
  <si>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</si>
  <si>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</si>
  <si>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</si>
  <si>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</si>
  <si>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</si>
  <si>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</si>
  <si>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</si>
  <si>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</si>
  <si>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</si>
  <si>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</si>
  <si>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</si>
  <si>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</si>
  <si>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</si>
  <si>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</si>
  <si>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</si>
  <si>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</si>
  <si>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</si>
  <si>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</si>
  <si>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</si>
  <si>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</si>
  <si>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</si>
  <si>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</si>
  <si>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</si>
  <si>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</si>
  <si>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</si>
  <si>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</si>
  <si>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</si>
  <si>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</si>
  <si>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</si>
  <si>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</si>
  <si>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</si>
  <si>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</si>
  <si>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</si>
  <si>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</si>
  <si>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</si>
  <si>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</si>
  <si>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</si>
  <si>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</si>
  <si>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</si>
  <si>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</si>
  <si>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</si>
  <si>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</si>
  <si>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</si>
  <si>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</si>
  <si>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</si>
  <si>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</si>
  <si>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</si>
  <si>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</si>
  <si>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</si>
  <si>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</si>
  <si>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</si>
  <si>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</si>
  <si>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</si>
  <si>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</si>
  <si>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</si>
  <si>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</si>
  <si>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</si>
  <si>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</si>
  <si>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</si>
  <si>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</si>
  <si>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</si>
  <si>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</si>
  <si>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</si>
  <si>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</si>
  <si>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</si>
  <si>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</si>
  <si>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</si>
  <si>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</si>
  <si>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</si>
  <si>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</si>
  <si>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</si>
  <si>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</si>
  <si>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</si>
  <si>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</si>
  <si>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</si>
  <si>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</si>
  <si>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</si>
  <si>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</si>
  <si>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</si>
  <si>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</si>
  <si>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</si>
  <si>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</si>
  <si>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</si>
  <si>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</si>
  <si>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</si>
  <si>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</si>
  <si>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</si>
  <si>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</si>
  <si>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</si>
  <si>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</si>
  <si>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</si>
  <si>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</si>
  <si>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</si>
  <si>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</si>
  <si>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</si>
  <si>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</si>
  <si>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</si>
  <si>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</si>
  <si>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</si>
  <si>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</si>
  <si>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</si>
  <si>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</si>
  <si>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</si>
  <si>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</si>
  <si>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</si>
  <si>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</si>
  <si>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</si>
  <si>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</si>
  <si>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</si>
  <si>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</si>
  <si>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</si>
  <si>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</si>
  <si>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</si>
  <si>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</si>
  <si>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</si>
  <si>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</si>
  <si>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</si>
  <si>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</si>
  <si>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</si>
  <si>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</si>
  <si>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</si>
  <si>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</si>
  <si>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</si>
  <si>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</si>
  <si>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</si>
  <si>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</si>
  <si>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</si>
  <si>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</si>
  <si>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</si>
  <si>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</si>
  <si>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</si>
  <si>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</si>
  <si>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</si>
  <si>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</si>
  <si>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</si>
  <si>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</si>
  <si>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</si>
  <si>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</si>
  <si>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</si>
  <si>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</si>
  <si>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</si>
  <si>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</si>
  <si>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</si>
  <si>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</si>
  <si>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</si>
  <si>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</si>
  <si>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</si>
  <si>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</si>
  <si>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</si>
  <si>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</si>
  <si>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</si>
  <si>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</si>
  <si>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</si>
  <si>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</si>
  <si>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</si>
  <si>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</si>
  <si>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</si>
  <si>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</si>
  <si>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</si>
  <si>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</si>
  <si>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</si>
  <si>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</si>
  <si>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</si>
  <si>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</si>
  <si>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</si>
  <si>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</si>
  <si>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</si>
  <si>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</si>
  <si>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</si>
  <si>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</si>
  <si>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</si>
  <si>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</si>
  <si>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</si>
  <si>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</si>
  <si>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</si>
  <si>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</si>
  <si>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</si>
  <si>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</si>
  <si>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</si>
  <si>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</si>
  <si>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</si>
  <si>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</si>
  <si>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</si>
  <si>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</si>
  <si>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</si>
  <si>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</si>
  <si>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</si>
  <si>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</si>
  <si>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</si>
  <si>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</si>
  <si>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</si>
  <si>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</si>
  <si>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</si>
  <si>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</si>
  <si>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</si>
  <si>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</si>
  <si>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</si>
  <si>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</si>
  <si>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</si>
  <si>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</si>
  <si>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</si>
  <si>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</si>
  <si>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</si>
  <si>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</si>
  <si>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</si>
  <si>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</si>
  <si>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</si>
  <si>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</si>
  <si>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</si>
  <si>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</si>
  <si>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</si>
  <si>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</si>
  <si>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</si>
  <si>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</si>
  <si>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</si>
  <si>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</si>
  <si>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</si>
  <si>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</si>
  <si>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</si>
  <si>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</si>
  <si>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</si>
  <si>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</si>
  <si>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</si>
  <si>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</si>
  <si>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</si>
  <si>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</si>
  <si>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</si>
  <si>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</si>
  <si>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</si>
  <si>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</si>
  <si>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</si>
  <si>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</si>
  <si>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</si>
  <si>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</si>
  <si>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</si>
  <si>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</si>
  <si>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</si>
  <si>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</si>
  <si>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</si>
  <si>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</si>
  <si>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</si>
  <si>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</si>
  <si>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</si>
  <si>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</si>
  <si>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</si>
  <si>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</si>
  <si>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</si>
  <si>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</si>
  <si>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</si>
  <si>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</si>
  <si>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</si>
  <si>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</si>
  <si>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</si>
  <si>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</si>
  <si>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</si>
  <si>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</si>
  <si>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</si>
  <si>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</si>
  <si>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</si>
  <si>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</si>
  <si>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</si>
  <si>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</si>
  <si>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</si>
  <si>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</si>
  <si>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</si>
  <si>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</si>
  <si>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</si>
  <si>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</si>
  <si>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</si>
  <si>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</si>
  <si>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</si>
  <si>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</si>
  <si>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</si>
  <si>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</si>
  <si>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</si>
  <si>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</si>
  <si>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</si>
  <si>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</si>
  <si>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</si>
  <si>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</si>
  <si>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</si>
  <si>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</si>
  <si>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</si>
  <si>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</si>
  <si>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</si>
  <si>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</si>
  <si>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</si>
  <si>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</si>
  <si>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</si>
  <si>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</si>
  <si>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</si>
  <si>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</si>
  <si>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</si>
  <si>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</si>
  <si>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</si>
  <si>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</si>
  <si>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</si>
  <si>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</si>
  <si>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</si>
  <si>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</si>
  <si>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</si>
  <si>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</si>
  <si>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</si>
  <si>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</si>
  <si>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</si>
  <si>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</si>
  <si>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</si>
  <si>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</si>
  <si>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</si>
  <si>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</si>
  <si>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</si>
  <si>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</si>
  <si>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</si>
  <si>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</si>
  <si>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</si>
  <si>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</si>
  <si>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</si>
  <si>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</si>
  <si>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</si>
  <si>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</si>
  <si>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</si>
  <si>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</si>
  <si>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</si>
  <si>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</si>
  <si>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</si>
  <si>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</si>
  <si>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</si>
  <si>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</si>
  <si>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</si>
  <si>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</si>
  <si>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</si>
  <si>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</si>
  <si>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</si>
  <si>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</si>
  <si>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</si>
  <si>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</si>
  <si>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</si>
  <si>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</si>
  <si>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</si>
  <si>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</si>
  <si>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</si>
  <si>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</si>
  <si>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</si>
  <si>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</si>
  <si>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</si>
  <si>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</si>
  <si>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</si>
  <si>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</si>
  <si>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</si>
  <si>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</si>
  <si>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</si>
  <si>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</si>
  <si>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</si>
  <si>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</si>
  <si>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</si>
  <si>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</si>
  <si>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</si>
  <si>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</si>
  <si>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</si>
  <si>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</si>
  <si>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</si>
  <si>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</si>
  <si>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</si>
  <si>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</si>
  <si>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</si>
  <si>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</si>
  <si>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</si>
  <si>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</si>
  <si>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</si>
  <si>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</si>
  <si>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</si>
  <si>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</si>
  <si>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</si>
  <si>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</si>
  <si>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</si>
  <si>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</si>
  <si>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</si>
  <si>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</si>
  <si>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</si>
  <si>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</si>
  <si>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</si>
  <si>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</si>
  <si>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</si>
  <si>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</si>
  <si>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</si>
  <si>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</si>
  <si>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</si>
  <si>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</si>
  <si>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</si>
  <si>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</si>
  <si>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</si>
  <si>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</si>
  <si>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</si>
  <si>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</si>
  <si>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</si>
  <si>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</si>
  <si>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</si>
  <si>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</si>
  <si>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</si>
  <si>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</si>
  <si>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</si>
  <si>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</si>
  <si>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</si>
  <si>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</si>
  <si>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</si>
  <si>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</si>
  <si>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</si>
  <si>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</si>
  <si>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</si>
  <si>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</si>
  <si>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</si>
  <si>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</si>
  <si>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</si>
  <si>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</si>
  <si>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</si>
  <si>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</si>
  <si>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</si>
  <si>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</si>
  <si>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</si>
  <si>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</si>
  <si>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</si>
  <si>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</si>
  <si>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</si>
  <si>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</si>
  <si>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</si>
  <si>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</si>
  <si>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</si>
  <si>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</si>
  <si>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</si>
  <si>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</si>
  <si>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</si>
  <si>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</si>
  <si>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</si>
  <si>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</si>
  <si>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</si>
  <si>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</si>
  <si>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</si>
  <si>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</si>
  <si>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</si>
  <si>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</si>
  <si>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</si>
  <si>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</si>
  <si>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</si>
  <si>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</si>
  <si>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</si>
  <si>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</si>
  <si>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</si>
  <si>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</si>
  <si>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</si>
  <si>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</si>
  <si>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</si>
  <si>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</si>
  <si>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</si>
  <si>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</si>
  <si>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</si>
  <si>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</si>
  <si>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</si>
  <si>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</si>
  <si>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</si>
  <si>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</si>
  <si>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</si>
  <si>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</si>
  <si>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</si>
  <si>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</si>
  <si>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</si>
  <si>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</si>
  <si>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</si>
  <si>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</si>
  <si>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</si>
  <si>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</si>
  <si>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</si>
  <si>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</si>
  <si>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</si>
  <si>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</si>
  <si>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</si>
  <si>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</si>
  <si>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</si>
  <si>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</si>
  <si>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</si>
  <si>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</si>
  <si>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</si>
  <si>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</si>
  <si>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</si>
  <si>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</si>
  <si>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</si>
  <si>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</si>
  <si>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</si>
  <si>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</si>
  <si>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</si>
  <si>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</si>
  <si>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</si>
  <si>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</si>
  <si>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</si>
  <si>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</si>
  <si>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</si>
  <si>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</si>
  <si>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</si>
  <si>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</si>
  <si>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</si>
  <si>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</si>
  <si>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</si>
  <si>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</si>
  <si>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</si>
  <si>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</si>
  <si>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</si>
  <si>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</si>
  <si>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</si>
  <si>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</si>
  <si>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</si>
  <si>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</si>
  <si>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</si>
  <si>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</si>
  <si>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</si>
  <si>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</si>
  <si>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</si>
  <si>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</si>
  <si>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</si>
  <si>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</si>
  <si>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</si>
  <si>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</si>
  <si>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</si>
  <si>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</si>
  <si>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</si>
  <si>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</si>
  <si>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</si>
  <si>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</si>
  <si>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</si>
  <si>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</si>
  <si>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</si>
  <si>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</si>
  <si>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</si>
  <si>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</si>
  <si>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</si>
  <si>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</si>
  <si>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</si>
  <si>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</si>
  <si>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</si>
  <si>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</si>
  <si>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</si>
  <si>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</si>
  <si>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</si>
  <si>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</si>
  <si>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</si>
  <si>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</si>
  <si>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</si>
  <si>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</si>
  <si>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</si>
  <si>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</si>
  <si>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</si>
  <si>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</si>
  <si>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</si>
  <si>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</si>
  <si>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</si>
  <si>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</si>
  <si>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</si>
  <si>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</si>
  <si>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</si>
  <si>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</si>
  <si>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</si>
  <si>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</si>
  <si>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</si>
  <si>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</si>
  <si>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</si>
  <si>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</si>
  <si>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</si>
  <si>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</si>
  <si>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</si>
  <si>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</si>
  <si>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</si>
  <si>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</si>
  <si>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</si>
  <si>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</si>
  <si>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</si>
  <si>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</si>
  <si>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</si>
  <si>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</si>
  <si>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</si>
  <si>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</si>
  <si>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</si>
  <si>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</si>
  <si>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</si>
  <si>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</si>
  <si>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</si>
  <si>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</si>
  <si>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</si>
  <si>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</si>
  <si>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</si>
  <si>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</si>
  <si>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</si>
  <si>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</si>
  <si>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</si>
  <si>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</si>
  <si>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</si>
  <si>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</si>
  <si>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</si>
  <si>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</si>
  <si>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</si>
  <si>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</si>
  <si>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</si>
  <si>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</si>
  <si>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</si>
  <si>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</si>
  <si>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</si>
  <si>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</si>
  <si>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</si>
  <si>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</si>
  <si>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</si>
  <si>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</si>
  <si>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</si>
  <si>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</si>
  <si>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</si>
  <si>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</si>
  <si>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</si>
  <si>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</si>
  <si>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</si>
  <si>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</si>
  <si>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</si>
  <si>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</si>
  <si>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</si>
  <si>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</si>
  <si>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</si>
  <si>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</si>
  <si>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</si>
  <si>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</si>
  <si>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</si>
  <si>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</si>
  <si>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</si>
  <si>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</si>
  <si>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</si>
  <si>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</si>
  <si>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</si>
  <si>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</si>
  <si>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</si>
  <si>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</si>
  <si>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</si>
  <si>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</si>
  <si>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</si>
  <si>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</si>
  <si>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</si>
  <si>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</si>
  <si>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</si>
  <si>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</si>
  <si>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</si>
  <si>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</si>
  <si>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</si>
  <si>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</si>
  <si>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</si>
  <si>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</si>
  <si>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</si>
  <si>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</si>
  <si>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</si>
  <si>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</si>
  <si>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</si>
  <si>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</si>
  <si>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</si>
  <si>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</si>
  <si>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</si>
  <si>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</si>
  <si>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</si>
  <si>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</si>
  <si>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</si>
  <si>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</si>
  <si>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</si>
  <si>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</si>
  <si>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</si>
  <si>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</si>
  <si>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</si>
  <si>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</si>
  <si>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</si>
  <si>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</si>
  <si>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</si>
  <si>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</si>
  <si>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</si>
  <si>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</si>
  <si>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</si>
  <si>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</si>
  <si>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</si>
  <si>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</si>
  <si>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</si>
  <si>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</si>
  <si>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</si>
  <si>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</si>
  <si>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</si>
  <si>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</si>
  <si>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</si>
  <si>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</si>
  <si>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</si>
  <si>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</si>
  <si>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</si>
  <si>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</si>
  <si>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</si>
  <si>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</si>
  <si>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</si>
  <si>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</si>
  <si>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</si>
  <si>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</si>
  <si>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</si>
  <si>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</si>
  <si>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</si>
  <si>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</si>
  <si>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</si>
  <si>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</si>
  <si>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</si>
  <si>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</si>
  <si>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</si>
  <si>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</si>
  <si>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</si>
  <si>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</si>
  <si>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</si>
  <si>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</si>
  <si>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</si>
  <si>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</si>
  <si>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</si>
  <si>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</si>
  <si>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</si>
  <si>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</si>
  <si>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</si>
  <si>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</si>
  <si>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</si>
  <si>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</si>
  <si>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</si>
  <si>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</si>
  <si>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</si>
  <si>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</si>
  <si>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</si>
  <si>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</si>
  <si>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</si>
  <si>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</si>
  <si>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</si>
  <si>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</si>
  <si>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</si>
  <si>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</si>
  <si>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</si>
  <si>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</si>
  <si>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</si>
  <si>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</si>
  <si>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</si>
  <si>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</si>
  <si>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</si>
  <si>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</si>
  <si>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</si>
  <si>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</si>
  <si>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</si>
  <si>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</si>
  <si>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</si>
  <si>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</si>
  <si>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</si>
  <si>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</si>
  <si>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</si>
  <si>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</si>
  <si>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</si>
  <si>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</si>
  <si>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</si>
  <si>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</si>
  <si>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</si>
  <si>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</si>
  <si>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</si>
  <si>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</si>
  <si>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</si>
  <si>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</si>
  <si>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</si>
  <si>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</si>
  <si>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</si>
  <si>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</si>
  <si>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</si>
  <si>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</si>
  <si>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</si>
  <si>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</si>
  <si>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</si>
  <si>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</si>
  <si>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</si>
  <si>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</si>
  <si>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</si>
  <si>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</si>
  <si>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</si>
  <si>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</si>
  <si>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</si>
  <si>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</si>
  <si>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</si>
  <si>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</si>
  <si>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</si>
  <si>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</si>
  <si>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</si>
  <si>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</si>
  <si>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</si>
  <si>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</si>
  <si>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</si>
  <si>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</si>
  <si>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</si>
  <si>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</si>
  <si>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</si>
  <si>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</si>
  <si>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</si>
  <si>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</si>
  <si>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</si>
  <si>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</si>
  <si>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</si>
  <si>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</si>
  <si>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</si>
  <si>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</si>
  <si>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</si>
  <si>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</si>
  <si>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</si>
  <si>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</si>
  <si>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</si>
  <si>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</si>
  <si>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</si>
  <si>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</si>
  <si>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</si>
  <si>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</si>
  <si>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</si>
  <si>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</si>
  <si>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</si>
  <si>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</si>
  <si>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</si>
  <si>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</si>
  <si>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</si>
  <si>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</si>
  <si>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</si>
  <si>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</si>
  <si>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</si>
  <si>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</si>
  <si>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</si>
  <si>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</si>
  <si>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</si>
  <si>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</si>
  <si>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</si>
  <si>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</si>
  <si>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</si>
  <si>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</si>
  <si>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</si>
  <si>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</si>
  <si>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</si>
  <si>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</si>
  <si>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</si>
  <si>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</si>
  <si>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</si>
  <si>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</si>
  <si>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</si>
  <si>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</si>
  <si>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</si>
  <si>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</si>
  <si>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</si>
  <si>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</si>
  <si>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</si>
  <si>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</si>
  <si>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</si>
  <si>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</si>
  <si>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</si>
  <si>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</si>
  <si>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</si>
  <si>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</si>
  <si>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</si>
  <si>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</si>
  <si>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</si>
  <si>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</si>
  <si>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</si>
  <si>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</si>
  <si>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</si>
  <si>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</si>
  <si>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</si>
  <si>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</si>
  <si>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</si>
  <si>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</si>
  <si>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</si>
  <si>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</si>
  <si>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</si>
  <si>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</si>
  <si>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</si>
  <si>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</si>
  <si>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</si>
  <si>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</si>
  <si>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</si>
  <si>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</si>
  <si>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</si>
  <si>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</si>
  <si>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</si>
  <si>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</si>
  <si>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</si>
  <si>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</si>
  <si>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</si>
  <si>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</si>
  <si>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</si>
  <si>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</si>
  <si>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</si>
  <si>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</si>
  <si>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</si>
  <si>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</si>
  <si>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</si>
  <si>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</si>
  <si>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</si>
  <si>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</si>
  <si>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</si>
  <si>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</si>
  <si>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</si>
  <si>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</si>
  <si>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</si>
  <si>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</si>
  <si>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</si>
  <si>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</si>
  <si>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</si>
  <si>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</si>
  <si>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</si>
  <si>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</si>
  <si>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</si>
  <si>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</si>
  <si>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</si>
  <si>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</si>
  <si>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</si>
  <si>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</si>
  <si>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</si>
  <si>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</si>
  <si>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</si>
  <si>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</si>
  <si>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</si>
  <si>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</si>
  <si>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</si>
  <si>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</si>
  <si>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</si>
  <si>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</si>
  <si>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</si>
  <si>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</si>
  <si>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</si>
  <si>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</si>
  <si>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</si>
  <si>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</si>
  <si>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</si>
  <si>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</si>
  <si>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</si>
  <si>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</si>
  <si>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</si>
  <si>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</si>
  <si>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</si>
  <si>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</si>
  <si>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</si>
  <si>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</si>
  <si>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</si>
  <si>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</si>
  <si>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</si>
  <si>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</si>
  <si>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</si>
  <si>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</si>
  <si>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</si>
  <si>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</si>
  <si>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</si>
  <si>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</si>
  <si>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</si>
  <si>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</si>
  <si>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</si>
  <si>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</si>
  <si>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</si>
  <si>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</si>
  <si>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</si>
  <si>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</si>
  <si>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</si>
  <si>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</si>
  <si>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</si>
  <si>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</si>
  <si>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</si>
  <si>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</si>
  <si>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</si>
  <si>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</si>
  <si>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</si>
  <si>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</si>
  <si>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</si>
  <si>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</si>
  <si>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</si>
  <si>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</si>
  <si>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</si>
  <si>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</si>
  <si>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</si>
  <si>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</si>
  <si>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</si>
  <si>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</si>
  <si>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</si>
  <si>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</si>
  <si>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</si>
  <si>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</si>
  <si>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</si>
  <si>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</si>
  <si>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</si>
  <si>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</si>
  <si>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</si>
  <si>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</si>
  <si>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</si>
  <si>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</si>
  <si>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</si>
  <si>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</si>
  <si>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</si>
  <si>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</si>
  <si>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</si>
  <si>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</si>
  <si>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</si>
  <si>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</si>
  <si>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</si>
  <si>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</si>
  <si>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</si>
  <si>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</si>
  <si>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</si>
  <si>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</si>
  <si>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</si>
  <si>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</si>
  <si>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</si>
  <si>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</si>
  <si>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</si>
  <si>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</si>
  <si>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</si>
  <si>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</si>
  <si>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</si>
  <si>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</si>
  <si>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</si>
  <si>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</si>
  <si>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</si>
  <si>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</si>
  <si>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</si>
  <si>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</si>
  <si>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</si>
  <si>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</si>
  <si>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</si>
  <si>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</si>
  <si>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</si>
  <si>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</si>
  <si>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</si>
  <si>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</si>
  <si>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</si>
  <si>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</si>
  <si>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</si>
  <si>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</si>
  <si>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</si>
  <si>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</si>
  <si>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</si>
  <si>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</si>
  <si>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</si>
  <si>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</si>
  <si>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</si>
  <si>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</si>
  <si>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</si>
  <si>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</si>
  <si>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</si>
  <si>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</si>
  <si>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</si>
  <si>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</si>
  <si>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</si>
  <si>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</si>
  <si>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</si>
  <si>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</si>
  <si>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</si>
  <si>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</si>
  <si>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</si>
  <si>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</si>
  <si>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</si>
  <si>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</si>
  <si>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</si>
  <si>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</si>
  <si>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</si>
  <si>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</si>
  <si>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</si>
  <si>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</si>
  <si>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</si>
  <si>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</si>
  <si>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</si>
  <si>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</si>
  <si>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</si>
  <si>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</si>
  <si>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</si>
  <si>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</si>
  <si>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</si>
  <si>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</si>
  <si>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</si>
  <si>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</si>
  <si>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</si>
  <si>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</si>
  <si>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</si>
  <si>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</si>
  <si>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</si>
  <si>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</si>
  <si>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</si>
  <si>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</si>
  <si>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</si>
  <si>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</si>
  <si>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</si>
  <si>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</si>
  <si>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</si>
  <si>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</si>
  <si>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</si>
  <si>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</si>
  <si>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</si>
  <si>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</si>
  <si>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</si>
  <si>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</si>
  <si>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</si>
  <si>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</si>
  <si>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</si>
  <si>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</si>
  <si>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</si>
  <si>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</si>
  <si>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</si>
  <si>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</si>
  <si>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</si>
  <si>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</si>
  <si>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</si>
  <si>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</si>
  <si>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</si>
  <si>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</si>
  <si>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</si>
  <si>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</si>
  <si>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</si>
  <si>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</si>
  <si>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</si>
  <si>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</si>
  <si>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</si>
  <si>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</si>
  <si>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</si>
  <si>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</si>
  <si>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</si>
  <si>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</si>
  <si>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</si>
  <si>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</si>
  <si>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</si>
  <si>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</si>
  <si>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</si>
  <si>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</si>
  <si>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</si>
  <si>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</si>
  <si>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</si>
  <si>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Updates to .meta.lastUpdated **SHOULD** reflect:
Changes in the clinical status or verifications status of problems or health concerns.</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</si>
  <si>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</si>
  <si>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</si>
  <si>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</si>
  <si>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</si>
  <si>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</si>
  <si>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</si>
  <si>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</si>
  <si>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</si>
  <si>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</si>
  <si>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</si>
  <si>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</si>
  <si>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</si>
  <si>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</si>
  <si>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</si>
  <si>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</si>
  <si>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</si>
  <si>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</si>
  <si>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</si>
  <si>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</si>
  <si>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</si>
  <si>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</si>
  <si>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</si>
  <si>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</si>
  <si>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</si>
  <si>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</si>
  <si>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</si>
  <si>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</si>
  <si>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</si>
  <si>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</si>
  <si>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</si>
  <si>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</si>
  <si>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</si>
  <si>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</si>
  <si>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</si>
  <si>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</si>
  <si>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</si>
  <si>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</si>
  <si>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</si>
  <si>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</si>
  <si>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</si>
  <si>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</si>
  <si>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</si>
  <si>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</si>
  <si>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</si>
  <si>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US Core Server[s] **SHALL** support token introspection defined by the SMART App Launch Guide. For more details and additional consideration, see SMART App Launch’s [Token Introspection](http://hl7.org/fhir/smart-app-launch/STU2/token-introspection.html#token-introspection).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</si>
  <si>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</si>
  <si>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</si>
  <si>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</si>
  <si>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</si>
  <si>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</si>
  <si>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</si>
  <si>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</si>
  <si>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</si>
  <si>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</si>
  <si>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</si>
  <si>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</si>
  <si>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</si>
  <si>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</si>
  <si>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</si>
  <si>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</si>
  <si>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</si>
  <si>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</si>
  <si>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</si>
  <si>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</si>
  <si>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</si>
  <si>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</si>
  <si>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</si>
  <si>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</si>
  <si>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</si>
  <si>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</si>
  <si>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</si>
  <si>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</si>
  <si>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</si>
  <si>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</si>
  <si>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</si>
  <si>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</si>
  <si>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</si>
  <si>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</si>
  <si>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</si>
  <si>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</si>
  <si>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</si>
  <si>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</si>
  <si>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</si>
  <si>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</si>
  <si>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</si>
  <si>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</si>
  <si>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</si>
  <si>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</si>
  <si>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</si>
  <si>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</si>
  <si>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</si>
  <si>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</si>
  <si>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</si>
  <si>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</si>
  <si>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</si>
  <si>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</si>
  <si>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</si>
  <si>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</si>
  <si>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</si>
  <si>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</si>
  <si>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</si>
  <si>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</si>
  <si>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</si>
  <si>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</si>
  <si>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</si>
  <si>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</si>
  <si>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</si>
  <si>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</si>
  <si>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</si>
  <si>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</si>
  <si>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</si>
  <si>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</si>
  <si>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</si>
  <si>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</si>
  <si>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</si>
  <si>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</si>
  <si>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</si>
  <si>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</si>
  <si>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</si>
  <si>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</si>
  <si>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</si>
  <si>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</si>
  <si>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</si>
  <si>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</si>
  <si>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</si>
  <si>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</si>
  <si>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</si>
  <si>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</si>
  <si>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</si>
  <si>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</si>
  <si>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</si>
  <si>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</si>
  <si>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</si>
  <si>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</si>
  <si>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</si>
  <si>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</si>
  <si>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</si>
  <si>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</si>
  <si>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</si>
  <si>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</si>
  <si>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</si>
  <si>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</si>
  <si>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</si>
  <si>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</si>
  <si>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</si>
  <si>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</si>
  <si>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</si>
  <si>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</si>
  <si>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</si>
  <si>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</si>
  <si>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</si>
  <si>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</si>
  <si>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</si>
  <si>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</si>
  <si>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</si>
  <si>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</si>
  <si>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</si>
  <si>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</si>
  <si>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</si>
  <si>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</si>
  <si>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</si>
  <si>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</si>
  <si>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</si>
  <si>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</si>
  <si>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</si>
  <si>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</si>
  <si>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</si>
  <si>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</si>
  <si>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</si>
  <si>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</si>
  <si>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</si>
  <si>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</si>
  <si>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</si>
  <si>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</si>
  <si>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</si>
  <si>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</si>
  <si>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</si>
  <si>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</si>
  <si>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</si>
  <si>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</si>
  <si>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</si>
  <si>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</si>
  <si>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</si>
  <si>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</si>
  <si>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</si>
  <si>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</si>
  <si>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</si>
  <si>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</si>
  <si>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</si>
  <si>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</si>
  <si>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</si>
  <si>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</si>
  <si>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</si>
  <si>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</si>
  <si>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</si>
  <si>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</si>
  <si>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</si>
  <si>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</si>
  <si>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</si>
  <si>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</si>
  <si>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</si>
  <si>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</si>
  <si>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</si>
  <si>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</si>
  <si>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</si>
  <si>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</si>
  <si>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</si>
  <si>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</si>
  <si>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</si>
  <si>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</si>
  <si>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</si>
  <si>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https://hl7.org/fhir/us/core/STU8/StructureDefinition-us-core-care-experience-preference.html#profile-specific-implementation-guidance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</si>
  <si>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</si>
  <si>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</si>
  <si>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</si>
  <si>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</si>
  <si>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</si>
  <si>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</si>
  <si>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</si>
  <si>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</si>
  <si>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</si>
  <si>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</si>
  <si>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</si>
  <si>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</si>
  <si>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</si>
  <si>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</si>
  <si>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</si>
  <si>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</si>
  <si>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</si>
  <si>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</si>
  <si>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</si>
  <si>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</si>
  <si>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</si>
  <si>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</si>
  <si>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</si>
  <si>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</si>
  <si>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</si>
  <si>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</si>
  <si>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</si>
  <si>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</si>
  <si>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</si>
  <si>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</si>
  <si>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</si>
  <si>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</si>
  <si>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</si>
  <si>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</si>
  <si>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For Diagnostic Imaging Reports systems **SHOULD** support using the subset of LOINC codes listed Table 4: LOINC® Document Type Codes in *HL7 Standard for CDA® Release 2: Imaging Integration; Basic Imaging Reports in CDA and DICOM, Release 1*</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</si>
  <si>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</si>
  <si>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</si>
  <si>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</si>
  <si>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</si>
  <si>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</si>
  <si>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</si>
  <si>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</si>
  <si>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</si>
  <si>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</si>
  <si>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</si>
  <si>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</si>
  <si>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</si>
  <si>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</si>
  <si>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</si>
  <si>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</si>
  <si>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</si>
  <si>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</si>
  <si>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</si>
  <si>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</si>
  <si>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</si>
  <si>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</si>
  <si>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</si>
  <si>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</si>
  <si>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</si>
  <si>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</si>
  <si>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</si>
  <si>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</si>
  <si>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</si>
  <si>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</si>
  <si>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</si>
  <si>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include file 0422 same</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</si>
  <si>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</si>
  <si>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</si>
  <si>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</si>
  <si>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</si>
  <si>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</si>
  <si>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</si>
  <si>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</si>
  <si>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</si>
  <si>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</si>
  <si>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</si>
  <si>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</si>
  <si>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</si>
  <si>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</si>
  <si>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</si>
  <si>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</si>
  <si>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</si>
  <si>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</si>
  <si>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</si>
  <si>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</si>
  <si>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</si>
  <si>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</si>
  <si>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</si>
  <si>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</si>
  <si>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</si>
  <si>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</si>
  <si>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</si>
  <si>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</si>
  <si>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</si>
  <si>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</si>
  <si>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</si>
  <si>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</si>
  <si>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</si>
  <si>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</si>
  <si>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 https://hl7.org/fhir/us/core/STU8/StructureDefinition-us-core-simple-observation.html#profile-specific-implementation-guidance</t>
  </si>
  <si>
    <t>sort_order</t>
  </si>
  <si>
    <t>a.html#foo</t>
  </si>
  <si>
    <t>a.html#foo,b.html#bar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</si>
  <si>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</si>
  <si>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</si>
  <si>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</si>
  <si>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</si>
  <si>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</si>
  <si>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</si>
  <si>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</si>
  <si>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</si>
  <si>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</si>
  <si>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</si>
  <si>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</si>
  <si>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</si>
  <si>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</si>
  <si>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</si>
  <si>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</si>
  <si>
    <t>https://hl7.org/fhir/us/core/StructureDefinition-us-core-adi-documentreference.html#profile-specific-implementation-guidance</t>
  </si>
  <si>
    <t>To represent the patient and provider attestation metadata, the *optional* DocumentReference Attestor R5 Extension ... **SHOULD** be use</t>
  </si>
  <si>
    <t>https://hl7.org/fhir/us/core/StructureDefinition-us-core-condition-problems-health-concerns.html#profile-specific-implementation-guidance</t>
  </si>
  <si>
    <t>Unless exchanging legacy or text-only data, condition codes **SHOULD** be taken from SNOMED CT and ICD-10-CM, USCDI's applicable vocabulary standards for the Problem Data Element.</t>
  </si>
  <si>
    <t>https://hl7.org/fhir/us/core/StructureDefinition-us-core-location.html#profile-specific-implementation-guidance</t>
  </si>
  <si>
    <t>The Service Delivery Location Role Type value set is inherited from the base resource, and, although its binding strength is [extensible](http://hl7.org/fhir/R4/terminologies.html#extensible) in the base resource, US Core implementers **MAY** treat it as [preferred](http://hl7.org/fhir/R4/terminologies.html#preferred).</t>
  </si>
  <si>
    <t>Healthcare Service Location Codes (HSLOC) and SNOMED-CT Healthcare Facility Type value sets meet the USCDI applicable vocabulary standard for the Encounter Location Data Element. Certifying Systems **MAY** use a code from either vocabulary.</t>
  </si>
  <si>
    <t>https://hl7.org/fhir/us/core/StructureDefinition-us-core-goal.html#profile-specific-implementation-guidance</t>
  </si>
  <si>
    <t>When exchanging Social Determinants of Health (SDOH) data, implementers **SHOULD** use the [Social Determinants of Health Goals](https://vsac.nlm.nih.gov/valueset/2.16.840.1.113762.1.4.1247.71/expansion) set which is curated by the Gravity Project to represent goals for all SDOH Domains.</t>
  </si>
  <si>
    <t>https://hl7.org/fhir/us/core/StructureDefinition-us-core-servicerequest.html#profile-specific-implementation-guidance</t>
  </si>
  <si>
    <t>Implementers **SHOULD** conform to the binding strengths listed for each USCDI Order context...Laboratory Order|[LOINC Common Laboratory Orders Value Set]|extensible, Imaging Order|[LOINC Radiology Codes]|preferred, Clinical Test Order|[LOINC Clinical Test Codes]|preferred</t>
  </si>
  <si>
    <t>the US Core ServiceRequest Profile **MAY** be used to represent a derived "actionable" order based on a portable Medical Order(PMO).</t>
  </si>
  <si>
    <t>[When] used to represent a derived "actionable" order based on a PMO...The `ServiceRequest.category` **SHOULD** be bound to  [Portable Medical Order Categories](https://vsac.nlm.nih.gov/valueset/2.16.840.1.113762.1.4.1267.34/Expansion)</t>
  </si>
  <si>
    <t>[When] used to represent a derived "actionable" order based on a PMO...ServiceRequest.code` **SHOULD** be aligned with the appropriate Category</t>
  </si>
  <si>
    <t>The `ServiceReqest.reasonReference` **SHOULD** be used to reference the US Core ADI DocumentReference Profile that indexes the PMO.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</si>
</sst>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7">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s>
  <borders count="22">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s>
  <cellStyleXfs count="2">
    <xf numFmtId="0" fontId="0" fillId="0" borderId="0"/>
    <xf numFmtId="0" fontId="3" fillId="0" borderId="0" applyNumberFormat="0" applyFill="0" applyBorder="0" applyAlignment="0" applyProtection="0"/>
  </cellStyleXfs>
  <cellXfs count="94">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30" fillId="0" borderId="0" xfId="0" applyFont="1"/>
    <xf numFmtId="0" fontId="22" fillId="0" borderId="0" xfId="0" applyFont="1" applyAlignment="1">
      <alignment wrapText="1"/>
    </xf>
    <xf numFmtId="0" fontId="30" fillId="15" borderId="0" xfId="0" applyFont="1" applyFill="1"/>
    <xf numFmtId="0" fontId="0" fillId="0" borderId="21" xfId="0" applyBorder="1" applyAlignment="1">
      <alignment wrapText="1"/>
    </xf>
    <xf numFmtId="0" fontId="0" fillId="0" borderId="21" xfId="0" applyBorder="1"/>
    <xf numFmtId="0" fontId="21" fillId="0" borderId="0" xfId="0" applyFont="1"/>
    <xf numFmtId="0" fontId="22" fillId="0" borderId="0" xfId="0" applyFont="1"/>
    <xf numFmtId="0" fontId="23" fillId="0" borderId="0" xfId="0" applyFont="1"/>
    <xf numFmtId="0" fontId="26" fillId="0" borderId="0" xfId="0" applyFont="1"/>
    <xf numFmtId="0" fontId="25" fillId="0" borderId="0" xfId="0" applyFont="1" applyAlignment="1">
      <alignment wrapText="1"/>
    </xf>
    <xf numFmtId="0" fontId="24" fillId="0" borderId="0" xfId="0" applyFont="1" applyAlignment="1">
      <alignment wrapText="1"/>
    </xf>
    <xf numFmtId="0" fontId="26" fillId="0" borderId="0" xfId="0" applyFont="1" applyAlignment="1">
      <alignment wrapText="1"/>
    </xf>
    <xf numFmtId="0" fontId="22" fillId="0" borderId="21" xfId="0" applyFont="1" applyBorder="1" applyAlignment="1">
      <alignment wrapText="1"/>
    </xf>
    <xf numFmtId="0" fontId="0" fillId="15" borderId="21" xfId="0" applyFill="1" applyBorder="1" applyAlignment="1">
      <alignment wrapText="1"/>
    </xf>
    <xf numFmtId="0" fontId="22" fillId="15" borderId="0" xfId="0" applyFont="1" applyFill="1" applyAlignment="1">
      <alignment wrapText="1"/>
    </xf>
    <xf numFmtId="0" fontId="0" fillId="16" borderId="21" xfId="0" applyFill="1" applyBorder="1"/>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3">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96" tableType="queryTable" totalsRowShown="0" headerRowDxfId="32" dataDxfId="31">
  <autoFilter ref="A1:AE696" xr:uid="{B145EE09-1AF1-4648-AE16-A2A2636B4264}"/>
  <tableColumns count="31">
    <tableColumn id="1" xr3:uid="{3F275434-19D5-294B-BFFE-9F1DA8D54A60}" uniqueName="1" name="Is_New" queryTableFieldId="1" dataDxfId="30"/>
    <tableColumn id="2" xr3:uid="{9941A5D0-1B6C-824A-A3ED-1EAB7A7B96B1}" uniqueName="2" name="ID*" queryTableFieldId="2" dataDxfId="29"/>
    <tableColumn id="3" xr3:uid="{852AA658-898C-CF4A-B23F-6F6468B2FBD2}" uniqueName="3" name="key" queryTableFieldId="3" dataDxfId="28"/>
    <tableColumn id="4" xr3:uid="{F5C3F5D0-4C85-6E48-920D-ECB2526A75C8}" uniqueName="4" name="URL*" queryTableFieldId="4" dataDxfId="27"/>
    <tableColumn id="5" xr3:uid="{08F8506A-94D6-9841-9713-940E0BFD18BA}" uniqueName="5" name="reference" queryTableFieldId="5" dataDxfId="26"/>
    <tableColumn id="6" xr3:uid="{ED838C0D-535F-C543-AD08-F333164840ED}" uniqueName="6" name="requirement" queryTableFieldId="6" dataDxfId="25"/>
    <tableColumn id="7" xr3:uid="{0942E9AE-8454-D448-8A59-A6B486FDA1D0}" uniqueName="7" name="conformance" queryTableFieldId="7" dataDxfId="24"/>
    <tableColumn id="31" xr3:uid="{6BCFEDF8-8464-F74B-9644-74FD228A63FD}" uniqueName="31" name="sort_order" queryTableFieldId="32" dataDxfId="23">
      <calculatedColumnFormula array="1">_xlfn.SWITCH(G2, "SHALL", 1, "SHOULD", 3, "MAY", 5, "SHOULD-NOT", 4, "SHALL-NOT", 2, "DEPRECATED", 6, 99)</calculatedColumnFormula>
    </tableColumn>
    <tableColumn id="30" xr3:uid="{55FD57B9-F666-214A-B891-1852BF179615}" uniqueName="30" name="update_verb" queryTableFieldId="30" dataDxfId="22"/>
    <tableColumn id="8" xr3:uid="{6697FDF9-5E19-AD4C-A948-802729440474}" uniqueName="8" name="actor" queryTableFieldId="8" dataDxfId="21"/>
    <tableColumn id="9" xr3:uid="{782348A4-FDA6-284B-8DE6-E6FBA18A279D}" uniqueName="9" name="certifiers_only" queryTableFieldId="9" dataDxfId="20"/>
    <tableColumn id="10" xr3:uid="{2C5219CA-5A8D-514E-B36E-F791F1E052DB}" uniqueName="10" name="Sub-Requirement(s)" queryTableFieldId="10" dataDxfId="19"/>
    <tableColumn id="11" xr3:uid="{FAACD511-9115-4D4A-87A1-072AFEE7D81A}" uniqueName="11" name="conditionality" queryTableFieldId="11" dataDxfId="18"/>
    <tableColumn id="12" xr3:uid="{C57A131A-51B9-0642-98E5-9323B739BD46}" uniqueName="12" name="Conditionality Details" queryTableFieldId="12" dataDxfId="17"/>
    <tableColumn id="13" xr3:uid="{3C97A665-FEAD-CA43-AC5A-C0C213AF7773}" uniqueName="13" name="Verifiable?" queryTableFieldId="13" dataDxfId="16"/>
    <tableColumn id="14" xr3:uid="{F4F97DEE-1ACC-FA40-8C09-12C6C11BA291}" uniqueName="14" name="Verifiability Details" queryTableFieldId="14" dataDxfId="15"/>
    <tableColumn id="15" xr3:uid="{6739A1CE-249D-8D4E-AE55-B9D5A84811D5}" uniqueName="15" name="Planning To Test?" queryTableFieldId="15" dataDxfId="14"/>
    <tableColumn id="16" xr3:uid="{5EE7894B-04C1-FE4F-837C-CC3B57B34E98}" uniqueName="16" name="Planning To Test Details" queryTableFieldId="16" dataDxfId="13"/>
    <tableColumn id="17" xr3:uid="{BCD7B051-DF0E-CC47-9F46-42CA9606A686}" uniqueName="17" name="Page" queryTableFieldId="17" dataDxfId="12"/>
    <tableColumn id="18" xr3:uid="{F8606DE9-F560-D349-A6EF-C1D9FA7E0773}" uniqueName="18" name="Section" queryTableFieldId="18" dataDxfId="11"/>
    <tableColumn id="29" xr3:uid="{CA451E1C-AED2-F240-96BF-52328849C39E}" uniqueName="29" name="context" queryTableFieldId="29" dataDxfId="10">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9"/>
    <tableColumn id="20" xr3:uid="{705FF31A-651F-A04B-8F4B-2FA1EDA340D7}" uniqueName="20" name="Actor Guess" queryTableFieldId="20" dataDxfId="8"/>
    <tableColumn id="21" xr3:uid="{8F696C66-0F22-2A4A-B997-CCD294023F31}" uniqueName="21" name="Section #" queryTableFieldId="21" dataDxfId="7"/>
    <tableColumn id="22" xr3:uid="{69E095DD-0AE6-CA4E-9D02-05B2104AA5D9}" uniqueName="22" name="Grouping" queryTableFieldId="22" dataDxfId="6"/>
    <tableColumn id="23" xr3:uid="{656C549B-CB81-BA46-810B-5CB6A12C6C72}" uniqueName="23" name="Priority" queryTableFieldId="23" dataDxfId="5"/>
    <tableColumn id="24" xr3:uid="{939374BB-5AD2-4B4B-BEC4-6DFB96DF97CA}" uniqueName="24" name="Test Plan" queryTableFieldId="24" dataDxfId="4"/>
    <tableColumn id="25" xr3:uid="{7011B904-5C24-7A4C-9AB6-8D624594FCC5}" uniqueName="25" name="Questions" queryTableFieldId="25" dataDxfId="3"/>
    <tableColumn id="26" xr3:uid="{3BC520EE-3BB8-5F4F-8D89-ADB95D73A1B7}" uniqueName="26" name="Notes" queryTableFieldId="26" dataDxfId="2"/>
    <tableColumn id="27" xr3:uid="{8BEBA5E6-295D-5542-AA29-0396F4041321}" uniqueName="27" name="In Test" queryTableFieldId="27" dataDxfId="1"/>
    <tableColumn id="28" xr3:uid="{B6B29530-05E2-894D-B88E-6357142EE042}" uniqueName="28" name="Column1" queryTableFieldId="28"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s://hl7.org/fhir/us/cor+D465e/STU8/must-support.html" TargetMode="External"/><Relationship Id="rId7" Type="http://schemas.openxmlformats.org/officeDocument/2006/relationships/hyperlink" Target="https://hl7.org/fhir/us/core/STU8/StructureDefinition-us-core-simple-observation.html" TargetMode="External"/><Relationship Id="rId2" Type="http://schemas.openxmlformats.org/officeDocument/2006/relationships/hyperlink" Target="https://hl7.org/fhir/us/core/STU8/StructureDefinition-us-core-treatment-intervention-preference.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diagnosticreport-note.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86" t="s">
        <v>1168</v>
      </c>
      <c r="B4" s="45"/>
      <c r="C4" s="27"/>
    </row>
    <row r="5" spans="1:3" ht="258" customHeight="1" x14ac:dyDescent="0.2">
      <c r="A5" s="87"/>
      <c r="B5" s="46"/>
      <c r="C5" s="26"/>
    </row>
    <row r="6" spans="1:3" ht="164" x14ac:dyDescent="0.2">
      <c r="A6" s="21" t="s">
        <v>4</v>
      </c>
      <c r="B6" s="47"/>
      <c r="C6" s="48"/>
    </row>
    <row r="7" spans="1:3" ht="98" customHeight="1" x14ac:dyDescent="0.2">
      <c r="A7" s="88" t="s">
        <v>5</v>
      </c>
      <c r="B7" s="89"/>
      <c r="C7" s="44"/>
    </row>
    <row r="8" spans="1:3" ht="126" customHeight="1" x14ac:dyDescent="0.2">
      <c r="A8" s="88"/>
      <c r="B8" s="90"/>
      <c r="C8" s="44"/>
    </row>
    <row r="9" spans="1:3" ht="68" customHeight="1" x14ac:dyDescent="0.2">
      <c r="A9" s="86"/>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697"/>
  <sheetViews>
    <sheetView tabSelected="1" topLeftCell="B690" zoomScale="130" zoomScaleNormal="130" workbookViewId="0">
      <selection activeCell="F695" sqref="F695"/>
    </sheetView>
  </sheetViews>
  <sheetFormatPr baseColWidth="10" defaultRowHeight="16" x14ac:dyDescent="0.2"/>
  <cols>
    <col min="1" max="1" width="11.1640625" bestFit="1" customWidth="1"/>
    <col min="3" max="3" width="11.1640625" bestFit="1" customWidth="1"/>
    <col min="4" max="4" width="54.5" style="11" customWidth="1"/>
    <col min="5" max="5" width="61.5" customWidth="1"/>
    <col min="6" max="6" width="58.1640625" style="11" customWidth="1"/>
    <col min="7" max="7" width="12.1640625" customWidth="1"/>
    <col min="8" max="8" width="26" customWidth="1"/>
    <col min="9" max="9" width="14.5" customWidth="1"/>
    <col min="10" max="10" width="13.1640625" customWidth="1"/>
    <col min="11" max="11" width="15.6640625" customWidth="1"/>
    <col min="12" max="12" width="12.6640625" customWidth="1"/>
    <col min="13" max="13" width="80.6640625" customWidth="1"/>
    <col min="14" max="14" width="12.1640625" customWidth="1"/>
    <col min="15" max="15" width="16.6640625" customWidth="1"/>
    <col min="16" max="16" width="14.6640625" customWidth="1"/>
    <col min="17" max="17" width="80.6640625" customWidth="1"/>
    <col min="18" max="18" width="58.33203125" customWidth="1"/>
    <col min="19" max="19" width="72.5" bestFit="1" customWidth="1"/>
    <col min="20" max="20" width="72.5" customWidth="1"/>
    <col min="21" max="21" width="93" bestFit="1" customWidth="1"/>
    <col min="22" max="26" width="12.1640625" bestFit="1" customWidth="1"/>
    <col min="27" max="28" width="80.6640625" bestFit="1" customWidth="1"/>
    <col min="29" max="30" width="12.1640625" bestFit="1" customWidth="1"/>
  </cols>
  <sheetData>
    <row r="1" spans="1:31" ht="18" thickBot="1" x14ac:dyDescent="0.25">
      <c r="A1" t="s">
        <v>1170</v>
      </c>
      <c r="B1" t="s">
        <v>7</v>
      </c>
      <c r="C1" t="s">
        <v>1835</v>
      </c>
      <c r="D1" s="11" t="s">
        <v>8</v>
      </c>
      <c r="E1" t="s">
        <v>2345</v>
      </c>
      <c r="F1" s="11" t="s">
        <v>1836</v>
      </c>
      <c r="G1" t="s">
        <v>1837</v>
      </c>
      <c r="H1" t="s">
        <v>2342</v>
      </c>
      <c r="I1" t="s">
        <v>1843</v>
      </c>
      <c r="J1" t="s">
        <v>1838</v>
      </c>
      <c r="K1" t="s">
        <v>1839</v>
      </c>
      <c r="L1" t="s">
        <v>12</v>
      </c>
      <c r="M1" t="s">
        <v>1884</v>
      </c>
      <c r="N1" t="s">
        <v>14</v>
      </c>
      <c r="O1" t="s">
        <v>15</v>
      </c>
      <c r="P1" t="s">
        <v>16</v>
      </c>
      <c r="Q1" t="s">
        <v>17</v>
      </c>
      <c r="R1" t="s">
        <v>18</v>
      </c>
      <c r="S1" t="s">
        <v>19</v>
      </c>
      <c r="T1" t="s">
        <v>20</v>
      </c>
      <c r="U1" t="s">
        <v>1840</v>
      </c>
      <c r="V1" t="s">
        <v>21</v>
      </c>
      <c r="W1" t="s">
        <v>22</v>
      </c>
      <c r="X1" t="s">
        <v>23</v>
      </c>
      <c r="Y1" t="s">
        <v>24</v>
      </c>
      <c r="Z1" t="s">
        <v>25</v>
      </c>
      <c r="AA1" t="s">
        <v>26</v>
      </c>
      <c r="AB1" t="s">
        <v>27</v>
      </c>
      <c r="AC1" t="s">
        <v>28</v>
      </c>
      <c r="AD1" t="s">
        <v>1139</v>
      </c>
      <c r="AE1" t="s">
        <v>1169</v>
      </c>
    </row>
    <row r="2" spans="1:31" ht="52" thickBot="1" x14ac:dyDescent="0.25">
      <c r="A2" t="s">
        <v>1171</v>
      </c>
      <c r="B2" t="s">
        <v>1172</v>
      </c>
      <c r="C2" t="str">
        <f>"CONF-"&amp;TEXT(us_core_reqs[[#This Row],[ID*]], "0000")</f>
        <v>CONF-0001</v>
      </c>
      <c r="D2" s="11" t="s">
        <v>610</v>
      </c>
      <c r="E2" s="73" t="str" cm="1">
        <f t="array" ref="E2">_xlfn.TEXTJOIN(", ", TRUE, _xlfn.TEXTAFTER(_xlfn.TEXTSPLIT(us_core_reqs[[#This Row],[URL*]], ", "), "/", -1))</f>
        <v>general-requirements.html#profile-only-support</v>
      </c>
      <c r="F2" s="11" t="s">
        <v>961</v>
      </c>
      <c r="G2" t="s">
        <v>29</v>
      </c>
      <c r="H2" cm="1">
        <f t="array" ref="H2">_xlfn.SWITCH(G2, "SHALL", 1, "SHOULD", 3, "MAY", 5, "SHOULD-NOT", 4, "SHALL-NOT", 2, "DEPRECATED", 6, 99)</f>
        <v>1</v>
      </c>
      <c r="J2" s="74" t="s">
        <v>30</v>
      </c>
      <c r="K2" t="s">
        <v>1171</v>
      </c>
      <c r="L2" t="s">
        <v>1171</v>
      </c>
      <c r="M2" t="s">
        <v>1173</v>
      </c>
      <c r="N2" t="s">
        <v>1171</v>
      </c>
      <c r="O2" t="s">
        <v>1171</v>
      </c>
      <c r="P2" t="s">
        <v>1171</v>
      </c>
      <c r="Q2" t="s">
        <v>1171</v>
      </c>
      <c r="R2" t="s">
        <v>1171</v>
      </c>
      <c r="S2" s="70" t="str" cm="1">
        <f t="array" ref="S2">_xlfn.TEXTJOIN(",",TRUE,LEFT(TRIM(_xlfn.TEXTSPLIT(us_core_reqs[[#This Row],[reference]],",")),FIND(".html",TRIM(_xlfn.TEXTSPLIT(us_core_reqs[[#This Row],[reference]],",")))-1))</f>
        <v>general-requirements</v>
      </c>
      <c r="T2" s="70" t="str" cm="1">
        <f t="array" ref="T2">_xlfn.TEXTJOIN(",",TRUE,MID(TRIM(_xlfn.TEXTSPLIT(us_core_reqs[[#This Row],[reference]],",")),FIND("#",TRIM(_xlfn.TEXTSPLIT(us_core_reqs[[#This Row],[reference]],","))&amp;"#")+1,1000))</f>
        <v>profile-only-support</v>
      </c>
      <c r="U2" t="str" cm="1">
        <f t="array" ref="U2">_xlfn.TEXTJOIN(", ",TRUE,SUBSTITUTE(SUBSTITUTE(PROPER(SUBSTITUTE(TRIM(_xlfn.TEXTSPLIT(us_core_reqs[[#This Row],[Page]],","))," -"," "))&amp;": "&amp;PROPER(SUBSTITUTE(TRIM(_xlfn.TEXTSPLIT(us_core_reqs[[#This Row],[Section]],","))," -"," ")),"Us ","US        
  "),"Uscdi","USCDI"))</f>
        <v>General-Requirements: Profile-Only-Support</v>
      </c>
      <c r="V2" t="s">
        <v>29</v>
      </c>
      <c r="W2" t="s">
        <v>30</v>
      </c>
      <c r="X2" t="s">
        <v>31</v>
      </c>
      <c r="Y2" t="s">
        <v>1171</v>
      </c>
      <c r="Z2" t="s">
        <v>1171</v>
      </c>
      <c r="AA2" t="s">
        <v>1171</v>
      </c>
      <c r="AB2" t="s">
        <v>1171</v>
      </c>
      <c r="AC2" t="s">
        <v>1171</v>
      </c>
      <c r="AD2" t="s">
        <v>1140</v>
      </c>
      <c r="AE2" t="s">
        <v>1171</v>
      </c>
    </row>
    <row r="3" spans="1:31" ht="52" thickBot="1" x14ac:dyDescent="0.25">
      <c r="A3" t="s">
        <v>1171</v>
      </c>
      <c r="B3" t="s">
        <v>1174</v>
      </c>
      <c r="C3" t="str">
        <f>"CONF-"&amp;TEXT(us_core_reqs[[#This Row],[ID*]], "0000")</f>
        <v>CONF-0002</v>
      </c>
      <c r="D3" s="11" t="s">
        <v>610</v>
      </c>
      <c r="E3" s="73" t="str" cm="1">
        <f t="array" ref="E3">_xlfn.TEXTJOIN(", ", TRUE, _xlfn.TEXTAFTER(_xlfn.TEXTSPLIT(us_core_reqs[[#This Row],[URL*]], ", "), "/", -1))</f>
        <v>general-requirements.html#profile-only-support</v>
      </c>
      <c r="F3" s="11" t="s">
        <v>962</v>
      </c>
      <c r="G3" t="s">
        <v>32</v>
      </c>
      <c r="H3" cm="1">
        <f t="array" ref="H3">_xlfn.SWITCH(G3, "SHALL", 1, "SHOULD", 3, "MAY", 5, "SHOULD-NOT", 4, "SHALL-NOT", 2, "DEPRECATED", 6, 99)</f>
        <v>3</v>
      </c>
      <c r="J3" t="s">
        <v>30</v>
      </c>
      <c r="K3" t="s">
        <v>1171</v>
      </c>
      <c r="L3" t="s">
        <v>1171</v>
      </c>
      <c r="M3" t="s">
        <v>1173</v>
      </c>
      <c r="N3" t="s">
        <v>1171</v>
      </c>
      <c r="O3" t="s">
        <v>1171</v>
      </c>
      <c r="P3" t="s">
        <v>1171</v>
      </c>
      <c r="Q3" t="s">
        <v>1171</v>
      </c>
      <c r="R3" t="s">
        <v>1171</v>
      </c>
      <c r="S3" s="70" t="str" cm="1">
        <f t="array" ref="S3">_xlfn.TEXTJOIN(",",TRUE,LEFT(TRIM(_xlfn.TEXTSPLIT(us_core_reqs[[#This Row],[reference]],",")),FIND(".html",TRIM(_xlfn.TEXTSPLIT(us_core_reqs[[#This Row],[reference]],",")))-1))</f>
        <v>general-requirements</v>
      </c>
      <c r="T3" s="70" t="str" cm="1">
        <f t="array" ref="T3">_xlfn.TEXTJOIN(",",TRUE,MID(TRIM(_xlfn.TEXTSPLIT(us_core_reqs[[#This Row],[reference]],",")),FIND("#",TRIM(_xlfn.TEXTSPLIT(us_core_reqs[[#This Row],[reference]],","))&amp;"#")+1,1000))</f>
        <v>profile-only-support</v>
      </c>
      <c r="U3" t="str" cm="1">
        <f t="array" ref="U3">_xlfn.TEXTJOIN(", ",TRUE,SUBSTITUTE(SUBSTITUTE(PROPER(SUBSTITUTE(TRIM(_xlfn.TEXTSPLIT(us_core_reqs[[#This Row],[Page]],","))," -"," "))&amp;": "&amp;PROPER(SUBSTITUTE(TRIM(_xlfn.TEXTSPLIT(us_core_reqs[[#This Row],[Section]],","))," -"," ")),"Us ","US        
  "),"Uscdi","USCDI"))</f>
        <v>General-Requirements: Profile-Only-Support</v>
      </c>
      <c r="V3" t="s">
        <v>32</v>
      </c>
      <c r="W3" t="s">
        <v>30</v>
      </c>
      <c r="X3" t="s">
        <v>33</v>
      </c>
      <c r="Y3" t="s">
        <v>1171</v>
      </c>
      <c r="Z3" t="s">
        <v>1171</v>
      </c>
      <c r="AA3" t="s">
        <v>1171</v>
      </c>
      <c r="AB3" t="s">
        <v>1171</v>
      </c>
      <c r="AC3" t="s">
        <v>1171</v>
      </c>
      <c r="AD3" t="s">
        <v>1171</v>
      </c>
      <c r="AE3" t="s">
        <v>1171</v>
      </c>
    </row>
    <row r="4" spans="1:31" ht="35" thickBot="1" x14ac:dyDescent="0.25">
      <c r="A4" t="s">
        <v>1171</v>
      </c>
      <c r="B4" t="s">
        <v>1175</v>
      </c>
      <c r="C4" t="str">
        <f>"CONF-"&amp;TEXT(us_core_reqs[[#This Row],[ID*]], "0000")</f>
        <v>CONF-0003</v>
      </c>
      <c r="D4" s="11" t="s">
        <v>817</v>
      </c>
      <c r="E4" s="73" t="str" cm="1">
        <f t="array" ref="E4">_xlfn.TEXTJOIN(", ", TRUE, _xlfn.TEXTAFTER(_xlfn.TEXTSPLIT(us_core_reqs[[#This Row],[URL*]], ", "), "/", -1))</f>
        <v>general-requirements.html#profile-support--interaction-support</v>
      </c>
      <c r="F4" s="11" t="s">
        <v>34</v>
      </c>
      <c r="G4" t="s">
        <v>35</v>
      </c>
      <c r="H4" cm="1">
        <f t="array" ref="H4">_xlfn.SWITCH(G4, "SHALL", 1, "SHOULD", 3, "MAY", 5, "SHOULD-NOT", 4, "SHALL-NOT", 2, "DEPRECATED", 6, 99)</f>
        <v>5</v>
      </c>
      <c r="J4" t="s">
        <v>30</v>
      </c>
      <c r="K4" t="s">
        <v>1171</v>
      </c>
      <c r="L4" t="s">
        <v>1095</v>
      </c>
      <c r="M4" t="s">
        <v>1176</v>
      </c>
      <c r="N4" t="s">
        <v>36</v>
      </c>
      <c r="O4" t="s">
        <v>1171</v>
      </c>
      <c r="P4" t="s">
        <v>1171</v>
      </c>
      <c r="Q4" t="s">
        <v>1171</v>
      </c>
      <c r="R4" t="s">
        <v>1171</v>
      </c>
      <c r="S4" s="70" t="str" cm="1">
        <f t="array" ref="S4">_xlfn.TEXTJOIN(",",TRUE,LEFT(TRIM(_xlfn.TEXTSPLIT(us_core_reqs[[#This Row],[reference]],",")),FIND(".html",TRIM(_xlfn.TEXTSPLIT(us_core_reqs[[#This Row],[reference]],",")))-1))</f>
        <v>general-requirements</v>
      </c>
      <c r="T4" s="70" t="str" cm="1">
        <f t="array" ref="T4">_xlfn.TEXTJOIN(",",TRUE,MID(TRIM(_xlfn.TEXTSPLIT(us_core_reqs[[#This Row],[reference]],",")),FIND("#",TRIM(_xlfn.TEXTSPLIT(us_core_reqs[[#This Row],[reference]],","))&amp;"#")+1,1000))</f>
        <v>profile-support--interaction-support</v>
      </c>
      <c r="U4" t="str" cm="1">
        <f t="array" ref="U4">_xlfn.TEXTJOIN(", ",TRUE,SUBSTITUTE(SUBSTITUTE(PROPER(SUBSTITUTE(TRIM(_xlfn.TEXTSPLIT(us_core_reqs[[#This Row],[Page]],","))," -"," "))&amp;": "&amp;PROPER(SUBSTITUTE(TRIM(_xlfn.TEXTSPLIT(us_core_reqs[[#This Row],[Section]],","))," -"," ")),"Us ","US        
  "),"Uscdi","USCDI"))</f>
        <v>General-Requirements: Profile-Support--Interaction-Support</v>
      </c>
      <c r="V4" t="s">
        <v>35</v>
      </c>
      <c r="W4" t="s">
        <v>30</v>
      </c>
      <c r="X4" t="s">
        <v>33</v>
      </c>
      <c r="Y4" t="s">
        <v>1171</v>
      </c>
      <c r="Z4" t="s">
        <v>1171</v>
      </c>
      <c r="AA4" t="s">
        <v>1171</v>
      </c>
      <c r="AB4" t="s">
        <v>1171</v>
      </c>
      <c r="AC4" t="s">
        <v>1171</v>
      </c>
      <c r="AD4" t="s">
        <v>1171</v>
      </c>
      <c r="AE4" t="s">
        <v>1171</v>
      </c>
    </row>
    <row r="5" spans="1:31" ht="35" thickBot="1" x14ac:dyDescent="0.25">
      <c r="A5" t="s">
        <v>1171</v>
      </c>
      <c r="B5" t="s">
        <v>1177</v>
      </c>
      <c r="C5" t="str">
        <f>"CONF-"&amp;TEXT(us_core_reqs[[#This Row],[ID*]], "0000")</f>
        <v>CONF-0004</v>
      </c>
      <c r="D5" s="11" t="s">
        <v>817</v>
      </c>
      <c r="E5" s="73" t="str" cm="1">
        <f t="array" ref="E5">_xlfn.TEXTJOIN(", ", TRUE, _xlfn.TEXTAFTER(_xlfn.TEXTSPLIT(us_core_reqs[[#This Row],[URL*]], ", "), "/", -1))</f>
        <v>general-requirements.html#profile-support--interaction-support</v>
      </c>
      <c r="F5" s="11" t="s">
        <v>37</v>
      </c>
      <c r="G5" t="s">
        <v>35</v>
      </c>
      <c r="H5" cm="1">
        <f t="array" ref="H5">_xlfn.SWITCH(G5, "SHALL", 1, "SHOULD", 3, "MAY", 5, "SHOULD-NOT", 4, "SHALL-NOT", 2, "DEPRECATED", 6, 99)</f>
        <v>5</v>
      </c>
      <c r="J5" t="s">
        <v>30</v>
      </c>
      <c r="K5" t="s">
        <v>1171</v>
      </c>
      <c r="L5" t="s">
        <v>1171</v>
      </c>
      <c r="M5" t="s">
        <v>1176</v>
      </c>
      <c r="N5" t="s">
        <v>1171</v>
      </c>
      <c r="O5" t="s">
        <v>1171</v>
      </c>
      <c r="P5" t="s">
        <v>1171</v>
      </c>
      <c r="Q5" t="s">
        <v>1171</v>
      </c>
      <c r="R5" t="s">
        <v>1171</v>
      </c>
      <c r="S5" s="70" t="str" cm="1">
        <f t="array" ref="S5">_xlfn.TEXTJOIN(",",TRUE,LEFT(TRIM(_xlfn.TEXTSPLIT(us_core_reqs[[#This Row],[reference]],",")),FIND(".html",TRIM(_xlfn.TEXTSPLIT(us_core_reqs[[#This Row],[reference]],",")))-1))</f>
        <v>general-requirements</v>
      </c>
      <c r="T5" s="70" t="str" cm="1">
        <f t="array" ref="T5">_xlfn.TEXTJOIN(",",TRUE,MID(TRIM(_xlfn.TEXTSPLIT(us_core_reqs[[#This Row],[reference]],",")),FIND("#",TRIM(_xlfn.TEXTSPLIT(us_core_reqs[[#This Row],[reference]],","))&amp;"#")+1,1000))</f>
        <v>profile-support--interaction-support</v>
      </c>
      <c r="U5" t="str" cm="1">
        <f t="array" ref="U5">_xlfn.TEXTJOIN(", ",TRUE,SUBSTITUTE(SUBSTITUTE(PROPER(SUBSTITUTE(TRIM(_xlfn.TEXTSPLIT(us_core_reqs[[#This Row],[Page]],","))," -"," "))&amp;": "&amp;PROPER(SUBSTITUTE(TRIM(_xlfn.TEXTSPLIT(us_core_reqs[[#This Row],[Section]],","))," -"," ")),"Us ","US        
  "),"Uscdi","USCDI"))</f>
        <v>General-Requirements: Profile-Support--Interaction-Support</v>
      </c>
      <c r="V5" t="s">
        <v>35</v>
      </c>
      <c r="W5" t="s">
        <v>30</v>
      </c>
      <c r="X5" t="s">
        <v>33</v>
      </c>
      <c r="Y5" t="s">
        <v>1171</v>
      </c>
      <c r="Z5" t="s">
        <v>1171</v>
      </c>
      <c r="AA5" t="s">
        <v>1171</v>
      </c>
      <c r="AB5" t="s">
        <v>1171</v>
      </c>
      <c r="AC5" t="s">
        <v>1171</v>
      </c>
      <c r="AD5" t="s">
        <v>1171</v>
      </c>
      <c r="AE5" t="s">
        <v>1171</v>
      </c>
    </row>
    <row r="6" spans="1:31" ht="35" thickBot="1" x14ac:dyDescent="0.25">
      <c r="A6" t="s">
        <v>1171</v>
      </c>
      <c r="B6" t="s">
        <v>1178</v>
      </c>
      <c r="C6" t="str">
        <f>"CONF-"&amp;TEXT(us_core_reqs[[#This Row],[ID*]], "0000")</f>
        <v>CONF-0005</v>
      </c>
      <c r="D6" s="11" t="s">
        <v>817</v>
      </c>
      <c r="E6" s="73" t="str" cm="1">
        <f t="array" ref="E6">_xlfn.TEXTJOIN(", ", TRUE, _xlfn.TEXTAFTER(_xlfn.TEXTSPLIT(us_core_reqs[[#This Row],[URL*]], ", "), "/", -1))</f>
        <v>general-requirements.html#profile-support--interaction-support</v>
      </c>
      <c r="F6" s="11" t="s">
        <v>38</v>
      </c>
      <c r="G6" t="s">
        <v>35</v>
      </c>
      <c r="H6" cm="1">
        <f t="array" ref="H6">_xlfn.SWITCH(G6, "SHALL", 1, "SHOULD", 3, "MAY", 5, "SHOULD-NOT", 4, "SHALL-NOT", 2, "DEPRECATED", 6, 99)</f>
        <v>5</v>
      </c>
      <c r="J6" t="s">
        <v>30</v>
      </c>
      <c r="K6" t="s">
        <v>1171</v>
      </c>
      <c r="L6" t="s">
        <v>1171</v>
      </c>
      <c r="M6" t="s">
        <v>1176</v>
      </c>
      <c r="N6" t="s">
        <v>1171</v>
      </c>
      <c r="O6" t="s">
        <v>1171</v>
      </c>
      <c r="P6" t="s">
        <v>1171</v>
      </c>
      <c r="Q6" t="s">
        <v>1171</v>
      </c>
      <c r="R6" t="s">
        <v>1171</v>
      </c>
      <c r="S6" s="70" t="str" cm="1">
        <f t="array" ref="S6">_xlfn.TEXTJOIN(",",TRUE,LEFT(TRIM(_xlfn.TEXTSPLIT(us_core_reqs[[#This Row],[reference]],",")),FIND(".html",TRIM(_xlfn.TEXTSPLIT(us_core_reqs[[#This Row],[reference]],",")))-1))</f>
        <v>general-requirements</v>
      </c>
      <c r="T6" s="70" t="str" cm="1">
        <f t="array" ref="T6">_xlfn.TEXTJOIN(",",TRUE,MID(TRIM(_xlfn.TEXTSPLIT(us_core_reqs[[#This Row],[reference]],",")),FIND("#",TRIM(_xlfn.TEXTSPLIT(us_core_reqs[[#This Row],[reference]],","))&amp;"#")+1,1000))</f>
        <v>profile-support--interaction-support</v>
      </c>
      <c r="U6" t="str" cm="1">
        <f t="array" ref="U6">_xlfn.TEXTJOIN(", ",TRUE,SUBSTITUTE(SUBSTITUTE(PROPER(SUBSTITUTE(TRIM(_xlfn.TEXTSPLIT(us_core_reqs[[#This Row],[Page]],","))," -"," "))&amp;": "&amp;PROPER(SUBSTITUTE(TRIM(_xlfn.TEXTSPLIT(us_core_reqs[[#This Row],[Section]],","))," -"," ")),"Us ","US        
  "),"Uscdi","USCDI"))</f>
        <v>General-Requirements: Profile-Support--Interaction-Support</v>
      </c>
      <c r="V6" t="s">
        <v>35</v>
      </c>
      <c r="W6" t="s">
        <v>30</v>
      </c>
      <c r="X6" t="s">
        <v>33</v>
      </c>
      <c r="Y6" t="s">
        <v>1171</v>
      </c>
      <c r="Z6" t="s">
        <v>1171</v>
      </c>
      <c r="AA6" t="s">
        <v>1171</v>
      </c>
      <c r="AB6" t="s">
        <v>1171</v>
      </c>
      <c r="AC6" t="s">
        <v>1171</v>
      </c>
      <c r="AD6" t="s">
        <v>1171</v>
      </c>
      <c r="AE6" t="s">
        <v>1171</v>
      </c>
    </row>
    <row r="7" spans="1:31" ht="35" thickBot="1" x14ac:dyDescent="0.25">
      <c r="A7" t="s">
        <v>1171</v>
      </c>
      <c r="B7" t="s">
        <v>1179</v>
      </c>
      <c r="C7" t="str">
        <f>"CONF-"&amp;TEXT(us_core_reqs[[#This Row],[ID*]], "0000")</f>
        <v>CONF-0006</v>
      </c>
      <c r="D7" s="11" t="s">
        <v>817</v>
      </c>
      <c r="E7" s="73" t="str" cm="1">
        <f t="array" ref="E7">_xlfn.TEXTJOIN(", ", TRUE, _xlfn.TEXTAFTER(_xlfn.TEXTSPLIT(us_core_reqs[[#This Row],[URL*]], ", "), "/", -1))</f>
        <v>general-requirements.html#profile-support--interaction-support</v>
      </c>
      <c r="F7" s="11" t="s">
        <v>39</v>
      </c>
      <c r="G7" t="s">
        <v>35</v>
      </c>
      <c r="H7" cm="1">
        <f t="array" ref="H7">_xlfn.SWITCH(G7, "SHALL", 1, "SHOULD", 3, "MAY", 5, "SHOULD-NOT", 4, "SHALL-NOT", 2, "DEPRECATED", 6, 99)</f>
        <v>5</v>
      </c>
      <c r="J7" t="s">
        <v>30</v>
      </c>
      <c r="K7" t="s">
        <v>1171</v>
      </c>
      <c r="L7" t="s">
        <v>1171</v>
      </c>
      <c r="M7" t="s">
        <v>1176</v>
      </c>
      <c r="N7" t="s">
        <v>1171</v>
      </c>
      <c r="O7" t="s">
        <v>1171</v>
      </c>
      <c r="P7" t="s">
        <v>1171</v>
      </c>
      <c r="Q7" t="s">
        <v>1171</v>
      </c>
      <c r="R7" t="s">
        <v>1171</v>
      </c>
      <c r="S7" s="70" t="str" cm="1">
        <f t="array" ref="S7">_xlfn.TEXTJOIN(",",TRUE,LEFT(TRIM(_xlfn.TEXTSPLIT(us_core_reqs[[#This Row],[reference]],",")),FIND(".html",TRIM(_xlfn.TEXTSPLIT(us_core_reqs[[#This Row],[reference]],",")))-1))</f>
        <v>general-requirements</v>
      </c>
      <c r="T7" s="70" t="str" cm="1">
        <f t="array" ref="T7">_xlfn.TEXTJOIN(",",TRUE,MID(TRIM(_xlfn.TEXTSPLIT(us_core_reqs[[#This Row],[reference]],",")),FIND("#",TRIM(_xlfn.TEXTSPLIT(us_core_reqs[[#This Row],[reference]],","))&amp;"#")+1,1000))</f>
        <v>profile-support--interaction-support</v>
      </c>
      <c r="U7" t="str" cm="1">
        <f t="array" ref="U7">_xlfn.TEXTJOIN(", ",TRUE,SUBSTITUTE(SUBSTITUTE(PROPER(SUBSTITUTE(TRIM(_xlfn.TEXTSPLIT(us_core_reqs[[#This Row],[Page]],","))," -"," "))&amp;": "&amp;PROPER(SUBSTITUTE(TRIM(_xlfn.TEXTSPLIT(us_core_reqs[[#This Row],[Section]],","))," -"," ")),"Us ","US        
  "),"Uscdi","USCDI"))</f>
        <v>General-Requirements: Profile-Support--Interaction-Support</v>
      </c>
      <c r="V7" t="s">
        <v>35</v>
      </c>
      <c r="W7" t="s">
        <v>30</v>
      </c>
      <c r="X7" t="s">
        <v>33</v>
      </c>
      <c r="Y7" t="s">
        <v>1171</v>
      </c>
      <c r="Z7" t="s">
        <v>1171</v>
      </c>
      <c r="AA7" t="s">
        <v>1171</v>
      </c>
      <c r="AB7" t="s">
        <v>1171</v>
      </c>
      <c r="AC7" t="s">
        <v>1171</v>
      </c>
      <c r="AD7" t="s">
        <v>1171</v>
      </c>
      <c r="AE7" t="s">
        <v>1171</v>
      </c>
    </row>
    <row r="8" spans="1:31" ht="52" thickBot="1" x14ac:dyDescent="0.25">
      <c r="A8" t="s">
        <v>1171</v>
      </c>
      <c r="B8" t="s">
        <v>1180</v>
      </c>
      <c r="C8" t="str">
        <f>"CONF-"&amp;TEXT(us_core_reqs[[#This Row],[ID*]], "0000")</f>
        <v>CONF-0007</v>
      </c>
      <c r="D8" s="11" t="s">
        <v>817</v>
      </c>
      <c r="E8" s="73" t="str" cm="1">
        <f t="array" ref="E8">_xlfn.TEXTJOIN(", ", TRUE, _xlfn.TEXTAFTER(_xlfn.TEXTSPLIT(us_core_reqs[[#This Row],[URL*]], ", "), "/", -1))</f>
        <v>general-requirements.html#profile-support--interaction-support</v>
      </c>
      <c r="F8" s="11" t="s">
        <v>40</v>
      </c>
      <c r="G8" t="s">
        <v>35</v>
      </c>
      <c r="H8" cm="1">
        <f t="array" ref="H8">_xlfn.SWITCH(G8, "SHALL", 1, "SHOULD", 3, "MAY", 5, "SHOULD-NOT", 4, "SHALL-NOT", 2, "DEPRECATED", 6, 99)</f>
        <v>5</v>
      </c>
      <c r="J8" t="s">
        <v>30</v>
      </c>
      <c r="K8" t="s">
        <v>1171</v>
      </c>
      <c r="L8" t="s">
        <v>1171</v>
      </c>
      <c r="M8" t="s">
        <v>1176</v>
      </c>
      <c r="N8" t="s">
        <v>1171</v>
      </c>
      <c r="O8" t="s">
        <v>1171</v>
      </c>
      <c r="P8" t="s">
        <v>1171</v>
      </c>
      <c r="Q8" t="s">
        <v>1171</v>
      </c>
      <c r="R8" t="s">
        <v>1171</v>
      </c>
      <c r="S8" s="70" t="str" cm="1">
        <f t="array" ref="S8">_xlfn.TEXTJOIN(",",TRUE,LEFT(TRIM(_xlfn.TEXTSPLIT(us_core_reqs[[#This Row],[reference]],",")),FIND(".html",TRIM(_xlfn.TEXTSPLIT(us_core_reqs[[#This Row],[reference]],",")))-1))</f>
        <v>general-requirements</v>
      </c>
      <c r="T8" s="70" t="str" cm="1">
        <f t="array" ref="T8">_xlfn.TEXTJOIN(",",TRUE,MID(TRIM(_xlfn.TEXTSPLIT(us_core_reqs[[#This Row],[reference]],",")),FIND("#",TRIM(_xlfn.TEXTSPLIT(us_core_reqs[[#This Row],[reference]],","))&amp;"#")+1,1000))</f>
        <v>profile-support--interaction-support</v>
      </c>
      <c r="U8" t="str" cm="1">
        <f t="array" ref="U8">_xlfn.TEXTJOIN(", ",TRUE,SUBSTITUTE(SUBSTITUTE(PROPER(SUBSTITUTE(TRIM(_xlfn.TEXTSPLIT(us_core_reqs[[#This Row],[Page]],","))," -"," "))&amp;": "&amp;PROPER(SUBSTITUTE(TRIM(_xlfn.TEXTSPLIT(us_core_reqs[[#This Row],[Section]],","))," -"," ")),"Us ","US        
  "),"Uscdi","USCDI"))</f>
        <v>General-Requirements: Profile-Support--Interaction-Support</v>
      </c>
      <c r="V8" t="s">
        <v>35</v>
      </c>
      <c r="W8" t="s">
        <v>30</v>
      </c>
      <c r="X8" t="s">
        <v>33</v>
      </c>
      <c r="Y8" t="s">
        <v>1171</v>
      </c>
      <c r="Z8" t="s">
        <v>1171</v>
      </c>
      <c r="AA8" t="s">
        <v>1171</v>
      </c>
      <c r="AB8" t="s">
        <v>1171</v>
      </c>
      <c r="AC8" t="s">
        <v>1171</v>
      </c>
      <c r="AD8" t="s">
        <v>1171</v>
      </c>
      <c r="AE8" t="s">
        <v>1171</v>
      </c>
    </row>
    <row r="9" spans="1:31" ht="52" thickBot="1" x14ac:dyDescent="0.25">
      <c r="A9" t="s">
        <v>1171</v>
      </c>
      <c r="B9" t="s">
        <v>1181</v>
      </c>
      <c r="C9" t="str">
        <f>"CONF-"&amp;TEXT(us_core_reqs[[#This Row],[ID*]], "0000")</f>
        <v>CONF-0008</v>
      </c>
      <c r="D9" s="11" t="s">
        <v>817</v>
      </c>
      <c r="E9" s="73" t="str" cm="1">
        <f t="array" ref="E9">_xlfn.TEXTJOIN(", ", TRUE, _xlfn.TEXTAFTER(_xlfn.TEXTSPLIT(us_core_reqs[[#This Row],[URL*]], ", "), "/", -1))</f>
        <v>general-requirements.html#profile-support--interaction-support</v>
      </c>
      <c r="F9" s="11" t="s">
        <v>41</v>
      </c>
      <c r="G9" t="s">
        <v>35</v>
      </c>
      <c r="H9" cm="1">
        <f t="array" ref="H9">_xlfn.SWITCH(G9, "SHALL", 1, "SHOULD", 3, "MAY", 5, "SHOULD-NOT", 4, "SHALL-NOT", 2, "DEPRECATED", 6, 99)</f>
        <v>5</v>
      </c>
      <c r="J9" t="s">
        <v>30</v>
      </c>
      <c r="K9" t="s">
        <v>1171</v>
      </c>
      <c r="L9" t="s">
        <v>1171</v>
      </c>
      <c r="M9" t="s">
        <v>1176</v>
      </c>
      <c r="N9" t="s">
        <v>1171</v>
      </c>
      <c r="O9" t="s">
        <v>1171</v>
      </c>
      <c r="P9" t="s">
        <v>1171</v>
      </c>
      <c r="Q9" t="s">
        <v>1171</v>
      </c>
      <c r="R9" t="s">
        <v>1171</v>
      </c>
      <c r="S9" s="70" t="str" cm="1">
        <f t="array" ref="S9">_xlfn.TEXTJOIN(",",TRUE,LEFT(TRIM(_xlfn.TEXTSPLIT(us_core_reqs[[#This Row],[reference]],",")),FIND(".html",TRIM(_xlfn.TEXTSPLIT(us_core_reqs[[#This Row],[reference]],",")))-1))</f>
        <v>general-requirements</v>
      </c>
      <c r="T9" s="70" t="str" cm="1">
        <f t="array" ref="T9">_xlfn.TEXTJOIN(",",TRUE,MID(TRIM(_xlfn.TEXTSPLIT(us_core_reqs[[#This Row],[reference]],",")),FIND("#",TRIM(_xlfn.TEXTSPLIT(us_core_reqs[[#This Row],[reference]],","))&amp;"#")+1,1000))</f>
        <v>profile-support--interaction-support</v>
      </c>
      <c r="U9" t="str" cm="1">
        <f t="array" ref="U9">_xlfn.TEXTJOIN(", ",TRUE,SUBSTITUTE(SUBSTITUTE(PROPER(SUBSTITUTE(TRIM(_xlfn.TEXTSPLIT(us_core_reqs[[#This Row],[Page]],","))," -"," "))&amp;": "&amp;PROPER(SUBSTITUTE(TRIM(_xlfn.TEXTSPLIT(us_core_reqs[[#This Row],[Section]],","))," -"," ")),"Us ","US        
  "),"Uscdi","USCDI"))</f>
        <v>General-Requirements: Profile-Support--Interaction-Support</v>
      </c>
      <c r="V9" t="s">
        <v>35</v>
      </c>
      <c r="W9" t="s">
        <v>30</v>
      </c>
      <c r="X9" t="s">
        <v>33</v>
      </c>
      <c r="Y9" t="s">
        <v>1171</v>
      </c>
      <c r="Z9" t="s">
        <v>1171</v>
      </c>
      <c r="AA9" t="s">
        <v>1171</v>
      </c>
      <c r="AB9" t="s">
        <v>1171</v>
      </c>
      <c r="AC9" t="s">
        <v>1171</v>
      </c>
      <c r="AD9" t="s">
        <v>1171</v>
      </c>
      <c r="AE9" t="s">
        <v>1171</v>
      </c>
    </row>
    <row r="10" spans="1:31" ht="69" thickBot="1" x14ac:dyDescent="0.25">
      <c r="A10" t="s">
        <v>1171</v>
      </c>
      <c r="B10" t="s">
        <v>1182</v>
      </c>
      <c r="C10" t="str">
        <f>"CONF-"&amp;TEXT(us_core_reqs[[#This Row],[ID*]], "0000")</f>
        <v>CONF-0009</v>
      </c>
      <c r="D10" s="11" t="s">
        <v>817</v>
      </c>
      <c r="E10" s="73" t="str" cm="1">
        <f t="array" ref="E10">_xlfn.TEXTJOIN(", ", TRUE, _xlfn.TEXTAFTER(_xlfn.TEXTSPLIT(us_core_reqs[[#This Row],[URL*]], ", "), "/", -1))</f>
        <v>general-requirements.html#profile-support--interaction-support</v>
      </c>
      <c r="F10" s="11" t="s">
        <v>42</v>
      </c>
      <c r="G10" t="s">
        <v>35</v>
      </c>
      <c r="H10" cm="1">
        <f t="array" ref="H10">_xlfn.SWITCH(G10, "SHALL", 1, "SHOULD", 3, "MAY", 5, "SHOULD-NOT", 4, "SHALL-NOT", 2, "DEPRECATED", 6, 99)</f>
        <v>5</v>
      </c>
      <c r="J10" t="s">
        <v>30</v>
      </c>
      <c r="K10" t="s">
        <v>1171</v>
      </c>
      <c r="L10" t="s">
        <v>1171</v>
      </c>
      <c r="M10" t="s">
        <v>1176</v>
      </c>
      <c r="N10" t="s">
        <v>1171</v>
      </c>
      <c r="O10" t="s">
        <v>1171</v>
      </c>
      <c r="P10" t="s">
        <v>1171</v>
      </c>
      <c r="Q10" t="s">
        <v>1171</v>
      </c>
      <c r="R10" t="s">
        <v>1171</v>
      </c>
      <c r="S10" s="70" t="str" cm="1">
        <f t="array" ref="S10">_xlfn.TEXTJOIN(",",TRUE,LEFT(TRIM(_xlfn.TEXTSPLIT(us_core_reqs[[#This Row],[reference]],",")),FIND(".html",TRIM(_xlfn.TEXTSPLIT(us_core_reqs[[#This Row],[reference]],",")))-1))</f>
        <v>general-requirements</v>
      </c>
      <c r="T10" s="70" t="str" cm="1">
        <f t="array" ref="T10">_xlfn.TEXTJOIN(",",TRUE,MID(TRIM(_xlfn.TEXTSPLIT(us_core_reqs[[#This Row],[reference]],",")),FIND("#",TRIM(_xlfn.TEXTSPLIT(us_core_reqs[[#This Row],[reference]],","))&amp;"#")+1,1000))</f>
        <v>profile-support--interaction-support</v>
      </c>
      <c r="U10" t="str" cm="1">
        <f t="array" ref="U10">_xlfn.TEXTJOIN(", ",TRUE,SUBSTITUTE(SUBSTITUTE(PROPER(SUBSTITUTE(TRIM(_xlfn.TEXTSPLIT(us_core_reqs[[#This Row],[Page]],","))," -"," "))&amp;": "&amp;PROPER(SUBSTITUTE(TRIM(_xlfn.TEXTSPLIT(us_core_reqs[[#This Row],[Section]],","))," -"," ")),"Us ","US        
  "),"Uscdi","USCDI"))</f>
        <v>General-Requirements: Profile-Support--Interaction-Support</v>
      </c>
      <c r="V10" t="s">
        <v>1171</v>
      </c>
      <c r="W10" t="s">
        <v>30</v>
      </c>
      <c r="X10" t="s">
        <v>33</v>
      </c>
      <c r="Y10" t="s">
        <v>1171</v>
      </c>
      <c r="Z10" t="s">
        <v>1171</v>
      </c>
      <c r="AA10" t="s">
        <v>1171</v>
      </c>
      <c r="AB10" t="s">
        <v>1171</v>
      </c>
      <c r="AC10" t="s">
        <v>1171</v>
      </c>
      <c r="AD10" t="s">
        <v>1171</v>
      </c>
      <c r="AE10" t="s">
        <v>1171</v>
      </c>
    </row>
    <row r="11" spans="1:31" ht="52" thickBot="1" x14ac:dyDescent="0.25">
      <c r="A11" t="s">
        <v>1171</v>
      </c>
      <c r="B11" t="s">
        <v>1183</v>
      </c>
      <c r="C11" t="str">
        <f>"CONF-"&amp;TEXT(us_core_reqs[[#This Row],[ID*]], "0000")</f>
        <v>CONF-0010</v>
      </c>
      <c r="D11" s="11" t="s">
        <v>817</v>
      </c>
      <c r="E11" s="73" t="str" cm="1">
        <f t="array" ref="E11">_xlfn.TEXTJOIN(", ", TRUE, _xlfn.TEXTAFTER(_xlfn.TEXTSPLIT(us_core_reqs[[#This Row],[URL*]], ", "), "/", -1))</f>
        <v>general-requirements.html#profile-support--interaction-support</v>
      </c>
      <c r="F11" s="11" t="s">
        <v>43</v>
      </c>
      <c r="G11" t="s">
        <v>35</v>
      </c>
      <c r="H11" cm="1">
        <f t="array" ref="H11">_xlfn.SWITCH(G11, "SHALL", 1, "SHOULD", 3, "MAY", 5, "SHOULD-NOT", 4, "SHALL-NOT", 2, "DEPRECATED", 6, 99)</f>
        <v>5</v>
      </c>
      <c r="J11" t="s">
        <v>30</v>
      </c>
      <c r="K11" t="s">
        <v>1171</v>
      </c>
      <c r="L11" t="s">
        <v>1171</v>
      </c>
      <c r="M11" t="s">
        <v>1176</v>
      </c>
      <c r="N11" t="s">
        <v>1171</v>
      </c>
      <c r="O11" t="s">
        <v>1171</v>
      </c>
      <c r="P11" t="s">
        <v>1171</v>
      </c>
      <c r="Q11" t="s">
        <v>1171</v>
      </c>
      <c r="R11" t="s">
        <v>1171</v>
      </c>
      <c r="S11" s="70" t="str" cm="1">
        <f t="array" ref="S11">_xlfn.TEXTJOIN(",",TRUE,LEFT(TRIM(_xlfn.TEXTSPLIT(us_core_reqs[[#This Row],[reference]],",")),FIND(".html",TRIM(_xlfn.TEXTSPLIT(us_core_reqs[[#This Row],[reference]],",")))-1))</f>
        <v>general-requirements</v>
      </c>
      <c r="T11" s="70" t="str" cm="1">
        <f t="array" ref="T11">_xlfn.TEXTJOIN(",",TRUE,MID(TRIM(_xlfn.TEXTSPLIT(us_core_reqs[[#This Row],[reference]],",")),FIND("#",TRIM(_xlfn.TEXTSPLIT(us_core_reqs[[#This Row],[reference]],","))&amp;"#")+1,1000))</f>
        <v>profile-support--interaction-support</v>
      </c>
      <c r="U11" t="str" cm="1">
        <f t="array" ref="U11">_xlfn.TEXTJOIN(", ",TRUE,SUBSTITUTE(SUBSTITUTE(PROPER(SUBSTITUTE(TRIM(_xlfn.TEXTSPLIT(us_core_reqs[[#This Row],[Page]],","))," -"," "))&amp;": "&amp;PROPER(SUBSTITUTE(TRIM(_xlfn.TEXTSPLIT(us_core_reqs[[#This Row],[Section]],","))," -"," ")),"Us ","US        
  "),"Uscdi","USCDI"))</f>
        <v>General-Requirements: Profile-Support--Interaction-Support</v>
      </c>
      <c r="V11" t="s">
        <v>1171</v>
      </c>
      <c r="W11" t="s">
        <v>30</v>
      </c>
      <c r="X11" t="s">
        <v>33</v>
      </c>
      <c r="Y11" t="s">
        <v>1171</v>
      </c>
      <c r="Z11" t="s">
        <v>1171</v>
      </c>
      <c r="AA11" t="s">
        <v>1171</v>
      </c>
      <c r="AB11" t="s">
        <v>1171</v>
      </c>
      <c r="AC11" t="s">
        <v>1171</v>
      </c>
      <c r="AD11" t="s">
        <v>1171</v>
      </c>
      <c r="AE11" t="s">
        <v>1171</v>
      </c>
    </row>
    <row r="12" spans="1:31" ht="86" thickBot="1" x14ac:dyDescent="0.25">
      <c r="A12" t="s">
        <v>1171</v>
      </c>
      <c r="B12" t="s">
        <v>1184</v>
      </c>
      <c r="C12" t="str">
        <f>"CONF-"&amp;TEXT(us_core_reqs[[#This Row],[ID*]], "0000")</f>
        <v>CONF-0011</v>
      </c>
      <c r="D12" s="11" t="s">
        <v>817</v>
      </c>
      <c r="E12" s="73" t="str" cm="1">
        <f t="array" ref="E12">_xlfn.TEXTJOIN(", ", TRUE, _xlfn.TEXTAFTER(_xlfn.TEXTSPLIT(us_core_reqs[[#This Row],[URL*]], ", "), "/", -1))</f>
        <v>general-requirements.html#profile-support--interaction-support</v>
      </c>
      <c r="F12" s="11" t="s">
        <v>1841</v>
      </c>
      <c r="G12" t="s">
        <v>29</v>
      </c>
      <c r="H12" cm="1">
        <f t="array" ref="H12">_xlfn.SWITCH(G12, "SHALL", 1, "SHOULD", 3, "MAY", 5, "SHOULD-NOT", 4, "SHALL-NOT", 2, "DEPRECATED", 6, 99)</f>
        <v>1</v>
      </c>
      <c r="I12" s="75" t="s">
        <v>1844</v>
      </c>
      <c r="J12" t="s">
        <v>30</v>
      </c>
      <c r="K12" t="s">
        <v>1176</v>
      </c>
      <c r="L12" t="s">
        <v>1171</v>
      </c>
      <c r="M12" t="b">
        <v>0</v>
      </c>
      <c r="N12" t="s">
        <v>1171</v>
      </c>
      <c r="O12" t="s">
        <v>44</v>
      </c>
      <c r="P12" t="s">
        <v>1171</v>
      </c>
      <c r="Q12" t="s">
        <v>45</v>
      </c>
      <c r="R12" t="s">
        <v>46</v>
      </c>
      <c r="S12" s="70" t="str" cm="1">
        <f t="array" ref="S12">_xlfn.TEXTJOIN(",",TRUE,LEFT(TRIM(_xlfn.TEXTSPLIT(us_core_reqs[[#This Row],[reference]],",")),FIND(".html",TRIM(_xlfn.TEXTSPLIT(us_core_reqs[[#This Row],[reference]],",")))-1))</f>
        <v>general-requirements</v>
      </c>
      <c r="T12" s="70" t="str" cm="1">
        <f t="array" ref="T12">_xlfn.TEXTJOIN(",",TRUE,MID(TRIM(_xlfn.TEXTSPLIT(us_core_reqs[[#This Row],[reference]],",")),FIND("#",TRIM(_xlfn.TEXTSPLIT(us_core_reqs[[#This Row],[reference]],","))&amp;"#")+1,1000))</f>
        <v>profile-support--interaction-support</v>
      </c>
      <c r="U12" t="str" cm="1">
        <f t="array" ref="U12">_xlfn.TEXTJOIN(", ",TRUE,SUBSTITUTE(SUBSTITUTE(PROPER(SUBSTITUTE(TRIM(_xlfn.TEXTSPLIT(us_core_reqs[[#This Row],[Page]],","))," -"," "))&amp;": "&amp;PROPER(SUBSTITUTE(TRIM(_xlfn.TEXTSPLIT(us_core_reqs[[#This Row],[Section]],","))," -"," ")),"Us ","US        
  "),"Uscdi","USCDI"))</f>
        <v>General-Requirements: Profile-Support--Interaction-Support</v>
      </c>
      <c r="V12" t="s">
        <v>1171</v>
      </c>
      <c r="W12" t="s">
        <v>30</v>
      </c>
      <c r="X12" t="s">
        <v>33</v>
      </c>
      <c r="Y12" t="s">
        <v>1171</v>
      </c>
      <c r="Z12" t="s">
        <v>1171</v>
      </c>
      <c r="AA12" t="s">
        <v>1171</v>
      </c>
      <c r="AB12" t="s">
        <v>1171</v>
      </c>
      <c r="AC12" t="s">
        <v>47</v>
      </c>
      <c r="AD12" t="s">
        <v>1141</v>
      </c>
      <c r="AE12" t="s">
        <v>1171</v>
      </c>
    </row>
    <row r="13" spans="1:31" ht="103" thickBot="1" x14ac:dyDescent="0.25">
      <c r="A13" t="s">
        <v>1171</v>
      </c>
      <c r="B13" t="s">
        <v>1185</v>
      </c>
      <c r="C13" t="str">
        <f>"CONF-"&amp;TEXT(us_core_reqs[[#This Row],[ID*]], "0000")</f>
        <v>CONF-0012</v>
      </c>
      <c r="D13" s="11" t="s">
        <v>817</v>
      </c>
      <c r="E13" s="73" t="str" cm="1">
        <f t="array" ref="E13">_xlfn.TEXTJOIN(", ", TRUE, _xlfn.TEXTAFTER(_xlfn.TEXTSPLIT(us_core_reqs[[#This Row],[URL*]], ", "), "/", -1))</f>
        <v>general-requirements.html#profile-support--interaction-support</v>
      </c>
      <c r="F13" s="11" t="s">
        <v>1842</v>
      </c>
      <c r="G13" t="s">
        <v>29</v>
      </c>
      <c r="H13" cm="1">
        <f t="array" ref="H13">_xlfn.SWITCH(G13, "SHALL", 1, "SHOULD", 3, "MAY", 5, "SHOULD-NOT", 4, "SHALL-NOT", 2, "DEPRECATED", 6, 99)</f>
        <v>1</v>
      </c>
      <c r="I13" s="75" t="s">
        <v>1844</v>
      </c>
      <c r="J13" t="s">
        <v>30</v>
      </c>
      <c r="K13" t="s">
        <v>1176</v>
      </c>
      <c r="L13" t="s">
        <v>1171</v>
      </c>
      <c r="M13" t="b">
        <v>0</v>
      </c>
      <c r="N13" t="s">
        <v>1171</v>
      </c>
      <c r="O13" t="s">
        <v>44</v>
      </c>
      <c r="P13" t="s">
        <v>1171</v>
      </c>
      <c r="Q13" t="s">
        <v>45</v>
      </c>
      <c r="R13" t="s">
        <v>46</v>
      </c>
      <c r="S13" s="70" t="str" cm="1">
        <f t="array" ref="S13">_xlfn.TEXTJOIN(",",TRUE,LEFT(TRIM(_xlfn.TEXTSPLIT(us_core_reqs[[#This Row],[reference]],",")),FIND(".html",TRIM(_xlfn.TEXTSPLIT(us_core_reqs[[#This Row],[reference]],",")))-1))</f>
        <v>general-requirements</v>
      </c>
      <c r="T13" s="70" t="str" cm="1">
        <f t="array" ref="T13">_xlfn.TEXTJOIN(",",TRUE,MID(TRIM(_xlfn.TEXTSPLIT(us_core_reqs[[#This Row],[reference]],",")),FIND("#",TRIM(_xlfn.TEXTSPLIT(us_core_reqs[[#This Row],[reference]],","))&amp;"#")+1,1000))</f>
        <v>profile-support--interaction-support</v>
      </c>
      <c r="U13" t="str" cm="1">
        <f t="array" ref="U13">_xlfn.TEXTJOIN(", ",TRUE,SUBSTITUTE(SUBSTITUTE(PROPER(SUBSTITUTE(TRIM(_xlfn.TEXTSPLIT(us_core_reqs[[#This Row],[Page]],","))," -"," "))&amp;": "&amp;PROPER(SUBSTITUTE(TRIM(_xlfn.TEXTSPLIT(us_core_reqs[[#This Row],[Section]],","))," -"," ")),"Us ","US        
  "),"Uscdi","USCDI"))</f>
        <v>General-Requirements: Profile-Support--Interaction-Support</v>
      </c>
      <c r="V13" t="s">
        <v>1171</v>
      </c>
      <c r="W13" t="s">
        <v>30</v>
      </c>
      <c r="X13" t="s">
        <v>33</v>
      </c>
      <c r="Y13" t="s">
        <v>1171</v>
      </c>
      <c r="Z13" t="s">
        <v>1171</v>
      </c>
      <c r="AA13" t="s">
        <v>1171</v>
      </c>
      <c r="AB13" t="s">
        <v>1171</v>
      </c>
      <c r="AC13" t="s">
        <v>47</v>
      </c>
      <c r="AD13" t="s">
        <v>1141</v>
      </c>
      <c r="AE13" t="s">
        <v>1171</v>
      </c>
    </row>
    <row r="14" spans="1:31" ht="86" thickBot="1" x14ac:dyDescent="0.25">
      <c r="A14" t="s">
        <v>1171</v>
      </c>
      <c r="B14" t="s">
        <v>1186</v>
      </c>
      <c r="C14" t="str">
        <f>"CONF-"&amp;TEXT(us_core_reqs[[#This Row],[ID*]], "0000")</f>
        <v>CONF-0013</v>
      </c>
      <c r="D14" s="11" t="s">
        <v>818</v>
      </c>
      <c r="E14" s="73" t="str" cm="1">
        <f t="array" ref="E14">_xlfn.TEXTJOIN(", ", TRUE, _xlfn.TEXTAFTER(_xlfn.TEXTSPLIT(us_core_reqs[[#This Row],[URL*]], ", "), "/", -1))</f>
        <v>general-requirements.html#claiming-conformance-to-a-us-core-profile</v>
      </c>
      <c r="F14" s="11" t="s">
        <v>965</v>
      </c>
      <c r="G14" t="s">
        <v>29</v>
      </c>
      <c r="H14" cm="1">
        <f t="array" ref="H14">_xlfn.SWITCH(G14, "SHALL", 1, "SHOULD", 3, "MAY", 5, "SHOULD-NOT", 4, "SHALL-NOT", 2, "DEPRECATED", 6, 99)</f>
        <v>1</v>
      </c>
      <c r="J14" t="s">
        <v>30</v>
      </c>
      <c r="K14" t="s">
        <v>1171</v>
      </c>
      <c r="L14" t="s">
        <v>1171</v>
      </c>
      <c r="M14" t="s">
        <v>1173</v>
      </c>
      <c r="N14" t="s">
        <v>1171</v>
      </c>
      <c r="O14" t="s">
        <v>1171</v>
      </c>
      <c r="P14" t="s">
        <v>1171</v>
      </c>
      <c r="Q14" t="s">
        <v>1171</v>
      </c>
      <c r="R14" t="s">
        <v>1171</v>
      </c>
      <c r="S14" s="70" t="str" cm="1">
        <f t="array" ref="S14">_xlfn.TEXTJOIN(",",TRUE,LEFT(TRIM(_xlfn.TEXTSPLIT(us_core_reqs[[#This Row],[reference]],",")),FIND(".html",TRIM(_xlfn.TEXTSPLIT(us_core_reqs[[#This Row],[reference]],",")))-1))</f>
        <v>general-requirements</v>
      </c>
      <c r="T14" s="70" t="str" cm="1">
        <f t="array" ref="T14">_xlfn.TEXTJOIN(",",TRUE,MID(TRIM(_xlfn.TEXTSPLIT(us_core_reqs[[#This Row],[reference]],",")),FIND("#",TRIM(_xlfn.TEXTSPLIT(us_core_reqs[[#This Row],[reference]],","))&amp;"#")+1,1000))</f>
        <v>claiming-conformance-to-a-us-core-profile</v>
      </c>
      <c r="U14" t="str" cm="1">
        <f t="array" ref="U14">_xlfn.TEXTJOIN(", ",TRUE,SUBSTITUTE(SUBSTITUTE(PROPER(SUBSTITUTE(TRIM(_xlfn.TEXTSPLIT(us_core_reqs[[#This Row],[Page]],","))," -"," "))&amp;": "&amp;PROPER(SUBSTITUTE(TRIM(_xlfn.TEXTSPLIT(us_core_reqs[[#This Row],[Section]],","))," -"," ")),"Us ","US        
  "),"Uscdi","USCDI"))</f>
        <v>General-Requirements: Claiming-Conformance-To-A-Us-Core-Profile</v>
      </c>
      <c r="V14" t="s">
        <v>29</v>
      </c>
      <c r="W14" t="s">
        <v>30</v>
      </c>
      <c r="X14" t="s">
        <v>33</v>
      </c>
      <c r="Y14" t="s">
        <v>1171</v>
      </c>
      <c r="Z14" t="s">
        <v>1171</v>
      </c>
      <c r="AA14" t="s">
        <v>1171</v>
      </c>
      <c r="AB14" t="s">
        <v>1171</v>
      </c>
      <c r="AC14" t="s">
        <v>1171</v>
      </c>
      <c r="AD14" t="s">
        <v>1140</v>
      </c>
      <c r="AE14" t="s">
        <v>1171</v>
      </c>
    </row>
    <row r="15" spans="1:31" ht="137" thickBot="1" x14ac:dyDescent="0.25">
      <c r="A15" t="s">
        <v>1171</v>
      </c>
      <c r="B15" t="s">
        <v>1187</v>
      </c>
      <c r="C15" t="str">
        <f>"CONF-"&amp;TEXT(us_core_reqs[[#This Row],[ID*]], "0000")</f>
        <v>CONF-0014</v>
      </c>
      <c r="D15" s="11" t="s">
        <v>818</v>
      </c>
      <c r="E15" s="73" t="str" cm="1">
        <f t="array" ref="E15">_xlfn.TEXTJOIN(", ", TRUE, _xlfn.TEXTAFTER(_xlfn.TEXTSPLIT(us_core_reqs[[#This Row],[URL*]], ", "), "/", -1))</f>
        <v>general-requirements.html#claiming-conformance-to-a-us-core-profile</v>
      </c>
      <c r="F15" s="11" t="s">
        <v>966</v>
      </c>
      <c r="G15" t="s">
        <v>32</v>
      </c>
      <c r="H15" cm="1">
        <f t="array" ref="H15">_xlfn.SWITCH(G15, "SHALL", 1, "SHOULD", 3, "MAY", 5, "SHOULD-NOT", 4, "SHALL-NOT", 2, "DEPRECATED", 6, 99)</f>
        <v>3</v>
      </c>
      <c r="J15" t="s">
        <v>30</v>
      </c>
      <c r="K15" t="s">
        <v>1171</v>
      </c>
      <c r="L15" t="s">
        <v>1171</v>
      </c>
      <c r="M15" t="s">
        <v>1173</v>
      </c>
      <c r="N15" t="s">
        <v>1171</v>
      </c>
      <c r="O15" t="s">
        <v>1171</v>
      </c>
      <c r="P15" t="s">
        <v>1171</v>
      </c>
      <c r="Q15" t="s">
        <v>1171</v>
      </c>
      <c r="R15" t="s">
        <v>1171</v>
      </c>
      <c r="S15" s="70" t="str" cm="1">
        <f t="array" ref="S15">_xlfn.TEXTJOIN(",",TRUE,LEFT(TRIM(_xlfn.TEXTSPLIT(us_core_reqs[[#This Row],[reference]],",")),FIND(".html",TRIM(_xlfn.TEXTSPLIT(us_core_reqs[[#This Row],[reference]],",")))-1))</f>
        <v>general-requirements</v>
      </c>
      <c r="T15" s="70" t="str" cm="1">
        <f t="array" ref="T15">_xlfn.TEXTJOIN(",",TRUE,MID(TRIM(_xlfn.TEXTSPLIT(us_core_reqs[[#This Row],[reference]],",")),FIND("#",TRIM(_xlfn.TEXTSPLIT(us_core_reqs[[#This Row],[reference]],","))&amp;"#")+1,1000))</f>
        <v>claiming-conformance-to-a-us-core-profile</v>
      </c>
      <c r="U15" t="str" cm="1">
        <f t="array" ref="U15">_xlfn.TEXTJOIN(", ",TRUE,SUBSTITUTE(SUBSTITUTE(PROPER(SUBSTITUTE(TRIM(_xlfn.TEXTSPLIT(us_core_reqs[[#This Row],[Page]],","))," -"," "))&amp;": "&amp;PROPER(SUBSTITUTE(TRIM(_xlfn.TEXTSPLIT(us_core_reqs[[#This Row],[Section]],","))," -"," ")),"Us ","US        
  "),"Uscdi","USCDI"))</f>
        <v>General-Requirements: Claiming-Conformance-To-A-Us-Core-Profile</v>
      </c>
      <c r="V15" t="s">
        <v>32</v>
      </c>
      <c r="W15" t="s">
        <v>30</v>
      </c>
      <c r="X15" t="s">
        <v>33</v>
      </c>
      <c r="Y15" t="s">
        <v>1171</v>
      </c>
      <c r="Z15" t="s">
        <v>1171</v>
      </c>
      <c r="AA15" t="s">
        <v>1171</v>
      </c>
      <c r="AB15" t="s">
        <v>1171</v>
      </c>
      <c r="AC15" t="s">
        <v>1171</v>
      </c>
      <c r="AD15" t="s">
        <v>1171</v>
      </c>
      <c r="AE15" t="s">
        <v>1171</v>
      </c>
    </row>
    <row r="16" spans="1:31" ht="69" thickBot="1" x14ac:dyDescent="0.25">
      <c r="A16" t="s">
        <v>1171</v>
      </c>
      <c r="B16" t="s">
        <v>1188</v>
      </c>
      <c r="C16" t="str">
        <f>"CONF-"&amp;TEXT(us_core_reqs[[#This Row],[ID*]], "0000")</f>
        <v>CONF-0015</v>
      </c>
      <c r="D16" s="11" t="s">
        <v>818</v>
      </c>
      <c r="E16" s="73" t="str" cm="1">
        <f t="array" ref="E16">_xlfn.TEXTJOIN(", ", TRUE, _xlfn.TEXTAFTER(_xlfn.TEXTSPLIT(us_core_reqs[[#This Row],[URL*]], ", "), "/", -1))</f>
        <v>general-requirements.html#claiming-conformance-to-a-us-core-profile</v>
      </c>
      <c r="F16" s="11" t="s">
        <v>967</v>
      </c>
      <c r="G16" t="s">
        <v>29</v>
      </c>
      <c r="H16" cm="1">
        <f t="array" ref="H16">_xlfn.SWITCH(G16, "SHALL", 1, "SHOULD", 3, "MAY", 5, "SHOULD-NOT", 4, "SHALL-NOT", 2, "DEPRECATED", 6, 99)</f>
        <v>1</v>
      </c>
      <c r="J16" t="s">
        <v>30</v>
      </c>
      <c r="K16" t="s">
        <v>1171</v>
      </c>
      <c r="L16" t="s">
        <v>1096</v>
      </c>
      <c r="M16" t="s">
        <v>1173</v>
      </c>
      <c r="N16" t="s">
        <v>48</v>
      </c>
      <c r="O16" t="s">
        <v>1171</v>
      </c>
      <c r="P16" t="s">
        <v>1171</v>
      </c>
      <c r="Q16" t="s">
        <v>1171</v>
      </c>
      <c r="R16" t="s">
        <v>1171</v>
      </c>
      <c r="S16" s="70" t="str" cm="1">
        <f t="array" ref="S16">_xlfn.TEXTJOIN(",",TRUE,LEFT(TRIM(_xlfn.TEXTSPLIT(us_core_reqs[[#This Row],[reference]],",")),FIND(".html",TRIM(_xlfn.TEXTSPLIT(us_core_reqs[[#This Row],[reference]],",")))-1))</f>
        <v>general-requirements</v>
      </c>
      <c r="T16" s="70" t="str" cm="1">
        <f t="array" ref="T16">_xlfn.TEXTJOIN(",",TRUE,MID(TRIM(_xlfn.TEXTSPLIT(us_core_reqs[[#This Row],[reference]],",")),FIND("#",TRIM(_xlfn.TEXTSPLIT(us_core_reqs[[#This Row],[reference]],","))&amp;"#")+1,1000))</f>
        <v>claiming-conformance-to-a-us-core-profile</v>
      </c>
      <c r="U16" t="str" cm="1">
        <f t="array" ref="U16">_xlfn.TEXTJOIN(", ",TRUE,SUBSTITUTE(SUBSTITUTE(PROPER(SUBSTITUTE(TRIM(_xlfn.TEXTSPLIT(us_core_reqs[[#This Row],[Page]],","))," -"," "))&amp;": "&amp;PROPER(SUBSTITUTE(TRIM(_xlfn.TEXTSPLIT(us_core_reqs[[#This Row],[Section]],","))," -"," ")),"Us ","US        
  "),"Uscdi","USCDI"))</f>
        <v>General-Requirements: Claiming-Conformance-To-A-Us-Core-Profile</v>
      </c>
      <c r="V16" t="s">
        <v>29</v>
      </c>
      <c r="W16" t="s">
        <v>30</v>
      </c>
      <c r="X16" t="s">
        <v>33</v>
      </c>
      <c r="Y16" t="s">
        <v>1171</v>
      </c>
      <c r="Z16" t="s">
        <v>1171</v>
      </c>
      <c r="AA16" t="s">
        <v>1171</v>
      </c>
      <c r="AB16" t="s">
        <v>1171</v>
      </c>
      <c r="AC16" t="s">
        <v>1171</v>
      </c>
      <c r="AD16" t="s">
        <v>1140</v>
      </c>
      <c r="AE16" t="s">
        <v>1171</v>
      </c>
    </row>
    <row r="17" spans="1:31" ht="86" thickBot="1" x14ac:dyDescent="0.25">
      <c r="A17" t="s">
        <v>1171</v>
      </c>
      <c r="B17" t="s">
        <v>1189</v>
      </c>
      <c r="C17" t="str">
        <f>"CONF-"&amp;TEXT(us_core_reqs[[#This Row],[ID*]], "0000")</f>
        <v>CONF-0016</v>
      </c>
      <c r="D17" s="11" t="s">
        <v>818</v>
      </c>
      <c r="E17" s="73" t="str" cm="1">
        <f t="array" ref="E17">_xlfn.TEXTJOIN(", ", TRUE, _xlfn.TEXTAFTER(_xlfn.TEXTSPLIT(us_core_reqs[[#This Row],[URL*]], ", "), "/", -1))</f>
        <v>general-requirements.html#claiming-conformance-to-a-us-core-profile</v>
      </c>
      <c r="F17" s="11" t="s">
        <v>968</v>
      </c>
      <c r="G17" t="s">
        <v>29</v>
      </c>
      <c r="H17" cm="1">
        <f t="array" ref="H17">_xlfn.SWITCH(G17, "SHALL", 1, "SHOULD", 3, "MAY", 5, "SHOULD-NOT", 4, "SHALL-NOT", 2, "DEPRECATED", 6, 99)</f>
        <v>1</v>
      </c>
      <c r="J17" t="s">
        <v>30</v>
      </c>
      <c r="K17" t="s">
        <v>1171</v>
      </c>
      <c r="L17" t="s">
        <v>1171</v>
      </c>
      <c r="M17" t="s">
        <v>1173</v>
      </c>
      <c r="N17" t="s">
        <v>1171</v>
      </c>
      <c r="O17" t="s">
        <v>1171</v>
      </c>
      <c r="P17" t="s">
        <v>1171</v>
      </c>
      <c r="Q17" t="s">
        <v>1171</v>
      </c>
      <c r="R17" t="s">
        <v>1171</v>
      </c>
      <c r="S17" s="70" t="str" cm="1">
        <f t="array" ref="S17">_xlfn.TEXTJOIN(",",TRUE,LEFT(TRIM(_xlfn.TEXTSPLIT(us_core_reqs[[#This Row],[reference]],",")),FIND(".html",TRIM(_xlfn.TEXTSPLIT(us_core_reqs[[#This Row],[reference]],",")))-1))</f>
        <v>general-requirements</v>
      </c>
      <c r="T17" s="70" t="str" cm="1">
        <f t="array" ref="T17">_xlfn.TEXTJOIN(",",TRUE,MID(TRIM(_xlfn.TEXTSPLIT(us_core_reqs[[#This Row],[reference]],",")),FIND("#",TRIM(_xlfn.TEXTSPLIT(us_core_reqs[[#This Row],[reference]],","))&amp;"#")+1,1000))</f>
        <v>claiming-conformance-to-a-us-core-profile</v>
      </c>
      <c r="U17" t="str" cm="1">
        <f t="array" ref="U17">_xlfn.TEXTJOIN(", ",TRUE,SUBSTITUTE(SUBSTITUTE(PROPER(SUBSTITUTE(TRIM(_xlfn.TEXTSPLIT(us_core_reqs[[#This Row],[Page]],","))," -"," "))&amp;": "&amp;PROPER(SUBSTITUTE(TRIM(_xlfn.TEXTSPLIT(us_core_reqs[[#This Row],[Section]],","))," -"," ")),"Us ","US        
  "),"Uscdi","USCDI"))</f>
        <v>General-Requirements: Claiming-Conformance-To-A-Us-Core-Profile</v>
      </c>
      <c r="V17" t="s">
        <v>29</v>
      </c>
      <c r="W17" t="s">
        <v>30</v>
      </c>
      <c r="X17" t="s">
        <v>33</v>
      </c>
      <c r="Y17" t="s">
        <v>1171</v>
      </c>
      <c r="Z17" t="s">
        <v>1171</v>
      </c>
      <c r="AA17" t="s">
        <v>1171</v>
      </c>
      <c r="AB17" t="s">
        <v>1171</v>
      </c>
      <c r="AC17" t="s">
        <v>1171</v>
      </c>
      <c r="AD17" t="s">
        <v>1140</v>
      </c>
      <c r="AE17" t="s">
        <v>1171</v>
      </c>
    </row>
    <row r="18" spans="1:31" ht="69" thickBot="1" x14ac:dyDescent="0.25">
      <c r="A18" t="s">
        <v>1171</v>
      </c>
      <c r="B18" t="s">
        <v>1190</v>
      </c>
      <c r="C18" t="str">
        <f>"CONF-"&amp;TEXT(us_core_reqs[[#This Row],[ID*]], "0000")</f>
        <v>CONF-0017</v>
      </c>
      <c r="D18" s="11" t="s">
        <v>818</v>
      </c>
      <c r="E18" s="73" t="str" cm="1">
        <f t="array" ref="E18">_xlfn.TEXTJOIN(", ", TRUE, _xlfn.TEXTAFTER(_xlfn.TEXTSPLIT(us_core_reqs[[#This Row],[URL*]], ", "), "/", -1))</f>
        <v>general-requirements.html#claiming-conformance-to-a-us-core-profile</v>
      </c>
      <c r="F18" s="11" t="s">
        <v>969</v>
      </c>
      <c r="G18" t="s">
        <v>29</v>
      </c>
      <c r="H18" cm="1">
        <f t="array" ref="H18">_xlfn.SWITCH(G18, "SHALL", 1, "SHOULD", 3, "MAY", 5, "SHOULD-NOT", 4, "SHALL-NOT", 2, "DEPRECATED", 6, 99)</f>
        <v>1</v>
      </c>
      <c r="J18" t="s">
        <v>30</v>
      </c>
      <c r="K18" t="s">
        <v>1171</v>
      </c>
      <c r="L18" t="s">
        <v>1171</v>
      </c>
      <c r="M18" t="s">
        <v>1173</v>
      </c>
      <c r="N18" t="s">
        <v>1171</v>
      </c>
      <c r="O18" t="s">
        <v>1171</v>
      </c>
      <c r="P18" t="s">
        <v>1171</v>
      </c>
      <c r="Q18" t="s">
        <v>1171</v>
      </c>
      <c r="R18" t="s">
        <v>1171</v>
      </c>
      <c r="S18" s="70" t="str" cm="1">
        <f t="array" ref="S18">_xlfn.TEXTJOIN(",",TRUE,LEFT(TRIM(_xlfn.TEXTSPLIT(us_core_reqs[[#This Row],[reference]],",")),FIND(".html",TRIM(_xlfn.TEXTSPLIT(us_core_reqs[[#This Row],[reference]],",")))-1))</f>
        <v>general-requirements</v>
      </c>
      <c r="T18" s="70" t="str" cm="1">
        <f t="array" ref="T18">_xlfn.TEXTJOIN(",",TRUE,MID(TRIM(_xlfn.TEXTSPLIT(us_core_reqs[[#This Row],[reference]],",")),FIND("#",TRIM(_xlfn.TEXTSPLIT(us_core_reqs[[#This Row],[reference]],","))&amp;"#")+1,1000))</f>
        <v>claiming-conformance-to-a-us-core-profile</v>
      </c>
      <c r="U18" t="str" cm="1">
        <f t="array" ref="U18">_xlfn.TEXTJOIN(", ",TRUE,SUBSTITUTE(SUBSTITUTE(PROPER(SUBSTITUTE(TRIM(_xlfn.TEXTSPLIT(us_core_reqs[[#This Row],[Page]],","))," -"," "))&amp;": "&amp;PROPER(SUBSTITUTE(TRIM(_xlfn.TEXTSPLIT(us_core_reqs[[#This Row],[Section]],","))," -"," ")),"Us ","US        
  "),"Uscdi","USCDI"))</f>
        <v>General-Requirements: Claiming-Conformance-To-A-Us-Core-Profile</v>
      </c>
      <c r="V18" t="s">
        <v>29</v>
      </c>
      <c r="W18" t="s">
        <v>30</v>
      </c>
      <c r="X18" t="s">
        <v>33</v>
      </c>
      <c r="Y18" t="s">
        <v>1171</v>
      </c>
      <c r="Z18" t="s">
        <v>1171</v>
      </c>
      <c r="AA18" t="s">
        <v>1171</v>
      </c>
      <c r="AB18" t="s">
        <v>1171</v>
      </c>
      <c r="AC18" t="s">
        <v>1171</v>
      </c>
      <c r="AD18" t="s">
        <v>1141</v>
      </c>
      <c r="AE18" t="s">
        <v>1171</v>
      </c>
    </row>
    <row r="19" spans="1:31" ht="69" thickBot="1" x14ac:dyDescent="0.25">
      <c r="A19" t="s">
        <v>1171</v>
      </c>
      <c r="B19" t="s">
        <v>1191</v>
      </c>
      <c r="C19" t="str">
        <f>"CONF-"&amp;TEXT(us_core_reqs[[#This Row],[ID*]], "0000")</f>
        <v>CONF-0018</v>
      </c>
      <c r="D19" s="11" t="s">
        <v>819</v>
      </c>
      <c r="E19" s="73" t="str" cm="1">
        <f t="array" ref="E19">_xlfn.TEXTJOIN(", ", TRUE, _xlfn.TEXTAFTER(_xlfn.TEXTSPLIT(us_core_reqs[[#This Row],[URL*]], ", "), "/", -1))</f>
        <v>general-requirements.html#required-bindings-for-coded-elements</v>
      </c>
      <c r="F19" s="11" t="s">
        <v>49</v>
      </c>
      <c r="G19" t="s">
        <v>29</v>
      </c>
      <c r="H19" cm="1">
        <f t="array" ref="H19">_xlfn.SWITCH(G19, "SHALL", 1, "SHOULD", 3, "MAY", 5, "SHOULD-NOT", 4, "SHALL-NOT", 2, "DEPRECATED", 6, 99)</f>
        <v>1</v>
      </c>
      <c r="J19" t="s">
        <v>30</v>
      </c>
      <c r="K19" t="s">
        <v>1171</v>
      </c>
      <c r="L19" t="s">
        <v>1097</v>
      </c>
      <c r="M19" t="s">
        <v>1173</v>
      </c>
      <c r="N19" t="s">
        <v>50</v>
      </c>
      <c r="O19" t="s">
        <v>1171</v>
      </c>
      <c r="P19" t="s">
        <v>1171</v>
      </c>
      <c r="Q19" t="s">
        <v>1171</v>
      </c>
      <c r="R19" t="s">
        <v>1171</v>
      </c>
      <c r="S19" s="70" t="str" cm="1">
        <f t="array" ref="S19">_xlfn.TEXTJOIN(",",TRUE,LEFT(TRIM(_xlfn.TEXTSPLIT(us_core_reqs[[#This Row],[reference]],",")),FIND(".html",TRIM(_xlfn.TEXTSPLIT(us_core_reqs[[#This Row],[reference]],",")))-1))</f>
        <v>general-requirements</v>
      </c>
      <c r="T19" s="70" t="str" cm="1">
        <f t="array" ref="T19">_xlfn.TEXTJOIN(",",TRUE,MID(TRIM(_xlfn.TEXTSPLIT(us_core_reqs[[#This Row],[reference]],",")),FIND("#",TRIM(_xlfn.TEXTSPLIT(us_core_reqs[[#This Row],[reference]],","))&amp;"#")+1,1000))</f>
        <v>required-bindings-for-coded-elements</v>
      </c>
      <c r="U19" t="str" cm="1">
        <f t="array" ref="U19">_xlfn.TEXTJOIN(", ",TRUE,SUBSTITUTE(SUBSTITUTE(PROPER(SUBSTITUTE(TRIM(_xlfn.TEXTSPLIT(us_core_reqs[[#This Row],[Page]],","))," -"," "))&amp;": "&amp;PROPER(SUBSTITUTE(TRIM(_xlfn.TEXTSPLIT(us_core_reqs[[#This Row],[Section]],","))," -"," ")),"Us ","US        
  "),"Uscdi","USCDI"))</f>
        <v>General-Requirements: Required-Bindings-For-Coded-Elements</v>
      </c>
      <c r="V19" t="s">
        <v>29</v>
      </c>
      <c r="W19" t="s">
        <v>1171</v>
      </c>
      <c r="X19" t="s">
        <v>51</v>
      </c>
      <c r="Y19" t="s">
        <v>1171</v>
      </c>
      <c r="Z19" t="s">
        <v>1171</v>
      </c>
      <c r="AA19" t="s">
        <v>1171</v>
      </c>
      <c r="AB19" t="s">
        <v>1171</v>
      </c>
      <c r="AC19" t="s">
        <v>1171</v>
      </c>
      <c r="AD19" t="s">
        <v>1140</v>
      </c>
      <c r="AE19" t="s">
        <v>1171</v>
      </c>
    </row>
    <row r="20" spans="1:31" ht="69" thickBot="1" x14ac:dyDescent="0.25">
      <c r="A20" t="s">
        <v>1171</v>
      </c>
      <c r="B20" t="s">
        <v>1192</v>
      </c>
      <c r="C20" t="str">
        <f>"CONF-"&amp;TEXT(us_core_reqs[[#This Row],[ID*]], "0000")</f>
        <v>CONF-0019</v>
      </c>
      <c r="D20" s="11" t="s">
        <v>819</v>
      </c>
      <c r="E20" s="73" t="str" cm="1">
        <f t="array" ref="E20">_xlfn.TEXTJOIN(", ", TRUE, _xlfn.TEXTAFTER(_xlfn.TEXTSPLIT(us_core_reqs[[#This Row],[URL*]], ", "), "/", -1))</f>
        <v>general-requirements.html#required-bindings-for-coded-elements</v>
      </c>
      <c r="F20" s="11" t="s">
        <v>52</v>
      </c>
      <c r="G20" t="s">
        <v>29</v>
      </c>
      <c r="H20" cm="1">
        <f t="array" ref="H20">_xlfn.SWITCH(G20, "SHALL", 1, "SHOULD", 3, "MAY", 5, "SHOULD-NOT", 4, "SHALL-NOT", 2, "DEPRECATED", 6, 99)</f>
        <v>1</v>
      </c>
      <c r="J20" t="s">
        <v>30</v>
      </c>
      <c r="K20" t="s">
        <v>1171</v>
      </c>
      <c r="L20" t="s">
        <v>1098</v>
      </c>
      <c r="M20" t="s">
        <v>1176</v>
      </c>
      <c r="N20" t="s">
        <v>1171</v>
      </c>
      <c r="O20" t="s">
        <v>1171</v>
      </c>
      <c r="P20" t="s">
        <v>1171</v>
      </c>
      <c r="Q20" t="s">
        <v>1171</v>
      </c>
      <c r="R20" t="s">
        <v>1171</v>
      </c>
      <c r="S20" s="70" t="str" cm="1">
        <f t="array" ref="S20">_xlfn.TEXTJOIN(",",TRUE,LEFT(TRIM(_xlfn.TEXTSPLIT(us_core_reqs[[#This Row],[reference]],",")),FIND(".html",TRIM(_xlfn.TEXTSPLIT(us_core_reqs[[#This Row],[reference]],",")))-1))</f>
        <v>general-requirements</v>
      </c>
      <c r="T20" s="70" t="str" cm="1">
        <f t="array" ref="T20">_xlfn.TEXTJOIN(",",TRUE,MID(TRIM(_xlfn.TEXTSPLIT(us_core_reqs[[#This Row],[reference]],",")),FIND("#",TRIM(_xlfn.TEXTSPLIT(us_core_reqs[[#This Row],[reference]],","))&amp;"#")+1,1000))</f>
        <v>required-bindings-for-coded-elements</v>
      </c>
      <c r="U20" t="str" cm="1">
        <f t="array" ref="U20">_xlfn.TEXTJOIN(", ",TRUE,SUBSTITUTE(SUBSTITUTE(PROPER(SUBSTITUTE(TRIM(_xlfn.TEXTSPLIT(us_core_reqs[[#This Row],[Page]],","))," -"," "))&amp;": "&amp;PROPER(SUBSTITUTE(TRIM(_xlfn.TEXTSPLIT(us_core_reqs[[#This Row],[Section]],","))," -"," ")),"Us ","US        
  "),"Uscdi","USCDI"))</f>
        <v>General-Requirements: Required-Bindings-For-Coded-Elements</v>
      </c>
      <c r="V20" t="s">
        <v>1171</v>
      </c>
      <c r="W20" t="s">
        <v>1171</v>
      </c>
      <c r="X20" t="s">
        <v>1171</v>
      </c>
      <c r="Y20" t="s">
        <v>1171</v>
      </c>
      <c r="Z20" t="s">
        <v>1171</v>
      </c>
      <c r="AA20" t="s">
        <v>1171</v>
      </c>
      <c r="AB20" t="s">
        <v>1171</v>
      </c>
      <c r="AC20" t="s">
        <v>1171</v>
      </c>
      <c r="AD20" t="s">
        <v>1140</v>
      </c>
      <c r="AE20" t="s">
        <v>1171</v>
      </c>
    </row>
    <row r="21" spans="1:31" ht="69" thickBot="1" x14ac:dyDescent="0.25">
      <c r="A21" t="s">
        <v>1171</v>
      </c>
      <c r="B21" t="s">
        <v>1193</v>
      </c>
      <c r="C21" t="str">
        <f>"CONF-"&amp;TEXT(us_core_reqs[[#This Row],[ID*]], "0000")</f>
        <v>CONF-0020</v>
      </c>
      <c r="D21" s="11" t="s">
        <v>819</v>
      </c>
      <c r="E21" s="73" t="str" cm="1">
        <f t="array" ref="E21">_xlfn.TEXTJOIN(", ", TRUE, _xlfn.TEXTAFTER(_xlfn.TEXTSPLIT(us_core_reqs[[#This Row],[URL*]], ", "), "/", -1))</f>
        <v>general-requirements.html#required-bindings-for-coded-elements</v>
      </c>
      <c r="F21" s="11" t="s">
        <v>53</v>
      </c>
      <c r="G21" t="s">
        <v>1833</v>
      </c>
      <c r="H21" cm="1">
        <f t="array" ref="H21">_xlfn.SWITCH(G21, "SHALL", 1, "SHOULD", 3, "MAY", 5, "SHOULD-NOT", 4, "SHALL-NOT", 2, "DEPRECATED", 6, 99)</f>
        <v>2</v>
      </c>
      <c r="J21" t="s">
        <v>30</v>
      </c>
      <c r="K21" t="s">
        <v>1171</v>
      </c>
      <c r="L21" t="s">
        <v>1098</v>
      </c>
      <c r="M21" t="s">
        <v>1173</v>
      </c>
      <c r="N21" t="s">
        <v>1171</v>
      </c>
      <c r="O21" t="s">
        <v>1171</v>
      </c>
      <c r="P21" t="s">
        <v>1171</v>
      </c>
      <c r="Q21" t="s">
        <v>1171</v>
      </c>
      <c r="R21" t="s">
        <v>1171</v>
      </c>
      <c r="S21" s="70" t="str" cm="1">
        <f t="array" ref="S21">_xlfn.TEXTJOIN(",",TRUE,LEFT(TRIM(_xlfn.TEXTSPLIT(us_core_reqs[[#This Row],[reference]],",")),FIND(".html",TRIM(_xlfn.TEXTSPLIT(us_core_reqs[[#This Row],[reference]],",")))-1))</f>
        <v>general-requirements</v>
      </c>
      <c r="T21" s="70" t="str" cm="1">
        <f t="array" ref="T21">_xlfn.TEXTJOIN(",",TRUE,MID(TRIM(_xlfn.TEXTSPLIT(us_core_reqs[[#This Row],[reference]],",")),FIND("#",TRIM(_xlfn.TEXTSPLIT(us_core_reqs[[#This Row],[reference]],","))&amp;"#")+1,1000))</f>
        <v>required-bindings-for-coded-elements</v>
      </c>
      <c r="U21" t="str" cm="1">
        <f t="array" ref="U21">_xlfn.TEXTJOIN(", ",TRUE,SUBSTITUTE(SUBSTITUTE(PROPER(SUBSTITUTE(TRIM(_xlfn.TEXTSPLIT(us_core_reqs[[#This Row],[Page]],","))," -"," "))&amp;": "&amp;PROPER(SUBSTITUTE(TRIM(_xlfn.TEXTSPLIT(us_core_reqs[[#This Row],[Section]],","))," -"," ")),"Us ","US        
  "),"Uscdi","USCDI"))</f>
        <v>General-Requirements: Required-Bindings-For-Coded-Elements</v>
      </c>
      <c r="V21" t="s">
        <v>1171</v>
      </c>
      <c r="W21" t="s">
        <v>1171</v>
      </c>
      <c r="X21" t="s">
        <v>1171</v>
      </c>
      <c r="Y21" t="s">
        <v>1171</v>
      </c>
      <c r="Z21" t="s">
        <v>1171</v>
      </c>
      <c r="AA21" t="s">
        <v>1171</v>
      </c>
      <c r="AB21" t="s">
        <v>1171</v>
      </c>
      <c r="AC21" t="s">
        <v>1171</v>
      </c>
      <c r="AD21" t="s">
        <v>1141</v>
      </c>
      <c r="AE21" t="s">
        <v>1171</v>
      </c>
    </row>
    <row r="22" spans="1:31" ht="69" thickBot="1" x14ac:dyDescent="0.25">
      <c r="A22" t="s">
        <v>1171</v>
      </c>
      <c r="B22" t="s">
        <v>1194</v>
      </c>
      <c r="C22" t="str">
        <f>"CONF-"&amp;TEXT(us_core_reqs[[#This Row],[ID*]], "0000")</f>
        <v>CONF-0021</v>
      </c>
      <c r="D22" s="11" t="s">
        <v>819</v>
      </c>
      <c r="E22" s="73" t="str" cm="1">
        <f t="array" ref="E22">_xlfn.TEXTJOIN(", ", TRUE, _xlfn.TEXTAFTER(_xlfn.TEXTSPLIT(us_core_reqs[[#This Row],[URL*]], ", "), "/", -1))</f>
        <v>general-requirements.html#required-bindings-for-coded-elements</v>
      </c>
      <c r="F22" s="11" t="s">
        <v>55</v>
      </c>
      <c r="G22" t="s">
        <v>29</v>
      </c>
      <c r="H22" cm="1">
        <f t="array" ref="H22">_xlfn.SWITCH(G22, "SHALL", 1, "SHOULD", 3, "MAY", 5, "SHOULD-NOT", 4, "SHALL-NOT", 2, "DEPRECATED", 6, 99)</f>
        <v>1</v>
      </c>
      <c r="J22" t="s">
        <v>30</v>
      </c>
      <c r="K22" t="s">
        <v>1171</v>
      </c>
      <c r="L22" t="s">
        <v>1171</v>
      </c>
      <c r="M22" t="s">
        <v>1173</v>
      </c>
      <c r="N22" t="s">
        <v>56</v>
      </c>
      <c r="O22" t="s">
        <v>1171</v>
      </c>
      <c r="P22" t="s">
        <v>1171</v>
      </c>
      <c r="Q22" t="s">
        <v>1171</v>
      </c>
      <c r="R22" t="s">
        <v>1171</v>
      </c>
      <c r="S22" s="70" t="str" cm="1">
        <f t="array" ref="S22">_xlfn.TEXTJOIN(",",TRUE,LEFT(TRIM(_xlfn.TEXTSPLIT(us_core_reqs[[#This Row],[reference]],",")),FIND(".html",TRIM(_xlfn.TEXTSPLIT(us_core_reqs[[#This Row],[reference]],",")))-1))</f>
        <v>general-requirements</v>
      </c>
      <c r="T22" s="70" t="str" cm="1">
        <f t="array" ref="T22">_xlfn.TEXTJOIN(",",TRUE,MID(TRIM(_xlfn.TEXTSPLIT(us_core_reqs[[#This Row],[reference]],",")),FIND("#",TRIM(_xlfn.TEXTSPLIT(us_core_reqs[[#This Row],[reference]],","))&amp;"#")+1,1000))</f>
        <v>required-bindings-for-coded-elements</v>
      </c>
      <c r="U22" t="str" cm="1">
        <f t="array" ref="U22">_xlfn.TEXTJOIN(", ",TRUE,SUBSTITUTE(SUBSTITUTE(PROPER(SUBSTITUTE(TRIM(_xlfn.TEXTSPLIT(us_core_reqs[[#This Row],[Page]],","))," -"," "))&amp;": "&amp;PROPER(SUBSTITUTE(TRIM(_xlfn.TEXTSPLIT(us_core_reqs[[#This Row],[Section]],","))," -"," ")),"Us ","US        
  "),"Uscdi","USCDI"))</f>
        <v>General-Requirements: Required-Bindings-For-Coded-Elements</v>
      </c>
      <c r="V22" t="s">
        <v>29</v>
      </c>
      <c r="W22" t="s">
        <v>30</v>
      </c>
      <c r="X22" t="s">
        <v>1171</v>
      </c>
      <c r="Y22" t="s">
        <v>1171</v>
      </c>
      <c r="Z22" t="s">
        <v>1171</v>
      </c>
      <c r="AA22" t="s">
        <v>1171</v>
      </c>
      <c r="AB22" t="s">
        <v>1171</v>
      </c>
      <c r="AC22" t="s">
        <v>1171</v>
      </c>
      <c r="AD22" t="s">
        <v>1140</v>
      </c>
      <c r="AE22" t="s">
        <v>1171</v>
      </c>
    </row>
    <row r="23" spans="1:31" ht="69" thickBot="1" x14ac:dyDescent="0.25">
      <c r="A23" t="s">
        <v>1171</v>
      </c>
      <c r="B23" t="s">
        <v>1195</v>
      </c>
      <c r="C23" t="str">
        <f>"CONF-"&amp;TEXT(us_core_reqs[[#This Row],[ID*]], "0000")</f>
        <v>CONF-0022</v>
      </c>
      <c r="D23" s="11" t="s">
        <v>819</v>
      </c>
      <c r="E23" s="73" t="str" cm="1">
        <f t="array" ref="E23">_xlfn.TEXTJOIN(", ", TRUE, _xlfn.TEXTAFTER(_xlfn.TEXTSPLIT(us_core_reqs[[#This Row],[URL*]], ", "), "/", -1))</f>
        <v>general-requirements.html#required-bindings-for-coded-elements</v>
      </c>
      <c r="F23" s="11" t="s">
        <v>57</v>
      </c>
      <c r="G23" t="s">
        <v>29</v>
      </c>
      <c r="H23" cm="1">
        <f t="array" ref="H23">_xlfn.SWITCH(G23, "SHALL", 1, "SHOULD", 3, "MAY", 5, "SHOULD-NOT", 4, "SHALL-NOT", 2, "DEPRECATED", 6, 99)</f>
        <v>1</v>
      </c>
      <c r="J23" t="s">
        <v>58</v>
      </c>
      <c r="K23" t="s">
        <v>1171</v>
      </c>
      <c r="L23" t="s">
        <v>1171</v>
      </c>
      <c r="M23" t="s">
        <v>1173</v>
      </c>
      <c r="N23" t="s">
        <v>56</v>
      </c>
      <c r="O23" t="s">
        <v>1171</v>
      </c>
      <c r="P23" t="s">
        <v>1171</v>
      </c>
      <c r="Q23" t="s">
        <v>1171</v>
      </c>
      <c r="R23" t="s">
        <v>1171</v>
      </c>
      <c r="S23" s="70" t="str" cm="1">
        <f t="array" ref="S23">_xlfn.TEXTJOIN(",",TRUE,LEFT(TRIM(_xlfn.TEXTSPLIT(us_core_reqs[[#This Row],[reference]],",")),FIND(".html",TRIM(_xlfn.TEXTSPLIT(us_core_reqs[[#This Row],[reference]],",")))-1))</f>
        <v>general-requirements</v>
      </c>
      <c r="T23" s="70" t="str" cm="1">
        <f t="array" ref="T23">_xlfn.TEXTJOIN(",",TRUE,MID(TRIM(_xlfn.TEXTSPLIT(us_core_reqs[[#This Row],[reference]],",")),FIND("#",TRIM(_xlfn.TEXTSPLIT(us_core_reqs[[#This Row],[reference]],","))&amp;"#")+1,1000))</f>
        <v>required-bindings-for-coded-elements</v>
      </c>
      <c r="U23" t="str" cm="1">
        <f t="array" ref="U23">_xlfn.TEXTJOIN(", ",TRUE,SUBSTITUTE(SUBSTITUTE(PROPER(SUBSTITUTE(TRIM(_xlfn.TEXTSPLIT(us_core_reqs[[#This Row],[Page]],","))," -"," "))&amp;": "&amp;PROPER(SUBSTITUTE(TRIM(_xlfn.TEXTSPLIT(us_core_reqs[[#This Row],[Section]],","))," -"," ")),"Us ","US        
  "),"Uscdi","USCDI"))</f>
        <v>General-Requirements: Required-Bindings-For-Coded-Elements</v>
      </c>
      <c r="V23" t="s">
        <v>29</v>
      </c>
      <c r="W23" t="s">
        <v>58</v>
      </c>
      <c r="X23" t="s">
        <v>1171</v>
      </c>
      <c r="Y23" t="s">
        <v>1171</v>
      </c>
      <c r="Z23" t="s">
        <v>1171</v>
      </c>
      <c r="AA23" t="s">
        <v>1171</v>
      </c>
      <c r="AB23" t="s">
        <v>1171</v>
      </c>
      <c r="AC23" t="s">
        <v>1171</v>
      </c>
      <c r="AD23" t="s">
        <v>1171</v>
      </c>
      <c r="AE23" t="s">
        <v>1171</v>
      </c>
    </row>
    <row r="24" spans="1:31" ht="69" thickBot="1" x14ac:dyDescent="0.25">
      <c r="A24" t="s">
        <v>1171</v>
      </c>
      <c r="B24" t="s">
        <v>1196</v>
      </c>
      <c r="C24" t="str">
        <f>"CONF-"&amp;TEXT(us_core_reqs[[#This Row],[ID*]], "0000")</f>
        <v>CONF-0023</v>
      </c>
      <c r="D24" s="11" t="s">
        <v>1085</v>
      </c>
      <c r="E24" s="73" t="str" cm="1">
        <f t="array" ref="E24">_xlfn.TEXTJOIN(", ", TRUE, _xlfn.TEXTAFTER(_xlfn.TEXTSPLIT(us_core_reqs[[#This Row],[URL*]], ", "), "/", -1))</f>
        <v>general-requirements.html#extensible-binding-for-coded-elements</v>
      </c>
      <c r="F24" s="11" t="s">
        <v>2353</v>
      </c>
      <c r="G24" t="s">
        <v>29</v>
      </c>
      <c r="H24" cm="1">
        <f t="array" ref="H24">_xlfn.SWITCH(G24, "SHALL", 1, "SHOULD", 3, "MAY", 5, "SHOULD-NOT", 4, "SHALL-NOT", 2, "DEPRECATED", 6, 99)</f>
        <v>1</v>
      </c>
      <c r="J24" t="s">
        <v>30</v>
      </c>
      <c r="K24" t="s">
        <v>1171</v>
      </c>
      <c r="L24" t="s">
        <v>1171</v>
      </c>
      <c r="M24" t="s">
        <v>1176</v>
      </c>
      <c r="N24" t="s">
        <v>60</v>
      </c>
      <c r="O24" t="s">
        <v>1171</v>
      </c>
      <c r="P24" t="s">
        <v>1171</v>
      </c>
      <c r="Q24" t="s">
        <v>1171</v>
      </c>
      <c r="R24" t="s">
        <v>1171</v>
      </c>
      <c r="S24" s="70" t="str" cm="1">
        <f t="array" ref="S24">_xlfn.TEXTJOIN(",",TRUE,LEFT(TRIM(_xlfn.TEXTSPLIT(us_core_reqs[[#This Row],[reference]],",")),FIND(".html",TRIM(_xlfn.TEXTSPLIT(us_core_reqs[[#This Row],[reference]],",")))-1))</f>
        <v>general-requirements</v>
      </c>
      <c r="T24" s="70" t="str" cm="1">
        <f t="array" ref="T24">_xlfn.TEXTJOIN(",",TRUE,MID(TRIM(_xlfn.TEXTSPLIT(us_core_reqs[[#This Row],[reference]],",")),FIND("#",TRIM(_xlfn.TEXTSPLIT(us_core_reqs[[#This Row],[reference]],","))&amp;"#")+1,1000))</f>
        <v>extensible-binding-for-coded-elements</v>
      </c>
      <c r="U24" t="str" cm="1">
        <f t="array" ref="U24">_xlfn.TEXTJOIN(", ",TRUE,SUBSTITUTE(SUBSTITUTE(PROPER(SUBSTITUTE(TRIM(_xlfn.TEXTSPLIT(us_core_reqs[[#This Row],[Page]],","))," -"," "))&amp;": "&amp;PROPER(SUBSTITUTE(TRIM(_xlfn.TEXTSPLIT(us_core_reqs[[#This Row],[Section]],","))," -"," ")),"Us ","US        
  "),"Uscdi","USCDI"))</f>
        <v>General-Requirements: Extensible-Binding-For-Coded-Elements</v>
      </c>
      <c r="V24" t="s">
        <v>29</v>
      </c>
      <c r="W24" t="s">
        <v>1171</v>
      </c>
      <c r="X24" t="s">
        <v>61</v>
      </c>
      <c r="Y24" t="s">
        <v>1171</v>
      </c>
      <c r="Z24" t="s">
        <v>1171</v>
      </c>
      <c r="AA24" t="s">
        <v>1171</v>
      </c>
      <c r="AB24" t="s">
        <v>1171</v>
      </c>
      <c r="AC24" t="s">
        <v>1171</v>
      </c>
      <c r="AD24" t="s">
        <v>1140</v>
      </c>
      <c r="AE24" t="s">
        <v>1171</v>
      </c>
    </row>
    <row r="25" spans="1:31" ht="69" thickBot="1" x14ac:dyDescent="0.25">
      <c r="A25" t="s">
        <v>1171</v>
      </c>
      <c r="B25" t="s">
        <v>1197</v>
      </c>
      <c r="C25" t="str">
        <f>"CONF-"&amp;TEXT(us_core_reqs[[#This Row],[ID*]], "0000")</f>
        <v>CONF-0024</v>
      </c>
      <c r="D25" s="11" t="s">
        <v>820</v>
      </c>
      <c r="E25" s="73" t="str" cm="1">
        <f t="array" ref="E25">_xlfn.TEXTJOIN(", ", TRUE, _xlfn.TEXTAFTER(_xlfn.TEXTSPLIT(us_core_reqs[[#This Row],[URL*]], ", "), "/", -1))</f>
        <v>general-requirements.html#extensible-binding-for-coded-elements</v>
      </c>
      <c r="F25" s="11" t="s">
        <v>2354</v>
      </c>
      <c r="G25" t="s">
        <v>35</v>
      </c>
      <c r="H25" cm="1">
        <f t="array" ref="H25">_xlfn.SWITCH(G25, "SHALL", 1, "SHOULD", 3, "MAY", 5, "SHOULD-NOT", 4, "SHALL-NOT", 2, "DEPRECATED", 6, 99)</f>
        <v>5</v>
      </c>
      <c r="J25" t="s">
        <v>30</v>
      </c>
      <c r="K25" t="s">
        <v>1171</v>
      </c>
      <c r="L25" t="s">
        <v>1171</v>
      </c>
      <c r="M25" t="s">
        <v>1176</v>
      </c>
      <c r="N25" t="s">
        <v>60</v>
      </c>
      <c r="O25" t="s">
        <v>1171</v>
      </c>
      <c r="P25" t="s">
        <v>1171</v>
      </c>
      <c r="Q25" t="s">
        <v>1171</v>
      </c>
      <c r="R25" t="s">
        <v>1171</v>
      </c>
      <c r="S25" s="70" t="str" cm="1">
        <f t="array" ref="S25">_xlfn.TEXTJOIN(",",TRUE,LEFT(TRIM(_xlfn.TEXTSPLIT(us_core_reqs[[#This Row],[reference]],",")),FIND(".html",TRIM(_xlfn.TEXTSPLIT(us_core_reqs[[#This Row],[reference]],",")))-1))</f>
        <v>general-requirements</v>
      </c>
      <c r="T25" s="70" t="str" cm="1">
        <f t="array" ref="T25">_xlfn.TEXTJOIN(",",TRUE,MID(TRIM(_xlfn.TEXTSPLIT(us_core_reqs[[#This Row],[reference]],",")),FIND("#",TRIM(_xlfn.TEXTSPLIT(us_core_reqs[[#This Row],[reference]],","))&amp;"#")+1,1000))</f>
        <v>extensible-binding-for-coded-elements</v>
      </c>
      <c r="U25" t="str" cm="1">
        <f t="array" ref="U25">_xlfn.TEXTJOIN(", ",TRUE,SUBSTITUTE(SUBSTITUTE(PROPER(SUBSTITUTE(TRIM(_xlfn.TEXTSPLIT(us_core_reqs[[#This Row],[Page]],","))," -"," "))&amp;": "&amp;PROPER(SUBSTITUTE(TRIM(_xlfn.TEXTSPLIT(us_core_reqs[[#This Row],[Section]],","))," -"," ")),"Us ","US        
  "),"Uscdi","USCDI"))</f>
        <v>General-Requirements: Extensible-Binding-For-Coded-Elements</v>
      </c>
      <c r="V25" t="s">
        <v>35</v>
      </c>
      <c r="W25" t="s">
        <v>1171</v>
      </c>
      <c r="X25" t="s">
        <v>1171</v>
      </c>
      <c r="Y25" t="s">
        <v>1171</v>
      </c>
      <c r="Z25" t="s">
        <v>1171</v>
      </c>
      <c r="AA25" t="s">
        <v>1171</v>
      </c>
      <c r="AB25" t="s">
        <v>1171</v>
      </c>
      <c r="AC25" t="s">
        <v>1171</v>
      </c>
      <c r="AD25" t="s">
        <v>1171</v>
      </c>
      <c r="AE25" t="s">
        <v>1171</v>
      </c>
    </row>
    <row r="26" spans="1:31" ht="69" thickBot="1" x14ac:dyDescent="0.25">
      <c r="A26" t="s">
        <v>1171</v>
      </c>
      <c r="B26" t="s">
        <v>1198</v>
      </c>
      <c r="C26" t="str">
        <f>"CONF-"&amp;TEXT(us_core_reqs[[#This Row],[ID*]], "0000")</f>
        <v>CONF-0025</v>
      </c>
      <c r="D26" s="11" t="s">
        <v>820</v>
      </c>
      <c r="E26" s="73" t="str" cm="1">
        <f t="array" ref="E26">_xlfn.TEXTJOIN(", ", TRUE, _xlfn.TEXTAFTER(_xlfn.TEXTSPLIT(us_core_reqs[[#This Row],[URL*]], ", "), "/", -1))</f>
        <v>general-requirements.html#extensible-binding-for-coded-elements</v>
      </c>
      <c r="F26" s="11" t="s">
        <v>63</v>
      </c>
      <c r="G26" t="s">
        <v>64</v>
      </c>
      <c r="H26" cm="1">
        <f t="array" ref="H26">_xlfn.SWITCH(G26, "SHALL", 1, "SHOULD", 3, "MAY", 5, "SHOULD-NOT", 4, "SHALL-NOT", 2, "DEPRECATED", 6, 99)</f>
        <v>6</v>
      </c>
      <c r="J26" t="s">
        <v>30</v>
      </c>
      <c r="K26" t="s">
        <v>1171</v>
      </c>
      <c r="L26" t="s">
        <v>1171</v>
      </c>
      <c r="M26" t="s">
        <v>1176</v>
      </c>
      <c r="N26" t="s">
        <v>60</v>
      </c>
      <c r="O26" t="s">
        <v>1171</v>
      </c>
      <c r="P26" t="s">
        <v>1171</v>
      </c>
      <c r="Q26" t="s">
        <v>1171</v>
      </c>
      <c r="R26" t="s">
        <v>1171</v>
      </c>
      <c r="S26" s="70" t="str" cm="1">
        <f t="array" ref="S26">_xlfn.TEXTJOIN(",",TRUE,LEFT(TRIM(_xlfn.TEXTSPLIT(us_core_reqs[[#This Row],[reference]],",")),FIND(".html",TRIM(_xlfn.TEXTSPLIT(us_core_reqs[[#This Row],[reference]],",")))-1))</f>
        <v>general-requirements</v>
      </c>
      <c r="T26" s="70" t="str" cm="1">
        <f t="array" ref="T26">_xlfn.TEXTJOIN(",",TRUE,MID(TRIM(_xlfn.TEXTSPLIT(us_core_reqs[[#This Row],[reference]],",")),FIND("#",TRIM(_xlfn.TEXTSPLIT(us_core_reqs[[#This Row],[reference]],","))&amp;"#")+1,1000))</f>
        <v>extensible-binding-for-coded-elements</v>
      </c>
      <c r="U26" t="str" cm="1">
        <f t="array" ref="U26">_xlfn.TEXTJOIN(", ",TRUE,SUBSTITUTE(SUBSTITUTE(PROPER(SUBSTITUTE(TRIM(_xlfn.TEXTSPLIT(us_core_reqs[[#This Row],[Page]],","))," -"," "))&amp;": "&amp;PROPER(SUBSTITUTE(TRIM(_xlfn.TEXTSPLIT(us_core_reqs[[#This Row],[Section]],","))," -"," ")),"Us ","US        
  "),"Uscdi","USCDI"))</f>
        <v>General-Requirements: Extensible-Binding-For-Coded-Elements</v>
      </c>
      <c r="V26" t="s">
        <v>1171</v>
      </c>
      <c r="W26" t="s">
        <v>1171</v>
      </c>
      <c r="X26" t="s">
        <v>1171</v>
      </c>
      <c r="Y26" t="s">
        <v>1171</v>
      </c>
      <c r="Z26" t="s">
        <v>1171</v>
      </c>
      <c r="AA26" t="s">
        <v>1171</v>
      </c>
      <c r="AB26" t="s">
        <v>1171</v>
      </c>
      <c r="AC26" t="s">
        <v>65</v>
      </c>
      <c r="AD26" t="s">
        <v>1171</v>
      </c>
      <c r="AE26" t="s">
        <v>1171</v>
      </c>
    </row>
    <row r="27" spans="1:31" ht="69" thickBot="1" x14ac:dyDescent="0.25">
      <c r="A27" t="s">
        <v>1171</v>
      </c>
      <c r="B27" t="s">
        <v>1199</v>
      </c>
      <c r="C27" t="str">
        <f>"CONF-"&amp;TEXT(us_core_reqs[[#This Row],[ID*]], "0000")</f>
        <v>CONF-0026</v>
      </c>
      <c r="D27" s="11" t="s">
        <v>820</v>
      </c>
      <c r="E27" s="73" t="str" cm="1">
        <f t="array" ref="E27">_xlfn.TEXTJOIN(", ", TRUE, _xlfn.TEXTAFTER(_xlfn.TEXTSPLIT(us_core_reqs[[#This Row],[URL*]], ", "), "/", -1))</f>
        <v>general-requirements.html#extensible-binding-for-coded-elements</v>
      </c>
      <c r="F27" s="11" t="s">
        <v>2355</v>
      </c>
      <c r="G27" t="s">
        <v>1834</v>
      </c>
      <c r="H27" cm="1">
        <f t="array" ref="H27">_xlfn.SWITCH(G27, "SHALL", 1, "SHOULD", 3, "MAY", 5, "SHOULD-NOT", 4, "SHALL-NOT", 2, "DEPRECATED", 6, 99)</f>
        <v>4</v>
      </c>
      <c r="J27" t="s">
        <v>30</v>
      </c>
      <c r="K27" t="s">
        <v>1171</v>
      </c>
      <c r="L27" t="s">
        <v>1099</v>
      </c>
      <c r="M27" t="s">
        <v>1176</v>
      </c>
      <c r="N27" t="s">
        <v>60</v>
      </c>
      <c r="O27" t="s">
        <v>1171</v>
      </c>
      <c r="P27" t="s">
        <v>1171</v>
      </c>
      <c r="Q27" t="s">
        <v>1171</v>
      </c>
      <c r="R27" t="s">
        <v>1171</v>
      </c>
      <c r="S27" s="70" t="str" cm="1">
        <f t="array" ref="S27">_xlfn.TEXTJOIN(",",TRUE,LEFT(TRIM(_xlfn.TEXTSPLIT(us_core_reqs[[#This Row],[reference]],",")),FIND(".html",TRIM(_xlfn.TEXTSPLIT(us_core_reqs[[#This Row],[reference]],",")))-1))</f>
        <v>general-requirements</v>
      </c>
      <c r="T27" s="70" t="str" cm="1">
        <f t="array" ref="T27">_xlfn.TEXTJOIN(",",TRUE,MID(TRIM(_xlfn.TEXTSPLIT(us_core_reqs[[#This Row],[reference]],",")),FIND("#",TRIM(_xlfn.TEXTSPLIT(us_core_reqs[[#This Row],[reference]],","))&amp;"#")+1,1000))</f>
        <v>extensible-binding-for-coded-elements</v>
      </c>
      <c r="U27" t="str" cm="1">
        <f t="array" ref="U27">_xlfn.TEXTJOIN(", ",TRUE,SUBSTITUTE(SUBSTITUTE(PROPER(SUBSTITUTE(TRIM(_xlfn.TEXTSPLIT(us_core_reqs[[#This Row],[Page]],","))," -"," "))&amp;": "&amp;PROPER(SUBSTITUTE(TRIM(_xlfn.TEXTSPLIT(us_core_reqs[[#This Row],[Section]],","))," -"," ")),"Us ","US        
  "),"Uscdi","USCDI"))</f>
        <v>General-Requirements: Extensible-Binding-For-Coded-Elements</v>
      </c>
      <c r="V27" t="s">
        <v>35</v>
      </c>
      <c r="W27" t="s">
        <v>1171</v>
      </c>
      <c r="X27" t="s">
        <v>1171</v>
      </c>
      <c r="Y27" t="s">
        <v>1171</v>
      </c>
      <c r="Z27" t="s">
        <v>1171</v>
      </c>
      <c r="AA27" t="s">
        <v>1171</v>
      </c>
      <c r="AB27" t="s">
        <v>1171</v>
      </c>
      <c r="AC27" t="s">
        <v>1171</v>
      </c>
      <c r="AD27" t="s">
        <v>1171</v>
      </c>
      <c r="AE27" t="s">
        <v>1171</v>
      </c>
    </row>
    <row r="28" spans="1:31" ht="154" thickBot="1" x14ac:dyDescent="0.25">
      <c r="A28" t="s">
        <v>1171</v>
      </c>
      <c r="B28" t="s">
        <v>1200</v>
      </c>
      <c r="C28" t="str">
        <f>"CONF-"&amp;TEXT(us_core_reqs[[#This Row],[ID*]], "0000")</f>
        <v>CONF-0027</v>
      </c>
      <c r="D28" s="11" t="s">
        <v>820</v>
      </c>
      <c r="E28" s="73" t="str" cm="1">
        <f t="array" ref="E28">_xlfn.TEXTJOIN(", ", TRUE, _xlfn.TEXTAFTER(_xlfn.TEXTSPLIT(us_core_reqs[[#This Row],[URL*]], ", "), "/", -1))</f>
        <v>general-requirements.html#extensible-binding-for-coded-elements</v>
      </c>
      <c r="F28" s="11" t="s">
        <v>67</v>
      </c>
      <c r="G28" t="s">
        <v>29</v>
      </c>
      <c r="H28" cm="1">
        <f t="array" ref="H28">_xlfn.SWITCH(G28, "SHALL", 1, "SHOULD", 3, "MAY", 5, "SHOULD-NOT", 4, "SHALL-NOT", 2, "DEPRECATED", 6, 99)</f>
        <v>1</v>
      </c>
      <c r="J28" t="s">
        <v>30</v>
      </c>
      <c r="K28" t="s">
        <v>1171</v>
      </c>
      <c r="L28" t="s">
        <v>1171</v>
      </c>
      <c r="M28" t="s">
        <v>1176</v>
      </c>
      <c r="N28" t="s">
        <v>68</v>
      </c>
      <c r="O28" t="s">
        <v>1171</v>
      </c>
      <c r="P28" t="s">
        <v>1171</v>
      </c>
      <c r="Q28" t="s">
        <v>1171</v>
      </c>
      <c r="R28" t="s">
        <v>1171</v>
      </c>
      <c r="S28" s="70" t="str" cm="1">
        <f t="array" ref="S28">_xlfn.TEXTJOIN(",",TRUE,LEFT(TRIM(_xlfn.TEXTSPLIT(us_core_reqs[[#This Row],[reference]],",")),FIND(".html",TRIM(_xlfn.TEXTSPLIT(us_core_reqs[[#This Row],[reference]],",")))-1))</f>
        <v>general-requirements</v>
      </c>
      <c r="T28" s="70" t="str" cm="1">
        <f t="array" ref="T28">_xlfn.TEXTJOIN(",",TRUE,MID(TRIM(_xlfn.TEXTSPLIT(us_core_reqs[[#This Row],[reference]],",")),FIND("#",TRIM(_xlfn.TEXTSPLIT(us_core_reqs[[#This Row],[reference]],","))&amp;"#")+1,1000))</f>
        <v>extensible-binding-for-coded-elements</v>
      </c>
      <c r="U28" t="str" cm="1">
        <f t="array" ref="U28">_xlfn.TEXTJOIN(", ",TRUE,SUBSTITUTE(SUBSTITUTE(PROPER(SUBSTITUTE(TRIM(_xlfn.TEXTSPLIT(us_core_reqs[[#This Row],[Page]],","))," -"," "))&amp;": "&amp;PROPER(SUBSTITUTE(TRIM(_xlfn.TEXTSPLIT(us_core_reqs[[#This Row],[Section]],","))," -"," ")),"Us ","US        
  "),"Uscdi","USCDI"))</f>
        <v>General-Requirements: Extensible-Binding-For-Coded-Elements</v>
      </c>
      <c r="V28" t="s">
        <v>29</v>
      </c>
      <c r="W28" t="s">
        <v>30</v>
      </c>
      <c r="X28" t="s">
        <v>1171</v>
      </c>
      <c r="Y28" t="s">
        <v>1171</v>
      </c>
      <c r="Z28" t="s">
        <v>1171</v>
      </c>
      <c r="AA28" t="s">
        <v>1171</v>
      </c>
      <c r="AB28" t="s">
        <v>1171</v>
      </c>
      <c r="AC28" t="s">
        <v>1171</v>
      </c>
      <c r="AD28" t="s">
        <v>1140</v>
      </c>
      <c r="AE28" t="s">
        <v>1171</v>
      </c>
    </row>
    <row r="29" spans="1:31" ht="52" thickBot="1" x14ac:dyDescent="0.25">
      <c r="A29" t="s">
        <v>1171</v>
      </c>
      <c r="B29" t="s">
        <v>1201</v>
      </c>
      <c r="C29" t="str">
        <f>"CONF-"&amp;TEXT(us_core_reqs[[#This Row],[ID*]], "0000")</f>
        <v>CONF-0028</v>
      </c>
      <c r="D29" s="11" t="s">
        <v>820</v>
      </c>
      <c r="E29" s="73" t="str" cm="1">
        <f t="array" ref="E29">_xlfn.TEXTJOIN(", ", TRUE, _xlfn.TEXTAFTER(_xlfn.TEXTSPLIT(us_core_reqs[[#This Row],[URL*]], ", "), "/", -1))</f>
        <v>general-requirements.html#extensible-binding-for-coded-elements</v>
      </c>
      <c r="F29" s="11" t="s">
        <v>2038</v>
      </c>
      <c r="G29" t="s">
        <v>29</v>
      </c>
      <c r="H29" cm="1">
        <f t="array" ref="H29">_xlfn.SWITCH(G29, "SHALL", 1, "SHOULD", 3, "MAY", 5, "SHOULD-NOT", 4, "SHALL-NOT", 2, "DEPRECATED", 6, 99)</f>
        <v>1</v>
      </c>
      <c r="J29" t="s">
        <v>58</v>
      </c>
      <c r="K29" t="s">
        <v>1171</v>
      </c>
      <c r="L29" t="s">
        <v>1171</v>
      </c>
      <c r="M29" t="s">
        <v>1176</v>
      </c>
      <c r="N29" t="s">
        <v>1171</v>
      </c>
      <c r="O29" t="s">
        <v>1171</v>
      </c>
      <c r="P29" t="s">
        <v>1171</v>
      </c>
      <c r="Q29" t="s">
        <v>1171</v>
      </c>
      <c r="R29" t="s">
        <v>1171</v>
      </c>
      <c r="S29" s="70" t="str" cm="1">
        <f t="array" ref="S29">_xlfn.TEXTJOIN(",",TRUE,LEFT(TRIM(_xlfn.TEXTSPLIT(us_core_reqs[[#This Row],[reference]],",")),FIND(".html",TRIM(_xlfn.TEXTSPLIT(us_core_reqs[[#This Row],[reference]],",")))-1))</f>
        <v>general-requirements</v>
      </c>
      <c r="T29" s="70" t="str" cm="1">
        <f t="array" ref="T29">_xlfn.TEXTJOIN(",",TRUE,MID(TRIM(_xlfn.TEXTSPLIT(us_core_reqs[[#This Row],[reference]],",")),FIND("#",TRIM(_xlfn.TEXTSPLIT(us_core_reqs[[#This Row],[reference]],","))&amp;"#")+1,1000))</f>
        <v>extensible-binding-for-coded-elements</v>
      </c>
      <c r="U29" t="str" cm="1">
        <f t="array" ref="U29">_xlfn.TEXTJOIN(", ",TRUE,SUBSTITUTE(SUBSTITUTE(PROPER(SUBSTITUTE(TRIM(_xlfn.TEXTSPLIT(us_core_reqs[[#This Row],[Page]],","))," -"," "))&amp;": "&amp;PROPER(SUBSTITUTE(TRIM(_xlfn.TEXTSPLIT(us_core_reqs[[#This Row],[Section]],","))," -"," ")),"Us ","US        
  "),"Uscdi","USCDI"))</f>
        <v>General-Requirements: Extensible-Binding-For-Coded-Elements</v>
      </c>
      <c r="V29" t="s">
        <v>29</v>
      </c>
      <c r="W29" t="s">
        <v>58</v>
      </c>
      <c r="X29" t="s">
        <v>1171</v>
      </c>
      <c r="Y29" t="s">
        <v>1171</v>
      </c>
      <c r="Z29" t="s">
        <v>1171</v>
      </c>
      <c r="AA29" t="s">
        <v>1171</v>
      </c>
      <c r="AB29" t="s">
        <v>1171</v>
      </c>
      <c r="AC29" t="s">
        <v>1171</v>
      </c>
      <c r="AD29" t="s">
        <v>1171</v>
      </c>
      <c r="AE29" t="s">
        <v>1171</v>
      </c>
    </row>
    <row r="30" spans="1:31" ht="52" thickBot="1" x14ac:dyDescent="0.25">
      <c r="A30" t="s">
        <v>1171</v>
      </c>
      <c r="B30" t="s">
        <v>1202</v>
      </c>
      <c r="C30" t="str">
        <f>"CONF-"&amp;TEXT(us_core_reqs[[#This Row],[ID*]], "0000")</f>
        <v>CONF-0029</v>
      </c>
      <c r="D30" s="11" t="s">
        <v>611</v>
      </c>
      <c r="E30" s="73" t="str" cm="1">
        <f t="array" ref="E30">_xlfn.TEXTJOIN(", ", TRUE, _xlfn.TEXTAFTER(_xlfn.TEXTSPLIT(us_core_reqs[[#This Row],[URL*]], ", "), "/", -1))</f>
        <v>general-requirements.html#translations</v>
      </c>
      <c r="F30" s="11" t="s">
        <v>644</v>
      </c>
      <c r="G30" t="s">
        <v>35</v>
      </c>
      <c r="H30" cm="1">
        <f t="array" ref="H30">_xlfn.SWITCH(G30, "SHALL", 1, "SHOULD", 3, "MAY", 5, "SHOULD-NOT", 4, "SHALL-NOT", 2, "DEPRECATED", 6, 99)</f>
        <v>5</v>
      </c>
      <c r="J30" t="s">
        <v>30</v>
      </c>
      <c r="K30" t="s">
        <v>1171</v>
      </c>
      <c r="L30" t="s">
        <v>1171</v>
      </c>
      <c r="M30" t="s">
        <v>1173</v>
      </c>
      <c r="N30" t="s">
        <v>1171</v>
      </c>
      <c r="O30" t="s">
        <v>1171</v>
      </c>
      <c r="P30" t="s">
        <v>1171</v>
      </c>
      <c r="Q30" t="s">
        <v>1171</v>
      </c>
      <c r="R30" t="s">
        <v>1171</v>
      </c>
      <c r="S30" s="70" t="str" cm="1">
        <f t="array" ref="S30">_xlfn.TEXTJOIN(",",TRUE,LEFT(TRIM(_xlfn.TEXTSPLIT(us_core_reqs[[#This Row],[reference]],",")),FIND(".html",TRIM(_xlfn.TEXTSPLIT(us_core_reqs[[#This Row],[reference]],",")))-1))</f>
        <v>general-requirements</v>
      </c>
      <c r="T30" s="70" t="str" cm="1">
        <f t="array" ref="T30">_xlfn.TEXTJOIN(",",TRUE,MID(TRIM(_xlfn.TEXTSPLIT(us_core_reqs[[#This Row],[reference]],",")),FIND("#",TRIM(_xlfn.TEXTSPLIT(us_core_reqs[[#This Row],[reference]],","))&amp;"#")+1,1000))</f>
        <v>translations</v>
      </c>
      <c r="U30" t="str" cm="1">
        <f t="array" ref="U30">_xlfn.TEXTJOIN(", ",TRUE,SUBSTITUTE(SUBSTITUTE(PROPER(SUBSTITUTE(TRIM(_xlfn.TEXTSPLIT(us_core_reqs[[#This Row],[Page]],","))," -"," "))&amp;": "&amp;PROPER(SUBSTITUTE(TRIM(_xlfn.TEXTSPLIT(us_core_reqs[[#This Row],[Section]],","))," -"," ")),"Us ","US        
  "),"Uscdi","USCDI"))</f>
        <v>General-Requirements: Translations</v>
      </c>
      <c r="V30" t="s">
        <v>35</v>
      </c>
      <c r="W30" t="s">
        <v>1171</v>
      </c>
      <c r="X30" t="s">
        <v>1171</v>
      </c>
      <c r="Y30" t="s">
        <v>1171</v>
      </c>
      <c r="Z30" t="s">
        <v>1171</v>
      </c>
      <c r="AA30" t="s">
        <v>1171</v>
      </c>
      <c r="AB30" t="s">
        <v>1171</v>
      </c>
      <c r="AC30" t="s">
        <v>643</v>
      </c>
      <c r="AD30" t="s">
        <v>1171</v>
      </c>
      <c r="AE30" t="s">
        <v>1171</v>
      </c>
    </row>
    <row r="31" spans="1:31" ht="35" thickBot="1" x14ac:dyDescent="0.25">
      <c r="A31" t="s">
        <v>1171</v>
      </c>
      <c r="B31" t="s">
        <v>1203</v>
      </c>
      <c r="C31" t="str">
        <f>"CONF-"&amp;TEXT(us_core_reqs[[#This Row],[ID*]], "0000")</f>
        <v>CONF-0030</v>
      </c>
      <c r="D31" s="11" t="s">
        <v>611</v>
      </c>
      <c r="E31" s="73" t="str" cm="1">
        <f t="array" ref="E31">_xlfn.TEXTJOIN(", ", TRUE, _xlfn.TEXTAFTER(_xlfn.TEXTSPLIT(us_core_reqs[[#This Row],[URL*]], ", "), "/", -1))</f>
        <v>general-requirements.html#translations</v>
      </c>
      <c r="F31" s="11" t="s">
        <v>645</v>
      </c>
      <c r="G31" t="s">
        <v>35</v>
      </c>
      <c r="H31" cm="1">
        <f t="array" ref="H31">_xlfn.SWITCH(G31, "SHALL", 1, "SHOULD", 3, "MAY", 5, "SHOULD-NOT", 4, "SHALL-NOT", 2, "DEPRECATED", 6, 99)</f>
        <v>5</v>
      </c>
      <c r="J31" t="s">
        <v>30</v>
      </c>
      <c r="K31" t="s">
        <v>1171</v>
      </c>
      <c r="L31" t="s">
        <v>1171</v>
      </c>
      <c r="M31" t="s">
        <v>1173</v>
      </c>
      <c r="N31" t="s">
        <v>1171</v>
      </c>
      <c r="O31" t="s">
        <v>1171</v>
      </c>
      <c r="P31" t="s">
        <v>1171</v>
      </c>
      <c r="Q31" t="s">
        <v>1171</v>
      </c>
      <c r="R31" t="s">
        <v>1171</v>
      </c>
      <c r="S31" s="70" t="str" cm="1">
        <f t="array" ref="S31">_xlfn.TEXTJOIN(",",TRUE,LEFT(TRIM(_xlfn.TEXTSPLIT(us_core_reqs[[#This Row],[reference]],",")),FIND(".html",TRIM(_xlfn.TEXTSPLIT(us_core_reqs[[#This Row],[reference]],",")))-1))</f>
        <v>general-requirements</v>
      </c>
      <c r="T31" s="70" t="str" cm="1">
        <f t="array" ref="T31">_xlfn.TEXTJOIN(",",TRUE,MID(TRIM(_xlfn.TEXTSPLIT(us_core_reqs[[#This Row],[reference]],",")),FIND("#",TRIM(_xlfn.TEXTSPLIT(us_core_reqs[[#This Row],[reference]],","))&amp;"#")+1,1000))</f>
        <v>translations</v>
      </c>
      <c r="U31" t="str" cm="1">
        <f t="array" ref="U31">_xlfn.TEXTJOIN(", ",TRUE,SUBSTITUTE(SUBSTITUTE(PROPER(SUBSTITUTE(TRIM(_xlfn.TEXTSPLIT(us_core_reqs[[#This Row],[Page]],","))," -"," "))&amp;": "&amp;PROPER(SUBSTITUTE(TRIM(_xlfn.TEXTSPLIT(us_core_reqs[[#This Row],[Section]],","))," -"," ")),"Us ","US        
  "),"Uscdi","USCDI"))</f>
        <v>General-Requirements: Translations</v>
      </c>
      <c r="V31" t="s">
        <v>35</v>
      </c>
      <c r="W31" t="s">
        <v>1171</v>
      </c>
      <c r="X31" t="s">
        <v>1171</v>
      </c>
      <c r="Y31" t="s">
        <v>1171</v>
      </c>
      <c r="Z31" t="s">
        <v>1171</v>
      </c>
      <c r="AA31" t="s">
        <v>1171</v>
      </c>
      <c r="AB31" t="s">
        <v>1171</v>
      </c>
      <c r="AC31" t="s">
        <v>643</v>
      </c>
      <c r="AD31" t="s">
        <v>1171</v>
      </c>
      <c r="AE31" t="s">
        <v>1171</v>
      </c>
    </row>
    <row r="32" spans="1:31" ht="52" thickBot="1" x14ac:dyDescent="0.25">
      <c r="A32" t="s">
        <v>1171</v>
      </c>
      <c r="B32" t="s">
        <v>1204</v>
      </c>
      <c r="C32" t="str">
        <f>"CONF-"&amp;TEXT(us_core_reqs[[#This Row],[ID*]], "0000")</f>
        <v>CONF-0031</v>
      </c>
      <c r="D32" s="11" t="s">
        <v>821</v>
      </c>
      <c r="E32" s="73" t="str" cm="1">
        <f t="array" ref="E32">_xlfn.TEXTJOIN(", ", TRUE, _xlfn.TEXTAFTER(_xlfn.TEXTSPLIT(us_core_reqs[[#This Row],[URL*]], ", "), "/", -1))</f>
        <v>general-requirements.html#modifier-elements</v>
      </c>
      <c r="F32" s="11" t="s">
        <v>2039</v>
      </c>
      <c r="G32" t="s">
        <v>64</v>
      </c>
      <c r="H32" cm="1">
        <f t="array" ref="H32">_xlfn.SWITCH(G32, "SHALL", 1, "SHOULD", 3, "MAY", 5, "SHOULD-NOT", 4, "SHALL-NOT", 2, "DEPRECATED", 6, 99)</f>
        <v>6</v>
      </c>
      <c r="J32" t="s">
        <v>30</v>
      </c>
      <c r="K32" t="s">
        <v>1171</v>
      </c>
      <c r="L32" t="s">
        <v>1171</v>
      </c>
      <c r="M32" t="s">
        <v>1176</v>
      </c>
      <c r="N32" t="s">
        <v>1171</v>
      </c>
      <c r="O32" t="s">
        <v>1171</v>
      </c>
      <c r="P32" t="s">
        <v>1171</v>
      </c>
      <c r="Q32" t="s">
        <v>1171</v>
      </c>
      <c r="R32" t="s">
        <v>1171</v>
      </c>
      <c r="S32" s="70" t="str" cm="1">
        <f t="array" ref="S32">_xlfn.TEXTJOIN(",",TRUE,LEFT(TRIM(_xlfn.TEXTSPLIT(us_core_reqs[[#This Row],[reference]],",")),FIND(".html",TRIM(_xlfn.TEXTSPLIT(us_core_reqs[[#This Row],[reference]],",")))-1))</f>
        <v>general-requirements</v>
      </c>
      <c r="T32" s="70" t="str" cm="1">
        <f t="array" ref="T32">_xlfn.TEXTJOIN(",",TRUE,MID(TRIM(_xlfn.TEXTSPLIT(us_core_reqs[[#This Row],[reference]],",")),FIND("#",TRIM(_xlfn.TEXTSPLIT(us_core_reqs[[#This Row],[reference]],","))&amp;"#")+1,1000))</f>
        <v>modifier-elements</v>
      </c>
      <c r="U32" t="str" cm="1">
        <f t="array" ref="U32">_xlfn.TEXTJOIN(", ",TRUE,SUBSTITUTE(SUBSTITUTE(PROPER(SUBSTITUTE(TRIM(_xlfn.TEXTSPLIT(us_core_reqs[[#This Row],[Page]],","))," -"," "))&amp;": "&amp;PROPER(SUBSTITUTE(TRIM(_xlfn.TEXTSPLIT(us_core_reqs[[#This Row],[Section]],","))," -"," ")),"Us ","US        
  "),"Uscdi","USCDI"))</f>
        <v>General-Requirements: Modifier-Elements</v>
      </c>
      <c r="V32" t="s">
        <v>29</v>
      </c>
      <c r="W32" t="s">
        <v>30</v>
      </c>
      <c r="X32" t="s">
        <v>1171</v>
      </c>
      <c r="Y32" t="s">
        <v>1171</v>
      </c>
      <c r="Z32" t="s">
        <v>1171</v>
      </c>
      <c r="AA32" t="s">
        <v>1171</v>
      </c>
      <c r="AB32" t="s">
        <v>1171</v>
      </c>
      <c r="AC32" t="s">
        <v>1144</v>
      </c>
      <c r="AD32" t="s">
        <v>1141</v>
      </c>
      <c r="AE32" t="s">
        <v>1171</v>
      </c>
    </row>
    <row r="33" spans="1:31" ht="52" thickBot="1" x14ac:dyDescent="0.25">
      <c r="A33" t="s">
        <v>1171</v>
      </c>
      <c r="B33" t="s">
        <v>1205</v>
      </c>
      <c r="C33" t="str">
        <f>"CONF-"&amp;TEXT(us_core_reqs[[#This Row],[ID*]], "0000")</f>
        <v>CONF-0032</v>
      </c>
      <c r="D33" s="11" t="s">
        <v>821</v>
      </c>
      <c r="E33" s="73" t="str" cm="1">
        <f t="array" ref="E33">_xlfn.TEXTJOIN(", ", TRUE, _xlfn.TEXTAFTER(_xlfn.TEXTSPLIT(us_core_reqs[[#This Row],[URL*]], ", "), "/", -1))</f>
        <v>general-requirements.html#modifier-elements</v>
      </c>
      <c r="F33" s="11" t="s">
        <v>2040</v>
      </c>
      <c r="G33" t="s">
        <v>29</v>
      </c>
      <c r="H33" cm="1">
        <f t="array" ref="H33">_xlfn.SWITCH(G33, "SHALL", 1, "SHOULD", 3, "MAY", 5, "SHOULD-NOT", 4, "SHALL-NOT", 2, "DEPRECATED", 6, 99)</f>
        <v>1</v>
      </c>
      <c r="J33" t="s">
        <v>58</v>
      </c>
      <c r="K33" t="s">
        <v>1171</v>
      </c>
      <c r="L33" t="s">
        <v>1171</v>
      </c>
      <c r="M33" t="s">
        <v>1176</v>
      </c>
      <c r="N33" t="s">
        <v>1171</v>
      </c>
      <c r="O33" t="s">
        <v>1171</v>
      </c>
      <c r="P33" t="s">
        <v>1171</v>
      </c>
      <c r="Q33" t="s">
        <v>1171</v>
      </c>
      <c r="R33" t="s">
        <v>1171</v>
      </c>
      <c r="S33" s="70" t="str" cm="1">
        <f t="array" ref="S33">_xlfn.TEXTJOIN(",",TRUE,LEFT(TRIM(_xlfn.TEXTSPLIT(us_core_reqs[[#This Row],[reference]],",")),FIND(".html",TRIM(_xlfn.TEXTSPLIT(us_core_reqs[[#This Row],[reference]],",")))-1))</f>
        <v>general-requirements</v>
      </c>
      <c r="T33" s="70" t="str" cm="1">
        <f t="array" ref="T33">_xlfn.TEXTJOIN(",",TRUE,MID(TRIM(_xlfn.TEXTSPLIT(us_core_reqs[[#This Row],[reference]],",")),FIND("#",TRIM(_xlfn.TEXTSPLIT(us_core_reqs[[#This Row],[reference]],","))&amp;"#")+1,1000))</f>
        <v>modifier-elements</v>
      </c>
      <c r="U33" t="str" cm="1">
        <f t="array" ref="U33">_xlfn.TEXTJOIN(", ",TRUE,SUBSTITUTE(SUBSTITUTE(PROPER(SUBSTITUTE(TRIM(_xlfn.TEXTSPLIT(us_core_reqs[[#This Row],[Page]],","))," -"," "))&amp;": "&amp;PROPER(SUBSTITUTE(TRIM(_xlfn.TEXTSPLIT(us_core_reqs[[#This Row],[Section]],","))," -"," ")),"Us ","US        
  "),"Uscdi","USCDI"))</f>
        <v>General-Requirements: Modifier-Elements</v>
      </c>
      <c r="V33" t="s">
        <v>29</v>
      </c>
      <c r="W33" t="s">
        <v>58</v>
      </c>
      <c r="X33" t="s">
        <v>1171</v>
      </c>
      <c r="Y33" t="s">
        <v>1171</v>
      </c>
      <c r="Z33" t="s">
        <v>1171</v>
      </c>
      <c r="AA33" t="s">
        <v>1171</v>
      </c>
      <c r="AB33" t="s">
        <v>1171</v>
      </c>
      <c r="AC33" t="s">
        <v>1171</v>
      </c>
      <c r="AD33" t="s">
        <v>1171</v>
      </c>
      <c r="AE33" t="s">
        <v>1171</v>
      </c>
    </row>
    <row r="34" spans="1:31" ht="35" thickBot="1" x14ac:dyDescent="0.25">
      <c r="A34" t="s">
        <v>1171</v>
      </c>
      <c r="B34" t="s">
        <v>1206</v>
      </c>
      <c r="C34" t="str">
        <f>"CONF-"&amp;TEXT(us_core_reqs[[#This Row],[ID*]], "0000")</f>
        <v>CONF-0033</v>
      </c>
      <c r="D34" s="11" t="s">
        <v>821</v>
      </c>
      <c r="E34" s="73" t="str" cm="1">
        <f t="array" ref="E34">_xlfn.TEXTJOIN(", ", TRUE, _xlfn.TEXTAFTER(_xlfn.TEXTSPLIT(us_core_reqs[[#This Row],[URL*]], ", "), "/", -1))</f>
        <v>general-requirements.html#modifier-elements</v>
      </c>
      <c r="F34" s="11" t="s">
        <v>72</v>
      </c>
      <c r="G34" t="s">
        <v>35</v>
      </c>
      <c r="H34" cm="1">
        <f t="array" ref="H34">_xlfn.SWITCH(G34, "SHALL", 1, "SHOULD", 3, "MAY", 5, "SHOULD-NOT", 4, "SHALL-NOT", 2, "DEPRECATED", 6, 99)</f>
        <v>5</v>
      </c>
      <c r="J34" t="s">
        <v>30</v>
      </c>
      <c r="K34" t="s">
        <v>1171</v>
      </c>
      <c r="L34" t="s">
        <v>1171</v>
      </c>
      <c r="M34" t="s">
        <v>1173</v>
      </c>
      <c r="N34" t="s">
        <v>1171</v>
      </c>
      <c r="O34" t="s">
        <v>1171</v>
      </c>
      <c r="P34" t="s">
        <v>1171</v>
      </c>
      <c r="Q34" t="s">
        <v>1171</v>
      </c>
      <c r="R34" t="s">
        <v>1171</v>
      </c>
      <c r="S34" s="70" t="str" cm="1">
        <f t="array" ref="S34">_xlfn.TEXTJOIN(",",TRUE,LEFT(TRIM(_xlfn.TEXTSPLIT(us_core_reqs[[#This Row],[reference]],",")),FIND(".html",TRIM(_xlfn.TEXTSPLIT(us_core_reqs[[#This Row],[reference]],",")))-1))</f>
        <v>general-requirements</v>
      </c>
      <c r="T34" s="70" t="str" cm="1">
        <f t="array" ref="T34">_xlfn.TEXTJOIN(",",TRUE,MID(TRIM(_xlfn.TEXTSPLIT(us_core_reqs[[#This Row],[reference]],",")),FIND("#",TRIM(_xlfn.TEXTSPLIT(us_core_reqs[[#This Row],[reference]],","))&amp;"#")+1,1000))</f>
        <v>modifier-elements</v>
      </c>
      <c r="U34" t="str" cm="1">
        <f t="array" ref="U34">_xlfn.TEXTJOIN(", ",TRUE,SUBSTITUTE(SUBSTITUTE(PROPER(SUBSTITUTE(TRIM(_xlfn.TEXTSPLIT(us_core_reqs[[#This Row],[Page]],","))," -"," "))&amp;": "&amp;PROPER(SUBSTITUTE(TRIM(_xlfn.TEXTSPLIT(us_core_reqs[[#This Row],[Section]],","))," -"," ")),"Us ","US        
  "),"Uscdi","USCDI"))</f>
        <v>General-Requirements: Modifier-Elements</v>
      </c>
      <c r="V34" t="s">
        <v>1171</v>
      </c>
      <c r="W34" t="s">
        <v>1171</v>
      </c>
      <c r="X34" t="s">
        <v>1171</v>
      </c>
      <c r="Y34" t="s">
        <v>1171</v>
      </c>
      <c r="Z34" t="s">
        <v>1171</v>
      </c>
      <c r="AA34" t="s">
        <v>1171</v>
      </c>
      <c r="AB34" t="s">
        <v>1171</v>
      </c>
      <c r="AC34" t="s">
        <v>1171</v>
      </c>
      <c r="AD34" t="s">
        <v>1171</v>
      </c>
      <c r="AE34" t="s">
        <v>1171</v>
      </c>
    </row>
    <row r="35" spans="1:31" ht="52" thickBot="1" x14ac:dyDescent="0.25">
      <c r="A35" t="s">
        <v>1171</v>
      </c>
      <c r="B35" t="s">
        <v>1207</v>
      </c>
      <c r="C35" t="str">
        <f>"CONF-"&amp;TEXT(us_core_reqs[[#This Row],[ID*]], "0000")</f>
        <v>CONF-0034</v>
      </c>
      <c r="D35" s="11" t="s">
        <v>821</v>
      </c>
      <c r="E35" s="73" t="str" cm="1">
        <f t="array" ref="E35">_xlfn.TEXTJOIN(", ", TRUE, _xlfn.TEXTAFTER(_xlfn.TEXTSPLIT(us_core_reqs[[#This Row],[URL*]], ", "), "/", -1))</f>
        <v>general-requirements.html#modifier-elements</v>
      </c>
      <c r="F35" s="11" t="s">
        <v>73</v>
      </c>
      <c r="G35" t="s">
        <v>35</v>
      </c>
      <c r="H35" cm="1">
        <f t="array" ref="H35">_xlfn.SWITCH(G35, "SHALL", 1, "SHOULD", 3, "MAY", 5, "SHOULD-NOT", 4, "SHALL-NOT", 2, "DEPRECATED", 6, 99)</f>
        <v>5</v>
      </c>
      <c r="I35" t="s">
        <v>1845</v>
      </c>
      <c r="J35" t="s">
        <v>30</v>
      </c>
      <c r="K35" t="s">
        <v>1171</v>
      </c>
      <c r="L35" t="s">
        <v>1171</v>
      </c>
      <c r="M35" t="s">
        <v>1173</v>
      </c>
      <c r="N35" t="s">
        <v>1171</v>
      </c>
      <c r="O35" t="s">
        <v>1171</v>
      </c>
      <c r="P35" t="s">
        <v>1171</v>
      </c>
      <c r="Q35" t="s">
        <v>1171</v>
      </c>
      <c r="R35" t="s">
        <v>1171</v>
      </c>
      <c r="S35" s="70" t="str" cm="1">
        <f t="array" ref="S35">_xlfn.TEXTJOIN(",",TRUE,LEFT(TRIM(_xlfn.TEXTSPLIT(us_core_reqs[[#This Row],[reference]],",")),FIND(".html",TRIM(_xlfn.TEXTSPLIT(us_core_reqs[[#This Row],[reference]],",")))-1))</f>
        <v>general-requirements</v>
      </c>
      <c r="T35" s="70" t="str" cm="1">
        <f t="array" ref="T35">_xlfn.TEXTJOIN(",",TRUE,MID(TRIM(_xlfn.TEXTSPLIT(us_core_reqs[[#This Row],[reference]],",")),FIND("#",TRIM(_xlfn.TEXTSPLIT(us_core_reqs[[#This Row],[reference]],","))&amp;"#")+1,1000))</f>
        <v>modifier-elements</v>
      </c>
      <c r="U35" t="str" cm="1">
        <f t="array" ref="U35">_xlfn.TEXTJOIN(", ",TRUE,SUBSTITUTE(SUBSTITUTE(PROPER(SUBSTITUTE(TRIM(_xlfn.TEXTSPLIT(us_core_reqs[[#This Row],[Page]],","))," -"," "))&amp;": "&amp;PROPER(SUBSTITUTE(TRIM(_xlfn.TEXTSPLIT(us_core_reqs[[#This Row],[Section]],","))," -"," ")),"Us ","US        
  "),"Uscdi","USCDI"))</f>
        <v>General-Requirements: Modifier-Elements</v>
      </c>
      <c r="V35" t="s">
        <v>35</v>
      </c>
      <c r="W35" t="s">
        <v>30</v>
      </c>
      <c r="X35" t="s">
        <v>1171</v>
      </c>
      <c r="Y35" t="s">
        <v>1171</v>
      </c>
      <c r="Z35" t="s">
        <v>1171</v>
      </c>
      <c r="AA35" t="s">
        <v>1171</v>
      </c>
      <c r="AB35" t="s">
        <v>1171</v>
      </c>
      <c r="AC35" t="s">
        <v>1171</v>
      </c>
      <c r="AD35" t="s">
        <v>1171</v>
      </c>
      <c r="AE35" t="s">
        <v>1171</v>
      </c>
    </row>
    <row r="36" spans="1:31" ht="52" thickBot="1" x14ac:dyDescent="0.25">
      <c r="A36" t="s">
        <v>1171</v>
      </c>
      <c r="B36" t="s">
        <v>1208</v>
      </c>
      <c r="C36" t="str">
        <f>"CONF-"&amp;TEXT(us_core_reqs[[#This Row],[ID*]], "0000")</f>
        <v>CONF-0035</v>
      </c>
      <c r="D36" s="11" t="s">
        <v>821</v>
      </c>
      <c r="E36" s="73" t="str" cm="1">
        <f t="array" ref="E36">_xlfn.TEXTJOIN(", ", TRUE, _xlfn.TEXTAFTER(_xlfn.TEXTSPLIT(us_core_reqs[[#This Row],[URL*]], ", "), "/", -1))</f>
        <v>general-requirements.html#modifier-elements</v>
      </c>
      <c r="F36" s="11" t="s">
        <v>74</v>
      </c>
      <c r="G36" t="s">
        <v>32</v>
      </c>
      <c r="H36" cm="1">
        <f t="array" ref="H36">_xlfn.SWITCH(G36, "SHALL", 1, "SHOULD", 3, "MAY", 5, "SHOULD-NOT", 4, "SHALL-NOT", 2, "DEPRECATED", 6, 99)</f>
        <v>3</v>
      </c>
      <c r="J36" t="s">
        <v>58</v>
      </c>
      <c r="K36" t="s">
        <v>1171</v>
      </c>
      <c r="L36" t="s">
        <v>1171</v>
      </c>
      <c r="M36" t="s">
        <v>1176</v>
      </c>
      <c r="N36" t="s">
        <v>1171</v>
      </c>
      <c r="O36" t="s">
        <v>1171</v>
      </c>
      <c r="P36" t="s">
        <v>1171</v>
      </c>
      <c r="Q36" t="s">
        <v>1171</v>
      </c>
      <c r="R36" t="s">
        <v>1171</v>
      </c>
      <c r="S36" s="70" t="str" cm="1">
        <f t="array" ref="S36">_xlfn.TEXTJOIN(",",TRUE,LEFT(TRIM(_xlfn.TEXTSPLIT(us_core_reqs[[#This Row],[reference]],",")),FIND(".html",TRIM(_xlfn.TEXTSPLIT(us_core_reqs[[#This Row],[reference]],",")))-1))</f>
        <v>general-requirements</v>
      </c>
      <c r="T36" s="70" t="str" cm="1">
        <f t="array" ref="T36">_xlfn.TEXTJOIN(",",TRUE,MID(TRIM(_xlfn.TEXTSPLIT(us_core_reqs[[#This Row],[reference]],",")),FIND("#",TRIM(_xlfn.TEXTSPLIT(us_core_reqs[[#This Row],[reference]],","))&amp;"#")+1,1000))</f>
        <v>modifier-elements</v>
      </c>
      <c r="U36" t="str" cm="1">
        <f t="array" ref="U36">_xlfn.TEXTJOIN(", ",TRUE,SUBSTITUTE(SUBSTITUTE(PROPER(SUBSTITUTE(TRIM(_xlfn.TEXTSPLIT(us_core_reqs[[#This Row],[Page]],","))," -"," "))&amp;": "&amp;PROPER(SUBSTITUTE(TRIM(_xlfn.TEXTSPLIT(us_core_reqs[[#This Row],[Section]],","))," -"," ")),"Us ","US        
  "),"Uscdi","USCDI"))</f>
        <v>General-Requirements: Modifier-Elements</v>
      </c>
      <c r="V36" t="s">
        <v>32</v>
      </c>
      <c r="W36" t="s">
        <v>1171</v>
      </c>
      <c r="X36" t="s">
        <v>1171</v>
      </c>
      <c r="Y36" t="s">
        <v>1171</v>
      </c>
      <c r="Z36" t="s">
        <v>1171</v>
      </c>
      <c r="AA36" t="s">
        <v>1171</v>
      </c>
      <c r="AB36" t="s">
        <v>1171</v>
      </c>
      <c r="AC36" t="s">
        <v>1171</v>
      </c>
      <c r="AD36" t="s">
        <v>1171</v>
      </c>
      <c r="AE36" t="s">
        <v>1171</v>
      </c>
    </row>
    <row r="37" spans="1:31" ht="69" thickBot="1" x14ac:dyDescent="0.25">
      <c r="A37" t="s">
        <v>1171</v>
      </c>
      <c r="B37" t="s">
        <v>1209</v>
      </c>
      <c r="C37" t="str">
        <f>"CONF-"&amp;TEXT(us_core_reqs[[#This Row],[ID*]], "0000")</f>
        <v>CONF-0036</v>
      </c>
      <c r="D37" s="11" t="s">
        <v>821</v>
      </c>
      <c r="E37" s="73" t="str" cm="1">
        <f t="array" ref="E37">_xlfn.TEXTJOIN(", ", TRUE, _xlfn.TEXTAFTER(_xlfn.TEXTSPLIT(us_core_reqs[[#This Row],[URL*]], ", "), "/", -1))</f>
        <v>general-requirements.html#modifier-elements</v>
      </c>
      <c r="F37" s="11" t="s">
        <v>75</v>
      </c>
      <c r="G37" t="s">
        <v>1834</v>
      </c>
      <c r="H37" cm="1">
        <f t="array" ref="H37">_xlfn.SWITCH(G37, "SHALL", 1, "SHOULD", 3, "MAY", 5, "SHOULD-NOT", 4, "SHALL-NOT", 2, "DEPRECATED", 6, 99)</f>
        <v>4</v>
      </c>
      <c r="J37" t="s">
        <v>58</v>
      </c>
      <c r="K37" t="s">
        <v>1171</v>
      </c>
      <c r="L37" t="s">
        <v>1171</v>
      </c>
      <c r="M37" t="s">
        <v>1176</v>
      </c>
      <c r="N37" t="s">
        <v>1171</v>
      </c>
      <c r="O37" t="s">
        <v>1171</v>
      </c>
      <c r="P37" t="s">
        <v>1171</v>
      </c>
      <c r="Q37" t="s">
        <v>1171</v>
      </c>
      <c r="R37" t="s">
        <v>1171</v>
      </c>
      <c r="S37" s="70" t="str" cm="1">
        <f t="array" ref="S37">_xlfn.TEXTJOIN(",",TRUE,LEFT(TRIM(_xlfn.TEXTSPLIT(us_core_reqs[[#This Row],[reference]],",")),FIND(".html",TRIM(_xlfn.TEXTSPLIT(us_core_reqs[[#This Row],[reference]],",")))-1))</f>
        <v>general-requirements</v>
      </c>
      <c r="T37" s="70" t="str" cm="1">
        <f t="array" ref="T37">_xlfn.TEXTJOIN(",",TRUE,MID(TRIM(_xlfn.TEXTSPLIT(us_core_reqs[[#This Row],[reference]],",")),FIND("#",TRIM(_xlfn.TEXTSPLIT(us_core_reqs[[#This Row],[reference]],","))&amp;"#")+1,1000))</f>
        <v>modifier-elements</v>
      </c>
      <c r="U37" t="str" cm="1">
        <f t="array" ref="U37">_xlfn.TEXTJOIN(", ",TRUE,SUBSTITUTE(SUBSTITUTE(PROPER(SUBSTITUTE(TRIM(_xlfn.TEXTSPLIT(us_core_reqs[[#This Row],[Page]],","))," -"," "))&amp;": "&amp;PROPER(SUBSTITUTE(TRIM(_xlfn.TEXTSPLIT(us_core_reqs[[#This Row],[Section]],","))," -"," ")),"Us ","US        
  "),"Uscdi","USCDI"))</f>
        <v>General-Requirements: Modifier-Elements</v>
      </c>
      <c r="V37" t="s">
        <v>32</v>
      </c>
      <c r="W37" t="s">
        <v>1171</v>
      </c>
      <c r="X37" t="s">
        <v>1171</v>
      </c>
      <c r="Y37" t="s">
        <v>1171</v>
      </c>
      <c r="Z37" t="s">
        <v>1171</v>
      </c>
      <c r="AA37" t="s">
        <v>1171</v>
      </c>
      <c r="AB37" t="s">
        <v>1171</v>
      </c>
      <c r="AC37" t="s">
        <v>1171</v>
      </c>
      <c r="AD37" t="s">
        <v>1171</v>
      </c>
      <c r="AE37" t="s">
        <v>1171</v>
      </c>
    </row>
    <row r="38" spans="1:31" ht="52" thickBot="1" x14ac:dyDescent="0.25">
      <c r="A38" t="s">
        <v>1171</v>
      </c>
      <c r="B38" t="s">
        <v>1210</v>
      </c>
      <c r="C38" t="str">
        <f>"CONF-"&amp;TEXT(us_core_reqs[[#This Row],[ID*]], "0000")</f>
        <v>CONF-0037</v>
      </c>
      <c r="D38" s="11" t="s">
        <v>821</v>
      </c>
      <c r="E38" s="73" t="str" cm="1">
        <f t="array" ref="E38">_xlfn.TEXTJOIN(", ", TRUE, _xlfn.TEXTAFTER(_xlfn.TEXTSPLIT(us_core_reqs[[#This Row],[URL*]], ", "), "/", -1))</f>
        <v>general-requirements.html#modifier-elements</v>
      </c>
      <c r="F38" s="11" t="s">
        <v>906</v>
      </c>
      <c r="G38" t="s">
        <v>32</v>
      </c>
      <c r="H38" cm="1">
        <f t="array" ref="H38">_xlfn.SWITCH(G38, "SHALL", 1, "SHOULD", 3, "MAY", 5, "SHOULD-NOT", 4, "SHALL-NOT", 2, "DEPRECATED", 6, 99)</f>
        <v>3</v>
      </c>
      <c r="J38" t="s">
        <v>58</v>
      </c>
      <c r="K38" t="s">
        <v>1171</v>
      </c>
      <c r="L38" t="s">
        <v>1171</v>
      </c>
      <c r="M38" t="s">
        <v>1173</v>
      </c>
      <c r="N38" t="s">
        <v>1171</v>
      </c>
      <c r="O38" t="s">
        <v>1171</v>
      </c>
      <c r="P38" t="s">
        <v>1171</v>
      </c>
      <c r="Q38" t="s">
        <v>1171</v>
      </c>
      <c r="R38" t="s">
        <v>1171</v>
      </c>
      <c r="S38" s="70" t="str" cm="1">
        <f t="array" ref="S38">_xlfn.TEXTJOIN(",",TRUE,LEFT(TRIM(_xlfn.TEXTSPLIT(us_core_reqs[[#This Row],[reference]],",")),FIND(".html",TRIM(_xlfn.TEXTSPLIT(us_core_reqs[[#This Row],[reference]],",")))-1))</f>
        <v>general-requirements</v>
      </c>
      <c r="T38" s="70" t="str" cm="1">
        <f t="array" ref="T38">_xlfn.TEXTJOIN(",",TRUE,MID(TRIM(_xlfn.TEXTSPLIT(us_core_reqs[[#This Row],[reference]],",")),FIND("#",TRIM(_xlfn.TEXTSPLIT(us_core_reqs[[#This Row],[reference]],","))&amp;"#")+1,1000))</f>
        <v>modifier-elements</v>
      </c>
      <c r="U38" t="str" cm="1">
        <f t="array" ref="U38">_xlfn.TEXTJOIN(", ",TRUE,SUBSTITUTE(SUBSTITUTE(PROPER(SUBSTITUTE(TRIM(_xlfn.TEXTSPLIT(us_core_reqs[[#This Row],[Page]],","))," -"," "))&amp;": "&amp;PROPER(SUBSTITUTE(TRIM(_xlfn.TEXTSPLIT(us_core_reqs[[#This Row],[Section]],","))," -"," ")),"Us ","US        
  "),"Uscdi","USCDI"))</f>
        <v>General-Requirements: Modifier-Elements</v>
      </c>
      <c r="V38" t="s">
        <v>1171</v>
      </c>
      <c r="W38" t="s">
        <v>58</v>
      </c>
      <c r="X38" t="s">
        <v>1171</v>
      </c>
      <c r="Y38" t="s">
        <v>1171</v>
      </c>
      <c r="Z38" t="s">
        <v>1171</v>
      </c>
      <c r="AA38" t="s">
        <v>1171</v>
      </c>
      <c r="AB38" t="s">
        <v>1171</v>
      </c>
      <c r="AC38" t="s">
        <v>1171</v>
      </c>
      <c r="AD38" t="s">
        <v>1171</v>
      </c>
      <c r="AE38" t="s">
        <v>1171</v>
      </c>
    </row>
    <row r="39" spans="1:31" ht="35" thickBot="1" x14ac:dyDescent="0.25">
      <c r="A39" t="s">
        <v>1171</v>
      </c>
      <c r="B39" t="s">
        <v>1211</v>
      </c>
      <c r="C39" t="str">
        <f>"CONF-"&amp;TEXT(us_core_reqs[[#This Row],[ID*]], "0000")</f>
        <v>CONF-0038</v>
      </c>
      <c r="D39" s="11" t="s">
        <v>821</v>
      </c>
      <c r="E39" s="73" t="str" cm="1">
        <f t="array" ref="E39">_xlfn.TEXTJOIN(", ", TRUE, _xlfn.TEXTAFTER(_xlfn.TEXTSPLIT(us_core_reqs[[#This Row],[URL*]], ", "), "/", -1))</f>
        <v>general-requirements.html#modifier-elements</v>
      </c>
      <c r="F39" s="11" t="s">
        <v>1907</v>
      </c>
      <c r="G39" t="s">
        <v>64</v>
      </c>
      <c r="H39" cm="1">
        <f t="array" ref="H39">_xlfn.SWITCH(G39, "SHALL", 1, "SHOULD", 3, "MAY", 5, "SHOULD-NOT", 4, "SHALL-NOT", 2, "DEPRECATED", 6, 99)</f>
        <v>6</v>
      </c>
      <c r="I39" t="s">
        <v>1846</v>
      </c>
      <c r="J39" t="s">
        <v>1171</v>
      </c>
      <c r="K39" t="s">
        <v>1171</v>
      </c>
      <c r="L39" t="s">
        <v>1171</v>
      </c>
      <c r="M39" t="s">
        <v>1173</v>
      </c>
      <c r="N39" t="s">
        <v>1171</v>
      </c>
      <c r="O39" t="s">
        <v>1171</v>
      </c>
      <c r="P39" t="s">
        <v>1171</v>
      </c>
      <c r="Q39" t="s">
        <v>1171</v>
      </c>
      <c r="R39" t="s">
        <v>1171</v>
      </c>
      <c r="S39" s="70" t="str" cm="1">
        <f t="array" ref="S39">_xlfn.TEXTJOIN(",",TRUE,LEFT(TRIM(_xlfn.TEXTSPLIT(us_core_reqs[[#This Row],[reference]],",")),FIND(".html",TRIM(_xlfn.TEXTSPLIT(us_core_reqs[[#This Row],[reference]],",")))-1))</f>
        <v>general-requirements</v>
      </c>
      <c r="T39" s="70" t="str" cm="1">
        <f t="array" ref="T39">_xlfn.TEXTJOIN(",",TRUE,MID(TRIM(_xlfn.TEXTSPLIT(us_core_reqs[[#This Row],[reference]],",")),FIND("#",TRIM(_xlfn.TEXTSPLIT(us_core_reqs[[#This Row],[reference]],","))&amp;"#")+1,1000))</f>
        <v>modifier-elements</v>
      </c>
      <c r="U39" t="str" cm="1">
        <f t="array" ref="U39">_xlfn.TEXTJOIN(", ",TRUE,SUBSTITUTE(SUBSTITUTE(PROPER(SUBSTITUTE(TRIM(_xlfn.TEXTSPLIT(us_core_reqs[[#This Row],[Page]],","))," -"," "))&amp;": "&amp;PROPER(SUBSTITUTE(TRIM(_xlfn.TEXTSPLIT(us_core_reqs[[#This Row],[Section]],","))," -"," ")),"Us ","US        
  "),"Uscdi","USCDI"))</f>
        <v>General-Requirements: Modifier-Elements</v>
      </c>
      <c r="V39" t="s">
        <v>32</v>
      </c>
      <c r="W39" t="s">
        <v>1171</v>
      </c>
      <c r="X39" t="s">
        <v>1171</v>
      </c>
      <c r="Y39" t="s">
        <v>1171</v>
      </c>
      <c r="Z39" t="s">
        <v>1171</v>
      </c>
      <c r="AA39" t="s">
        <v>1171</v>
      </c>
      <c r="AB39" t="s">
        <v>1171</v>
      </c>
      <c r="AC39" t="s">
        <v>78</v>
      </c>
      <c r="AD39" t="s">
        <v>1171</v>
      </c>
      <c r="AE39" t="s">
        <v>1171</v>
      </c>
    </row>
    <row r="40" spans="1:31" ht="52" thickBot="1" x14ac:dyDescent="0.25">
      <c r="A40" t="s">
        <v>1171</v>
      </c>
      <c r="B40" t="s">
        <v>1212</v>
      </c>
      <c r="C40" t="str">
        <f>"CONF-"&amp;TEXT(us_core_reqs[[#This Row],[ID*]], "0000")</f>
        <v>CONF-0039</v>
      </c>
      <c r="D40" s="11" t="s">
        <v>822</v>
      </c>
      <c r="E40" s="73" t="str" cm="1">
        <f t="array" ref="E40">_xlfn.TEXTJOIN(", ", TRUE, _xlfn.TEXTAFTER(_xlfn.TEXTSPLIT(us_core_reqs[[#This Row],[URL*]], ", "), "/", -1))</f>
        <v>general-requirements.html#missing-data</v>
      </c>
      <c r="F40" s="11" t="s">
        <v>79</v>
      </c>
      <c r="G40" t="s">
        <v>29</v>
      </c>
      <c r="H40" cm="1">
        <f t="array" ref="H40">_xlfn.SWITCH(G40, "SHALL", 1, "SHOULD", 3, "MAY", 5, "SHOULD-NOT", 4, "SHALL-NOT", 2, "DEPRECATED", 6, 99)</f>
        <v>1</v>
      </c>
      <c r="J40" t="s">
        <v>30</v>
      </c>
      <c r="K40" t="s">
        <v>1171</v>
      </c>
      <c r="L40" t="s">
        <v>1171</v>
      </c>
      <c r="M40" t="s">
        <v>1176</v>
      </c>
      <c r="N40" t="s">
        <v>80</v>
      </c>
      <c r="O40" t="s">
        <v>1171</v>
      </c>
      <c r="P40" t="s">
        <v>1171</v>
      </c>
      <c r="Q40" t="s">
        <v>1171</v>
      </c>
      <c r="R40" t="s">
        <v>1171</v>
      </c>
      <c r="S40" s="70" t="str" cm="1">
        <f t="array" ref="S40">_xlfn.TEXTJOIN(",",TRUE,LEFT(TRIM(_xlfn.TEXTSPLIT(us_core_reqs[[#This Row],[reference]],",")),FIND(".html",TRIM(_xlfn.TEXTSPLIT(us_core_reqs[[#This Row],[reference]],",")))-1))</f>
        <v>general-requirements</v>
      </c>
      <c r="T40" s="70" t="str" cm="1">
        <f t="array" ref="T40">_xlfn.TEXTJOIN(",",TRUE,MID(TRIM(_xlfn.TEXTSPLIT(us_core_reqs[[#This Row],[reference]],",")),FIND("#",TRIM(_xlfn.TEXTSPLIT(us_core_reqs[[#This Row],[reference]],","))&amp;"#")+1,1000))</f>
        <v>missing-data</v>
      </c>
      <c r="U40" t="str" cm="1">
        <f t="array" ref="U40">_xlfn.TEXTJOIN(", ",TRUE,SUBSTITUTE(SUBSTITUTE(PROPER(SUBSTITUTE(TRIM(_xlfn.TEXTSPLIT(us_core_reqs[[#This Row],[Page]],","))," -"," "))&amp;": "&amp;PROPER(SUBSTITUTE(TRIM(_xlfn.TEXTSPLIT(us_core_reqs[[#This Row],[Section]],","))," -"," ")),"Us ","US        
  "),"Uscdi","USCDI"))</f>
        <v>General-Requirements: Missing-Data</v>
      </c>
      <c r="V40" t="s">
        <v>29</v>
      </c>
      <c r="W40" t="s">
        <v>1171</v>
      </c>
      <c r="X40" t="s">
        <v>81</v>
      </c>
      <c r="Y40" t="s">
        <v>1171</v>
      </c>
      <c r="Z40" t="s">
        <v>1171</v>
      </c>
      <c r="AA40" t="s">
        <v>1171</v>
      </c>
      <c r="AB40" t="s">
        <v>1171</v>
      </c>
      <c r="AC40" t="s">
        <v>1171</v>
      </c>
      <c r="AD40" t="s">
        <v>1140</v>
      </c>
      <c r="AE40" t="s">
        <v>1171</v>
      </c>
    </row>
    <row r="41" spans="1:31" ht="52" thickBot="1" x14ac:dyDescent="0.25">
      <c r="A41" t="s">
        <v>1171</v>
      </c>
      <c r="B41" t="s">
        <v>1213</v>
      </c>
      <c r="C41" t="str">
        <f>"CONF-"&amp;TEXT(us_core_reqs[[#This Row],[ID*]], "0000")</f>
        <v>CONF-0040</v>
      </c>
      <c r="D41" s="11" t="s">
        <v>822</v>
      </c>
      <c r="E41" s="73" t="str" cm="1">
        <f t="array" ref="E41">_xlfn.TEXTJOIN(", ", TRUE, _xlfn.TEXTAFTER(_xlfn.TEXTSPLIT(us_core_reqs[[#This Row],[URL*]], ", "), "/", -1))</f>
        <v>general-requirements.html#missing-data</v>
      </c>
      <c r="F41" s="11" t="s">
        <v>82</v>
      </c>
      <c r="G41" t="s">
        <v>29</v>
      </c>
      <c r="H41" cm="1">
        <f t="array" ref="H41">_xlfn.SWITCH(G41, "SHALL", 1, "SHOULD", 3, "MAY", 5, "SHOULD-NOT", 4, "SHALL-NOT", 2, "DEPRECATED", 6, 99)</f>
        <v>1</v>
      </c>
      <c r="J41" t="s">
        <v>30</v>
      </c>
      <c r="K41" t="s">
        <v>1171</v>
      </c>
      <c r="L41" t="s">
        <v>1171</v>
      </c>
      <c r="M41" t="s">
        <v>1176</v>
      </c>
      <c r="N41" t="s">
        <v>83</v>
      </c>
      <c r="O41" t="s">
        <v>1171</v>
      </c>
      <c r="P41" t="s">
        <v>1171</v>
      </c>
      <c r="Q41" t="s">
        <v>1171</v>
      </c>
      <c r="R41" t="s">
        <v>1171</v>
      </c>
      <c r="S41" s="70" t="str" cm="1">
        <f t="array" ref="S41">_xlfn.TEXTJOIN(",",TRUE,LEFT(TRIM(_xlfn.TEXTSPLIT(us_core_reqs[[#This Row],[reference]],",")),FIND(".html",TRIM(_xlfn.TEXTSPLIT(us_core_reqs[[#This Row],[reference]],",")))-1))</f>
        <v>general-requirements</v>
      </c>
      <c r="T41" s="70" t="str" cm="1">
        <f t="array" ref="T41">_xlfn.TEXTJOIN(",",TRUE,MID(TRIM(_xlfn.TEXTSPLIT(us_core_reqs[[#This Row],[reference]],",")),FIND("#",TRIM(_xlfn.TEXTSPLIT(us_core_reqs[[#This Row],[reference]],","))&amp;"#")+1,1000))</f>
        <v>missing-data</v>
      </c>
      <c r="U41" t="str" cm="1">
        <f t="array" ref="U41">_xlfn.TEXTJOIN(", ",TRUE,SUBSTITUTE(SUBSTITUTE(PROPER(SUBSTITUTE(TRIM(_xlfn.TEXTSPLIT(us_core_reqs[[#This Row],[Page]],","))," -"," "))&amp;": "&amp;PROPER(SUBSTITUTE(TRIM(_xlfn.TEXTSPLIT(us_core_reqs[[#This Row],[Section]],","))," -"," ")),"Us ","US        
  "),"Uscdi","USCDI"))</f>
        <v>General-Requirements: Missing-Data</v>
      </c>
      <c r="V41" t="s">
        <v>29</v>
      </c>
      <c r="W41" t="s">
        <v>1171</v>
      </c>
      <c r="X41" t="s">
        <v>1171</v>
      </c>
      <c r="Y41" t="s">
        <v>1171</v>
      </c>
      <c r="Z41" t="s">
        <v>1171</v>
      </c>
      <c r="AA41" t="s">
        <v>1171</v>
      </c>
      <c r="AB41" t="s">
        <v>1171</v>
      </c>
      <c r="AC41" t="s">
        <v>1171</v>
      </c>
      <c r="AD41" t="s">
        <v>1140</v>
      </c>
      <c r="AE41" t="s">
        <v>1171</v>
      </c>
    </row>
    <row r="42" spans="1:31" ht="86" thickBot="1" x14ac:dyDescent="0.25">
      <c r="A42" t="s">
        <v>1171</v>
      </c>
      <c r="B42" t="s">
        <v>1214</v>
      </c>
      <c r="C42" t="str">
        <f>"CONF-"&amp;TEXT(us_core_reqs[[#This Row],[ID*]], "0000")</f>
        <v>CONF-0041</v>
      </c>
      <c r="D42" s="11" t="s">
        <v>822</v>
      </c>
      <c r="E42" s="73" t="str" cm="1">
        <f t="array" ref="E42">_xlfn.TEXTJOIN(", ", TRUE, _xlfn.TEXTAFTER(_xlfn.TEXTSPLIT(us_core_reqs[[#This Row],[URL*]], ", "), "/", -1))</f>
        <v>general-requirements.html#missing-data</v>
      </c>
      <c r="F42" s="11" t="s">
        <v>84</v>
      </c>
      <c r="G42" t="s">
        <v>29</v>
      </c>
      <c r="H42" cm="1">
        <f t="array" ref="H42">_xlfn.SWITCH(G42, "SHALL", 1, "SHOULD", 3, "MAY", 5, "SHOULD-NOT", 4, "SHALL-NOT", 2, "DEPRECATED", 6, 99)</f>
        <v>1</v>
      </c>
      <c r="J42" t="s">
        <v>30</v>
      </c>
      <c r="K42" t="s">
        <v>1171</v>
      </c>
      <c r="L42" t="s">
        <v>1171</v>
      </c>
      <c r="M42" t="s">
        <v>1176</v>
      </c>
      <c r="N42" t="s">
        <v>85</v>
      </c>
      <c r="O42" t="s">
        <v>1171</v>
      </c>
      <c r="P42" t="s">
        <v>1171</v>
      </c>
      <c r="Q42" t="s">
        <v>1171</v>
      </c>
      <c r="R42" t="s">
        <v>1171</v>
      </c>
      <c r="S42" s="70" t="str" cm="1">
        <f t="array" ref="S42">_xlfn.TEXTJOIN(",",TRUE,LEFT(TRIM(_xlfn.TEXTSPLIT(us_core_reqs[[#This Row],[reference]],",")),FIND(".html",TRIM(_xlfn.TEXTSPLIT(us_core_reqs[[#This Row],[reference]],",")))-1))</f>
        <v>general-requirements</v>
      </c>
      <c r="T42" s="70" t="str" cm="1">
        <f t="array" ref="T42">_xlfn.TEXTJOIN(",",TRUE,MID(TRIM(_xlfn.TEXTSPLIT(us_core_reqs[[#This Row],[reference]],",")),FIND("#",TRIM(_xlfn.TEXTSPLIT(us_core_reqs[[#This Row],[reference]],","))&amp;"#")+1,1000))</f>
        <v>missing-data</v>
      </c>
      <c r="U42" t="str" cm="1">
        <f t="array" ref="U42">_xlfn.TEXTJOIN(", ",TRUE,SUBSTITUTE(SUBSTITUTE(PROPER(SUBSTITUTE(TRIM(_xlfn.TEXTSPLIT(us_core_reqs[[#This Row],[Page]],","))," -"," "))&amp;": "&amp;PROPER(SUBSTITUTE(TRIM(_xlfn.TEXTSPLIT(us_core_reqs[[#This Row],[Section]],","))," -"," ")),"Us ","US        
  "),"Uscdi","USCDI"))</f>
        <v>General-Requirements: Missing-Data</v>
      </c>
      <c r="V42" t="s">
        <v>1171</v>
      </c>
      <c r="W42" t="s">
        <v>1171</v>
      </c>
      <c r="X42" t="s">
        <v>1171</v>
      </c>
      <c r="Y42" t="s">
        <v>1171</v>
      </c>
      <c r="Z42" t="s">
        <v>1171</v>
      </c>
      <c r="AA42" t="s">
        <v>1171</v>
      </c>
      <c r="AB42" t="s">
        <v>1171</v>
      </c>
      <c r="AC42" t="s">
        <v>1171</v>
      </c>
      <c r="AD42" t="s">
        <v>1140</v>
      </c>
      <c r="AE42" t="s">
        <v>1171</v>
      </c>
    </row>
    <row r="43" spans="1:31" ht="69" thickBot="1" x14ac:dyDescent="0.25">
      <c r="A43" t="s">
        <v>1171</v>
      </c>
      <c r="B43" t="s">
        <v>1215</v>
      </c>
      <c r="C43" t="str">
        <f>"CONF-"&amp;TEXT(us_core_reqs[[#This Row],[ID*]], "0000")</f>
        <v>CONF-0042</v>
      </c>
      <c r="D43" s="11" t="s">
        <v>822</v>
      </c>
      <c r="E43" s="73" t="str" cm="1">
        <f t="array" ref="E43">_xlfn.TEXTJOIN(", ", TRUE, _xlfn.TEXTAFTER(_xlfn.TEXTSPLIT(us_core_reqs[[#This Row],[URL*]], ", "), "/", -1))</f>
        <v>general-requirements.html#missing-data</v>
      </c>
      <c r="F43" s="11" t="s">
        <v>86</v>
      </c>
      <c r="G43" t="s">
        <v>29</v>
      </c>
      <c r="H43" cm="1">
        <f t="array" ref="H43">_xlfn.SWITCH(G43, "SHALL", 1, "SHOULD", 3, "MAY", 5, "SHOULD-NOT", 4, "SHALL-NOT", 2, "DEPRECATED", 6, 99)</f>
        <v>1</v>
      </c>
      <c r="J43" t="s">
        <v>30</v>
      </c>
      <c r="K43" t="s">
        <v>1171</v>
      </c>
      <c r="L43" t="s">
        <v>1171</v>
      </c>
      <c r="M43" t="s">
        <v>1176</v>
      </c>
      <c r="N43" t="s">
        <v>85</v>
      </c>
      <c r="O43" t="s">
        <v>1171</v>
      </c>
      <c r="P43" t="s">
        <v>1171</v>
      </c>
      <c r="Q43" t="s">
        <v>1171</v>
      </c>
      <c r="R43" t="s">
        <v>1171</v>
      </c>
      <c r="S43" s="70" t="str" cm="1">
        <f t="array" ref="S43">_xlfn.TEXTJOIN(",",TRUE,LEFT(TRIM(_xlfn.TEXTSPLIT(us_core_reqs[[#This Row],[reference]],",")),FIND(".html",TRIM(_xlfn.TEXTSPLIT(us_core_reqs[[#This Row],[reference]],",")))-1))</f>
        <v>general-requirements</v>
      </c>
      <c r="T43" s="70" t="str" cm="1">
        <f t="array" ref="T43">_xlfn.TEXTJOIN(",",TRUE,MID(TRIM(_xlfn.TEXTSPLIT(us_core_reqs[[#This Row],[reference]],",")),FIND("#",TRIM(_xlfn.TEXTSPLIT(us_core_reqs[[#This Row],[reference]],","))&amp;"#")+1,1000))</f>
        <v>missing-data</v>
      </c>
      <c r="U43" t="str" cm="1">
        <f t="array" ref="U43">_xlfn.TEXTJOIN(", ",TRUE,SUBSTITUTE(SUBSTITUTE(PROPER(SUBSTITUTE(TRIM(_xlfn.TEXTSPLIT(us_core_reqs[[#This Row],[Page]],","))," -"," "))&amp;": "&amp;PROPER(SUBSTITUTE(TRIM(_xlfn.TEXTSPLIT(us_core_reqs[[#This Row],[Section]],","))," -"," ")),"Us ","US        
  "),"Uscdi","USCDI"))</f>
        <v>General-Requirements: Missing-Data</v>
      </c>
      <c r="V43" t="s">
        <v>1171</v>
      </c>
      <c r="W43" t="s">
        <v>1171</v>
      </c>
      <c r="X43" t="s">
        <v>1171</v>
      </c>
      <c r="Y43" t="s">
        <v>1171</v>
      </c>
      <c r="Z43" t="s">
        <v>1171</v>
      </c>
      <c r="AA43" t="s">
        <v>1171</v>
      </c>
      <c r="AB43" t="s">
        <v>1171</v>
      </c>
      <c r="AC43" t="s">
        <v>1171</v>
      </c>
      <c r="AD43" t="s">
        <v>1140</v>
      </c>
      <c r="AE43" t="s">
        <v>1171</v>
      </c>
    </row>
    <row r="44" spans="1:31" ht="86" thickBot="1" x14ac:dyDescent="0.25">
      <c r="A44" t="s">
        <v>1171</v>
      </c>
      <c r="B44" t="s">
        <v>1216</v>
      </c>
      <c r="C44" t="str">
        <f>"CONF-"&amp;TEXT(us_core_reqs[[#This Row],[ID*]], "0000")</f>
        <v>CONF-0043</v>
      </c>
      <c r="D44" s="11" t="s">
        <v>822</v>
      </c>
      <c r="E44" s="73" t="str" cm="1">
        <f t="array" ref="E44">_xlfn.TEXTJOIN(", ", TRUE, _xlfn.TEXTAFTER(_xlfn.TEXTSPLIT(us_core_reqs[[#This Row],[URL*]], ", "), "/", -1))</f>
        <v>general-requirements.html#missing-data</v>
      </c>
      <c r="F44" s="11" t="s">
        <v>87</v>
      </c>
      <c r="G44" t="s">
        <v>29</v>
      </c>
      <c r="H44" cm="1">
        <f t="array" ref="H44">_xlfn.SWITCH(G44, "SHALL", 1, "SHOULD", 3, "MAY", 5, "SHOULD-NOT", 4, "SHALL-NOT", 2, "DEPRECATED", 6, 99)</f>
        <v>1</v>
      </c>
      <c r="J44" t="s">
        <v>30</v>
      </c>
      <c r="K44" t="s">
        <v>1171</v>
      </c>
      <c r="L44" t="s">
        <v>1100</v>
      </c>
      <c r="M44" t="s">
        <v>1176</v>
      </c>
      <c r="N44" t="s">
        <v>88</v>
      </c>
      <c r="O44" t="s">
        <v>1171</v>
      </c>
      <c r="P44" t="s">
        <v>1171</v>
      </c>
      <c r="Q44" t="s">
        <v>1171</v>
      </c>
      <c r="R44" t="s">
        <v>1171</v>
      </c>
      <c r="S44" s="70" t="str" cm="1">
        <f t="array" ref="S44">_xlfn.TEXTJOIN(",",TRUE,LEFT(TRIM(_xlfn.TEXTSPLIT(us_core_reqs[[#This Row],[reference]],",")),FIND(".html",TRIM(_xlfn.TEXTSPLIT(us_core_reqs[[#This Row],[reference]],",")))-1))</f>
        <v>general-requirements</v>
      </c>
      <c r="T44" s="70" t="str" cm="1">
        <f t="array" ref="T44">_xlfn.TEXTJOIN(",",TRUE,MID(TRIM(_xlfn.TEXTSPLIT(us_core_reqs[[#This Row],[reference]],",")),FIND("#",TRIM(_xlfn.TEXTSPLIT(us_core_reqs[[#This Row],[reference]],","))&amp;"#")+1,1000))</f>
        <v>missing-data</v>
      </c>
      <c r="U44" t="str" cm="1">
        <f t="array" ref="U44">_xlfn.TEXTJOIN(", ",TRUE,SUBSTITUTE(SUBSTITUTE(PROPER(SUBSTITUTE(TRIM(_xlfn.TEXTSPLIT(us_core_reqs[[#This Row],[Page]],","))," -"," "))&amp;": "&amp;PROPER(SUBSTITUTE(TRIM(_xlfn.TEXTSPLIT(us_core_reqs[[#This Row],[Section]],","))," -"," ")),"Us ","US        
  "),"Uscdi","USCDI"))</f>
        <v>General-Requirements: Missing-Data</v>
      </c>
      <c r="V44" t="s">
        <v>1171</v>
      </c>
      <c r="W44" t="s">
        <v>1171</v>
      </c>
      <c r="X44" t="s">
        <v>1171</v>
      </c>
      <c r="Y44" t="s">
        <v>1171</v>
      </c>
      <c r="Z44" t="s">
        <v>1171</v>
      </c>
      <c r="AA44" t="s">
        <v>1171</v>
      </c>
      <c r="AB44" t="s">
        <v>1171</v>
      </c>
      <c r="AC44" t="s">
        <v>1171</v>
      </c>
      <c r="AD44" t="s">
        <v>1140</v>
      </c>
      <c r="AE44" t="s">
        <v>1171</v>
      </c>
    </row>
    <row r="45" spans="1:31" ht="86" thickBot="1" x14ac:dyDescent="0.25">
      <c r="A45" t="s">
        <v>1171</v>
      </c>
      <c r="B45" t="s">
        <v>1217</v>
      </c>
      <c r="C45" t="str">
        <f>"CONF-"&amp;TEXT(us_core_reqs[[#This Row],[ID*]], "0000")</f>
        <v>CONF-0044</v>
      </c>
      <c r="D45" s="11" t="s">
        <v>822</v>
      </c>
      <c r="E45" s="73" t="str" cm="1">
        <f t="array" ref="E45">_xlfn.TEXTJOIN(", ", TRUE, _xlfn.TEXTAFTER(_xlfn.TEXTSPLIT(us_core_reqs[[#This Row],[URL*]], ", "), "/", -1))</f>
        <v>general-requirements.html#missing-data</v>
      </c>
      <c r="F45" s="11" t="s">
        <v>89</v>
      </c>
      <c r="G45" t="s">
        <v>29</v>
      </c>
      <c r="H45" cm="1">
        <f t="array" ref="H45">_xlfn.SWITCH(G45, "SHALL", 1, "SHOULD", 3, "MAY", 5, "SHOULD-NOT", 4, "SHALL-NOT", 2, "DEPRECATED", 6, 99)</f>
        <v>1</v>
      </c>
      <c r="J45" t="s">
        <v>30</v>
      </c>
      <c r="K45" t="s">
        <v>1171</v>
      </c>
      <c r="L45" t="s">
        <v>1171</v>
      </c>
      <c r="M45" t="s">
        <v>1176</v>
      </c>
      <c r="N45" t="s">
        <v>85</v>
      </c>
      <c r="O45" t="s">
        <v>1171</v>
      </c>
      <c r="P45" t="s">
        <v>1171</v>
      </c>
      <c r="Q45" t="s">
        <v>1171</v>
      </c>
      <c r="R45" t="s">
        <v>1171</v>
      </c>
      <c r="S45" s="70" t="str" cm="1">
        <f t="array" ref="S45">_xlfn.TEXTJOIN(",",TRUE,LEFT(TRIM(_xlfn.TEXTSPLIT(us_core_reqs[[#This Row],[reference]],",")),FIND(".html",TRIM(_xlfn.TEXTSPLIT(us_core_reqs[[#This Row],[reference]],",")))-1))</f>
        <v>general-requirements</v>
      </c>
      <c r="T45" s="70" t="str" cm="1">
        <f t="array" ref="T45">_xlfn.TEXTJOIN(",",TRUE,MID(TRIM(_xlfn.TEXTSPLIT(us_core_reqs[[#This Row],[reference]],",")),FIND("#",TRIM(_xlfn.TEXTSPLIT(us_core_reqs[[#This Row],[reference]],","))&amp;"#")+1,1000))</f>
        <v>missing-data</v>
      </c>
      <c r="U45" t="str" cm="1">
        <f t="array" ref="U45">_xlfn.TEXTJOIN(", ",TRUE,SUBSTITUTE(SUBSTITUTE(PROPER(SUBSTITUTE(TRIM(_xlfn.TEXTSPLIT(us_core_reqs[[#This Row],[Page]],","))," -"," "))&amp;": "&amp;PROPER(SUBSTITUTE(TRIM(_xlfn.TEXTSPLIT(us_core_reqs[[#This Row],[Section]],","))," -"," ")),"Us ","US        
  "),"Uscdi","USCDI"))</f>
        <v>General-Requirements: Missing-Data</v>
      </c>
      <c r="V45" t="s">
        <v>1171</v>
      </c>
      <c r="W45" t="s">
        <v>1171</v>
      </c>
      <c r="X45" t="s">
        <v>1171</v>
      </c>
      <c r="Y45" t="s">
        <v>1171</v>
      </c>
      <c r="Z45" t="s">
        <v>1171</v>
      </c>
      <c r="AA45" t="s">
        <v>1171</v>
      </c>
      <c r="AB45" t="s">
        <v>1171</v>
      </c>
      <c r="AC45" t="s">
        <v>1171</v>
      </c>
      <c r="AD45" t="s">
        <v>1140</v>
      </c>
      <c r="AE45" t="s">
        <v>1171</v>
      </c>
    </row>
    <row r="46" spans="1:31" ht="120" thickBot="1" x14ac:dyDescent="0.25">
      <c r="A46" t="s">
        <v>1171</v>
      </c>
      <c r="B46" t="s">
        <v>1218</v>
      </c>
      <c r="C46" t="str">
        <f>"CONF-"&amp;TEXT(us_core_reqs[[#This Row],[ID*]], "0000")</f>
        <v>CONF-0045</v>
      </c>
      <c r="D46" s="11" t="s">
        <v>822</v>
      </c>
      <c r="E46" s="73" t="str" cm="1">
        <f t="array" ref="E46">_xlfn.TEXTJOIN(", ", TRUE, _xlfn.TEXTAFTER(_xlfn.TEXTSPLIT(us_core_reqs[[#This Row],[URL*]], ", "), "/", -1))</f>
        <v>general-requirements.html#missing-data</v>
      </c>
      <c r="F46" s="11" t="s">
        <v>90</v>
      </c>
      <c r="G46" t="s">
        <v>29</v>
      </c>
      <c r="H46" cm="1">
        <f t="array" ref="H46">_xlfn.SWITCH(G46, "SHALL", 1, "SHOULD", 3, "MAY", 5, "SHOULD-NOT", 4, "SHALL-NOT", 2, "DEPRECATED", 6, 99)</f>
        <v>1</v>
      </c>
      <c r="J46" t="s">
        <v>30</v>
      </c>
      <c r="K46" t="s">
        <v>1171</v>
      </c>
      <c r="L46" t="s">
        <v>1171</v>
      </c>
      <c r="M46" t="s">
        <v>1176</v>
      </c>
      <c r="N46" t="s">
        <v>85</v>
      </c>
      <c r="O46" t="s">
        <v>1171</v>
      </c>
      <c r="P46" t="s">
        <v>1171</v>
      </c>
      <c r="Q46" t="s">
        <v>1171</v>
      </c>
      <c r="R46" t="s">
        <v>1171</v>
      </c>
      <c r="S46" s="70" t="str" cm="1">
        <f t="array" ref="S46">_xlfn.TEXTJOIN(",",TRUE,LEFT(TRIM(_xlfn.TEXTSPLIT(us_core_reqs[[#This Row],[reference]],",")),FIND(".html",TRIM(_xlfn.TEXTSPLIT(us_core_reqs[[#This Row],[reference]],",")))-1))</f>
        <v>general-requirements</v>
      </c>
      <c r="T46" s="70" t="str" cm="1">
        <f t="array" ref="T46">_xlfn.TEXTJOIN(",",TRUE,MID(TRIM(_xlfn.TEXTSPLIT(us_core_reqs[[#This Row],[reference]],",")),FIND("#",TRIM(_xlfn.TEXTSPLIT(us_core_reqs[[#This Row],[reference]],","))&amp;"#")+1,1000))</f>
        <v>missing-data</v>
      </c>
      <c r="U46" t="str" cm="1">
        <f t="array" ref="U46">_xlfn.TEXTJOIN(", ",TRUE,SUBSTITUTE(SUBSTITUTE(PROPER(SUBSTITUTE(TRIM(_xlfn.TEXTSPLIT(us_core_reqs[[#This Row],[Page]],","))," -"," "))&amp;": "&amp;PROPER(SUBSTITUTE(TRIM(_xlfn.TEXTSPLIT(us_core_reqs[[#This Row],[Section]],","))," -"," ")),"Us ","US        
  "),"Uscdi","USCDI"))</f>
        <v>General-Requirements: Missing-Data</v>
      </c>
      <c r="V46" t="s">
        <v>1171</v>
      </c>
      <c r="W46" t="s">
        <v>1171</v>
      </c>
      <c r="X46" t="s">
        <v>1171</v>
      </c>
      <c r="Y46" t="s">
        <v>1171</v>
      </c>
      <c r="Z46" t="s">
        <v>1171</v>
      </c>
      <c r="AA46" t="s">
        <v>1171</v>
      </c>
      <c r="AB46" t="s">
        <v>1171</v>
      </c>
      <c r="AC46" t="s">
        <v>1171</v>
      </c>
      <c r="AD46" t="s">
        <v>1140</v>
      </c>
      <c r="AE46" t="s">
        <v>1171</v>
      </c>
    </row>
    <row r="47" spans="1:31" ht="69" thickBot="1" x14ac:dyDescent="0.25">
      <c r="A47" t="s">
        <v>1171</v>
      </c>
      <c r="B47" t="s">
        <v>1219</v>
      </c>
      <c r="C47" t="str">
        <f>"CONF-"&amp;TEXT(us_core_reqs[[#This Row],[ID*]], "0000")</f>
        <v>CONF-0046</v>
      </c>
      <c r="D47" s="11" t="s">
        <v>822</v>
      </c>
      <c r="E47" s="73" t="str" cm="1">
        <f t="array" ref="E47">_xlfn.TEXTJOIN(", ", TRUE, _xlfn.TEXTAFTER(_xlfn.TEXTSPLIT(us_core_reqs[[#This Row],[URL*]], ", "), "/", -1))</f>
        <v>general-requirements.html#missing-data</v>
      </c>
      <c r="F47" s="11" t="s">
        <v>91</v>
      </c>
      <c r="G47" t="s">
        <v>29</v>
      </c>
      <c r="H47" cm="1">
        <f t="array" ref="H47">_xlfn.SWITCH(G47, "SHALL", 1, "SHOULD", 3, "MAY", 5, "SHOULD-NOT", 4, "SHALL-NOT", 2, "DEPRECATED", 6, 99)</f>
        <v>1</v>
      </c>
      <c r="J47" t="s">
        <v>30</v>
      </c>
      <c r="K47" t="s">
        <v>1171</v>
      </c>
      <c r="L47" t="s">
        <v>1171</v>
      </c>
      <c r="M47" t="s">
        <v>1176</v>
      </c>
      <c r="N47" t="s">
        <v>85</v>
      </c>
      <c r="O47" t="s">
        <v>1171</v>
      </c>
      <c r="P47" t="s">
        <v>1171</v>
      </c>
      <c r="Q47" t="s">
        <v>1171</v>
      </c>
      <c r="R47" t="s">
        <v>1171</v>
      </c>
      <c r="S47" s="70" t="str" cm="1">
        <f t="array" ref="S47">_xlfn.TEXTJOIN(",",TRUE,LEFT(TRIM(_xlfn.TEXTSPLIT(us_core_reqs[[#This Row],[reference]],",")),FIND(".html",TRIM(_xlfn.TEXTSPLIT(us_core_reqs[[#This Row],[reference]],",")))-1))</f>
        <v>general-requirements</v>
      </c>
      <c r="T47" s="70" t="str" cm="1">
        <f t="array" ref="T47">_xlfn.TEXTJOIN(",",TRUE,MID(TRIM(_xlfn.TEXTSPLIT(us_core_reqs[[#This Row],[reference]],",")),FIND("#",TRIM(_xlfn.TEXTSPLIT(us_core_reqs[[#This Row],[reference]],","))&amp;"#")+1,1000))</f>
        <v>missing-data</v>
      </c>
      <c r="U47" t="str" cm="1">
        <f t="array" ref="U47">_xlfn.TEXTJOIN(", ",TRUE,SUBSTITUTE(SUBSTITUTE(PROPER(SUBSTITUTE(TRIM(_xlfn.TEXTSPLIT(us_core_reqs[[#This Row],[Page]],","))," -"," "))&amp;": "&amp;PROPER(SUBSTITUTE(TRIM(_xlfn.TEXTSPLIT(us_core_reqs[[#This Row],[Section]],","))," -"," ")),"Us ","US        
  "),"Uscdi","USCDI"))</f>
        <v>General-Requirements: Missing-Data</v>
      </c>
      <c r="V47" t="s">
        <v>1171</v>
      </c>
      <c r="W47" t="s">
        <v>1171</v>
      </c>
      <c r="X47" t="s">
        <v>1171</v>
      </c>
      <c r="Y47" t="s">
        <v>1171</v>
      </c>
      <c r="Z47" t="s">
        <v>1171</v>
      </c>
      <c r="AA47" t="s">
        <v>1171</v>
      </c>
      <c r="AB47" t="s">
        <v>1171</v>
      </c>
      <c r="AC47" t="s">
        <v>1171</v>
      </c>
      <c r="AD47" t="s">
        <v>1140</v>
      </c>
      <c r="AE47" t="s">
        <v>1171</v>
      </c>
    </row>
    <row r="48" spans="1:31" ht="86" thickBot="1" x14ac:dyDescent="0.25">
      <c r="A48" t="s">
        <v>1171</v>
      </c>
      <c r="B48" t="s">
        <v>1220</v>
      </c>
      <c r="C48" t="str">
        <f>"CONF-"&amp;TEXT(us_core_reqs[[#This Row],[ID*]], "0000")</f>
        <v>CONF-0047</v>
      </c>
      <c r="D48" s="11" t="s">
        <v>822</v>
      </c>
      <c r="E48" s="73" t="str" cm="1">
        <f t="array" ref="E48">_xlfn.TEXTJOIN(", ", TRUE, _xlfn.TEXTAFTER(_xlfn.TEXTSPLIT(us_core_reqs[[#This Row],[URL*]], ", "), "/", -1))</f>
        <v>general-requirements.html#missing-data</v>
      </c>
      <c r="F48" s="11" t="s">
        <v>92</v>
      </c>
      <c r="G48" t="s">
        <v>29</v>
      </c>
      <c r="H48" cm="1">
        <f t="array" ref="H48">_xlfn.SWITCH(G48, "SHALL", 1, "SHOULD", 3, "MAY", 5, "SHOULD-NOT", 4, "SHALL-NOT", 2, "DEPRECATED", 6, 99)</f>
        <v>1</v>
      </c>
      <c r="J48" t="s">
        <v>30</v>
      </c>
      <c r="K48" t="s">
        <v>1171</v>
      </c>
      <c r="L48" t="s">
        <v>1171</v>
      </c>
      <c r="M48" t="s">
        <v>1176</v>
      </c>
      <c r="N48" t="s">
        <v>93</v>
      </c>
      <c r="O48" t="s">
        <v>1171</v>
      </c>
      <c r="P48" t="s">
        <v>1171</v>
      </c>
      <c r="Q48" t="s">
        <v>1171</v>
      </c>
      <c r="R48" t="s">
        <v>1171</v>
      </c>
      <c r="S48" s="70" t="str" cm="1">
        <f t="array" ref="S48">_xlfn.TEXTJOIN(",",TRUE,LEFT(TRIM(_xlfn.TEXTSPLIT(us_core_reqs[[#This Row],[reference]],",")),FIND(".html",TRIM(_xlfn.TEXTSPLIT(us_core_reqs[[#This Row],[reference]],",")))-1))</f>
        <v>general-requirements</v>
      </c>
      <c r="T48" s="70" t="str" cm="1">
        <f t="array" ref="T48">_xlfn.TEXTJOIN(",",TRUE,MID(TRIM(_xlfn.TEXTSPLIT(us_core_reqs[[#This Row],[reference]],",")),FIND("#",TRIM(_xlfn.TEXTSPLIT(us_core_reqs[[#This Row],[reference]],","))&amp;"#")+1,1000))</f>
        <v>missing-data</v>
      </c>
      <c r="U48" t="str" cm="1">
        <f t="array" ref="U48">_xlfn.TEXTJOIN(", ",TRUE,SUBSTITUTE(SUBSTITUTE(PROPER(SUBSTITUTE(TRIM(_xlfn.TEXTSPLIT(us_core_reqs[[#This Row],[Page]],","))," -"," "))&amp;": "&amp;PROPER(SUBSTITUTE(TRIM(_xlfn.TEXTSPLIT(us_core_reqs[[#This Row],[Section]],","))," -"," ")),"Us ","US        
  "),"Uscdi","USCDI"))</f>
        <v>General-Requirements: Missing-Data</v>
      </c>
      <c r="V48" t="s">
        <v>1171</v>
      </c>
      <c r="W48" t="s">
        <v>1171</v>
      </c>
      <c r="X48" t="s">
        <v>1171</v>
      </c>
      <c r="Y48" t="s">
        <v>1171</v>
      </c>
      <c r="Z48" t="s">
        <v>1171</v>
      </c>
      <c r="AA48" t="s">
        <v>1171</v>
      </c>
      <c r="AB48" t="s">
        <v>1171</v>
      </c>
      <c r="AC48" t="s">
        <v>1171</v>
      </c>
      <c r="AD48" t="s">
        <v>1140</v>
      </c>
      <c r="AE48" t="s">
        <v>1171</v>
      </c>
    </row>
    <row r="49" spans="1:31" ht="103" thickBot="1" x14ac:dyDescent="0.25">
      <c r="A49" t="s">
        <v>1171</v>
      </c>
      <c r="B49" t="s">
        <v>1221</v>
      </c>
      <c r="C49" t="str">
        <f>"CONF-"&amp;TEXT(us_core_reqs[[#This Row],[ID*]], "0000")</f>
        <v>CONF-0048</v>
      </c>
      <c r="D49" s="11" t="s">
        <v>822</v>
      </c>
      <c r="E49" s="73" t="str" cm="1">
        <f t="array" ref="E49">_xlfn.TEXTJOIN(", ", TRUE, _xlfn.TEXTAFTER(_xlfn.TEXTSPLIT(us_core_reqs[[#This Row],[URL*]], ", "), "/", -1))</f>
        <v>general-requirements.html#missing-data</v>
      </c>
      <c r="F49" s="11" t="s">
        <v>94</v>
      </c>
      <c r="G49" t="s">
        <v>29</v>
      </c>
      <c r="H49" cm="1">
        <f t="array" ref="H49">_xlfn.SWITCH(G49, "SHALL", 1, "SHOULD", 3, "MAY", 5, "SHOULD-NOT", 4, "SHALL-NOT", 2, "DEPRECATED", 6, 99)</f>
        <v>1</v>
      </c>
      <c r="J49" t="s">
        <v>30</v>
      </c>
      <c r="K49" t="s">
        <v>1171</v>
      </c>
      <c r="L49" t="s">
        <v>1171</v>
      </c>
      <c r="M49" t="s">
        <v>1176</v>
      </c>
      <c r="N49" t="s">
        <v>95</v>
      </c>
      <c r="O49" t="s">
        <v>1171</v>
      </c>
      <c r="P49" t="s">
        <v>1171</v>
      </c>
      <c r="Q49" t="s">
        <v>1171</v>
      </c>
      <c r="R49" t="s">
        <v>1171</v>
      </c>
      <c r="S49" s="70" t="str" cm="1">
        <f t="array" ref="S49">_xlfn.TEXTJOIN(",",TRUE,LEFT(TRIM(_xlfn.TEXTSPLIT(us_core_reqs[[#This Row],[reference]],",")),FIND(".html",TRIM(_xlfn.TEXTSPLIT(us_core_reqs[[#This Row],[reference]],",")))-1))</f>
        <v>general-requirements</v>
      </c>
      <c r="T49" s="70" t="str" cm="1">
        <f t="array" ref="T49">_xlfn.TEXTJOIN(",",TRUE,MID(TRIM(_xlfn.TEXTSPLIT(us_core_reqs[[#This Row],[reference]],",")),FIND("#",TRIM(_xlfn.TEXTSPLIT(us_core_reqs[[#This Row],[reference]],","))&amp;"#")+1,1000))</f>
        <v>missing-data</v>
      </c>
      <c r="U49" t="str" cm="1">
        <f t="array" ref="U49">_xlfn.TEXTJOIN(", ",TRUE,SUBSTITUTE(SUBSTITUTE(PROPER(SUBSTITUTE(TRIM(_xlfn.TEXTSPLIT(us_core_reqs[[#This Row],[Page]],","))," -"," "))&amp;": "&amp;PROPER(SUBSTITUTE(TRIM(_xlfn.TEXTSPLIT(us_core_reqs[[#This Row],[Section]],","))," -"," ")),"Us ","US        
  "),"Uscdi","USCDI"))</f>
        <v>General-Requirements: Missing-Data</v>
      </c>
      <c r="V49" t="s">
        <v>29</v>
      </c>
      <c r="W49" t="s">
        <v>1171</v>
      </c>
      <c r="X49" t="s">
        <v>1171</v>
      </c>
      <c r="Y49" t="s">
        <v>1171</v>
      </c>
      <c r="Z49" t="s">
        <v>1171</v>
      </c>
      <c r="AA49" t="s">
        <v>1171</v>
      </c>
      <c r="AB49" t="s">
        <v>1171</v>
      </c>
      <c r="AC49" t="s">
        <v>1171</v>
      </c>
      <c r="AD49" t="s">
        <v>1141</v>
      </c>
      <c r="AE49" t="s">
        <v>1171</v>
      </c>
    </row>
    <row r="50" spans="1:31" ht="86" thickBot="1" x14ac:dyDescent="0.25">
      <c r="A50" t="s">
        <v>1171</v>
      </c>
      <c r="B50" t="s">
        <v>1222</v>
      </c>
      <c r="C50" t="str">
        <f>"CONF-"&amp;TEXT(us_core_reqs[[#This Row],[ID*]], "0000")</f>
        <v>CONF-0049</v>
      </c>
      <c r="D50" s="11" t="s">
        <v>822</v>
      </c>
      <c r="E50" s="73" t="str" cm="1">
        <f t="array" ref="E50">_xlfn.TEXTJOIN(", ", TRUE, _xlfn.TEXTAFTER(_xlfn.TEXTSPLIT(us_core_reqs[[#This Row],[URL*]], ", "), "/", -1))</f>
        <v>general-requirements.html#missing-data</v>
      </c>
      <c r="F50" s="11" t="s">
        <v>96</v>
      </c>
      <c r="G50" t="s">
        <v>29</v>
      </c>
      <c r="H50" cm="1">
        <f t="array" ref="H50">_xlfn.SWITCH(G50, "SHALL", 1, "SHOULD", 3, "MAY", 5, "SHOULD-NOT", 4, "SHALL-NOT", 2, "DEPRECATED", 6, 99)</f>
        <v>1</v>
      </c>
      <c r="J50" t="s">
        <v>30</v>
      </c>
      <c r="K50" t="s">
        <v>1171</v>
      </c>
      <c r="L50" t="s">
        <v>1171</v>
      </c>
      <c r="M50" t="s">
        <v>1176</v>
      </c>
      <c r="N50" t="s">
        <v>95</v>
      </c>
      <c r="O50" t="s">
        <v>1171</v>
      </c>
      <c r="P50" t="s">
        <v>1171</v>
      </c>
      <c r="Q50" t="s">
        <v>1171</v>
      </c>
      <c r="R50" t="s">
        <v>1171</v>
      </c>
      <c r="S50" s="70" t="str" cm="1">
        <f t="array" ref="S50">_xlfn.TEXTJOIN(",",TRUE,LEFT(TRIM(_xlfn.TEXTSPLIT(us_core_reqs[[#This Row],[reference]],",")),FIND(".html",TRIM(_xlfn.TEXTSPLIT(us_core_reqs[[#This Row],[reference]],",")))-1))</f>
        <v>general-requirements</v>
      </c>
      <c r="T50" s="70" t="str" cm="1">
        <f t="array" ref="T50">_xlfn.TEXTJOIN(",",TRUE,MID(TRIM(_xlfn.TEXTSPLIT(us_core_reqs[[#This Row],[reference]],",")),FIND("#",TRIM(_xlfn.TEXTSPLIT(us_core_reqs[[#This Row],[reference]],","))&amp;"#")+1,1000))</f>
        <v>missing-data</v>
      </c>
      <c r="U50" t="str" cm="1">
        <f t="array" ref="U50">_xlfn.TEXTJOIN(", ",TRUE,SUBSTITUTE(SUBSTITUTE(PROPER(SUBSTITUTE(TRIM(_xlfn.TEXTSPLIT(us_core_reqs[[#This Row],[Page]],","))," -"," "))&amp;": "&amp;PROPER(SUBSTITUTE(TRIM(_xlfn.TEXTSPLIT(us_core_reqs[[#This Row],[Section]],","))," -"," ")),"Us ","US        
  "),"Uscdi","USCDI"))</f>
        <v>General-Requirements: Missing-Data</v>
      </c>
      <c r="V50" t="s">
        <v>29</v>
      </c>
      <c r="W50" t="s">
        <v>1171</v>
      </c>
      <c r="X50" t="s">
        <v>1171</v>
      </c>
      <c r="Y50" t="s">
        <v>1171</v>
      </c>
      <c r="Z50" t="s">
        <v>1171</v>
      </c>
      <c r="AA50" t="s">
        <v>1171</v>
      </c>
      <c r="AB50" t="s">
        <v>1171</v>
      </c>
      <c r="AC50" t="s">
        <v>1171</v>
      </c>
      <c r="AD50" t="s">
        <v>1141</v>
      </c>
      <c r="AE50" t="s">
        <v>1171</v>
      </c>
    </row>
    <row r="51" spans="1:31" ht="120" thickBot="1" x14ac:dyDescent="0.25">
      <c r="A51" t="s">
        <v>1171</v>
      </c>
      <c r="B51" t="s">
        <v>1223</v>
      </c>
      <c r="C51" t="str">
        <f>"CONF-"&amp;TEXT(us_core_reqs[[#This Row],[ID*]], "0000")</f>
        <v>CONF-0050</v>
      </c>
      <c r="D51" s="11" t="s">
        <v>822</v>
      </c>
      <c r="E51" s="73" t="str" cm="1">
        <f t="array" ref="E51">_xlfn.TEXTJOIN(", ", TRUE, _xlfn.TEXTAFTER(_xlfn.TEXTSPLIT(us_core_reqs[[#This Row],[URL*]], ", "), "/", -1))</f>
        <v>general-requirements.html#missing-data</v>
      </c>
      <c r="F51" s="11" t="s">
        <v>97</v>
      </c>
      <c r="G51" t="s">
        <v>32</v>
      </c>
      <c r="H51" cm="1">
        <f t="array" ref="H51">_xlfn.SWITCH(G51, "SHALL", 1, "SHOULD", 3, "MAY", 5, "SHOULD-NOT", 4, "SHALL-NOT", 2, "DEPRECATED", 6, 99)</f>
        <v>3</v>
      </c>
      <c r="J51" t="s">
        <v>30</v>
      </c>
      <c r="K51" t="s">
        <v>1171</v>
      </c>
      <c r="L51" t="s">
        <v>1171</v>
      </c>
      <c r="M51" t="s">
        <v>1176</v>
      </c>
      <c r="N51" t="s">
        <v>95</v>
      </c>
      <c r="O51" t="s">
        <v>1171</v>
      </c>
      <c r="P51" t="s">
        <v>1171</v>
      </c>
      <c r="Q51" t="s">
        <v>1171</v>
      </c>
      <c r="R51" t="s">
        <v>1171</v>
      </c>
      <c r="S51" s="70" t="str" cm="1">
        <f t="array" ref="S51">_xlfn.TEXTJOIN(",",TRUE,LEFT(TRIM(_xlfn.TEXTSPLIT(us_core_reqs[[#This Row],[reference]],",")),FIND(".html",TRIM(_xlfn.TEXTSPLIT(us_core_reqs[[#This Row],[reference]],",")))-1))</f>
        <v>general-requirements</v>
      </c>
      <c r="T51" s="70" t="str" cm="1">
        <f t="array" ref="T51">_xlfn.TEXTJOIN(",",TRUE,MID(TRIM(_xlfn.TEXTSPLIT(us_core_reqs[[#This Row],[reference]],",")),FIND("#",TRIM(_xlfn.TEXTSPLIT(us_core_reqs[[#This Row],[reference]],","))&amp;"#")+1,1000))</f>
        <v>missing-data</v>
      </c>
      <c r="U51" t="str" cm="1">
        <f t="array" ref="U51">_xlfn.TEXTJOIN(", ",TRUE,SUBSTITUTE(SUBSTITUTE(PROPER(SUBSTITUTE(TRIM(_xlfn.TEXTSPLIT(us_core_reqs[[#This Row],[Page]],","))," -"," "))&amp;": "&amp;PROPER(SUBSTITUTE(TRIM(_xlfn.TEXTSPLIT(us_core_reqs[[#This Row],[Section]],","))," -"," ")),"Us ","US        
  "),"Uscdi","USCDI"))</f>
        <v>General-Requirements: Missing-Data</v>
      </c>
      <c r="V51" t="s">
        <v>32</v>
      </c>
      <c r="W51" t="s">
        <v>1171</v>
      </c>
      <c r="X51" t="s">
        <v>1171</v>
      </c>
      <c r="Y51" t="s">
        <v>1171</v>
      </c>
      <c r="Z51" t="s">
        <v>1171</v>
      </c>
      <c r="AA51" t="s">
        <v>1171</v>
      </c>
      <c r="AB51" t="s">
        <v>1171</v>
      </c>
      <c r="AC51" t="s">
        <v>1171</v>
      </c>
      <c r="AD51" t="s">
        <v>1171</v>
      </c>
      <c r="AE51" t="s">
        <v>1171</v>
      </c>
    </row>
    <row r="52" spans="1:31" ht="69" thickBot="1" x14ac:dyDescent="0.25">
      <c r="A52" t="s">
        <v>1171</v>
      </c>
      <c r="B52" t="s">
        <v>1224</v>
      </c>
      <c r="C52" t="str">
        <f>"CONF-"&amp;TEXT(us_core_reqs[[#This Row],[ID*]], "0000")</f>
        <v>CONF-0051</v>
      </c>
      <c r="D52" s="11" t="s">
        <v>823</v>
      </c>
      <c r="E52" s="73" t="str" cm="1">
        <f t="array" ref="E52">_xlfn.TEXTJOIN(", ", TRUE, _xlfn.TEXTAFTER(_xlfn.TEXTSPLIT(us_core_reqs[[#This Row],[URL*]], ", "), "/", -1))</f>
        <v>general-requirements.html#fhir-restful-search-api-requirements</v>
      </c>
      <c r="F52" s="11" t="s">
        <v>970</v>
      </c>
      <c r="G52" t="s">
        <v>29</v>
      </c>
      <c r="H52" cm="1">
        <f t="array" ref="H52">_xlfn.SWITCH(G52, "SHALL", 1, "SHOULD", 3, "MAY", 5, "SHOULD-NOT", 4, "SHALL-NOT", 2, "DEPRECATED", 6, 99)</f>
        <v>1</v>
      </c>
      <c r="J52" t="s">
        <v>30</v>
      </c>
      <c r="K52" t="s">
        <v>1171</v>
      </c>
      <c r="L52" t="s">
        <v>1171</v>
      </c>
      <c r="M52" t="s">
        <v>1173</v>
      </c>
      <c r="N52" t="s">
        <v>1171</v>
      </c>
      <c r="O52" t="s">
        <v>1171</v>
      </c>
      <c r="P52" t="s">
        <v>1171</v>
      </c>
      <c r="Q52" t="s">
        <v>1171</v>
      </c>
      <c r="R52" t="s">
        <v>1171</v>
      </c>
      <c r="S52" s="70" t="str" cm="1">
        <f t="array" ref="S52">_xlfn.TEXTJOIN(",",TRUE,LEFT(TRIM(_xlfn.TEXTSPLIT(us_core_reqs[[#This Row],[reference]],",")),FIND(".html",TRIM(_xlfn.TEXTSPLIT(us_core_reqs[[#This Row],[reference]],",")))-1))</f>
        <v>general-requirements</v>
      </c>
      <c r="T52" s="70" t="str" cm="1">
        <f t="array" ref="T52">_xlfn.TEXTJOIN(",",TRUE,MID(TRIM(_xlfn.TEXTSPLIT(us_core_reqs[[#This Row],[reference]],",")),FIND("#",TRIM(_xlfn.TEXTSPLIT(us_core_reqs[[#This Row],[reference]],","))&amp;"#")+1,1000))</f>
        <v>fhir-restful-search-api-requirements</v>
      </c>
      <c r="U52" t="str" cm="1">
        <f t="array" ref="U52">_xlfn.TEXTJOIN(", ",TRUE,SUBSTITUTE(SUBSTITUTE(PROPER(SUBSTITUTE(TRIM(_xlfn.TEXTSPLIT(us_core_reqs[[#This Row],[Page]],","))," -"," "))&amp;": "&amp;PROPER(SUBSTITUTE(TRIM(_xlfn.TEXTSPLIT(us_core_reqs[[#This Row],[Section]],","))," -"," ")),"Us ","US        
  "),"Uscdi","USCDI"))</f>
        <v>General-Requirements: Fhir-Restful-Search-Api-Requirements</v>
      </c>
      <c r="V52" t="s">
        <v>29</v>
      </c>
      <c r="W52" t="s">
        <v>30</v>
      </c>
      <c r="X52" t="s">
        <v>1171</v>
      </c>
      <c r="Y52" t="s">
        <v>1171</v>
      </c>
      <c r="Z52" t="s">
        <v>1171</v>
      </c>
      <c r="AA52" t="s">
        <v>1171</v>
      </c>
      <c r="AB52" t="s">
        <v>1171</v>
      </c>
      <c r="AC52" t="s">
        <v>1171</v>
      </c>
      <c r="AD52" t="s">
        <v>1140</v>
      </c>
      <c r="AE52" t="s">
        <v>1171</v>
      </c>
    </row>
    <row r="53" spans="1:31" ht="35" thickBot="1" x14ac:dyDescent="0.25">
      <c r="A53" t="s">
        <v>1171</v>
      </c>
      <c r="B53" t="s">
        <v>1225</v>
      </c>
      <c r="C53" t="str">
        <f>"CONF-"&amp;TEXT(us_core_reqs[[#This Row],[ID*]], "0000")</f>
        <v>CONF-0052</v>
      </c>
      <c r="D53" s="11" t="s">
        <v>823</v>
      </c>
      <c r="E53" s="73" t="str" cm="1">
        <f t="array" ref="E53">_xlfn.TEXTJOIN(", ", TRUE, _xlfn.TEXTAFTER(_xlfn.TEXTSPLIT(us_core_reqs[[#This Row],[URL*]], ", "), "/", -1))</f>
        <v>general-requirements.html#fhir-restful-search-api-requirements</v>
      </c>
      <c r="F53" s="11" t="s">
        <v>971</v>
      </c>
      <c r="G53" t="s">
        <v>29</v>
      </c>
      <c r="H53" cm="1">
        <f t="array" ref="H53">_xlfn.SWITCH(G53, "SHALL", 1, "SHOULD", 3, "MAY", 5, "SHOULD-NOT", 4, "SHALL-NOT", 2, "DEPRECATED", 6, 99)</f>
        <v>1</v>
      </c>
      <c r="J53" t="s">
        <v>30</v>
      </c>
      <c r="K53" t="s">
        <v>1171</v>
      </c>
      <c r="L53" t="s">
        <v>1171</v>
      </c>
      <c r="M53" t="s">
        <v>1173</v>
      </c>
      <c r="N53" t="s">
        <v>1171</v>
      </c>
      <c r="O53" t="s">
        <v>1171</v>
      </c>
      <c r="P53" t="s">
        <v>1171</v>
      </c>
      <c r="Q53" t="s">
        <v>1171</v>
      </c>
      <c r="R53" t="s">
        <v>1171</v>
      </c>
      <c r="S53" s="70" t="str" cm="1">
        <f t="array" ref="S53">_xlfn.TEXTJOIN(",",TRUE,LEFT(TRIM(_xlfn.TEXTSPLIT(us_core_reqs[[#This Row],[reference]],",")),FIND(".html",TRIM(_xlfn.TEXTSPLIT(us_core_reqs[[#This Row],[reference]],",")))-1))</f>
        <v>general-requirements</v>
      </c>
      <c r="T53" s="70" t="str" cm="1">
        <f t="array" ref="T53">_xlfn.TEXTJOIN(",",TRUE,MID(TRIM(_xlfn.TEXTSPLIT(us_core_reqs[[#This Row],[reference]],",")),FIND("#",TRIM(_xlfn.TEXTSPLIT(us_core_reqs[[#This Row],[reference]],","))&amp;"#")+1,1000))</f>
        <v>fhir-restful-search-api-requirements</v>
      </c>
      <c r="U53" t="str" cm="1">
        <f t="array" ref="U53">_xlfn.TEXTJOIN(", ",TRUE,SUBSTITUTE(SUBSTITUTE(PROPER(SUBSTITUTE(TRIM(_xlfn.TEXTSPLIT(us_core_reqs[[#This Row],[Page]],","))," -"," "))&amp;": "&amp;PROPER(SUBSTITUTE(TRIM(_xlfn.TEXTSPLIT(us_core_reqs[[#This Row],[Section]],","))," -"," ")),"Us ","US        
  "),"Uscdi","USCDI"))</f>
        <v>General-Requirements: Fhir-Restful-Search-Api-Requirements</v>
      </c>
      <c r="V53" t="s">
        <v>29</v>
      </c>
      <c r="W53" t="s">
        <v>30</v>
      </c>
      <c r="X53" t="s">
        <v>1171</v>
      </c>
      <c r="Y53" t="s">
        <v>1171</v>
      </c>
      <c r="Z53" t="s">
        <v>1171</v>
      </c>
      <c r="AA53" t="s">
        <v>1171</v>
      </c>
      <c r="AB53" t="s">
        <v>1171</v>
      </c>
      <c r="AC53" t="s">
        <v>1171</v>
      </c>
      <c r="AD53" t="s">
        <v>1140</v>
      </c>
      <c r="AE53" t="s">
        <v>1171</v>
      </c>
    </row>
    <row r="54" spans="1:31" ht="52" thickBot="1" x14ac:dyDescent="0.25">
      <c r="A54" t="s">
        <v>1171</v>
      </c>
      <c r="B54" t="s">
        <v>1226</v>
      </c>
      <c r="C54" t="str">
        <f>"CONF-"&amp;TEXT(us_core_reqs[[#This Row],[ID*]], "0000")</f>
        <v>CONF-0053</v>
      </c>
      <c r="D54" s="11" t="s">
        <v>823</v>
      </c>
      <c r="E54" s="73" t="str" cm="1">
        <f t="array" ref="E54">_xlfn.TEXTJOIN(", ", TRUE, _xlfn.TEXTAFTER(_xlfn.TEXTSPLIT(us_core_reqs[[#This Row],[URL*]], ", "), "/", -1))</f>
        <v>general-requirements.html#fhir-restful-search-api-requirements</v>
      </c>
      <c r="F54" s="11" t="s">
        <v>907</v>
      </c>
      <c r="G54" t="s">
        <v>29</v>
      </c>
      <c r="H54" cm="1">
        <f t="array" ref="H54">_xlfn.SWITCH(G54, "SHALL", 1, "SHOULD", 3, "MAY", 5, "SHOULD-NOT", 4, "SHALL-NOT", 2, "DEPRECATED", 6, 99)</f>
        <v>1</v>
      </c>
      <c r="J54" t="s">
        <v>58</v>
      </c>
      <c r="K54" t="s">
        <v>1171</v>
      </c>
      <c r="L54" t="s">
        <v>1171</v>
      </c>
      <c r="M54" t="s">
        <v>1173</v>
      </c>
      <c r="N54" t="s">
        <v>1171</v>
      </c>
      <c r="O54" t="s">
        <v>1171</v>
      </c>
      <c r="P54" t="s">
        <v>1171</v>
      </c>
      <c r="Q54" t="s">
        <v>1171</v>
      </c>
      <c r="R54" t="s">
        <v>1171</v>
      </c>
      <c r="S54" s="70" t="str" cm="1">
        <f t="array" ref="S54">_xlfn.TEXTJOIN(",",TRUE,LEFT(TRIM(_xlfn.TEXTSPLIT(us_core_reqs[[#This Row],[reference]],",")),FIND(".html",TRIM(_xlfn.TEXTSPLIT(us_core_reqs[[#This Row],[reference]],",")))-1))</f>
        <v>general-requirements</v>
      </c>
      <c r="T54" s="70" t="str" cm="1">
        <f t="array" ref="T54">_xlfn.TEXTJOIN(",",TRUE,MID(TRIM(_xlfn.TEXTSPLIT(us_core_reqs[[#This Row],[reference]],",")),FIND("#",TRIM(_xlfn.TEXTSPLIT(us_core_reqs[[#This Row],[reference]],","))&amp;"#")+1,1000))</f>
        <v>fhir-restful-search-api-requirements</v>
      </c>
      <c r="U54" t="str" cm="1">
        <f t="array" ref="U54">_xlfn.TEXTJOIN(", ",TRUE,SUBSTITUTE(SUBSTITUTE(PROPER(SUBSTITUTE(TRIM(_xlfn.TEXTSPLIT(us_core_reqs[[#This Row],[Page]],","))," -"," "))&amp;": "&amp;PROPER(SUBSTITUTE(TRIM(_xlfn.TEXTSPLIT(us_core_reqs[[#This Row],[Section]],","))," -"," ")),"Us ","US        
  "),"Uscdi","USCDI"))</f>
        <v>General-Requirements: Fhir-Restful-Search-Api-Requirements</v>
      </c>
      <c r="V54" t="s">
        <v>29</v>
      </c>
      <c r="W54" t="s">
        <v>58</v>
      </c>
      <c r="X54" t="s">
        <v>1171</v>
      </c>
      <c r="Y54" t="s">
        <v>1171</v>
      </c>
      <c r="Z54" t="s">
        <v>1171</v>
      </c>
      <c r="AA54" t="s">
        <v>1171</v>
      </c>
      <c r="AB54" t="s">
        <v>1171</v>
      </c>
      <c r="AC54" t="s">
        <v>1171</v>
      </c>
      <c r="AD54" t="s">
        <v>1171</v>
      </c>
      <c r="AE54" t="s">
        <v>1171</v>
      </c>
    </row>
    <row r="55" spans="1:31" ht="52" thickBot="1" x14ac:dyDescent="0.25">
      <c r="A55" t="s">
        <v>1171</v>
      </c>
      <c r="B55" t="s">
        <v>1227</v>
      </c>
      <c r="C55" t="str">
        <f>"CONF-"&amp;TEXT(us_core_reqs[[#This Row],[ID*]], "0000")</f>
        <v>CONF-0054</v>
      </c>
      <c r="D55" s="11" t="s">
        <v>823</v>
      </c>
      <c r="E55" s="73" t="str" cm="1">
        <f t="array" ref="E55">_xlfn.TEXTJOIN(", ", TRUE, _xlfn.TEXTAFTER(_xlfn.TEXTSPLIT(us_core_reqs[[#This Row],[URL*]], ", "), "/", -1))</f>
        <v>general-requirements.html#fhir-restful-search-api-requirements</v>
      </c>
      <c r="F55" s="11" t="s">
        <v>908</v>
      </c>
      <c r="G55" t="s">
        <v>35</v>
      </c>
      <c r="H55" cm="1">
        <f t="array" ref="H55">_xlfn.SWITCH(G55, "SHALL", 1, "SHOULD", 3, "MAY", 5, "SHOULD-NOT", 4, "SHALL-NOT", 2, "DEPRECATED", 6, 99)</f>
        <v>5</v>
      </c>
      <c r="J55" t="s">
        <v>58</v>
      </c>
      <c r="K55" t="s">
        <v>1171</v>
      </c>
      <c r="L55" t="s">
        <v>1171</v>
      </c>
      <c r="M55" t="s">
        <v>1173</v>
      </c>
      <c r="N55" t="s">
        <v>1171</v>
      </c>
      <c r="O55" t="s">
        <v>1171</v>
      </c>
      <c r="P55" t="s">
        <v>1171</v>
      </c>
      <c r="Q55" t="s">
        <v>1171</v>
      </c>
      <c r="R55" t="s">
        <v>1171</v>
      </c>
      <c r="S55" s="70" t="str" cm="1">
        <f t="array" ref="S55">_xlfn.TEXTJOIN(",",TRUE,LEFT(TRIM(_xlfn.TEXTSPLIT(us_core_reqs[[#This Row],[reference]],",")),FIND(".html",TRIM(_xlfn.TEXTSPLIT(us_core_reqs[[#This Row],[reference]],",")))-1))</f>
        <v>general-requirements</v>
      </c>
      <c r="T55" s="70" t="str" cm="1">
        <f t="array" ref="T55">_xlfn.TEXTJOIN(",",TRUE,MID(TRIM(_xlfn.TEXTSPLIT(us_core_reqs[[#This Row],[reference]],",")),FIND("#",TRIM(_xlfn.TEXTSPLIT(us_core_reqs[[#This Row],[reference]],","))&amp;"#")+1,1000))</f>
        <v>fhir-restful-search-api-requirements</v>
      </c>
      <c r="U55" t="str" cm="1">
        <f t="array" ref="U55">_xlfn.TEXTJOIN(", ",TRUE,SUBSTITUTE(SUBSTITUTE(PROPER(SUBSTITUTE(TRIM(_xlfn.TEXTSPLIT(us_core_reqs[[#This Row],[Page]],","))," -"," "))&amp;": "&amp;PROPER(SUBSTITUTE(TRIM(_xlfn.TEXTSPLIT(us_core_reqs[[#This Row],[Section]],","))," -"," ")),"Us ","US        
  "),"Uscdi","USCDI"))</f>
        <v>General-Requirements: Fhir-Restful-Search-Api-Requirements</v>
      </c>
      <c r="V55" t="s">
        <v>35</v>
      </c>
      <c r="W55" t="s">
        <v>58</v>
      </c>
      <c r="X55" t="s">
        <v>1171</v>
      </c>
      <c r="Y55" t="s">
        <v>1171</v>
      </c>
      <c r="Z55" t="s">
        <v>1171</v>
      </c>
      <c r="AA55" t="s">
        <v>1171</v>
      </c>
      <c r="AB55" t="s">
        <v>1171</v>
      </c>
      <c r="AC55" t="s">
        <v>1171</v>
      </c>
      <c r="AD55" t="s">
        <v>1171</v>
      </c>
      <c r="AE55" t="s">
        <v>1171</v>
      </c>
    </row>
    <row r="56" spans="1:31" ht="52" thickBot="1" x14ac:dyDescent="0.25">
      <c r="A56" t="s">
        <v>1171</v>
      </c>
      <c r="B56" t="s">
        <v>1228</v>
      </c>
      <c r="C56" t="str">
        <f>"CONF-"&amp;TEXT(us_core_reqs[[#This Row],[ID*]], "0000")</f>
        <v>CONF-0055</v>
      </c>
      <c r="D56" s="11" t="s">
        <v>823</v>
      </c>
      <c r="E56" s="73" t="str" cm="1">
        <f t="array" ref="E56">_xlfn.TEXTJOIN(", ", TRUE, _xlfn.TEXTAFTER(_xlfn.TEXTSPLIT(us_core_reqs[[#This Row],[URL*]], ", "), "/", -1))</f>
        <v>general-requirements.html#fhir-restful-search-api-requirements</v>
      </c>
      <c r="F56" s="11" t="s">
        <v>972</v>
      </c>
      <c r="G56" t="s">
        <v>29</v>
      </c>
      <c r="H56" cm="1">
        <f t="array" ref="H56">_xlfn.SWITCH(G56, "SHALL", 1, "SHOULD", 3, "MAY", 5, "SHOULD-NOT", 4, "SHALL-NOT", 2, "DEPRECATED", 6, 99)</f>
        <v>1</v>
      </c>
      <c r="J56" t="s">
        <v>30</v>
      </c>
      <c r="K56" t="s">
        <v>1171</v>
      </c>
      <c r="L56" t="s">
        <v>1171</v>
      </c>
      <c r="M56" t="s">
        <v>1173</v>
      </c>
      <c r="N56" t="s">
        <v>1171</v>
      </c>
      <c r="O56" t="s">
        <v>1171</v>
      </c>
      <c r="P56" t="s">
        <v>1171</v>
      </c>
      <c r="Q56" t="s">
        <v>1171</v>
      </c>
      <c r="R56" t="s">
        <v>1171</v>
      </c>
      <c r="S56" s="70" t="str" cm="1">
        <f t="array" ref="S56">_xlfn.TEXTJOIN(",",TRUE,LEFT(TRIM(_xlfn.TEXTSPLIT(us_core_reqs[[#This Row],[reference]],",")),FIND(".html",TRIM(_xlfn.TEXTSPLIT(us_core_reqs[[#This Row],[reference]],",")))-1))</f>
        <v>general-requirements</v>
      </c>
      <c r="T56" s="70" t="str" cm="1">
        <f t="array" ref="T56">_xlfn.TEXTJOIN(",",TRUE,MID(TRIM(_xlfn.TEXTSPLIT(us_core_reqs[[#This Row],[reference]],",")),FIND("#",TRIM(_xlfn.TEXTSPLIT(us_core_reqs[[#This Row],[reference]],","))&amp;"#")+1,1000))</f>
        <v>fhir-restful-search-api-requirements</v>
      </c>
      <c r="U56" t="str" cm="1">
        <f t="array" ref="U56">_xlfn.TEXTJOIN(", ",TRUE,SUBSTITUTE(SUBSTITUTE(PROPER(SUBSTITUTE(TRIM(_xlfn.TEXTSPLIT(us_core_reqs[[#This Row],[Page]],","))," -"," "))&amp;": "&amp;PROPER(SUBSTITUTE(TRIM(_xlfn.TEXTSPLIT(us_core_reqs[[#This Row],[Section]],","))," -"," ")),"Us ","US        
  "),"Uscdi","USCDI"))</f>
        <v>General-Requirements: Fhir-Restful-Search-Api-Requirements</v>
      </c>
      <c r="V56" t="s">
        <v>29</v>
      </c>
      <c r="W56" t="s">
        <v>30</v>
      </c>
      <c r="X56" t="s">
        <v>1171</v>
      </c>
      <c r="Y56" t="s">
        <v>1171</v>
      </c>
      <c r="Z56" t="s">
        <v>1171</v>
      </c>
      <c r="AA56" t="s">
        <v>1171</v>
      </c>
      <c r="AB56" t="s">
        <v>1171</v>
      </c>
      <c r="AC56" t="s">
        <v>1171</v>
      </c>
      <c r="AD56" t="s">
        <v>1140</v>
      </c>
      <c r="AE56" t="s">
        <v>1171</v>
      </c>
    </row>
    <row r="57" spans="1:31" ht="52" thickBot="1" x14ac:dyDescent="0.25">
      <c r="A57" t="s">
        <v>1171</v>
      </c>
      <c r="B57" t="s">
        <v>1229</v>
      </c>
      <c r="C57" t="str">
        <f>"CONF-"&amp;TEXT(us_core_reqs[[#This Row],[ID*]], "0000")</f>
        <v>CONF-0056</v>
      </c>
      <c r="D57" s="11" t="s">
        <v>823</v>
      </c>
      <c r="E57" s="73" t="str" cm="1">
        <f t="array" ref="E57">_xlfn.TEXTJOIN(", ", TRUE, _xlfn.TEXTAFTER(_xlfn.TEXTSPLIT(us_core_reqs[[#This Row],[URL*]], ", "), "/", -1))</f>
        <v>general-requirements.html#fhir-restful-search-api-requirements</v>
      </c>
      <c r="F57" s="11" t="s">
        <v>909</v>
      </c>
      <c r="G57" t="s">
        <v>29</v>
      </c>
      <c r="H57" cm="1">
        <f t="array" ref="H57">_xlfn.SWITCH(G57, "SHALL", 1, "SHOULD", 3, "MAY", 5, "SHOULD-NOT", 4, "SHALL-NOT", 2, "DEPRECATED", 6, 99)</f>
        <v>1</v>
      </c>
      <c r="J57" t="s">
        <v>58</v>
      </c>
      <c r="K57" t="s">
        <v>1171</v>
      </c>
      <c r="L57" t="s">
        <v>1171</v>
      </c>
      <c r="M57" t="s">
        <v>1173</v>
      </c>
      <c r="N57" t="s">
        <v>1171</v>
      </c>
      <c r="O57" t="s">
        <v>1171</v>
      </c>
      <c r="P57" t="s">
        <v>1171</v>
      </c>
      <c r="Q57" t="s">
        <v>1171</v>
      </c>
      <c r="R57" t="s">
        <v>1171</v>
      </c>
      <c r="S57" s="70" t="str" cm="1">
        <f t="array" ref="S57">_xlfn.TEXTJOIN(",",TRUE,LEFT(TRIM(_xlfn.TEXTSPLIT(us_core_reqs[[#This Row],[reference]],",")),FIND(".html",TRIM(_xlfn.TEXTSPLIT(us_core_reqs[[#This Row],[reference]],",")))-1))</f>
        <v>general-requirements</v>
      </c>
      <c r="T57" s="70" t="str" cm="1">
        <f t="array" ref="T57">_xlfn.TEXTJOIN(",",TRUE,MID(TRIM(_xlfn.TEXTSPLIT(us_core_reqs[[#This Row],[reference]],",")),FIND("#",TRIM(_xlfn.TEXTSPLIT(us_core_reqs[[#This Row],[reference]],","))&amp;"#")+1,1000))</f>
        <v>fhir-restful-search-api-requirements</v>
      </c>
      <c r="U57" t="str" cm="1">
        <f t="array" ref="U57">_xlfn.TEXTJOIN(", ",TRUE,SUBSTITUTE(SUBSTITUTE(PROPER(SUBSTITUTE(TRIM(_xlfn.TEXTSPLIT(us_core_reqs[[#This Row],[Page]],","))," -"," "))&amp;": "&amp;PROPER(SUBSTITUTE(TRIM(_xlfn.TEXTSPLIT(us_core_reqs[[#This Row],[Section]],","))," -"," ")),"Us ","US        
  "),"Uscdi","USCDI"))</f>
        <v>General-Requirements: Fhir-Restful-Search-Api-Requirements</v>
      </c>
      <c r="V57" t="s">
        <v>29</v>
      </c>
      <c r="W57" t="s">
        <v>58</v>
      </c>
      <c r="X57" t="s">
        <v>1171</v>
      </c>
      <c r="Y57" t="s">
        <v>1171</v>
      </c>
      <c r="Z57" t="s">
        <v>1171</v>
      </c>
      <c r="AA57" t="s">
        <v>1171</v>
      </c>
      <c r="AB57" t="s">
        <v>1171</v>
      </c>
      <c r="AC57" t="s">
        <v>1171</v>
      </c>
      <c r="AD57" t="s">
        <v>1171</v>
      </c>
      <c r="AE57" t="s">
        <v>1171</v>
      </c>
    </row>
    <row r="58" spans="1:31" ht="52" thickBot="1" x14ac:dyDescent="0.25">
      <c r="A58" t="s">
        <v>1171</v>
      </c>
      <c r="B58" t="s">
        <v>1230</v>
      </c>
      <c r="C58" t="str">
        <f>"CONF-"&amp;TEXT(us_core_reqs[[#This Row],[ID*]], "0000")</f>
        <v>CONF-0057</v>
      </c>
      <c r="D58" s="11" t="s">
        <v>823</v>
      </c>
      <c r="E58" s="73" t="str" cm="1">
        <f t="array" ref="E58">_xlfn.TEXTJOIN(", ", TRUE, _xlfn.TEXTAFTER(_xlfn.TEXTSPLIT(us_core_reqs[[#This Row],[URL*]], ", "), "/", -1))</f>
        <v>general-requirements.html#fhir-restful-search-api-requirements</v>
      </c>
      <c r="F58" s="11" t="s">
        <v>910</v>
      </c>
      <c r="G58" t="s">
        <v>35</v>
      </c>
      <c r="H58" cm="1">
        <f t="array" ref="H58">_xlfn.SWITCH(G58, "SHALL", 1, "SHOULD", 3, "MAY", 5, "SHOULD-NOT", 4, "SHALL-NOT", 2, "DEPRECATED", 6, 99)</f>
        <v>5</v>
      </c>
      <c r="J58" t="s">
        <v>58</v>
      </c>
      <c r="K58" t="s">
        <v>1171</v>
      </c>
      <c r="L58" t="s">
        <v>1171</v>
      </c>
      <c r="M58" t="s">
        <v>1173</v>
      </c>
      <c r="N58" t="s">
        <v>1171</v>
      </c>
      <c r="O58" t="s">
        <v>1171</v>
      </c>
      <c r="P58" t="s">
        <v>1171</v>
      </c>
      <c r="Q58" t="s">
        <v>1171</v>
      </c>
      <c r="R58" t="s">
        <v>1171</v>
      </c>
      <c r="S58" s="70" t="str" cm="1">
        <f t="array" ref="S58">_xlfn.TEXTJOIN(",",TRUE,LEFT(TRIM(_xlfn.TEXTSPLIT(us_core_reqs[[#This Row],[reference]],",")),FIND(".html",TRIM(_xlfn.TEXTSPLIT(us_core_reqs[[#This Row],[reference]],",")))-1))</f>
        <v>general-requirements</v>
      </c>
      <c r="T58" s="70" t="str" cm="1">
        <f t="array" ref="T58">_xlfn.TEXTJOIN(",",TRUE,MID(TRIM(_xlfn.TEXTSPLIT(us_core_reqs[[#This Row],[reference]],",")),FIND("#",TRIM(_xlfn.TEXTSPLIT(us_core_reqs[[#This Row],[reference]],","))&amp;"#")+1,1000))</f>
        <v>fhir-restful-search-api-requirements</v>
      </c>
      <c r="U58" t="str" cm="1">
        <f t="array" ref="U58">_xlfn.TEXTJOIN(", ",TRUE,SUBSTITUTE(SUBSTITUTE(PROPER(SUBSTITUTE(TRIM(_xlfn.TEXTSPLIT(us_core_reqs[[#This Row],[Page]],","))," -"," "))&amp;": "&amp;PROPER(SUBSTITUTE(TRIM(_xlfn.TEXTSPLIT(us_core_reqs[[#This Row],[Section]],","))," -"," ")),"Us ","US        
  "),"Uscdi","USCDI"))</f>
        <v>General-Requirements: Fhir-Restful-Search-Api-Requirements</v>
      </c>
      <c r="V58" t="s">
        <v>35</v>
      </c>
      <c r="W58" t="s">
        <v>58</v>
      </c>
      <c r="X58" t="s">
        <v>1171</v>
      </c>
      <c r="Y58" t="s">
        <v>1171</v>
      </c>
      <c r="Z58" t="s">
        <v>1171</v>
      </c>
      <c r="AA58" t="s">
        <v>1171</v>
      </c>
      <c r="AB58" t="s">
        <v>1171</v>
      </c>
      <c r="AC58" t="s">
        <v>1171</v>
      </c>
      <c r="AD58" t="s">
        <v>1171</v>
      </c>
      <c r="AE58" t="s">
        <v>1171</v>
      </c>
    </row>
    <row r="59" spans="1:31" ht="52" thickBot="1" x14ac:dyDescent="0.25">
      <c r="A59" t="s">
        <v>1171</v>
      </c>
      <c r="B59" t="s">
        <v>1231</v>
      </c>
      <c r="C59" t="str">
        <f>"CONF-"&amp;TEXT(us_core_reqs[[#This Row],[ID*]], "0000")</f>
        <v>CONF-0058</v>
      </c>
      <c r="D59" s="11" t="s">
        <v>823</v>
      </c>
      <c r="E59" s="73" t="str" cm="1">
        <f t="array" ref="E59">_xlfn.TEXTJOIN(", ", TRUE, _xlfn.TEXTAFTER(_xlfn.TEXTSPLIT(us_core_reqs[[#This Row],[URL*]], ", "), "/", -1))</f>
        <v>general-requirements.html#fhir-restful-search-api-requirements</v>
      </c>
      <c r="F59" s="11" t="s">
        <v>973</v>
      </c>
      <c r="G59" t="s">
        <v>29</v>
      </c>
      <c r="H59" cm="1">
        <f t="array" ref="H59">_xlfn.SWITCH(G59, "SHALL", 1, "SHOULD", 3, "MAY", 5, "SHOULD-NOT", 4, "SHALL-NOT", 2, "DEPRECATED", 6, 99)</f>
        <v>1</v>
      </c>
      <c r="J59" t="s">
        <v>30</v>
      </c>
      <c r="K59" t="s">
        <v>1171</v>
      </c>
      <c r="L59" t="s">
        <v>1171</v>
      </c>
      <c r="M59" t="s">
        <v>1173</v>
      </c>
      <c r="N59" t="s">
        <v>1171</v>
      </c>
      <c r="O59" t="s">
        <v>1171</v>
      </c>
      <c r="P59" t="s">
        <v>1171</v>
      </c>
      <c r="Q59" t="s">
        <v>1171</v>
      </c>
      <c r="R59" t="s">
        <v>1171</v>
      </c>
      <c r="S59" s="70" t="str" cm="1">
        <f t="array" ref="S59">_xlfn.TEXTJOIN(",",TRUE,LEFT(TRIM(_xlfn.TEXTSPLIT(us_core_reqs[[#This Row],[reference]],",")),FIND(".html",TRIM(_xlfn.TEXTSPLIT(us_core_reqs[[#This Row],[reference]],",")))-1))</f>
        <v>general-requirements</v>
      </c>
      <c r="T59" s="70" t="str" cm="1">
        <f t="array" ref="T59">_xlfn.TEXTJOIN(",",TRUE,MID(TRIM(_xlfn.TEXTSPLIT(us_core_reqs[[#This Row],[reference]],",")),FIND("#",TRIM(_xlfn.TEXTSPLIT(us_core_reqs[[#This Row],[reference]],","))&amp;"#")+1,1000))</f>
        <v>fhir-restful-search-api-requirements</v>
      </c>
      <c r="U59" t="str" cm="1">
        <f t="array" ref="U59">_xlfn.TEXTJOIN(", ",TRUE,SUBSTITUTE(SUBSTITUTE(PROPER(SUBSTITUTE(TRIM(_xlfn.TEXTSPLIT(us_core_reqs[[#This Row],[Page]],","))," -"," "))&amp;": "&amp;PROPER(SUBSTITUTE(TRIM(_xlfn.TEXTSPLIT(us_core_reqs[[#This Row],[Section]],","))," -"," ")),"Us ","US        
  "),"Uscdi","USCDI"))</f>
        <v>General-Requirements: Fhir-Restful-Search-Api-Requirements</v>
      </c>
      <c r="V59" t="s">
        <v>29</v>
      </c>
      <c r="W59" t="s">
        <v>30</v>
      </c>
      <c r="X59" t="s">
        <v>1171</v>
      </c>
      <c r="Y59" t="s">
        <v>1171</v>
      </c>
      <c r="Z59" t="s">
        <v>1171</v>
      </c>
      <c r="AA59" t="s">
        <v>1171</v>
      </c>
      <c r="AB59" t="s">
        <v>1171</v>
      </c>
      <c r="AC59" t="s">
        <v>1171</v>
      </c>
      <c r="AD59" t="s">
        <v>1140</v>
      </c>
      <c r="AE59" t="s">
        <v>1171</v>
      </c>
    </row>
    <row r="60" spans="1:31" ht="69" thickBot="1" x14ac:dyDescent="0.25">
      <c r="A60" t="s">
        <v>1171</v>
      </c>
      <c r="B60" t="s">
        <v>1232</v>
      </c>
      <c r="C60" t="str">
        <f>"CONF-"&amp;TEXT(us_core_reqs[[#This Row],[ID*]], "0000")</f>
        <v>CONF-0059</v>
      </c>
      <c r="D60" s="11" t="s">
        <v>823</v>
      </c>
      <c r="E60" s="73" t="str" cm="1">
        <f t="array" ref="E60">_xlfn.TEXTJOIN(", ", TRUE, _xlfn.TEXTAFTER(_xlfn.TEXTSPLIT(us_core_reqs[[#This Row],[URL*]], ", "), "/", -1))</f>
        <v>general-requirements.html#fhir-restful-search-api-requirements</v>
      </c>
      <c r="F60" s="11" t="s">
        <v>911</v>
      </c>
      <c r="G60" t="s">
        <v>29</v>
      </c>
      <c r="H60" cm="1">
        <f t="array" ref="H60">_xlfn.SWITCH(G60, "SHALL", 1, "SHOULD", 3, "MAY", 5, "SHOULD-NOT", 4, "SHALL-NOT", 2, "DEPRECATED", 6, 99)</f>
        <v>1</v>
      </c>
      <c r="J60" t="s">
        <v>58</v>
      </c>
      <c r="K60" t="s">
        <v>1171</v>
      </c>
      <c r="L60" t="s">
        <v>1171</v>
      </c>
      <c r="M60" t="s">
        <v>1173</v>
      </c>
      <c r="N60" t="s">
        <v>1171</v>
      </c>
      <c r="O60" t="s">
        <v>1171</v>
      </c>
      <c r="P60" t="s">
        <v>1171</v>
      </c>
      <c r="Q60" t="s">
        <v>1171</v>
      </c>
      <c r="R60" t="s">
        <v>1171</v>
      </c>
      <c r="S60" s="70" t="str" cm="1">
        <f t="array" ref="S60">_xlfn.TEXTJOIN(",",TRUE,LEFT(TRIM(_xlfn.TEXTSPLIT(us_core_reqs[[#This Row],[reference]],",")),FIND(".html",TRIM(_xlfn.TEXTSPLIT(us_core_reqs[[#This Row],[reference]],",")))-1))</f>
        <v>general-requirements</v>
      </c>
      <c r="T60" s="70" t="str" cm="1">
        <f t="array" ref="T60">_xlfn.TEXTJOIN(",",TRUE,MID(TRIM(_xlfn.TEXTSPLIT(us_core_reqs[[#This Row],[reference]],",")),FIND("#",TRIM(_xlfn.TEXTSPLIT(us_core_reqs[[#This Row],[reference]],","))&amp;"#")+1,1000))</f>
        <v>fhir-restful-search-api-requirements</v>
      </c>
      <c r="U60" t="str" cm="1">
        <f t="array" ref="U60">_xlfn.TEXTJOIN(", ",TRUE,SUBSTITUTE(SUBSTITUTE(PROPER(SUBSTITUTE(TRIM(_xlfn.TEXTSPLIT(us_core_reqs[[#This Row],[Page]],","))," -"," "))&amp;": "&amp;PROPER(SUBSTITUTE(TRIM(_xlfn.TEXTSPLIT(us_core_reqs[[#This Row],[Section]],","))," -"," ")),"Us ","US        
  "),"Uscdi","USCDI"))</f>
        <v>General-Requirements: Fhir-Restful-Search-Api-Requirements</v>
      </c>
      <c r="V60" t="s">
        <v>29</v>
      </c>
      <c r="W60" t="s">
        <v>58</v>
      </c>
      <c r="X60" t="s">
        <v>1171</v>
      </c>
      <c r="Y60" t="s">
        <v>1171</v>
      </c>
      <c r="Z60" t="s">
        <v>1171</v>
      </c>
      <c r="AA60" t="s">
        <v>1171</v>
      </c>
      <c r="AB60" t="s">
        <v>1171</v>
      </c>
      <c r="AC60" t="s">
        <v>1171</v>
      </c>
      <c r="AD60" t="s">
        <v>1171</v>
      </c>
      <c r="AE60" t="s">
        <v>1171</v>
      </c>
    </row>
    <row r="61" spans="1:31" ht="69" thickBot="1" x14ac:dyDescent="0.25">
      <c r="A61" t="s">
        <v>1171</v>
      </c>
      <c r="B61" t="s">
        <v>1233</v>
      </c>
      <c r="C61" t="str">
        <f>"CONF-"&amp;TEXT(us_core_reqs[[#This Row],[ID*]], "0000")</f>
        <v>CONF-0060</v>
      </c>
      <c r="D61" s="11" t="s">
        <v>823</v>
      </c>
      <c r="E61" s="73" t="str" cm="1">
        <f t="array" ref="E61">_xlfn.TEXTJOIN(", ", TRUE, _xlfn.TEXTAFTER(_xlfn.TEXTSPLIT(us_core_reqs[[#This Row],[URL*]], ", "), "/", -1))</f>
        <v>general-requirements.html#fhir-restful-search-api-requirements</v>
      </c>
      <c r="F61" s="11" t="s">
        <v>912</v>
      </c>
      <c r="G61" t="s">
        <v>29</v>
      </c>
      <c r="H61" cm="1">
        <f t="array" ref="H61">_xlfn.SWITCH(G61, "SHALL", 1, "SHOULD", 3, "MAY", 5, "SHOULD-NOT", 4, "SHALL-NOT", 2, "DEPRECATED", 6, 99)</f>
        <v>1</v>
      </c>
      <c r="J61" t="s">
        <v>58</v>
      </c>
      <c r="K61" t="s">
        <v>1171</v>
      </c>
      <c r="L61" t="s">
        <v>1171</v>
      </c>
      <c r="M61" t="s">
        <v>1173</v>
      </c>
      <c r="N61" t="s">
        <v>1171</v>
      </c>
      <c r="O61" t="s">
        <v>1171</v>
      </c>
      <c r="P61" t="s">
        <v>1171</v>
      </c>
      <c r="Q61" t="s">
        <v>1171</v>
      </c>
      <c r="R61" t="s">
        <v>1171</v>
      </c>
      <c r="S61" s="70" t="str" cm="1">
        <f t="array" ref="S61">_xlfn.TEXTJOIN(",",TRUE,LEFT(TRIM(_xlfn.TEXTSPLIT(us_core_reqs[[#This Row],[reference]],",")),FIND(".html",TRIM(_xlfn.TEXTSPLIT(us_core_reqs[[#This Row],[reference]],",")))-1))</f>
        <v>general-requirements</v>
      </c>
      <c r="T61" s="70" t="str" cm="1">
        <f t="array" ref="T61">_xlfn.TEXTJOIN(",",TRUE,MID(TRIM(_xlfn.TEXTSPLIT(us_core_reqs[[#This Row],[reference]],",")),FIND("#",TRIM(_xlfn.TEXTSPLIT(us_core_reqs[[#This Row],[reference]],","))&amp;"#")+1,1000))</f>
        <v>fhir-restful-search-api-requirements</v>
      </c>
      <c r="U61" t="str" cm="1">
        <f t="array" ref="U61">_xlfn.TEXTJOIN(", ",TRUE,SUBSTITUTE(SUBSTITUTE(PROPER(SUBSTITUTE(TRIM(_xlfn.TEXTSPLIT(us_core_reqs[[#This Row],[Page]],","))," -"," "))&amp;": "&amp;PROPER(SUBSTITUTE(TRIM(_xlfn.TEXTSPLIT(us_core_reqs[[#This Row],[Section]],","))," -"," ")),"Us ","US        
  "),"Uscdi","USCDI"))</f>
        <v>General-Requirements: Fhir-Restful-Search-Api-Requirements</v>
      </c>
      <c r="V61" t="s">
        <v>29</v>
      </c>
      <c r="W61" t="s">
        <v>58</v>
      </c>
      <c r="X61" t="s">
        <v>1171</v>
      </c>
      <c r="Y61" t="s">
        <v>1171</v>
      </c>
      <c r="Z61" t="s">
        <v>1171</v>
      </c>
      <c r="AA61" t="s">
        <v>1171</v>
      </c>
      <c r="AB61" t="s">
        <v>1171</v>
      </c>
      <c r="AC61" t="s">
        <v>1171</v>
      </c>
      <c r="AD61" t="s">
        <v>1171</v>
      </c>
      <c r="AE61" t="s">
        <v>1171</v>
      </c>
    </row>
    <row r="62" spans="1:31" ht="69" thickBot="1" x14ac:dyDescent="0.25">
      <c r="A62" t="s">
        <v>1171</v>
      </c>
      <c r="B62" t="s">
        <v>1234</v>
      </c>
      <c r="C62" t="str">
        <f>"CONF-"&amp;TEXT(us_core_reqs[[#This Row],[ID*]], "0000")</f>
        <v>CONF-0061</v>
      </c>
      <c r="D62" s="11" t="s">
        <v>823</v>
      </c>
      <c r="E62" s="73" t="str" cm="1">
        <f t="array" ref="E62">_xlfn.TEXTJOIN(", ", TRUE, _xlfn.TEXTAFTER(_xlfn.TEXTSPLIT(us_core_reqs[[#This Row],[URL*]], ", "), "/", -1))</f>
        <v>general-requirements.html#fhir-restful-search-api-requirements</v>
      </c>
      <c r="F62" s="11" t="s">
        <v>974</v>
      </c>
      <c r="G62" t="s">
        <v>29</v>
      </c>
      <c r="H62" cm="1">
        <f t="array" ref="H62">_xlfn.SWITCH(G62, "SHALL", 1, "SHOULD", 3, "MAY", 5, "SHOULD-NOT", 4, "SHALL-NOT", 2, "DEPRECATED", 6, 99)</f>
        <v>1</v>
      </c>
      <c r="J62" t="s">
        <v>30</v>
      </c>
      <c r="K62" t="s">
        <v>1171</v>
      </c>
      <c r="L62" t="s">
        <v>1171</v>
      </c>
      <c r="M62" t="s">
        <v>1173</v>
      </c>
      <c r="N62" t="s">
        <v>1171</v>
      </c>
      <c r="O62" t="s">
        <v>1171</v>
      </c>
      <c r="P62" t="s">
        <v>1171</v>
      </c>
      <c r="Q62" t="s">
        <v>1171</v>
      </c>
      <c r="R62" t="s">
        <v>1171</v>
      </c>
      <c r="S62" s="70" t="str" cm="1">
        <f t="array" ref="S62">_xlfn.TEXTJOIN(",",TRUE,LEFT(TRIM(_xlfn.TEXTSPLIT(us_core_reqs[[#This Row],[reference]],",")),FIND(".html",TRIM(_xlfn.TEXTSPLIT(us_core_reqs[[#This Row],[reference]],",")))-1))</f>
        <v>general-requirements</v>
      </c>
      <c r="T62" s="70" t="str" cm="1">
        <f t="array" ref="T62">_xlfn.TEXTJOIN(",",TRUE,MID(TRIM(_xlfn.TEXTSPLIT(us_core_reqs[[#This Row],[reference]],",")),FIND("#",TRIM(_xlfn.TEXTSPLIT(us_core_reqs[[#This Row],[reference]],","))&amp;"#")+1,1000))</f>
        <v>fhir-restful-search-api-requirements</v>
      </c>
      <c r="U62" t="str" cm="1">
        <f t="array" ref="U62">_xlfn.TEXTJOIN(", ",TRUE,SUBSTITUTE(SUBSTITUTE(PROPER(SUBSTITUTE(TRIM(_xlfn.TEXTSPLIT(us_core_reqs[[#This Row],[Page]],","))," -"," "))&amp;": "&amp;PROPER(SUBSTITUTE(TRIM(_xlfn.TEXTSPLIT(us_core_reqs[[#This Row],[Section]],","))," -"," ")),"Us ","US        
  "),"Uscdi","USCDI"))</f>
        <v>General-Requirements: Fhir-Restful-Search-Api-Requirements</v>
      </c>
      <c r="V62" t="s">
        <v>29</v>
      </c>
      <c r="W62" t="s">
        <v>30</v>
      </c>
      <c r="X62" t="s">
        <v>1171</v>
      </c>
      <c r="Y62" t="s">
        <v>1171</v>
      </c>
      <c r="Z62" t="s">
        <v>1171</v>
      </c>
      <c r="AA62" t="s">
        <v>1171</v>
      </c>
      <c r="AB62" t="s">
        <v>1171</v>
      </c>
      <c r="AC62" t="s">
        <v>1171</v>
      </c>
      <c r="AD62" t="s">
        <v>1140</v>
      </c>
      <c r="AE62" t="s">
        <v>1171</v>
      </c>
    </row>
    <row r="63" spans="1:31" ht="69" thickBot="1" x14ac:dyDescent="0.25">
      <c r="A63" t="s">
        <v>1171</v>
      </c>
      <c r="B63" t="s">
        <v>1235</v>
      </c>
      <c r="C63" t="str">
        <f>"CONF-"&amp;TEXT(us_core_reqs[[#This Row],[ID*]], "0000")</f>
        <v>CONF-0062</v>
      </c>
      <c r="D63" s="11" t="s">
        <v>823</v>
      </c>
      <c r="E63" s="73" t="str" cm="1">
        <f t="array" ref="E63">_xlfn.TEXTJOIN(", ", TRUE, _xlfn.TEXTAFTER(_xlfn.TEXTSPLIT(us_core_reqs[[#This Row],[URL*]], ", "), "/", -1))</f>
        <v>general-requirements.html#fhir-restful-search-api-requirements</v>
      </c>
      <c r="F63" s="11" t="s">
        <v>975</v>
      </c>
      <c r="G63" t="s">
        <v>29</v>
      </c>
      <c r="H63" cm="1">
        <f t="array" ref="H63">_xlfn.SWITCH(G63, "SHALL", 1, "SHOULD", 3, "MAY", 5, "SHOULD-NOT", 4, "SHALL-NOT", 2, "DEPRECATED", 6, 99)</f>
        <v>1</v>
      </c>
      <c r="J63" t="s">
        <v>30</v>
      </c>
      <c r="K63" t="s">
        <v>1171</v>
      </c>
      <c r="L63" t="s">
        <v>1171</v>
      </c>
      <c r="M63" t="s">
        <v>1173</v>
      </c>
      <c r="N63" t="s">
        <v>1171</v>
      </c>
      <c r="O63" t="s">
        <v>1171</v>
      </c>
      <c r="P63" t="s">
        <v>1171</v>
      </c>
      <c r="Q63" t="s">
        <v>1171</v>
      </c>
      <c r="R63" t="s">
        <v>1171</v>
      </c>
      <c r="S63" s="70" t="str" cm="1">
        <f t="array" ref="S63">_xlfn.TEXTJOIN(",",TRUE,LEFT(TRIM(_xlfn.TEXTSPLIT(us_core_reqs[[#This Row],[reference]],",")),FIND(".html",TRIM(_xlfn.TEXTSPLIT(us_core_reqs[[#This Row],[reference]],",")))-1))</f>
        <v>general-requirements</v>
      </c>
      <c r="T63" s="70" t="str" cm="1">
        <f t="array" ref="T63">_xlfn.TEXTJOIN(",",TRUE,MID(TRIM(_xlfn.TEXTSPLIT(us_core_reqs[[#This Row],[reference]],",")),FIND("#",TRIM(_xlfn.TEXTSPLIT(us_core_reqs[[#This Row],[reference]],","))&amp;"#")+1,1000))</f>
        <v>fhir-restful-search-api-requirements</v>
      </c>
      <c r="U63" t="str" cm="1">
        <f t="array" ref="U63">_xlfn.TEXTJOIN(", ",TRUE,SUBSTITUTE(SUBSTITUTE(PROPER(SUBSTITUTE(TRIM(_xlfn.TEXTSPLIT(us_core_reqs[[#This Row],[Page]],","))," -"," "))&amp;": "&amp;PROPER(SUBSTITUTE(TRIM(_xlfn.TEXTSPLIT(us_core_reqs[[#This Row],[Section]],","))," -"," ")),"Us ","US        
  "),"Uscdi","USCDI"))</f>
        <v>General-Requirements: Fhir-Restful-Search-Api-Requirements</v>
      </c>
      <c r="V63" t="s">
        <v>29</v>
      </c>
      <c r="W63" t="s">
        <v>30</v>
      </c>
      <c r="X63" t="s">
        <v>1171</v>
      </c>
      <c r="Y63" t="s">
        <v>1171</v>
      </c>
      <c r="Z63" t="s">
        <v>1171</v>
      </c>
      <c r="AA63" t="s">
        <v>1171</v>
      </c>
      <c r="AB63" t="s">
        <v>1171</v>
      </c>
      <c r="AC63" t="s">
        <v>1171</v>
      </c>
      <c r="AD63" t="s">
        <v>1140</v>
      </c>
      <c r="AE63" t="s">
        <v>1171</v>
      </c>
    </row>
    <row r="64" spans="1:31" ht="35" thickBot="1" x14ac:dyDescent="0.25">
      <c r="A64" t="s">
        <v>1171</v>
      </c>
      <c r="B64" t="s">
        <v>1236</v>
      </c>
      <c r="C64" t="str">
        <f>"CONF-"&amp;TEXT(us_core_reqs[[#This Row],[ID*]], "0000")</f>
        <v>CONF-0063</v>
      </c>
      <c r="D64" s="11" t="s">
        <v>976</v>
      </c>
      <c r="E64" s="73" t="str" cm="1">
        <f t="array" ref="E64">_xlfn.TEXTJOIN(", ", TRUE, _xlfn.TEXTAFTER(_xlfn.TEXTSPLIT(us_core_reqs[[#This Row],[URL*]], ", "), "/", -1))</f>
        <v>general-requirements.html#search-for-Servers-requiring-status</v>
      </c>
      <c r="F64" s="11" t="s">
        <v>98</v>
      </c>
      <c r="G64" t="s">
        <v>32</v>
      </c>
      <c r="H64" cm="1">
        <f t="array" ref="H64">_xlfn.SWITCH(G64, "SHALL", 1, "SHOULD", 3, "MAY", 5, "SHOULD-NOT", 4, "SHALL-NOT", 2, "DEPRECATED", 6, 99)</f>
        <v>3</v>
      </c>
      <c r="I64" t="s">
        <v>1847</v>
      </c>
      <c r="J64" t="s">
        <v>30</v>
      </c>
      <c r="K64" t="s">
        <v>1171</v>
      </c>
      <c r="L64" t="s">
        <v>1171</v>
      </c>
      <c r="M64" t="s">
        <v>1173</v>
      </c>
      <c r="N64" t="s">
        <v>1171</v>
      </c>
      <c r="O64" t="s">
        <v>1171</v>
      </c>
      <c r="P64" t="s">
        <v>1171</v>
      </c>
      <c r="Q64" t="s">
        <v>1171</v>
      </c>
      <c r="R64" t="s">
        <v>1171</v>
      </c>
      <c r="S64" s="70" t="str" cm="1">
        <f t="array" ref="S64">_xlfn.TEXTJOIN(",",TRUE,LEFT(TRIM(_xlfn.TEXTSPLIT(us_core_reqs[[#This Row],[reference]],",")),FIND(".html",TRIM(_xlfn.TEXTSPLIT(us_core_reqs[[#This Row],[reference]],",")))-1))</f>
        <v>general-requirements</v>
      </c>
      <c r="T64" s="70" t="str" cm="1">
        <f t="array" ref="T64">_xlfn.TEXTJOIN(",",TRUE,MID(TRIM(_xlfn.TEXTSPLIT(us_core_reqs[[#This Row],[reference]],",")),FIND("#",TRIM(_xlfn.TEXTSPLIT(us_core_reqs[[#This Row],[reference]],","))&amp;"#")+1,1000))</f>
        <v>search-for-Servers-requiring-status</v>
      </c>
      <c r="U64" t="str" cm="1">
        <f t="array" ref="U64">_xlfn.TEXTJOIN(", ",TRUE,SUBSTITUTE(SUBSTITUTE(PROPER(SUBSTITUTE(TRIM(_xlfn.TEXTSPLIT(us_core_reqs[[#This Row],[Page]],","))," -"," "))&amp;": "&amp;PROPER(SUBSTITUTE(TRIM(_xlfn.TEXTSPLIT(us_core_reqs[[#This Row],[Section]],","))," -"," ")),"Us ","US        
  "),"Uscdi","USCDI"))</f>
        <v>General-Requirements: Search-For-Servers-Requiring-Status</v>
      </c>
      <c r="V64" t="s">
        <v>1171</v>
      </c>
      <c r="W64" t="s">
        <v>30</v>
      </c>
      <c r="X64" t="s">
        <v>1171</v>
      </c>
      <c r="Y64" t="s">
        <v>1171</v>
      </c>
      <c r="Z64" t="s">
        <v>1171</v>
      </c>
      <c r="AA64" t="s">
        <v>1171</v>
      </c>
      <c r="AB64" t="s">
        <v>1171</v>
      </c>
      <c r="AC64" t="s">
        <v>1171</v>
      </c>
      <c r="AD64" t="s">
        <v>1171</v>
      </c>
      <c r="AE64" t="s">
        <v>1171</v>
      </c>
    </row>
    <row r="65" spans="1:31" ht="35" thickBot="1" x14ac:dyDescent="0.25">
      <c r="A65" t="s">
        <v>1171</v>
      </c>
      <c r="B65" t="s">
        <v>1237</v>
      </c>
      <c r="C65" t="str">
        <f>"CONF-"&amp;TEXT(us_core_reqs[[#This Row],[ID*]], "0000")</f>
        <v>CONF-0064</v>
      </c>
      <c r="D65" s="11" t="s">
        <v>976</v>
      </c>
      <c r="E65" s="73" t="str" cm="1">
        <f t="array" ref="E65">_xlfn.TEXTJOIN(", ", TRUE, _xlfn.TEXTAFTER(_xlfn.TEXTSPLIT(us_core_reqs[[#This Row],[URL*]], ", "), "/", -1))</f>
        <v>general-requirements.html#search-for-Servers-requiring-status</v>
      </c>
      <c r="F65" s="11" t="s">
        <v>99</v>
      </c>
      <c r="G65" t="s">
        <v>29</v>
      </c>
      <c r="H65" cm="1">
        <f t="array" ref="H65">_xlfn.SWITCH(G65, "SHALL", 1, "SHOULD", 3, "MAY", 5, "SHOULD-NOT", 4, "SHALL-NOT", 2, "DEPRECATED", 6, 99)</f>
        <v>1</v>
      </c>
      <c r="J65" t="s">
        <v>30</v>
      </c>
      <c r="K65" t="s">
        <v>1171</v>
      </c>
      <c r="L65" t="s">
        <v>1101</v>
      </c>
      <c r="M65" t="s">
        <v>1176</v>
      </c>
      <c r="N65" t="s">
        <v>100</v>
      </c>
      <c r="O65" t="s">
        <v>1171</v>
      </c>
      <c r="P65" t="s">
        <v>1171</v>
      </c>
      <c r="Q65" t="s">
        <v>1171</v>
      </c>
      <c r="R65" t="s">
        <v>1171</v>
      </c>
      <c r="S65" s="70" t="str" cm="1">
        <f t="array" ref="S65">_xlfn.TEXTJOIN(",",TRUE,LEFT(TRIM(_xlfn.TEXTSPLIT(us_core_reqs[[#This Row],[reference]],",")),FIND(".html",TRIM(_xlfn.TEXTSPLIT(us_core_reqs[[#This Row],[reference]],",")))-1))</f>
        <v>general-requirements</v>
      </c>
      <c r="T65" s="70" t="str" cm="1">
        <f t="array" ref="T65">_xlfn.TEXTJOIN(",",TRUE,MID(TRIM(_xlfn.TEXTSPLIT(us_core_reqs[[#This Row],[reference]],",")),FIND("#",TRIM(_xlfn.TEXTSPLIT(us_core_reqs[[#This Row],[reference]],","))&amp;"#")+1,1000))</f>
        <v>search-for-Servers-requiring-status</v>
      </c>
      <c r="U65" t="str" cm="1">
        <f t="array" ref="U65">_xlfn.TEXTJOIN(", ",TRUE,SUBSTITUTE(SUBSTITUTE(PROPER(SUBSTITUTE(TRIM(_xlfn.TEXTSPLIT(us_core_reqs[[#This Row],[Page]],","))," -"," "))&amp;": "&amp;PROPER(SUBSTITUTE(TRIM(_xlfn.TEXTSPLIT(us_core_reqs[[#This Row],[Section]],","))," -"," ")),"Us ","US        
  "),"Uscdi","USCDI"))</f>
        <v>General-Requirements: Search-For-Servers-Requiring-Status</v>
      </c>
      <c r="V65" t="s">
        <v>29</v>
      </c>
      <c r="W65" t="s">
        <v>1171</v>
      </c>
      <c r="X65" t="s">
        <v>1171</v>
      </c>
      <c r="Y65" t="s">
        <v>1171</v>
      </c>
      <c r="Z65" t="s">
        <v>1171</v>
      </c>
      <c r="AA65" t="s">
        <v>1171</v>
      </c>
      <c r="AB65" t="s">
        <v>1171</v>
      </c>
      <c r="AC65" t="s">
        <v>1171</v>
      </c>
      <c r="AD65" t="s">
        <v>1141</v>
      </c>
      <c r="AE65" t="s">
        <v>1171</v>
      </c>
    </row>
    <row r="66" spans="1:31" ht="52" thickBot="1" x14ac:dyDescent="0.25">
      <c r="A66" t="s">
        <v>1171</v>
      </c>
      <c r="B66" t="s">
        <v>1238</v>
      </c>
      <c r="C66" t="str">
        <f>"CONF-"&amp;TEXT(us_core_reqs[[#This Row],[ID*]], "0000")</f>
        <v>CONF-0065</v>
      </c>
      <c r="D66" s="11" t="s">
        <v>976</v>
      </c>
      <c r="E66" s="73" t="str" cm="1">
        <f t="array" ref="E66">_xlfn.TEXTJOIN(", ", TRUE, _xlfn.TEXTAFTER(_xlfn.TEXTSPLIT(us_core_reqs[[#This Row],[URL*]], ", "), "/", -1))</f>
        <v>general-requirements.html#search-for-Servers-requiring-status</v>
      </c>
      <c r="F66" s="11" t="s">
        <v>913</v>
      </c>
      <c r="G66" t="s">
        <v>35</v>
      </c>
      <c r="H66" cm="1">
        <f t="array" ref="H66">_xlfn.SWITCH(G66, "SHALL", 1, "SHOULD", 3, "MAY", 5, "SHOULD-NOT", 4, "SHALL-NOT", 2, "DEPRECATED", 6, 99)</f>
        <v>5</v>
      </c>
      <c r="J66" t="s">
        <v>30</v>
      </c>
      <c r="K66" t="s">
        <v>1171</v>
      </c>
      <c r="L66" t="s">
        <v>1171</v>
      </c>
      <c r="M66" t="s">
        <v>1173</v>
      </c>
      <c r="N66" t="s">
        <v>1171</v>
      </c>
      <c r="O66" t="s">
        <v>1171</v>
      </c>
      <c r="P66" t="s">
        <v>1171</v>
      </c>
      <c r="Q66" t="s">
        <v>1171</v>
      </c>
      <c r="R66" t="s">
        <v>1171</v>
      </c>
      <c r="S66" s="70" t="str" cm="1">
        <f t="array" ref="S66">_xlfn.TEXTJOIN(",",TRUE,LEFT(TRIM(_xlfn.TEXTSPLIT(us_core_reqs[[#This Row],[reference]],",")),FIND(".html",TRIM(_xlfn.TEXTSPLIT(us_core_reqs[[#This Row],[reference]],",")))-1))</f>
        <v>general-requirements</v>
      </c>
      <c r="T66" s="70" t="str" cm="1">
        <f t="array" ref="T66">_xlfn.TEXTJOIN(",",TRUE,MID(TRIM(_xlfn.TEXTSPLIT(us_core_reqs[[#This Row],[reference]],",")),FIND("#",TRIM(_xlfn.TEXTSPLIT(us_core_reqs[[#This Row],[reference]],","))&amp;"#")+1,1000))</f>
        <v>search-for-Servers-requiring-status</v>
      </c>
      <c r="U66" t="str" cm="1">
        <f t="array" ref="U66">_xlfn.TEXTJOIN(", ",TRUE,SUBSTITUTE(SUBSTITUTE(PROPER(SUBSTITUTE(TRIM(_xlfn.TEXTSPLIT(us_core_reqs[[#This Row],[Page]],","))," -"," "))&amp;": "&amp;PROPER(SUBSTITUTE(TRIM(_xlfn.TEXTSPLIT(us_core_reqs[[#This Row],[Section]],","))," -"," ")),"Us ","US        
  "),"Uscdi","USCDI"))</f>
        <v>General-Requirements: Search-For-Servers-Requiring-Status</v>
      </c>
      <c r="V66" t="s">
        <v>35</v>
      </c>
      <c r="W66" t="s">
        <v>58</v>
      </c>
      <c r="X66" t="s">
        <v>1171</v>
      </c>
      <c r="Y66" t="s">
        <v>1171</v>
      </c>
      <c r="Z66" t="s">
        <v>1171</v>
      </c>
      <c r="AA66" t="s">
        <v>1171</v>
      </c>
      <c r="AB66" t="s">
        <v>1171</v>
      </c>
      <c r="AC66" t="s">
        <v>1171</v>
      </c>
      <c r="AD66" t="s">
        <v>1171</v>
      </c>
      <c r="AE66" t="s">
        <v>1171</v>
      </c>
    </row>
    <row r="67" spans="1:31" ht="86" thickBot="1" x14ac:dyDescent="0.25">
      <c r="A67" t="s">
        <v>1171</v>
      </c>
      <c r="B67" t="s">
        <v>1239</v>
      </c>
      <c r="C67" t="str">
        <f>"CONF-"&amp;TEXT(us_core_reqs[[#This Row],[ID*]], "0000")</f>
        <v>CONF-0066</v>
      </c>
      <c r="D67" s="11" t="s">
        <v>976</v>
      </c>
      <c r="E67" s="73" t="str" cm="1">
        <f t="array" ref="E67">_xlfn.TEXTJOIN(", ", TRUE, _xlfn.TEXTAFTER(_xlfn.TEXTSPLIT(us_core_reqs[[#This Row],[URL*]], ", "), "/", -1))</f>
        <v>general-requirements.html#search-for-Servers-requiring-status</v>
      </c>
      <c r="F67" s="11" t="s">
        <v>914</v>
      </c>
      <c r="G67" t="s">
        <v>29</v>
      </c>
      <c r="H67" cm="1">
        <f t="array" ref="H67">_xlfn.SWITCH(G67, "SHALL", 1, "SHOULD", 3, "MAY", 5, "SHOULD-NOT", 4, "SHALL-NOT", 2, "DEPRECATED", 6, 99)</f>
        <v>1</v>
      </c>
      <c r="J67" t="s">
        <v>30</v>
      </c>
      <c r="K67" t="s">
        <v>1171</v>
      </c>
      <c r="L67" t="s">
        <v>1171</v>
      </c>
      <c r="M67" t="s">
        <v>1173</v>
      </c>
      <c r="N67" t="s">
        <v>1171</v>
      </c>
      <c r="O67" t="s">
        <v>1171</v>
      </c>
      <c r="P67" t="s">
        <v>1171</v>
      </c>
      <c r="Q67" t="s">
        <v>1171</v>
      </c>
      <c r="R67" t="s">
        <v>1171</v>
      </c>
      <c r="S67" s="70" t="str" cm="1">
        <f t="array" ref="S67">_xlfn.TEXTJOIN(",",TRUE,LEFT(TRIM(_xlfn.TEXTSPLIT(us_core_reqs[[#This Row],[reference]],",")),FIND(".html",TRIM(_xlfn.TEXTSPLIT(us_core_reqs[[#This Row],[reference]],",")))-1))</f>
        <v>general-requirements</v>
      </c>
      <c r="T67" s="70" t="str" cm="1">
        <f t="array" ref="T67">_xlfn.TEXTJOIN(",",TRUE,MID(TRIM(_xlfn.TEXTSPLIT(us_core_reqs[[#This Row],[reference]],",")),FIND("#",TRIM(_xlfn.TEXTSPLIT(us_core_reqs[[#This Row],[reference]],","))&amp;"#")+1,1000))</f>
        <v>search-for-Servers-requiring-status</v>
      </c>
      <c r="U67" t="str" cm="1">
        <f t="array" ref="U67">_xlfn.TEXTJOIN(", ",TRUE,SUBSTITUTE(SUBSTITUTE(PROPER(SUBSTITUTE(TRIM(_xlfn.TEXTSPLIT(us_core_reqs[[#This Row],[Page]],","))," -"," "))&amp;": "&amp;PROPER(SUBSTITUTE(TRIM(_xlfn.TEXTSPLIT(us_core_reqs[[#This Row],[Section]],","))," -"," ")),"Us ","US        
  "),"Uscdi","USCDI"))</f>
        <v>General-Requirements: Search-For-Servers-Requiring-Status</v>
      </c>
      <c r="V67" t="s">
        <v>29</v>
      </c>
      <c r="W67" t="s">
        <v>58</v>
      </c>
      <c r="X67" t="s">
        <v>1171</v>
      </c>
      <c r="Y67" t="s">
        <v>1171</v>
      </c>
      <c r="Z67" t="s">
        <v>1171</v>
      </c>
      <c r="AA67" t="s">
        <v>1171</v>
      </c>
      <c r="AB67" t="s">
        <v>1171</v>
      </c>
      <c r="AC67" t="s">
        <v>1171</v>
      </c>
      <c r="AD67" t="s">
        <v>1140</v>
      </c>
      <c r="AE67" t="s">
        <v>1171</v>
      </c>
    </row>
    <row r="68" spans="1:31" ht="120" thickBot="1" x14ac:dyDescent="0.25">
      <c r="A68" t="s">
        <v>1171</v>
      </c>
      <c r="B68" t="s">
        <v>1240</v>
      </c>
      <c r="C68" t="str">
        <f>"CONF-"&amp;TEXT(us_core_reqs[[#This Row],[ID*]], "0000")</f>
        <v>CONF-0067</v>
      </c>
      <c r="D68" s="11" t="s">
        <v>976</v>
      </c>
      <c r="E68" s="73" t="str" cm="1">
        <f t="array" ref="E68">_xlfn.TEXTJOIN(", ", TRUE, _xlfn.TEXTAFTER(_xlfn.TEXTSPLIT(us_core_reqs[[#This Row],[URL*]], ", "), "/", -1))</f>
        <v>general-requirements.html#search-for-Servers-requiring-status</v>
      </c>
      <c r="F68" s="11" t="s">
        <v>915</v>
      </c>
      <c r="G68" t="s">
        <v>29</v>
      </c>
      <c r="H68" cm="1">
        <f t="array" ref="H68">_xlfn.SWITCH(G68, "SHALL", 1, "SHOULD", 3, "MAY", 5, "SHOULD-NOT", 4, "SHALL-NOT", 2, "DEPRECATED", 6, 99)</f>
        <v>1</v>
      </c>
      <c r="J68" t="s">
        <v>30</v>
      </c>
      <c r="K68" t="s">
        <v>1171</v>
      </c>
      <c r="L68" t="s">
        <v>1171</v>
      </c>
      <c r="M68" t="s">
        <v>1173</v>
      </c>
      <c r="N68" t="s">
        <v>1171</v>
      </c>
      <c r="O68" t="s">
        <v>1171</v>
      </c>
      <c r="P68" t="s">
        <v>1171</v>
      </c>
      <c r="Q68" t="s">
        <v>1171</v>
      </c>
      <c r="R68" t="s">
        <v>1171</v>
      </c>
      <c r="S68" s="70" t="str" cm="1">
        <f t="array" ref="S68">_xlfn.TEXTJOIN(",",TRUE,LEFT(TRIM(_xlfn.TEXTSPLIT(us_core_reqs[[#This Row],[reference]],",")),FIND(".html",TRIM(_xlfn.TEXTSPLIT(us_core_reqs[[#This Row],[reference]],",")))-1))</f>
        <v>general-requirements</v>
      </c>
      <c r="T68" s="70" t="str" cm="1">
        <f t="array" ref="T68">_xlfn.TEXTJOIN(",",TRUE,MID(TRIM(_xlfn.TEXTSPLIT(us_core_reqs[[#This Row],[reference]],",")),FIND("#",TRIM(_xlfn.TEXTSPLIT(us_core_reqs[[#This Row],[reference]],","))&amp;"#")+1,1000))</f>
        <v>search-for-Servers-requiring-status</v>
      </c>
      <c r="U68" t="str" cm="1">
        <f t="array" ref="U68">_xlfn.TEXTJOIN(", ",TRUE,SUBSTITUTE(SUBSTITUTE(PROPER(SUBSTITUTE(TRIM(_xlfn.TEXTSPLIT(us_core_reqs[[#This Row],[Page]],","))," -"," "))&amp;": "&amp;PROPER(SUBSTITUTE(TRIM(_xlfn.TEXTSPLIT(us_core_reqs[[#This Row],[Section]],","))," -"," ")),"Us ","US        
  "),"Uscdi","USCDI"))</f>
        <v>General-Requirements: Search-For-Servers-Requiring-Status</v>
      </c>
      <c r="V68" t="s">
        <v>29</v>
      </c>
      <c r="W68" t="s">
        <v>58</v>
      </c>
      <c r="X68" t="s">
        <v>1171</v>
      </c>
      <c r="Y68" t="s">
        <v>1171</v>
      </c>
      <c r="Z68" t="s">
        <v>1171</v>
      </c>
      <c r="AA68" t="s">
        <v>1171</v>
      </c>
      <c r="AB68" t="s">
        <v>1171</v>
      </c>
      <c r="AC68" t="s">
        <v>1171</v>
      </c>
      <c r="AD68" t="s">
        <v>1140</v>
      </c>
      <c r="AE68" t="s">
        <v>1171</v>
      </c>
    </row>
    <row r="69" spans="1:31" ht="86" thickBot="1" x14ac:dyDescent="0.25">
      <c r="A69" t="s">
        <v>1171</v>
      </c>
      <c r="B69" t="s">
        <v>1241</v>
      </c>
      <c r="C69" t="str">
        <f>"CONF-"&amp;TEXT(us_core_reqs[[#This Row],[ID*]], "0000")</f>
        <v>CONF-0068</v>
      </c>
      <c r="D69" s="11" t="s">
        <v>976</v>
      </c>
      <c r="E69" s="73" t="str" cm="1">
        <f t="array" ref="E69">_xlfn.TEXTJOIN(", ", TRUE, _xlfn.TEXTAFTER(_xlfn.TEXTSPLIT(us_core_reqs[[#This Row],[URL*]], ", "), "/", -1))</f>
        <v>general-requirements.html#search-for-Servers-requiring-status</v>
      </c>
      <c r="F69" s="11" t="s">
        <v>916</v>
      </c>
      <c r="G69" t="s">
        <v>29</v>
      </c>
      <c r="H69" cm="1">
        <f t="array" ref="H69">_xlfn.SWITCH(G69, "SHALL", 1, "SHOULD", 3, "MAY", 5, "SHOULD-NOT", 4, "SHALL-NOT", 2, "DEPRECATED", 6, 99)</f>
        <v>1</v>
      </c>
      <c r="J69" t="s">
        <v>30</v>
      </c>
      <c r="K69" t="s">
        <v>1171</v>
      </c>
      <c r="L69" t="s">
        <v>1171</v>
      </c>
      <c r="M69" t="s">
        <v>1173</v>
      </c>
      <c r="N69" t="s">
        <v>1171</v>
      </c>
      <c r="O69" t="s">
        <v>1171</v>
      </c>
      <c r="P69" t="s">
        <v>1171</v>
      </c>
      <c r="Q69" t="s">
        <v>1171</v>
      </c>
      <c r="R69" t="s">
        <v>1171</v>
      </c>
      <c r="S69" s="70" t="str" cm="1">
        <f t="array" ref="S69">_xlfn.TEXTJOIN(",",TRUE,LEFT(TRIM(_xlfn.TEXTSPLIT(us_core_reqs[[#This Row],[reference]],",")),FIND(".html",TRIM(_xlfn.TEXTSPLIT(us_core_reqs[[#This Row],[reference]],",")))-1))</f>
        <v>general-requirements</v>
      </c>
      <c r="T69" s="70" t="str" cm="1">
        <f t="array" ref="T69">_xlfn.TEXTJOIN(",",TRUE,MID(TRIM(_xlfn.TEXTSPLIT(us_core_reqs[[#This Row],[reference]],",")),FIND("#",TRIM(_xlfn.TEXTSPLIT(us_core_reqs[[#This Row],[reference]],","))&amp;"#")+1,1000))</f>
        <v>search-for-Servers-requiring-status</v>
      </c>
      <c r="U69" t="str" cm="1">
        <f t="array" ref="U69">_xlfn.TEXTJOIN(", ",TRUE,SUBSTITUTE(SUBSTITUTE(PROPER(SUBSTITUTE(TRIM(_xlfn.TEXTSPLIT(us_core_reqs[[#This Row],[Page]],","))," -"," "))&amp;": "&amp;PROPER(SUBSTITUTE(TRIM(_xlfn.TEXTSPLIT(us_core_reqs[[#This Row],[Section]],","))," -"," ")),"Us ","US        
  "),"Uscdi","USCDI"))</f>
        <v>General-Requirements: Search-For-Servers-Requiring-Status</v>
      </c>
      <c r="V69" t="s">
        <v>29</v>
      </c>
      <c r="W69" t="s">
        <v>58</v>
      </c>
      <c r="X69" t="s">
        <v>1171</v>
      </c>
      <c r="Y69" t="s">
        <v>1171</v>
      </c>
      <c r="Z69" t="s">
        <v>1171</v>
      </c>
      <c r="AA69" t="s">
        <v>1171</v>
      </c>
      <c r="AB69" t="s">
        <v>1171</v>
      </c>
      <c r="AC69" t="s">
        <v>1171</v>
      </c>
      <c r="AD69" t="s">
        <v>1140</v>
      </c>
      <c r="AE69" t="s">
        <v>1171</v>
      </c>
    </row>
    <row r="70" spans="1:31" ht="35" thickBot="1" x14ac:dyDescent="0.25">
      <c r="A70" t="s">
        <v>1171</v>
      </c>
      <c r="B70" t="s">
        <v>1242</v>
      </c>
      <c r="C70" t="str">
        <f>"CONF-"&amp;TEXT(us_core_reqs[[#This Row],[ID*]], "0000")</f>
        <v>CONF-0069</v>
      </c>
      <c r="D70" s="11" t="s">
        <v>976</v>
      </c>
      <c r="E70" s="73" t="str" cm="1">
        <f t="array" ref="E70">_xlfn.TEXTJOIN(", ", TRUE, _xlfn.TEXTAFTER(_xlfn.TEXTSPLIT(us_core_reqs[[#This Row],[URL*]], ", "), "/", -1))</f>
        <v>general-requirements.html#search-for-Servers-requiring-status</v>
      </c>
      <c r="F70" s="11" t="s">
        <v>2027</v>
      </c>
      <c r="G70" t="s">
        <v>1833</v>
      </c>
      <c r="H70" cm="1">
        <f t="array" ref="H70">_xlfn.SWITCH(G70, "SHALL", 1, "SHOULD", 3, "MAY", 5, "SHOULD-NOT", 4, "SHALL-NOT", 2, "DEPRECATED", 6, 99)</f>
        <v>2</v>
      </c>
      <c r="J70" t="s">
        <v>30</v>
      </c>
      <c r="K70" t="s">
        <v>1171</v>
      </c>
      <c r="L70" t="s">
        <v>1171</v>
      </c>
      <c r="M70" t="s">
        <v>1173</v>
      </c>
      <c r="N70" t="s">
        <v>1171</v>
      </c>
      <c r="O70" t="s">
        <v>1171</v>
      </c>
      <c r="P70" t="s">
        <v>1171</v>
      </c>
      <c r="Q70" t="s">
        <v>1171</v>
      </c>
      <c r="R70" t="s">
        <v>1171</v>
      </c>
      <c r="S70" s="70" t="str" cm="1">
        <f t="array" ref="S70">_xlfn.TEXTJOIN(",",TRUE,LEFT(TRIM(_xlfn.TEXTSPLIT(us_core_reqs[[#This Row],[reference]],",")),FIND(".html",TRIM(_xlfn.TEXTSPLIT(us_core_reqs[[#This Row],[reference]],",")))-1))</f>
        <v>general-requirements</v>
      </c>
      <c r="T70" s="70" t="str" cm="1">
        <f t="array" ref="T70">_xlfn.TEXTJOIN(",",TRUE,MID(TRIM(_xlfn.TEXTSPLIT(us_core_reqs[[#This Row],[reference]],",")),FIND("#",TRIM(_xlfn.TEXTSPLIT(us_core_reqs[[#This Row],[reference]],","))&amp;"#")+1,1000))</f>
        <v>search-for-Servers-requiring-status</v>
      </c>
      <c r="U70" t="str" cm="1">
        <f t="array" ref="U70">_xlfn.TEXTJOIN(", ",TRUE,SUBSTITUTE(SUBSTITUTE(PROPER(SUBSTITUTE(TRIM(_xlfn.TEXTSPLIT(us_core_reqs[[#This Row],[Page]],","))," -"," "))&amp;": "&amp;PROPER(SUBSTITUTE(TRIM(_xlfn.TEXTSPLIT(us_core_reqs[[#This Row],[Section]],","))," -"," ")),"Us ","US        
  "),"Uscdi","USCDI"))</f>
        <v>General-Requirements: Search-For-Servers-Requiring-Status</v>
      </c>
      <c r="V70" t="s">
        <v>29</v>
      </c>
      <c r="W70" t="s">
        <v>58</v>
      </c>
      <c r="X70" t="s">
        <v>1171</v>
      </c>
      <c r="Y70" t="s">
        <v>1171</v>
      </c>
      <c r="Z70" t="s">
        <v>1171</v>
      </c>
      <c r="AA70" t="s">
        <v>1171</v>
      </c>
      <c r="AB70" t="s">
        <v>1171</v>
      </c>
      <c r="AC70" t="s">
        <v>1171</v>
      </c>
      <c r="AD70" t="s">
        <v>1140</v>
      </c>
      <c r="AE70" t="s">
        <v>1171</v>
      </c>
    </row>
    <row r="71" spans="1:31" ht="52" thickBot="1" x14ac:dyDescent="0.25">
      <c r="A71" t="s">
        <v>1171</v>
      </c>
      <c r="B71" t="s">
        <v>1243</v>
      </c>
      <c r="C71" t="str">
        <f>"CONF-"&amp;TEXT(us_core_reqs[[#This Row],[ID*]], "0000")</f>
        <v>CONF-0070</v>
      </c>
      <c r="D71" s="11" t="s">
        <v>976</v>
      </c>
      <c r="E71" s="73" t="str" cm="1">
        <f t="array" ref="E71">_xlfn.TEXTJOIN(", ", TRUE, _xlfn.TEXTAFTER(_xlfn.TEXTSPLIT(us_core_reqs[[#This Row],[URL*]], ", "), "/", -1))</f>
        <v>general-requirements.html#search-for-Servers-requiring-status</v>
      </c>
      <c r="F71" s="11" t="s">
        <v>101</v>
      </c>
      <c r="G71" t="s">
        <v>32</v>
      </c>
      <c r="H71" cm="1">
        <f t="array" ref="H71">_xlfn.SWITCH(G71, "SHALL", 1, "SHOULD", 3, "MAY", 5, "SHOULD-NOT", 4, "SHALL-NOT", 2, "DEPRECATED", 6, 99)</f>
        <v>3</v>
      </c>
      <c r="J71" t="s">
        <v>30</v>
      </c>
      <c r="K71" t="s">
        <v>1171</v>
      </c>
      <c r="L71" t="s">
        <v>1171</v>
      </c>
      <c r="M71" t="s">
        <v>1176</v>
      </c>
      <c r="N71" t="s">
        <v>102</v>
      </c>
      <c r="O71" t="s">
        <v>1171</v>
      </c>
      <c r="P71" t="s">
        <v>1171</v>
      </c>
      <c r="Q71" t="s">
        <v>1171</v>
      </c>
      <c r="R71" t="s">
        <v>1171</v>
      </c>
      <c r="S71" s="70" t="str" cm="1">
        <f t="array" ref="S71">_xlfn.TEXTJOIN(",",TRUE,LEFT(TRIM(_xlfn.TEXTSPLIT(us_core_reqs[[#This Row],[reference]],",")),FIND(".html",TRIM(_xlfn.TEXTSPLIT(us_core_reqs[[#This Row],[reference]],",")))-1))</f>
        <v>general-requirements</v>
      </c>
      <c r="T71" s="70" t="str" cm="1">
        <f t="array" ref="T71">_xlfn.TEXTJOIN(",",TRUE,MID(TRIM(_xlfn.TEXTSPLIT(us_core_reqs[[#This Row],[reference]],",")),FIND("#",TRIM(_xlfn.TEXTSPLIT(us_core_reqs[[#This Row],[reference]],","))&amp;"#")+1,1000))</f>
        <v>search-for-Servers-requiring-status</v>
      </c>
      <c r="U71" t="str" cm="1">
        <f t="array" ref="U71">_xlfn.TEXTJOIN(", ",TRUE,SUBSTITUTE(SUBSTITUTE(PROPER(SUBSTITUTE(TRIM(_xlfn.TEXTSPLIT(us_core_reqs[[#This Row],[Page]],","))," -"," "))&amp;": "&amp;PROPER(SUBSTITUTE(TRIM(_xlfn.TEXTSPLIT(us_core_reqs[[#This Row],[Section]],","))," -"," ")),"Us ","US        
  "),"Uscdi","USCDI"))</f>
        <v>General-Requirements: Search-For-Servers-Requiring-Status</v>
      </c>
      <c r="V71" t="s">
        <v>32</v>
      </c>
      <c r="W71" t="s">
        <v>1171</v>
      </c>
      <c r="X71" t="s">
        <v>1171</v>
      </c>
      <c r="Y71" t="s">
        <v>1171</v>
      </c>
      <c r="Z71" t="s">
        <v>1171</v>
      </c>
      <c r="AA71" t="s">
        <v>1171</v>
      </c>
      <c r="AB71" t="s">
        <v>1171</v>
      </c>
      <c r="AC71" t="s">
        <v>1171</v>
      </c>
      <c r="AD71" t="s">
        <v>1171</v>
      </c>
      <c r="AE71" t="s">
        <v>1171</v>
      </c>
    </row>
    <row r="72" spans="1:31" ht="69" thickBot="1" x14ac:dyDescent="0.25">
      <c r="A72" t="s">
        <v>1171</v>
      </c>
      <c r="B72" t="s">
        <v>1244</v>
      </c>
      <c r="C72" t="str">
        <f>"CONF-"&amp;TEXT(us_core_reqs[[#This Row],[ID*]], "0000")</f>
        <v>CONF-0071</v>
      </c>
      <c r="D72" s="11" t="s">
        <v>976</v>
      </c>
      <c r="E72" s="73" t="str" cm="1">
        <f t="array" ref="E72">_xlfn.TEXTJOIN(", ", TRUE, _xlfn.TEXTAFTER(_xlfn.TEXTSPLIT(us_core_reqs[[#This Row],[URL*]], ", "), "/", -1))</f>
        <v>general-requirements.html#search-for-Servers-requiring-status</v>
      </c>
      <c r="F72" s="11" t="s">
        <v>103</v>
      </c>
      <c r="G72" t="s">
        <v>32</v>
      </c>
      <c r="H72" cm="1">
        <f t="array" ref="H72">_xlfn.SWITCH(G72, "SHALL", 1, "SHOULD", 3, "MAY", 5, "SHOULD-NOT", 4, "SHALL-NOT", 2, "DEPRECATED", 6, 99)</f>
        <v>3</v>
      </c>
      <c r="J72" t="s">
        <v>30</v>
      </c>
      <c r="K72" t="s">
        <v>1171</v>
      </c>
      <c r="L72" t="s">
        <v>1171</v>
      </c>
      <c r="M72" t="s">
        <v>1176</v>
      </c>
      <c r="N72" t="s">
        <v>104</v>
      </c>
      <c r="O72" t="s">
        <v>1171</v>
      </c>
      <c r="P72" t="s">
        <v>1171</v>
      </c>
      <c r="Q72" t="s">
        <v>1171</v>
      </c>
      <c r="R72" t="s">
        <v>1171</v>
      </c>
      <c r="S72" s="70" t="str" cm="1">
        <f t="array" ref="S72">_xlfn.TEXTJOIN(",",TRUE,LEFT(TRIM(_xlfn.TEXTSPLIT(us_core_reqs[[#This Row],[reference]],",")),FIND(".html",TRIM(_xlfn.TEXTSPLIT(us_core_reqs[[#This Row],[reference]],",")))-1))</f>
        <v>general-requirements</v>
      </c>
      <c r="T72" s="70" t="str" cm="1">
        <f t="array" ref="T72">_xlfn.TEXTJOIN(",",TRUE,MID(TRIM(_xlfn.TEXTSPLIT(us_core_reqs[[#This Row],[reference]],",")),FIND("#",TRIM(_xlfn.TEXTSPLIT(us_core_reqs[[#This Row],[reference]],","))&amp;"#")+1,1000))</f>
        <v>search-for-Servers-requiring-status</v>
      </c>
      <c r="U72" t="str" cm="1">
        <f t="array" ref="U72">_xlfn.TEXTJOIN(", ",TRUE,SUBSTITUTE(SUBSTITUTE(PROPER(SUBSTITUTE(TRIM(_xlfn.TEXTSPLIT(us_core_reqs[[#This Row],[Page]],","))," -"," "))&amp;": "&amp;PROPER(SUBSTITUTE(TRIM(_xlfn.TEXTSPLIT(us_core_reqs[[#This Row],[Section]],","))," -"," ")),"Us ","US        
  "),"Uscdi","USCDI"))</f>
        <v>General-Requirements: Search-For-Servers-Requiring-Status</v>
      </c>
      <c r="V72" t="s">
        <v>32</v>
      </c>
      <c r="W72" t="s">
        <v>1171</v>
      </c>
      <c r="X72" t="s">
        <v>1171</v>
      </c>
      <c r="Y72" t="s">
        <v>1171</v>
      </c>
      <c r="Z72" t="s">
        <v>1171</v>
      </c>
      <c r="AA72" t="s">
        <v>1171</v>
      </c>
      <c r="AB72" t="s">
        <v>1171</v>
      </c>
      <c r="AC72" t="s">
        <v>1171</v>
      </c>
      <c r="AD72" t="s">
        <v>1171</v>
      </c>
      <c r="AE72" t="s">
        <v>1171</v>
      </c>
    </row>
    <row r="73" spans="1:31" ht="86" thickBot="1" x14ac:dyDescent="0.25">
      <c r="A73" t="s">
        <v>1171</v>
      </c>
      <c r="B73" t="s">
        <v>1245</v>
      </c>
      <c r="C73" t="str">
        <f>"CONF-"&amp;TEXT(us_core_reqs[[#This Row],[ID*]], "0000")</f>
        <v>CONF-0072</v>
      </c>
      <c r="D73" s="11" t="s">
        <v>976</v>
      </c>
      <c r="E73" s="73" t="str" cm="1">
        <f t="array" ref="E73">_xlfn.TEXTJOIN(", ", TRUE, _xlfn.TEXTAFTER(_xlfn.TEXTSPLIT(us_core_reqs[[#This Row],[URL*]], ", "), "/", -1))</f>
        <v>general-requirements.html#search-for-Servers-requiring-status</v>
      </c>
      <c r="F73" s="11" t="s">
        <v>918</v>
      </c>
      <c r="G73" t="s">
        <v>32</v>
      </c>
      <c r="H73" cm="1">
        <f t="array" ref="H73">_xlfn.SWITCH(G73, "SHALL", 1, "SHOULD", 3, "MAY", 5, "SHOULD-NOT", 4, "SHALL-NOT", 2, "DEPRECATED", 6, 99)</f>
        <v>3</v>
      </c>
      <c r="J73" t="s">
        <v>30</v>
      </c>
      <c r="K73" t="s">
        <v>1171</v>
      </c>
      <c r="L73" t="s">
        <v>1171</v>
      </c>
      <c r="M73" t="s">
        <v>1176</v>
      </c>
      <c r="N73" t="s">
        <v>104</v>
      </c>
      <c r="O73" t="s">
        <v>1171</v>
      </c>
      <c r="P73" t="s">
        <v>1171</v>
      </c>
      <c r="Q73" t="s">
        <v>1171</v>
      </c>
      <c r="R73" t="s">
        <v>1171</v>
      </c>
      <c r="S73" s="70" t="str" cm="1">
        <f t="array" ref="S73">_xlfn.TEXTJOIN(",",TRUE,LEFT(TRIM(_xlfn.TEXTSPLIT(us_core_reqs[[#This Row],[reference]],",")),FIND(".html",TRIM(_xlfn.TEXTSPLIT(us_core_reqs[[#This Row],[reference]],",")))-1))</f>
        <v>general-requirements</v>
      </c>
      <c r="T73" s="70" t="str" cm="1">
        <f t="array" ref="T73">_xlfn.TEXTJOIN(",",TRUE,MID(TRIM(_xlfn.TEXTSPLIT(us_core_reqs[[#This Row],[reference]],",")),FIND("#",TRIM(_xlfn.TEXTSPLIT(us_core_reqs[[#This Row],[reference]],","))&amp;"#")+1,1000))</f>
        <v>search-for-Servers-requiring-status</v>
      </c>
      <c r="U73" t="str" cm="1">
        <f t="array" ref="U73">_xlfn.TEXTJOIN(", ",TRUE,SUBSTITUTE(SUBSTITUTE(PROPER(SUBSTITUTE(TRIM(_xlfn.TEXTSPLIT(us_core_reqs[[#This Row],[Page]],","))," -"," "))&amp;": "&amp;PROPER(SUBSTITUTE(TRIM(_xlfn.TEXTSPLIT(us_core_reqs[[#This Row],[Section]],","))," -"," ")),"Us ","US        
  "),"Uscdi","USCDI"))</f>
        <v>General-Requirements: Search-For-Servers-Requiring-Status</v>
      </c>
      <c r="V73" t="s">
        <v>32</v>
      </c>
      <c r="W73" t="s">
        <v>58</v>
      </c>
      <c r="X73" t="s">
        <v>1171</v>
      </c>
      <c r="Y73" t="s">
        <v>1171</v>
      </c>
      <c r="Z73" t="s">
        <v>1171</v>
      </c>
      <c r="AA73" t="s">
        <v>1171</v>
      </c>
      <c r="AB73" t="s">
        <v>1171</v>
      </c>
      <c r="AC73" t="s">
        <v>1171</v>
      </c>
      <c r="AD73" t="s">
        <v>1171</v>
      </c>
      <c r="AE73" t="s">
        <v>1171</v>
      </c>
    </row>
    <row r="74" spans="1:31" ht="120" thickBot="1" x14ac:dyDescent="0.25">
      <c r="A74" t="s">
        <v>1171</v>
      </c>
      <c r="B74" t="s">
        <v>1246</v>
      </c>
      <c r="C74" t="str">
        <f>"CONF-"&amp;TEXT(us_core_reqs[[#This Row],[ID*]], "0000")</f>
        <v>CONF-0073</v>
      </c>
      <c r="D74" s="11" t="s">
        <v>976</v>
      </c>
      <c r="E74" s="73" t="str" cm="1">
        <f t="array" ref="E74">_xlfn.TEXTJOIN(", ", TRUE, _xlfn.TEXTAFTER(_xlfn.TEXTSPLIT(us_core_reqs[[#This Row],[URL*]], ", "), "/", -1))</f>
        <v>general-requirements.html#search-for-Servers-requiring-status</v>
      </c>
      <c r="F74" s="11" t="s">
        <v>919</v>
      </c>
      <c r="G74" t="s">
        <v>29</v>
      </c>
      <c r="H74" cm="1">
        <f t="array" ref="H74">_xlfn.SWITCH(G74, "SHALL", 1, "SHOULD", 3, "MAY", 5, "SHOULD-NOT", 4, "SHALL-NOT", 2, "DEPRECATED", 6, 99)</f>
        <v>1</v>
      </c>
      <c r="J74" t="s">
        <v>30</v>
      </c>
      <c r="K74" t="s">
        <v>1171</v>
      </c>
      <c r="L74" t="s">
        <v>1171</v>
      </c>
      <c r="M74" t="s">
        <v>1173</v>
      </c>
      <c r="N74" t="s">
        <v>1171</v>
      </c>
      <c r="O74" t="s">
        <v>1171</v>
      </c>
      <c r="P74" t="s">
        <v>1171</v>
      </c>
      <c r="Q74" t="s">
        <v>1171</v>
      </c>
      <c r="R74" t="s">
        <v>1171</v>
      </c>
      <c r="S74" s="70" t="str" cm="1">
        <f t="array" ref="S74">_xlfn.TEXTJOIN(",",TRUE,LEFT(TRIM(_xlfn.TEXTSPLIT(us_core_reqs[[#This Row],[reference]],",")),FIND(".html",TRIM(_xlfn.TEXTSPLIT(us_core_reqs[[#This Row],[reference]],",")))-1))</f>
        <v>general-requirements</v>
      </c>
      <c r="T74" s="70" t="str" cm="1">
        <f t="array" ref="T74">_xlfn.TEXTJOIN(",",TRUE,MID(TRIM(_xlfn.TEXTSPLIT(us_core_reqs[[#This Row],[reference]],",")),FIND("#",TRIM(_xlfn.TEXTSPLIT(us_core_reqs[[#This Row],[reference]],","))&amp;"#")+1,1000))</f>
        <v>search-for-Servers-requiring-status</v>
      </c>
      <c r="U74" t="str" cm="1">
        <f t="array" ref="U74">_xlfn.TEXTJOIN(", ",TRUE,SUBSTITUTE(SUBSTITUTE(PROPER(SUBSTITUTE(TRIM(_xlfn.TEXTSPLIT(us_core_reqs[[#This Row],[Page]],","))," -"," "))&amp;": "&amp;PROPER(SUBSTITUTE(TRIM(_xlfn.TEXTSPLIT(us_core_reqs[[#This Row],[Section]],","))," -"," ")),"Us ","US        
  "),"Uscdi","USCDI"))</f>
        <v>General-Requirements: Search-For-Servers-Requiring-Status</v>
      </c>
      <c r="V74" t="s">
        <v>29</v>
      </c>
      <c r="W74" t="s">
        <v>58</v>
      </c>
      <c r="X74" t="s">
        <v>1171</v>
      </c>
      <c r="Y74" t="s">
        <v>1171</v>
      </c>
      <c r="Z74" t="s">
        <v>1171</v>
      </c>
      <c r="AA74" t="s">
        <v>1171</v>
      </c>
      <c r="AB74" t="s">
        <v>1171</v>
      </c>
      <c r="AC74" t="s">
        <v>1171</v>
      </c>
      <c r="AD74" t="s">
        <v>1141</v>
      </c>
      <c r="AE74" t="s">
        <v>1171</v>
      </c>
    </row>
    <row r="75" spans="1:31" ht="35" thickBot="1" x14ac:dyDescent="0.25">
      <c r="A75" t="s">
        <v>1171</v>
      </c>
      <c r="B75" t="s">
        <v>1247</v>
      </c>
      <c r="C75" t="str">
        <f>"CONF-"&amp;TEXT(us_core_reqs[[#This Row],[ID*]], "0000")</f>
        <v>CONF-0074</v>
      </c>
      <c r="D75" s="11" t="s">
        <v>612</v>
      </c>
      <c r="E75" s="73" t="str" cm="1">
        <f t="array" ref="E75">_xlfn.TEXTJOIN(", ", TRUE, _xlfn.TEXTAFTER(_xlfn.TEXTSPLIT(us_core_reqs[[#This Row],[URL*]], ", "), "/", -1))</f>
        <v>must-support.html#must-support-elements</v>
      </c>
      <c r="F75" s="11" t="s">
        <v>105</v>
      </c>
      <c r="G75" t="s">
        <v>29</v>
      </c>
      <c r="H75" cm="1">
        <f t="array" ref="H75">_xlfn.SWITCH(G75, "SHALL", 1, "SHOULD", 3, "MAY", 5, "SHOULD-NOT", 4, "SHALL-NOT", 2, "DEPRECATED", 6, 99)</f>
        <v>1</v>
      </c>
      <c r="I75" t="s">
        <v>1848</v>
      </c>
      <c r="J75" t="s">
        <v>30</v>
      </c>
      <c r="K75" t="s">
        <v>1171</v>
      </c>
      <c r="L75" t="s">
        <v>1171</v>
      </c>
      <c r="M75" t="s">
        <v>1173</v>
      </c>
      <c r="N75" t="s">
        <v>1171</v>
      </c>
      <c r="O75" t="s">
        <v>1171</v>
      </c>
      <c r="P75" t="s">
        <v>1171</v>
      </c>
      <c r="Q75" t="s">
        <v>1171</v>
      </c>
      <c r="R75" t="s">
        <v>1171</v>
      </c>
      <c r="S75" s="70" t="str" cm="1">
        <f t="array" ref="S75">_xlfn.TEXTJOIN(",",TRUE,LEFT(TRIM(_xlfn.TEXTSPLIT(us_core_reqs[[#This Row],[reference]],",")),FIND(".html",TRIM(_xlfn.TEXTSPLIT(us_core_reqs[[#This Row],[reference]],",")))-1))</f>
        <v>must-support</v>
      </c>
      <c r="T75" s="70" t="str" cm="1">
        <f t="array" ref="T75">_xlfn.TEXTJOIN(",",TRUE,MID(TRIM(_xlfn.TEXTSPLIT(us_core_reqs[[#This Row],[reference]],",")),FIND("#",TRIM(_xlfn.TEXTSPLIT(us_core_reqs[[#This Row],[reference]],","))&amp;"#")+1,1000))</f>
        <v>must-support-elements</v>
      </c>
      <c r="U75" t="str" cm="1">
        <f t="array" ref="U75">_xlfn.TEXTJOIN(", ",TRUE,SUBSTITUTE(SUBSTITUTE(PROPER(SUBSTITUTE(TRIM(_xlfn.TEXTSPLIT(us_core_reqs[[#This Row],[Page]],","))," -"," "))&amp;": "&amp;PROPER(SUBSTITUTE(TRIM(_xlfn.TEXTSPLIT(us_core_reqs[[#This Row],[Section]],","))," -"," ")),"Us ","US        
  "),"Uscdi","USCDI"))</f>
        <v>Must-Support: Must-Support-Elements</v>
      </c>
      <c r="V75" t="s">
        <v>1171</v>
      </c>
      <c r="W75" t="s">
        <v>1171</v>
      </c>
      <c r="X75" t="s">
        <v>1171</v>
      </c>
      <c r="Y75" t="s">
        <v>1171</v>
      </c>
      <c r="Z75" t="s">
        <v>1171</v>
      </c>
      <c r="AA75" t="s">
        <v>1171</v>
      </c>
      <c r="AB75" t="s">
        <v>1171</v>
      </c>
      <c r="AC75" t="s">
        <v>1171</v>
      </c>
      <c r="AD75" t="s">
        <v>1140</v>
      </c>
      <c r="AE75" t="s">
        <v>1171</v>
      </c>
    </row>
    <row r="76" spans="1:31" ht="137" thickBot="1" x14ac:dyDescent="0.25">
      <c r="A76" t="s">
        <v>1171</v>
      </c>
      <c r="B76" t="s">
        <v>1248</v>
      </c>
      <c r="C76" t="str">
        <f>"CONF-"&amp;TEXT(us_core_reqs[[#This Row],[ID*]], "0000")</f>
        <v>CONF-0075</v>
      </c>
      <c r="D76" s="11" t="s">
        <v>612</v>
      </c>
      <c r="E76" s="73" t="str" cm="1">
        <f t="array" ref="E76">_xlfn.TEXTJOIN(", ", TRUE, _xlfn.TEXTAFTER(_xlfn.TEXTSPLIT(us_core_reqs[[#This Row],[URL*]], ", "), "/", -1))</f>
        <v>must-support.html#must-support-elements</v>
      </c>
      <c r="F76" s="11" t="s">
        <v>977</v>
      </c>
      <c r="G76" t="s">
        <v>29</v>
      </c>
      <c r="H76" cm="1">
        <f t="array" ref="H76">_xlfn.SWITCH(G76, "SHALL", 1, "SHOULD", 3, "MAY", 5, "SHOULD-NOT", 4, "SHALL-NOT", 2, "DEPRECATED", 6, 99)</f>
        <v>1</v>
      </c>
      <c r="J76" t="s">
        <v>30</v>
      </c>
      <c r="K76" t="s">
        <v>1171</v>
      </c>
      <c r="L76" t="s">
        <v>1171</v>
      </c>
      <c r="M76" t="s">
        <v>1176</v>
      </c>
      <c r="N76" t="s">
        <v>1171</v>
      </c>
      <c r="O76" t="s">
        <v>1171</v>
      </c>
      <c r="P76" t="s">
        <v>1171</v>
      </c>
      <c r="Q76" t="s">
        <v>1171</v>
      </c>
      <c r="R76" t="s">
        <v>1171</v>
      </c>
      <c r="S76" s="70" t="str" cm="1">
        <f t="array" ref="S76">_xlfn.TEXTJOIN(",",TRUE,LEFT(TRIM(_xlfn.TEXTSPLIT(us_core_reqs[[#This Row],[reference]],",")),FIND(".html",TRIM(_xlfn.TEXTSPLIT(us_core_reqs[[#This Row],[reference]],",")))-1))</f>
        <v>must-support</v>
      </c>
      <c r="T76" s="70" t="str" cm="1">
        <f t="array" ref="T76">_xlfn.TEXTJOIN(",",TRUE,MID(TRIM(_xlfn.TEXTSPLIT(us_core_reqs[[#This Row],[reference]],",")),FIND("#",TRIM(_xlfn.TEXTSPLIT(us_core_reqs[[#This Row],[reference]],","))&amp;"#")+1,1000))</f>
        <v>must-support-elements</v>
      </c>
      <c r="U76" t="str" cm="1">
        <f t="array" ref="U76">_xlfn.TEXTJOIN(", ",TRUE,SUBSTITUTE(SUBSTITUTE(PROPER(SUBSTITUTE(TRIM(_xlfn.TEXTSPLIT(us_core_reqs[[#This Row],[Page]],","))," -"," "))&amp;": "&amp;PROPER(SUBSTITUTE(TRIM(_xlfn.TEXTSPLIT(us_core_reqs[[#This Row],[Section]],","))," -"," ")),"Us ","US        
  "),"Uscdi","USCDI"))</f>
        <v>Must-Support: Must-Support-Elements</v>
      </c>
      <c r="V76" t="s">
        <v>29</v>
      </c>
      <c r="W76" t="s">
        <v>30</v>
      </c>
      <c r="X76" t="s">
        <v>106</v>
      </c>
      <c r="Y76" t="s">
        <v>1171</v>
      </c>
      <c r="Z76" t="s">
        <v>1171</v>
      </c>
      <c r="AA76" t="s">
        <v>1171</v>
      </c>
      <c r="AB76" t="s">
        <v>1171</v>
      </c>
      <c r="AC76" t="s">
        <v>107</v>
      </c>
      <c r="AD76" t="s">
        <v>1140</v>
      </c>
      <c r="AE76" t="s">
        <v>1171</v>
      </c>
    </row>
    <row r="77" spans="1:31" ht="103" thickBot="1" x14ac:dyDescent="0.25">
      <c r="A77" t="s">
        <v>1171</v>
      </c>
      <c r="B77" t="s">
        <v>1249</v>
      </c>
      <c r="C77" t="str">
        <f>"CONF-"&amp;TEXT(us_core_reqs[[#This Row],[ID*]], "0000")</f>
        <v>CONF-0076</v>
      </c>
      <c r="D77" s="11" t="s">
        <v>612</v>
      </c>
      <c r="E77" s="73" t="str" cm="1">
        <f t="array" ref="E77">_xlfn.TEXTJOIN(", ", TRUE, _xlfn.TEXTAFTER(_xlfn.TEXTSPLIT(us_core_reqs[[#This Row],[URL*]], ", "), "/", -1))</f>
        <v>must-support.html#must-support-elements</v>
      </c>
      <c r="F77" s="11" t="s">
        <v>108</v>
      </c>
      <c r="G77" t="s">
        <v>29</v>
      </c>
      <c r="H77" cm="1">
        <f t="array" ref="H77">_xlfn.SWITCH(G77, "SHALL", 1, "SHOULD", 3, "MAY", 5, "SHOULD-NOT", 4, "SHALL-NOT", 2, "DEPRECATED", 6, 99)</f>
        <v>1</v>
      </c>
      <c r="J77" t="s">
        <v>58</v>
      </c>
      <c r="K77" t="s">
        <v>1171</v>
      </c>
      <c r="L77" t="s">
        <v>1171</v>
      </c>
      <c r="M77" t="s">
        <v>1173</v>
      </c>
      <c r="N77" t="s">
        <v>1171</v>
      </c>
      <c r="O77" t="s">
        <v>1171</v>
      </c>
      <c r="P77" t="s">
        <v>1171</v>
      </c>
      <c r="Q77" t="s">
        <v>1171</v>
      </c>
      <c r="R77" t="s">
        <v>1171</v>
      </c>
      <c r="S77" s="70" t="str" cm="1">
        <f t="array" ref="S77">_xlfn.TEXTJOIN(",",TRUE,LEFT(TRIM(_xlfn.TEXTSPLIT(us_core_reqs[[#This Row],[reference]],",")),FIND(".html",TRIM(_xlfn.TEXTSPLIT(us_core_reqs[[#This Row],[reference]],",")))-1))</f>
        <v>must-support</v>
      </c>
      <c r="T77" s="70" t="str" cm="1">
        <f t="array" ref="T77">_xlfn.TEXTJOIN(",",TRUE,MID(TRIM(_xlfn.TEXTSPLIT(us_core_reqs[[#This Row],[reference]],",")),FIND("#",TRIM(_xlfn.TEXTSPLIT(us_core_reqs[[#This Row],[reference]],","))&amp;"#")+1,1000))</f>
        <v>must-support-elements</v>
      </c>
      <c r="U77" t="str" cm="1">
        <f t="array" ref="U77">_xlfn.TEXTJOIN(", ",TRUE,SUBSTITUTE(SUBSTITUTE(PROPER(SUBSTITUTE(TRIM(_xlfn.TEXTSPLIT(us_core_reqs[[#This Row],[Page]],","))," -"," "))&amp;": "&amp;PROPER(SUBSTITUTE(TRIM(_xlfn.TEXTSPLIT(us_core_reqs[[#This Row],[Section]],","))," -"," ")),"Us ","US        
  "),"Uscdi","USCDI"))</f>
        <v>Must-Support: Must-Support-Elements</v>
      </c>
      <c r="V77" t="s">
        <v>29</v>
      </c>
      <c r="W77" t="s">
        <v>58</v>
      </c>
      <c r="X77" t="s">
        <v>106</v>
      </c>
      <c r="Y77" t="s">
        <v>1171</v>
      </c>
      <c r="Z77" t="s">
        <v>1171</v>
      </c>
      <c r="AA77" t="s">
        <v>1171</v>
      </c>
      <c r="AB77" t="s">
        <v>1171</v>
      </c>
      <c r="AC77" t="s">
        <v>1171</v>
      </c>
      <c r="AD77" t="s">
        <v>1171</v>
      </c>
      <c r="AE77" t="s">
        <v>1171</v>
      </c>
    </row>
    <row r="78" spans="1:31" ht="86" thickBot="1" x14ac:dyDescent="0.25">
      <c r="A78" t="s">
        <v>1171</v>
      </c>
      <c r="B78" t="s">
        <v>1250</v>
      </c>
      <c r="C78" t="str">
        <f>"CONF-"&amp;TEXT(us_core_reqs[[#This Row],[ID*]], "0000")</f>
        <v>CONF-0077</v>
      </c>
      <c r="D78" s="11" t="s">
        <v>612</v>
      </c>
      <c r="E78" s="73" t="str" cm="1">
        <f t="array" ref="E78">_xlfn.TEXTJOIN(", ", TRUE, _xlfn.TEXTAFTER(_xlfn.TEXTSPLIT(us_core_reqs[[#This Row],[URL*]], ", "), "/", -1))</f>
        <v>must-support.html#must-support-elements</v>
      </c>
      <c r="F78" s="11" t="s">
        <v>109</v>
      </c>
      <c r="G78" t="s">
        <v>64</v>
      </c>
      <c r="H78" cm="1">
        <f t="array" ref="H78">_xlfn.SWITCH(G78, "SHALL", 1, "SHOULD", 3, "MAY", 5, "SHOULD-NOT", 4, "SHALL-NOT", 2, "DEPRECATED", 6, 99)</f>
        <v>6</v>
      </c>
      <c r="J78" t="s">
        <v>58</v>
      </c>
      <c r="K78" t="s">
        <v>1171</v>
      </c>
      <c r="L78" t="s">
        <v>1171</v>
      </c>
      <c r="M78" t="s">
        <v>1173</v>
      </c>
      <c r="N78" t="s">
        <v>1171</v>
      </c>
      <c r="O78" t="s">
        <v>1171</v>
      </c>
      <c r="P78" t="s">
        <v>1171</v>
      </c>
      <c r="Q78" t="s">
        <v>1171</v>
      </c>
      <c r="R78" t="s">
        <v>1171</v>
      </c>
      <c r="S78" s="70" t="str" cm="1">
        <f t="array" ref="S78">_xlfn.TEXTJOIN(",",TRUE,LEFT(TRIM(_xlfn.TEXTSPLIT(us_core_reqs[[#This Row],[reference]],",")),FIND(".html",TRIM(_xlfn.TEXTSPLIT(us_core_reqs[[#This Row],[reference]],",")))-1))</f>
        <v>must-support</v>
      </c>
      <c r="T78" s="70" t="str" cm="1">
        <f t="array" ref="T78">_xlfn.TEXTJOIN(",",TRUE,MID(TRIM(_xlfn.TEXTSPLIT(us_core_reqs[[#This Row],[reference]],",")),FIND("#",TRIM(_xlfn.TEXTSPLIT(us_core_reqs[[#This Row],[reference]],","))&amp;"#")+1,1000))</f>
        <v>must-support-elements</v>
      </c>
      <c r="U78" t="str" cm="1">
        <f t="array" ref="U78">_xlfn.TEXTJOIN(", ",TRUE,SUBSTITUTE(SUBSTITUTE(PROPER(SUBSTITUTE(TRIM(_xlfn.TEXTSPLIT(us_core_reqs[[#This Row],[Page]],","))," -"," "))&amp;": "&amp;PROPER(SUBSTITUTE(TRIM(_xlfn.TEXTSPLIT(us_core_reqs[[#This Row],[Section]],","))," -"," ")),"Us ","US        
  "),"Uscdi","USCDI"))</f>
        <v>Must-Support: Must-Support-Elements</v>
      </c>
      <c r="V78" t="s">
        <v>32</v>
      </c>
      <c r="W78" t="s">
        <v>58</v>
      </c>
      <c r="X78" t="s">
        <v>1171</v>
      </c>
      <c r="Y78" t="s">
        <v>1171</v>
      </c>
      <c r="Z78" t="s">
        <v>1171</v>
      </c>
      <c r="AA78" t="s">
        <v>1171</v>
      </c>
      <c r="AB78" t="s">
        <v>1171</v>
      </c>
      <c r="AC78" t="s">
        <v>646</v>
      </c>
      <c r="AD78" t="s">
        <v>1171</v>
      </c>
      <c r="AE78" t="s">
        <v>1171</v>
      </c>
    </row>
    <row r="79" spans="1:31" ht="35" thickBot="1" x14ac:dyDescent="0.25">
      <c r="A79" t="s">
        <v>1171</v>
      </c>
      <c r="B79" t="s">
        <v>1251</v>
      </c>
      <c r="C79" t="str">
        <f>"CONF-"&amp;TEXT(us_core_reqs[[#This Row],[ID*]], "0000")</f>
        <v>CONF-0078</v>
      </c>
      <c r="D79" s="11" t="s">
        <v>612</v>
      </c>
      <c r="E79" s="73" t="str" cm="1">
        <f t="array" ref="E79">_xlfn.TEXTJOIN(", ", TRUE, _xlfn.TEXTAFTER(_xlfn.TEXTSPLIT(us_core_reqs[[#This Row],[URL*]], ", "), "/", -1))</f>
        <v>must-support.html#must-support-elements</v>
      </c>
      <c r="F79" s="11" t="s">
        <v>2215</v>
      </c>
      <c r="G79" t="s">
        <v>1833</v>
      </c>
      <c r="H79" cm="1">
        <f t="array" ref="H79">_xlfn.SWITCH(G79, "SHALL", 1, "SHOULD", 3, "MAY", 5, "SHOULD-NOT", 4, "SHALL-NOT", 2, "DEPRECATED", 6, 99)</f>
        <v>2</v>
      </c>
      <c r="J79" t="s">
        <v>30</v>
      </c>
      <c r="K79" t="s">
        <v>1171</v>
      </c>
      <c r="L79" t="s">
        <v>1171</v>
      </c>
      <c r="M79" t="s">
        <v>1176</v>
      </c>
      <c r="N79" t="s">
        <v>111</v>
      </c>
      <c r="O79" t="s">
        <v>1171</v>
      </c>
      <c r="P79" t="s">
        <v>1171</v>
      </c>
      <c r="Q79" t="s">
        <v>1171</v>
      </c>
      <c r="R79" t="s">
        <v>1171</v>
      </c>
      <c r="S79" s="70" t="str" cm="1">
        <f t="array" ref="S79">_xlfn.TEXTJOIN(",",TRUE,LEFT(TRIM(_xlfn.TEXTSPLIT(us_core_reqs[[#This Row],[reference]],",")),FIND(".html",TRIM(_xlfn.TEXTSPLIT(us_core_reqs[[#This Row],[reference]],",")))-1))</f>
        <v>must-support</v>
      </c>
      <c r="T79" s="70" t="str" cm="1">
        <f t="array" ref="T79">_xlfn.TEXTJOIN(",",TRUE,MID(TRIM(_xlfn.TEXTSPLIT(us_core_reqs[[#This Row],[reference]],",")),FIND("#",TRIM(_xlfn.TEXTSPLIT(us_core_reqs[[#This Row],[reference]],","))&amp;"#")+1,1000))</f>
        <v>must-support-elements</v>
      </c>
      <c r="U79" t="str" cm="1">
        <f t="array" ref="U79">_xlfn.TEXTJOIN(", ",TRUE,SUBSTITUTE(SUBSTITUTE(PROPER(SUBSTITUTE(TRIM(_xlfn.TEXTSPLIT(us_core_reqs[[#This Row],[Page]],","))," -"," "))&amp;": "&amp;PROPER(SUBSTITUTE(TRIM(_xlfn.TEXTSPLIT(us_core_reqs[[#This Row],[Section]],","))," -"," ")),"Us ","US        
  "),"Uscdi","USCDI"))</f>
        <v>Must-Support: Must-Support-Elements</v>
      </c>
      <c r="V79" t="s">
        <v>29</v>
      </c>
      <c r="W79" t="s">
        <v>30</v>
      </c>
      <c r="X79" t="s">
        <v>1171</v>
      </c>
      <c r="Y79" t="s">
        <v>1171</v>
      </c>
      <c r="Z79" t="s">
        <v>1171</v>
      </c>
      <c r="AA79" t="s">
        <v>1171</v>
      </c>
      <c r="AB79" t="s">
        <v>1171</v>
      </c>
      <c r="AC79" t="s">
        <v>1171</v>
      </c>
      <c r="AD79" t="s">
        <v>1141</v>
      </c>
      <c r="AE79" t="s">
        <v>1171</v>
      </c>
    </row>
    <row r="80" spans="1:31" ht="103" thickBot="1" x14ac:dyDescent="0.25">
      <c r="A80" t="s">
        <v>1171</v>
      </c>
      <c r="B80" t="s">
        <v>1252</v>
      </c>
      <c r="C80" t="str">
        <f>"CONF-"&amp;TEXT(us_core_reqs[[#This Row],[ID*]], "0000")</f>
        <v>CONF-0079</v>
      </c>
      <c r="D80" s="11" t="s">
        <v>612</v>
      </c>
      <c r="E80" s="73" t="str" cm="1">
        <f t="array" ref="E80">_xlfn.TEXTJOIN(", ", TRUE, _xlfn.TEXTAFTER(_xlfn.TEXTSPLIT(us_core_reqs[[#This Row],[URL*]], ", "), "/", -1))</f>
        <v>must-support.html#must-support-elements</v>
      </c>
      <c r="F80" s="11" t="s">
        <v>112</v>
      </c>
      <c r="G80" t="s">
        <v>29</v>
      </c>
      <c r="H80" cm="1">
        <f t="array" ref="H80">_xlfn.SWITCH(G80, "SHALL", 1, "SHOULD", 3, "MAY", 5, "SHOULD-NOT", 4, "SHALL-NOT", 2, "DEPRECATED", 6, 99)</f>
        <v>1</v>
      </c>
      <c r="J80" t="s">
        <v>58</v>
      </c>
      <c r="K80" t="s">
        <v>1171</v>
      </c>
      <c r="L80" t="s">
        <v>1171</v>
      </c>
      <c r="M80" t="s">
        <v>1173</v>
      </c>
      <c r="N80" t="s">
        <v>1171</v>
      </c>
      <c r="O80" t="s">
        <v>1171</v>
      </c>
      <c r="P80" t="s">
        <v>1171</v>
      </c>
      <c r="Q80" t="s">
        <v>1171</v>
      </c>
      <c r="R80" t="s">
        <v>1171</v>
      </c>
      <c r="S80" s="70" t="str" cm="1">
        <f t="array" ref="S80">_xlfn.TEXTJOIN(",",TRUE,LEFT(TRIM(_xlfn.TEXTSPLIT(us_core_reqs[[#This Row],[reference]],",")),FIND(".html",TRIM(_xlfn.TEXTSPLIT(us_core_reqs[[#This Row],[reference]],",")))-1))</f>
        <v>must-support</v>
      </c>
      <c r="T80" s="70" t="str" cm="1">
        <f t="array" ref="T80">_xlfn.TEXTJOIN(",",TRUE,MID(TRIM(_xlfn.TEXTSPLIT(us_core_reqs[[#This Row],[reference]],",")),FIND("#",TRIM(_xlfn.TEXTSPLIT(us_core_reqs[[#This Row],[reference]],","))&amp;"#")+1,1000))</f>
        <v>must-support-elements</v>
      </c>
      <c r="U80" t="str" cm="1">
        <f t="array" ref="U80">_xlfn.TEXTJOIN(", ",TRUE,SUBSTITUTE(SUBSTITUTE(PROPER(SUBSTITUTE(TRIM(_xlfn.TEXTSPLIT(us_core_reqs[[#This Row],[Page]],","))," -"," "))&amp;": "&amp;PROPER(SUBSTITUTE(TRIM(_xlfn.TEXTSPLIT(us_core_reqs[[#This Row],[Section]],","))," -"," ")),"Us ","US        
  "),"Uscdi","USCDI"))</f>
        <v>Must-Support: Must-Support-Elements</v>
      </c>
      <c r="V80" t="s">
        <v>29</v>
      </c>
      <c r="W80" t="s">
        <v>30</v>
      </c>
      <c r="X80" t="s">
        <v>1171</v>
      </c>
      <c r="Y80" t="s">
        <v>1171</v>
      </c>
      <c r="Z80" t="s">
        <v>1171</v>
      </c>
      <c r="AA80" t="s">
        <v>1171</v>
      </c>
      <c r="AB80" t="s">
        <v>1171</v>
      </c>
      <c r="AC80" t="s">
        <v>1171</v>
      </c>
      <c r="AD80" t="s">
        <v>1171</v>
      </c>
      <c r="AE80" t="s">
        <v>1171</v>
      </c>
    </row>
    <row r="81" spans="1:31" ht="120" thickBot="1" x14ac:dyDescent="0.25">
      <c r="A81" t="s">
        <v>1171</v>
      </c>
      <c r="B81" t="s">
        <v>1253</v>
      </c>
      <c r="C81" t="str">
        <f>"CONF-"&amp;TEXT(us_core_reqs[[#This Row],[ID*]], "0000")</f>
        <v>CONF-0080</v>
      </c>
      <c r="D81" s="69" t="s">
        <v>1849</v>
      </c>
      <c r="E81" s="73" t="str" cm="1">
        <f t="array" ref="E81">_xlfn.TEXTJOIN(", ", TRUE, _xlfn.TEXTAFTER(_xlfn.TEXTSPLIT(us_core_reqs[[#This Row],[URL*]], ", "), "/", -1))</f>
        <v>must-support.html#must-support-el+D647ements</v>
      </c>
      <c r="F81" s="11" t="s">
        <v>113</v>
      </c>
      <c r="G81" t="s">
        <v>32</v>
      </c>
      <c r="H81" cm="1">
        <f t="array" ref="H81">_xlfn.SWITCH(G81, "SHALL", 1, "SHOULD", 3, "MAY", 5, "SHOULD-NOT", 4, "SHALL-NOT", 2, "DEPRECATED", 6, 99)</f>
        <v>3</v>
      </c>
      <c r="J81" t="s">
        <v>30</v>
      </c>
      <c r="K81" t="s">
        <v>1171</v>
      </c>
      <c r="L81" t="s">
        <v>1171</v>
      </c>
      <c r="M81" t="s">
        <v>1176</v>
      </c>
      <c r="N81" t="s">
        <v>114</v>
      </c>
      <c r="O81" t="s">
        <v>1171</v>
      </c>
      <c r="P81" t="s">
        <v>1171</v>
      </c>
      <c r="Q81" t="s">
        <v>1171</v>
      </c>
      <c r="R81" t="s">
        <v>1171</v>
      </c>
      <c r="S81" s="70" t="str" cm="1">
        <f t="array" ref="S81">_xlfn.TEXTJOIN(",",TRUE,LEFT(TRIM(_xlfn.TEXTSPLIT(us_core_reqs[[#This Row],[reference]],",")),FIND(".html",TRIM(_xlfn.TEXTSPLIT(us_core_reqs[[#This Row],[reference]],",")))-1))</f>
        <v>must-support</v>
      </c>
      <c r="T81" s="70" t="str" cm="1">
        <f t="array" ref="T81">_xlfn.TEXTJOIN(",",TRUE,MID(TRIM(_xlfn.TEXTSPLIT(us_core_reqs[[#This Row],[reference]],",")),FIND("#",TRIM(_xlfn.TEXTSPLIT(us_core_reqs[[#This Row],[reference]],","))&amp;"#")+1,1000))</f>
        <v>must-support-el+D647ements</v>
      </c>
      <c r="U81" t="str" cm="1">
        <f t="array" ref="U81">_xlfn.TEXTJOIN(", ",TRUE,SUBSTITUTE(SUBSTITUTE(PROPER(SUBSTITUTE(TRIM(_xlfn.TEXTSPLIT(us_core_reqs[[#This Row],[Page]],","))," -"," "))&amp;": "&amp;PROPER(SUBSTITUTE(TRIM(_xlfn.TEXTSPLIT(us_core_reqs[[#This Row],[Section]],","))," -"," ")),"Us ","US        
  "),"Uscdi","USCDI"))</f>
        <v>Must-Support: Must-Support-El+D647Ements</v>
      </c>
      <c r="V81" t="s">
        <v>32</v>
      </c>
      <c r="W81" t="s">
        <v>30</v>
      </c>
      <c r="X81" t="s">
        <v>1171</v>
      </c>
      <c r="Y81" t="s">
        <v>1171</v>
      </c>
      <c r="Z81" t="s">
        <v>1171</v>
      </c>
      <c r="AA81" t="s">
        <v>1171</v>
      </c>
      <c r="AB81" t="s">
        <v>1171</v>
      </c>
      <c r="AC81" t="s">
        <v>1171</v>
      </c>
      <c r="AD81" t="s">
        <v>1171</v>
      </c>
      <c r="AE81" t="s">
        <v>1171</v>
      </c>
    </row>
    <row r="82" spans="1:31" ht="86" thickBot="1" x14ac:dyDescent="0.25">
      <c r="A82" t="s">
        <v>1171</v>
      </c>
      <c r="B82" t="s">
        <v>1254</v>
      </c>
      <c r="C82" t="str">
        <f>"CONF-"&amp;TEXT(us_core_reqs[[#This Row],[ID*]], "0000")</f>
        <v>CONF-0081</v>
      </c>
      <c r="D82" s="11" t="s">
        <v>612</v>
      </c>
      <c r="E82" s="73" t="str" cm="1">
        <f t="array" ref="E82">_xlfn.TEXTJOIN(", ", TRUE, _xlfn.TEXTAFTER(_xlfn.TEXTSPLIT(us_core_reqs[[#This Row],[URL*]], ", "), "/", -1))</f>
        <v>must-support.html#must-support-elements</v>
      </c>
      <c r="F82" s="11" t="s">
        <v>824</v>
      </c>
      <c r="G82" t="s">
        <v>32</v>
      </c>
      <c r="H82" cm="1">
        <f t="array" ref="H82">_xlfn.SWITCH(G82, "SHALL", 1, "SHOULD", 3, "MAY", 5, "SHOULD-NOT", 4, "SHALL-NOT", 2, "DEPRECATED", 6, 99)</f>
        <v>3</v>
      </c>
      <c r="J82" t="s">
        <v>30</v>
      </c>
      <c r="K82" t="s">
        <v>1171</v>
      </c>
      <c r="L82" t="s">
        <v>1102</v>
      </c>
      <c r="M82" t="s">
        <v>1176</v>
      </c>
      <c r="N82" t="s">
        <v>115</v>
      </c>
      <c r="O82" t="s">
        <v>1171</v>
      </c>
      <c r="P82" t="s">
        <v>1171</v>
      </c>
      <c r="Q82" t="s">
        <v>1171</v>
      </c>
      <c r="R82" t="s">
        <v>1171</v>
      </c>
      <c r="S82" s="70" t="str" cm="1">
        <f t="array" ref="S82">_xlfn.TEXTJOIN(",",TRUE,LEFT(TRIM(_xlfn.TEXTSPLIT(us_core_reqs[[#This Row],[reference]],",")),FIND(".html",TRIM(_xlfn.TEXTSPLIT(us_core_reqs[[#This Row],[reference]],",")))-1))</f>
        <v>must-support</v>
      </c>
      <c r="T82" s="70" t="str" cm="1">
        <f t="array" ref="T82">_xlfn.TEXTJOIN(",",TRUE,MID(TRIM(_xlfn.TEXTSPLIT(us_core_reqs[[#This Row],[reference]],",")),FIND("#",TRIM(_xlfn.TEXTSPLIT(us_core_reqs[[#This Row],[reference]],","))&amp;"#")+1,1000))</f>
        <v>must-support-elements</v>
      </c>
      <c r="U82" t="str" cm="1">
        <f t="array" ref="U82">_xlfn.TEXTJOIN(", ",TRUE,SUBSTITUTE(SUBSTITUTE(PROPER(SUBSTITUTE(TRIM(_xlfn.TEXTSPLIT(us_core_reqs[[#This Row],[Page]],","))," -"," "))&amp;": "&amp;PROPER(SUBSTITUTE(TRIM(_xlfn.TEXTSPLIT(us_core_reqs[[#This Row],[Section]],","))," -"," ")),"Us ","US        
  "),"Uscdi","USCDI"))</f>
        <v>Must-Support: Must-Support-Elements</v>
      </c>
      <c r="V82" t="s">
        <v>1171</v>
      </c>
      <c r="W82" t="s">
        <v>1171</v>
      </c>
      <c r="X82" t="s">
        <v>1171</v>
      </c>
      <c r="Y82" t="s">
        <v>1171</v>
      </c>
      <c r="Z82" t="s">
        <v>1171</v>
      </c>
      <c r="AA82" t="s">
        <v>1171</v>
      </c>
      <c r="AB82" t="s">
        <v>1171</v>
      </c>
      <c r="AC82" t="s">
        <v>1171</v>
      </c>
      <c r="AD82" t="s">
        <v>1171</v>
      </c>
      <c r="AE82" t="s">
        <v>1171</v>
      </c>
    </row>
    <row r="83" spans="1:31" ht="86" thickBot="1" x14ac:dyDescent="0.25">
      <c r="A83" t="s">
        <v>1171</v>
      </c>
      <c r="B83" t="s">
        <v>1255</v>
      </c>
      <c r="C83" t="str">
        <f>"CONF-"&amp;TEXT(us_core_reqs[[#This Row],[ID*]], "0000")</f>
        <v>CONF-0082</v>
      </c>
      <c r="D83" s="11" t="s">
        <v>612</v>
      </c>
      <c r="E83" s="73" t="str" cm="1">
        <f t="array" ref="E83">_xlfn.TEXTJOIN(", ", TRUE, _xlfn.TEXTAFTER(_xlfn.TEXTSPLIT(us_core_reqs[[#This Row],[URL*]], ", "), "/", -1))</f>
        <v>must-support.html#must-support-elements</v>
      </c>
      <c r="F83" s="11" t="s">
        <v>116</v>
      </c>
      <c r="G83" t="s">
        <v>29</v>
      </c>
      <c r="H83" cm="1">
        <f t="array" ref="H83">_xlfn.SWITCH(G83, "SHALL", 1, "SHOULD", 3, "MAY", 5, "SHOULD-NOT", 4, "SHALL-NOT", 2, "DEPRECATED", 6, 99)</f>
        <v>1</v>
      </c>
      <c r="J83" t="s">
        <v>58</v>
      </c>
      <c r="K83" t="s">
        <v>1171</v>
      </c>
      <c r="L83" t="s">
        <v>1171</v>
      </c>
      <c r="M83" t="s">
        <v>1173</v>
      </c>
      <c r="N83" t="s">
        <v>1171</v>
      </c>
      <c r="O83" t="s">
        <v>1171</v>
      </c>
      <c r="P83" t="s">
        <v>1171</v>
      </c>
      <c r="Q83" t="s">
        <v>1171</v>
      </c>
      <c r="R83" t="s">
        <v>1171</v>
      </c>
      <c r="S83" s="70" t="str" cm="1">
        <f t="array" ref="S83">_xlfn.TEXTJOIN(",",TRUE,LEFT(TRIM(_xlfn.TEXTSPLIT(us_core_reqs[[#This Row],[reference]],",")),FIND(".html",TRIM(_xlfn.TEXTSPLIT(us_core_reqs[[#This Row],[reference]],",")))-1))</f>
        <v>must-support</v>
      </c>
      <c r="T83" s="70" t="str" cm="1">
        <f t="array" ref="T83">_xlfn.TEXTJOIN(",",TRUE,MID(TRIM(_xlfn.TEXTSPLIT(us_core_reqs[[#This Row],[reference]],",")),FIND("#",TRIM(_xlfn.TEXTSPLIT(us_core_reqs[[#This Row],[reference]],","))&amp;"#")+1,1000))</f>
        <v>must-support-elements</v>
      </c>
      <c r="U83" t="str" cm="1">
        <f t="array" ref="U83">_xlfn.TEXTJOIN(", ",TRUE,SUBSTITUTE(SUBSTITUTE(PROPER(SUBSTITUTE(TRIM(_xlfn.TEXTSPLIT(us_core_reqs[[#This Row],[Page]],","))," -"," "))&amp;": "&amp;PROPER(SUBSTITUTE(TRIM(_xlfn.TEXTSPLIT(us_core_reqs[[#This Row],[Section]],","))," -"," ")),"Us ","US        
  "),"Uscdi","USCDI"))</f>
        <v>Must-Support: Must-Support-Elements</v>
      </c>
      <c r="V83" t="s">
        <v>29</v>
      </c>
      <c r="W83" t="s">
        <v>58</v>
      </c>
      <c r="X83" t="s">
        <v>1171</v>
      </c>
      <c r="Y83" t="s">
        <v>1171</v>
      </c>
      <c r="Z83" t="s">
        <v>1171</v>
      </c>
      <c r="AA83" t="s">
        <v>1171</v>
      </c>
      <c r="AB83" t="s">
        <v>1171</v>
      </c>
      <c r="AC83" t="s">
        <v>1171</v>
      </c>
      <c r="AD83" t="s">
        <v>1171</v>
      </c>
      <c r="AE83" t="s">
        <v>1171</v>
      </c>
    </row>
    <row r="84" spans="1:31" ht="69" thickBot="1" x14ac:dyDescent="0.25">
      <c r="A84" t="s">
        <v>1171</v>
      </c>
      <c r="B84" t="s">
        <v>1256</v>
      </c>
      <c r="C84" t="str">
        <f>"CONF-"&amp;TEXT(us_core_reqs[[#This Row],[ID*]], "0000")</f>
        <v>CONF-0083</v>
      </c>
      <c r="D84" s="11" t="s">
        <v>613</v>
      </c>
      <c r="E84" s="73" t="str" cm="1">
        <f t="array" ref="E84">_xlfn.TEXTJOIN(", ", TRUE, _xlfn.TEXTAFTER(_xlfn.TEXTSPLIT(us_core_reqs[[#This Row],[URL*]], ", "), "/", -1))</f>
        <v>must-support.html#additional-uscdi-requirements</v>
      </c>
      <c r="F84" s="11" t="s">
        <v>648</v>
      </c>
      <c r="G84" t="s">
        <v>29</v>
      </c>
      <c r="H84" cm="1">
        <f t="array" ref="H84">_xlfn.SWITCH(G84, "SHALL", 1, "SHOULD", 3, "MAY", 5, "SHOULD-NOT", 4, "SHALL-NOT", 2, "DEPRECATED", 6, 99)</f>
        <v>1</v>
      </c>
      <c r="J84" t="s">
        <v>58</v>
      </c>
      <c r="K84" t="b">
        <v>1</v>
      </c>
      <c r="L84" t="s">
        <v>1171</v>
      </c>
      <c r="M84" t="s">
        <v>1176</v>
      </c>
      <c r="N84" t="s">
        <v>117</v>
      </c>
      <c r="O84" t="s">
        <v>1171</v>
      </c>
      <c r="P84" t="s">
        <v>1171</v>
      </c>
      <c r="Q84" t="s">
        <v>1171</v>
      </c>
      <c r="R84" t="s">
        <v>1171</v>
      </c>
      <c r="S84" s="70" t="str" cm="1">
        <f t="array" ref="S84">_xlfn.TEXTJOIN(",",TRUE,LEFT(TRIM(_xlfn.TEXTSPLIT(us_core_reqs[[#This Row],[reference]],",")),FIND(".html",TRIM(_xlfn.TEXTSPLIT(us_core_reqs[[#This Row],[reference]],",")))-1))</f>
        <v>must-support</v>
      </c>
      <c r="T84" s="70" t="str" cm="1">
        <f t="array" ref="T84">_xlfn.TEXTJOIN(",",TRUE,MID(TRIM(_xlfn.TEXTSPLIT(us_core_reqs[[#This Row],[reference]],",")),FIND("#",TRIM(_xlfn.TEXTSPLIT(us_core_reqs[[#This Row],[reference]],","))&amp;"#")+1,1000))</f>
        <v>additional-uscdi-requirements</v>
      </c>
      <c r="U84" t="str" cm="1">
        <f t="array" ref="U84">_xlfn.TEXTJOIN(", ",TRUE,SUBSTITUTE(SUBSTITUTE(PROPER(SUBSTITUTE(TRIM(_xlfn.TEXTSPLIT(us_core_reqs[[#This Row],[Page]],","))," -"," "))&amp;": "&amp;PROPER(SUBSTITUTE(TRIM(_xlfn.TEXTSPLIT(us_core_reqs[[#This Row],[Section]],","))," -"," ")),"Us ","US        
  "),"Uscdi","USCDI"))</f>
        <v>Must-Support: Additional-USCDI-Requirements</v>
      </c>
      <c r="V84" t="s">
        <v>29</v>
      </c>
      <c r="W84" t="s">
        <v>58</v>
      </c>
      <c r="X84" t="s">
        <v>118</v>
      </c>
      <c r="Y84" t="s">
        <v>1171</v>
      </c>
      <c r="Z84" t="s">
        <v>1171</v>
      </c>
      <c r="AA84" t="s">
        <v>1171</v>
      </c>
      <c r="AB84" t="s">
        <v>1171</v>
      </c>
      <c r="AC84" t="s">
        <v>651</v>
      </c>
      <c r="AD84" t="s">
        <v>1171</v>
      </c>
      <c r="AE84" t="s">
        <v>1171</v>
      </c>
    </row>
    <row r="85" spans="1:31" ht="69" thickBot="1" x14ac:dyDescent="0.25">
      <c r="A85" t="s">
        <v>1171</v>
      </c>
      <c r="B85" t="s">
        <v>1257</v>
      </c>
      <c r="C85" t="str">
        <f>"CONF-"&amp;TEXT(us_core_reqs[[#This Row],[ID*]], "0000")</f>
        <v>CONF-0084</v>
      </c>
      <c r="D85" s="11" t="s">
        <v>613</v>
      </c>
      <c r="E85" s="73" t="str" cm="1">
        <f t="array" ref="E85">_xlfn.TEXTJOIN(", ", TRUE, _xlfn.TEXTAFTER(_xlfn.TEXTSPLIT(us_core_reqs[[#This Row],[URL*]], ", "), "/", -1))</f>
        <v>must-support.html#additional-uscdi-requirements</v>
      </c>
      <c r="F85" s="11" t="s">
        <v>649</v>
      </c>
      <c r="G85" t="s">
        <v>29</v>
      </c>
      <c r="H85" cm="1">
        <f t="array" ref="H85">_xlfn.SWITCH(G85, "SHALL", 1, "SHOULD", 3, "MAY", 5, "SHOULD-NOT", 4, "SHALL-NOT", 2, "DEPRECATED", 6, 99)</f>
        <v>1</v>
      </c>
      <c r="J85" t="s">
        <v>30</v>
      </c>
      <c r="K85">
        <v>77</v>
      </c>
      <c r="L85" t="s">
        <v>1171</v>
      </c>
      <c r="M85" t="s">
        <v>1176</v>
      </c>
      <c r="N85" t="s">
        <v>119</v>
      </c>
      <c r="O85" t="s">
        <v>44</v>
      </c>
      <c r="P85" t="s">
        <v>1171</v>
      </c>
      <c r="Q85" t="s">
        <v>45</v>
      </c>
      <c r="R85" t="s">
        <v>120</v>
      </c>
      <c r="S85" s="70" t="str" cm="1">
        <f t="array" ref="S85">_xlfn.TEXTJOIN(",",TRUE,LEFT(TRIM(_xlfn.TEXTSPLIT(us_core_reqs[[#This Row],[reference]],",")),FIND(".html",TRIM(_xlfn.TEXTSPLIT(us_core_reqs[[#This Row],[reference]],",")))-1))</f>
        <v>must-support</v>
      </c>
      <c r="T85" s="70" t="str" cm="1">
        <f t="array" ref="T85">_xlfn.TEXTJOIN(",",TRUE,MID(TRIM(_xlfn.TEXTSPLIT(us_core_reqs[[#This Row],[reference]],",")),FIND("#",TRIM(_xlfn.TEXTSPLIT(us_core_reqs[[#This Row],[reference]],","))&amp;"#")+1,1000))</f>
        <v>additional-uscdi-requirements</v>
      </c>
      <c r="U85" t="str" cm="1">
        <f t="array" ref="U85">_xlfn.TEXTJOIN(", ",TRUE,SUBSTITUTE(SUBSTITUTE(PROPER(SUBSTITUTE(TRIM(_xlfn.TEXTSPLIT(us_core_reqs[[#This Row],[Page]],","))," -"," "))&amp;": "&amp;PROPER(SUBSTITUTE(TRIM(_xlfn.TEXTSPLIT(us_core_reqs[[#This Row],[Section]],","))," -"," ")),"Us ","US        
  "),"Uscdi","USCDI"))</f>
        <v>Must-Support: Additional-USCDI-Requirements</v>
      </c>
      <c r="V85" t="s">
        <v>29</v>
      </c>
      <c r="W85" t="s">
        <v>30</v>
      </c>
      <c r="X85" t="s">
        <v>118</v>
      </c>
      <c r="Y85" t="s">
        <v>1171</v>
      </c>
      <c r="Z85" t="s">
        <v>1171</v>
      </c>
      <c r="AA85" t="s">
        <v>1171</v>
      </c>
      <c r="AB85" t="s">
        <v>1171</v>
      </c>
      <c r="AC85" t="s">
        <v>650</v>
      </c>
      <c r="AD85" t="s">
        <v>1140</v>
      </c>
      <c r="AE85" t="s">
        <v>1171</v>
      </c>
    </row>
    <row r="86" spans="1:31" ht="52" thickBot="1" x14ac:dyDescent="0.25">
      <c r="A86" t="s">
        <v>1171</v>
      </c>
      <c r="B86" t="s">
        <v>1258</v>
      </c>
      <c r="C86" t="str">
        <f>"CONF-"&amp;TEXT(us_core_reqs[[#This Row],[ID*]], "0000")</f>
        <v>CONF-0085</v>
      </c>
      <c r="D86" s="11" t="s">
        <v>613</v>
      </c>
      <c r="E86" s="73" t="str" cm="1">
        <f t="array" ref="E86">_xlfn.TEXTJOIN(", ", TRUE, _xlfn.TEXTAFTER(_xlfn.TEXTSPLIT(us_core_reqs[[#This Row],[URL*]], ", "), "/", -1))</f>
        <v>must-support.html#additional-uscdi-requirements</v>
      </c>
      <c r="F86" s="11" t="s">
        <v>121</v>
      </c>
      <c r="G86" t="s">
        <v>29</v>
      </c>
      <c r="H86" cm="1">
        <f t="array" ref="H86">_xlfn.SWITCH(G86, "SHALL", 1, "SHOULD", 3, "MAY", 5, "SHOULD-NOT", 4, "SHALL-NOT", 2, "DEPRECATED", 6, 99)</f>
        <v>1</v>
      </c>
      <c r="J86" t="s">
        <v>58</v>
      </c>
      <c r="K86" t="s">
        <v>1171</v>
      </c>
      <c r="L86" t="s">
        <v>1171</v>
      </c>
      <c r="M86" t="s">
        <v>1176</v>
      </c>
      <c r="N86" t="s">
        <v>122</v>
      </c>
      <c r="O86" t="s">
        <v>1171</v>
      </c>
      <c r="P86" t="s">
        <v>1171</v>
      </c>
      <c r="Q86" t="s">
        <v>1171</v>
      </c>
      <c r="R86" t="s">
        <v>1171</v>
      </c>
      <c r="S86" s="70" t="str" cm="1">
        <f t="array" ref="S86">_xlfn.TEXTJOIN(",",TRUE,LEFT(TRIM(_xlfn.TEXTSPLIT(us_core_reqs[[#This Row],[reference]],",")),FIND(".html",TRIM(_xlfn.TEXTSPLIT(us_core_reqs[[#This Row],[reference]],",")))-1))</f>
        <v>must-support</v>
      </c>
      <c r="T86" s="70" t="str" cm="1">
        <f t="array" ref="T86">_xlfn.TEXTJOIN(",",TRUE,MID(TRIM(_xlfn.TEXTSPLIT(us_core_reqs[[#This Row],[reference]],",")),FIND("#",TRIM(_xlfn.TEXTSPLIT(us_core_reqs[[#This Row],[reference]],","))&amp;"#")+1,1000))</f>
        <v>additional-uscdi-requirements</v>
      </c>
      <c r="U86" t="str" cm="1">
        <f t="array" ref="U86">_xlfn.TEXTJOIN(", ",TRUE,SUBSTITUTE(SUBSTITUTE(PROPER(SUBSTITUTE(TRIM(_xlfn.TEXTSPLIT(us_core_reqs[[#This Row],[Page]],","))," -"," "))&amp;": "&amp;PROPER(SUBSTITUTE(TRIM(_xlfn.TEXTSPLIT(us_core_reqs[[#This Row],[Section]],","))," -"," ")),"Us ","US        
  "),"Uscdi","USCDI"))</f>
        <v>Must-Support: Additional-USCDI-Requirements</v>
      </c>
      <c r="V86" t="s">
        <v>29</v>
      </c>
      <c r="W86" t="s">
        <v>58</v>
      </c>
      <c r="X86" t="s">
        <v>1171</v>
      </c>
      <c r="Y86" t="s">
        <v>1171</v>
      </c>
      <c r="Z86" t="s">
        <v>1171</v>
      </c>
      <c r="AA86" t="s">
        <v>1171</v>
      </c>
      <c r="AB86" t="s">
        <v>1171</v>
      </c>
      <c r="AC86" t="s">
        <v>1171</v>
      </c>
      <c r="AD86" t="s">
        <v>1171</v>
      </c>
      <c r="AE86" t="s">
        <v>1171</v>
      </c>
    </row>
    <row r="87" spans="1:31" ht="52" thickBot="1" x14ac:dyDescent="0.25">
      <c r="A87" t="s">
        <v>1171</v>
      </c>
      <c r="B87" t="s">
        <v>1259</v>
      </c>
      <c r="C87" t="str">
        <f>"CONF-"&amp;TEXT(us_core_reqs[[#This Row],[ID*]], "0000")</f>
        <v>CONF-0086</v>
      </c>
      <c r="D87" s="11" t="s">
        <v>613</v>
      </c>
      <c r="E87" s="73" t="str" cm="1">
        <f t="array" ref="E87">_xlfn.TEXTJOIN(", ", TRUE, _xlfn.TEXTAFTER(_xlfn.TEXTSPLIT(us_core_reqs[[#This Row],[URL*]], ", "), "/", -1))</f>
        <v>must-support.html#additional-uscdi-requirements</v>
      </c>
      <c r="F87" s="11" t="s">
        <v>123</v>
      </c>
      <c r="G87" t="s">
        <v>29</v>
      </c>
      <c r="H87" cm="1">
        <f t="array" ref="H87">_xlfn.SWITCH(G87, "SHALL", 1, "SHOULD", 3, "MAY", 5, "SHOULD-NOT", 4, "SHALL-NOT", 2, "DEPRECATED", 6, 99)</f>
        <v>1</v>
      </c>
      <c r="J87" t="s">
        <v>30</v>
      </c>
      <c r="K87" t="s">
        <v>1171</v>
      </c>
      <c r="L87" t="s">
        <v>1171</v>
      </c>
      <c r="M87" t="s">
        <v>1176</v>
      </c>
      <c r="N87" t="s">
        <v>124</v>
      </c>
      <c r="O87" t="s">
        <v>1171</v>
      </c>
      <c r="P87" t="s">
        <v>1171</v>
      </c>
      <c r="Q87" t="s">
        <v>1171</v>
      </c>
      <c r="R87" t="s">
        <v>1171</v>
      </c>
      <c r="S87" s="70" t="str" cm="1">
        <f t="array" ref="S87">_xlfn.TEXTJOIN(",",TRUE,LEFT(TRIM(_xlfn.TEXTSPLIT(us_core_reqs[[#This Row],[reference]],",")),FIND(".html",TRIM(_xlfn.TEXTSPLIT(us_core_reqs[[#This Row],[reference]],",")))-1))</f>
        <v>must-support</v>
      </c>
      <c r="T87" s="70" t="str" cm="1">
        <f t="array" ref="T87">_xlfn.TEXTJOIN(",",TRUE,MID(TRIM(_xlfn.TEXTSPLIT(us_core_reqs[[#This Row],[reference]],",")),FIND("#",TRIM(_xlfn.TEXTSPLIT(us_core_reqs[[#This Row],[reference]],","))&amp;"#")+1,1000))</f>
        <v>additional-uscdi-requirements</v>
      </c>
      <c r="U87" t="str" cm="1">
        <f t="array" ref="U87">_xlfn.TEXTJOIN(", ",TRUE,SUBSTITUTE(SUBSTITUTE(PROPER(SUBSTITUTE(TRIM(_xlfn.TEXTSPLIT(us_core_reqs[[#This Row],[Page]],","))," -"," "))&amp;": "&amp;PROPER(SUBSTITUTE(TRIM(_xlfn.TEXTSPLIT(us_core_reqs[[#This Row],[Section]],","))," -"," ")),"Us ","US        
  "),"Uscdi","USCDI"))</f>
        <v>Must-Support: Additional-USCDI-Requirements</v>
      </c>
      <c r="V87" t="s">
        <v>29</v>
      </c>
      <c r="W87" t="s">
        <v>30</v>
      </c>
      <c r="X87" t="s">
        <v>1171</v>
      </c>
      <c r="Y87" t="s">
        <v>1171</v>
      </c>
      <c r="Z87" t="s">
        <v>1171</v>
      </c>
      <c r="AA87" t="s">
        <v>1171</v>
      </c>
      <c r="AB87" t="s">
        <v>1171</v>
      </c>
      <c r="AC87" t="s">
        <v>1171</v>
      </c>
      <c r="AD87" t="s">
        <v>1141</v>
      </c>
      <c r="AE87" t="s">
        <v>1171</v>
      </c>
    </row>
    <row r="88" spans="1:31" ht="103" thickBot="1" x14ac:dyDescent="0.25">
      <c r="A88" t="s">
        <v>1171</v>
      </c>
      <c r="B88" t="s">
        <v>1260</v>
      </c>
      <c r="C88" t="str">
        <f>"CONF-"&amp;TEXT(us_core_reqs[[#This Row],[ID*]], "0000")</f>
        <v>CONF-0087</v>
      </c>
      <c r="D88" s="11" t="s">
        <v>614</v>
      </c>
      <c r="E88" s="73" t="str" cm="1">
        <f t="array" ref="E88">_xlfn.TEXTJOIN(", ", TRUE, _xlfn.TEXTAFTER(_xlfn.TEXTSPLIT(us_core_reqs[[#This Row],[URL*]], ", "), "/", -1))</f>
        <v>must-support.html#defined-pattern-elements</v>
      </c>
      <c r="F88" s="11" t="s">
        <v>978</v>
      </c>
      <c r="G88" t="s">
        <v>29</v>
      </c>
      <c r="H88" cm="1">
        <f t="array" ref="H88">_xlfn.SWITCH(G88, "SHALL", 1, "SHOULD", 3, "MAY", 5, "SHOULD-NOT", 4, "SHALL-NOT", 2, "DEPRECATED", 6, 99)</f>
        <v>1</v>
      </c>
      <c r="J88" t="s">
        <v>30</v>
      </c>
      <c r="K88" t="s">
        <v>1171</v>
      </c>
      <c r="L88" t="s">
        <v>1171</v>
      </c>
      <c r="M88" t="s">
        <v>1173</v>
      </c>
      <c r="N88" t="s">
        <v>1171</v>
      </c>
      <c r="O88" t="s">
        <v>1171</v>
      </c>
      <c r="P88" t="s">
        <v>1171</v>
      </c>
      <c r="Q88" t="s">
        <v>1171</v>
      </c>
      <c r="R88" t="s">
        <v>1171</v>
      </c>
      <c r="S88" s="70" t="str" cm="1">
        <f t="array" ref="S88">_xlfn.TEXTJOIN(",",TRUE,LEFT(TRIM(_xlfn.TEXTSPLIT(us_core_reqs[[#This Row],[reference]],",")),FIND(".html",TRIM(_xlfn.TEXTSPLIT(us_core_reqs[[#This Row],[reference]],",")))-1))</f>
        <v>must-support</v>
      </c>
      <c r="T88" s="70" t="str" cm="1">
        <f t="array" ref="T88">_xlfn.TEXTJOIN(",",TRUE,MID(TRIM(_xlfn.TEXTSPLIT(us_core_reqs[[#This Row],[reference]],",")),FIND("#",TRIM(_xlfn.TEXTSPLIT(us_core_reqs[[#This Row],[reference]],","))&amp;"#")+1,1000))</f>
        <v>defined-pattern-elements</v>
      </c>
      <c r="U88" t="str" cm="1">
        <f t="array" ref="U88">_xlfn.TEXTJOIN(", ",TRUE,SUBSTITUTE(SUBSTITUTE(PROPER(SUBSTITUTE(TRIM(_xlfn.TEXTSPLIT(us_core_reqs[[#This Row],[Page]],","))," -"," "))&amp;": "&amp;PROPER(SUBSTITUTE(TRIM(_xlfn.TEXTSPLIT(us_core_reqs[[#This Row],[Section]],","))," -"," ")),"Us ","US        
  "),"Uscdi","USCDI"))</f>
        <v>Must-Support: Defined-Pattern-Elements</v>
      </c>
      <c r="V88" t="s">
        <v>29</v>
      </c>
      <c r="W88" t="s">
        <v>30</v>
      </c>
      <c r="X88" t="s">
        <v>125</v>
      </c>
      <c r="Y88" t="s">
        <v>1171</v>
      </c>
      <c r="Z88" t="s">
        <v>1171</v>
      </c>
      <c r="AA88" t="s">
        <v>1171</v>
      </c>
      <c r="AB88" t="s">
        <v>1171</v>
      </c>
      <c r="AC88" t="s">
        <v>1171</v>
      </c>
      <c r="AD88" t="s">
        <v>1140</v>
      </c>
      <c r="AE88" t="s">
        <v>1171</v>
      </c>
    </row>
    <row r="89" spans="1:31" ht="120" thickBot="1" x14ac:dyDescent="0.25">
      <c r="A89" t="s">
        <v>1171</v>
      </c>
      <c r="B89" t="s">
        <v>1261</v>
      </c>
      <c r="C89" t="str">
        <f>"CONF-"&amp;TEXT(us_core_reqs[[#This Row],[ID*]], "0000")</f>
        <v>CONF-0088</v>
      </c>
      <c r="D89" s="11" t="s">
        <v>614</v>
      </c>
      <c r="E89" s="73" t="str" cm="1">
        <f t="array" ref="E89">_xlfn.TEXTJOIN(", ", TRUE, _xlfn.TEXTAFTER(_xlfn.TEXTSPLIT(us_core_reqs[[#This Row],[URL*]], ", "), "/", -1))</f>
        <v>must-support.html#defined-pattern-elements</v>
      </c>
      <c r="F89" s="11" t="s">
        <v>126</v>
      </c>
      <c r="G89" t="s">
        <v>64</v>
      </c>
      <c r="H89" cm="1">
        <f t="array" ref="H89">_xlfn.SWITCH(G89, "SHALL", 1, "SHOULD", 3, "MAY", 5, "SHOULD-NOT", 4, "SHALL-NOT", 2, "DEPRECATED", 6, 99)</f>
        <v>6</v>
      </c>
      <c r="J89" t="s">
        <v>30</v>
      </c>
      <c r="K89" t="s">
        <v>1171</v>
      </c>
      <c r="L89" t="s">
        <v>1171</v>
      </c>
      <c r="M89" t="s">
        <v>1176</v>
      </c>
      <c r="N89" t="s">
        <v>127</v>
      </c>
      <c r="O89" t="s">
        <v>1171</v>
      </c>
      <c r="P89" t="s">
        <v>1171</v>
      </c>
      <c r="Q89" t="s">
        <v>1171</v>
      </c>
      <c r="R89" t="s">
        <v>1171</v>
      </c>
      <c r="S89" s="70" t="str" cm="1">
        <f t="array" ref="S89">_xlfn.TEXTJOIN(",",TRUE,LEFT(TRIM(_xlfn.TEXTSPLIT(us_core_reqs[[#This Row],[reference]],",")),FIND(".html",TRIM(_xlfn.TEXTSPLIT(us_core_reqs[[#This Row],[reference]],",")))-1))</f>
        <v>must-support</v>
      </c>
      <c r="T89" s="70" t="str" cm="1">
        <f t="array" ref="T89">_xlfn.TEXTJOIN(",",TRUE,MID(TRIM(_xlfn.TEXTSPLIT(us_core_reqs[[#This Row],[reference]],",")),FIND("#",TRIM(_xlfn.TEXTSPLIT(us_core_reqs[[#This Row],[reference]],","))&amp;"#")+1,1000))</f>
        <v>defined-pattern-elements</v>
      </c>
      <c r="U89" t="str" cm="1">
        <f t="array" ref="U89">_xlfn.TEXTJOIN(", ",TRUE,SUBSTITUTE(SUBSTITUTE(PROPER(SUBSTITUTE(TRIM(_xlfn.TEXTSPLIT(us_core_reqs[[#This Row],[Page]],","))," -"," "))&amp;": "&amp;PROPER(SUBSTITUTE(TRIM(_xlfn.TEXTSPLIT(us_core_reqs[[#This Row],[Section]],","))," -"," ")),"Us ","US        
  "),"Uscdi","USCDI"))</f>
        <v>Must-Support: Defined-Pattern-Elements</v>
      </c>
      <c r="V89" t="s">
        <v>29</v>
      </c>
      <c r="W89" t="s">
        <v>30</v>
      </c>
      <c r="X89" t="s">
        <v>1171</v>
      </c>
      <c r="Y89" t="s">
        <v>1171</v>
      </c>
      <c r="Z89" t="s">
        <v>1171</v>
      </c>
      <c r="AA89" t="s">
        <v>1171</v>
      </c>
      <c r="AB89" t="s">
        <v>1171</v>
      </c>
      <c r="AC89" t="s">
        <v>652</v>
      </c>
      <c r="AD89" t="s">
        <v>1140</v>
      </c>
      <c r="AE89" t="s">
        <v>1171</v>
      </c>
    </row>
    <row r="90" spans="1:31" ht="120" thickBot="1" x14ac:dyDescent="0.25">
      <c r="A90" t="s">
        <v>1171</v>
      </c>
      <c r="B90" t="s">
        <v>1262</v>
      </c>
      <c r="C90" t="str">
        <f>"CONF-"&amp;TEXT(us_core_reqs[[#This Row],[ID*]], "0000")</f>
        <v>CONF-0089</v>
      </c>
      <c r="D90" s="11" t="s">
        <v>614</v>
      </c>
      <c r="E90" s="73" t="str" cm="1">
        <f t="array" ref="E90">_xlfn.TEXTJOIN(", ", TRUE, _xlfn.TEXTAFTER(_xlfn.TEXTSPLIT(us_core_reqs[[#This Row],[URL*]], ", "), "/", -1))</f>
        <v>must-support.html#defined-pattern-elements</v>
      </c>
      <c r="F90" s="11" t="s">
        <v>128</v>
      </c>
      <c r="G90" t="s">
        <v>64</v>
      </c>
      <c r="H90" cm="1">
        <f t="array" ref="H90">_xlfn.SWITCH(G90, "SHALL", 1, "SHOULD", 3, "MAY", 5, "SHOULD-NOT", 4, "SHALL-NOT", 2, "DEPRECATED", 6, 99)</f>
        <v>6</v>
      </c>
      <c r="J90" t="s">
        <v>58</v>
      </c>
      <c r="K90" t="s">
        <v>1171</v>
      </c>
      <c r="L90" t="s">
        <v>1171</v>
      </c>
      <c r="M90" t="s">
        <v>1176</v>
      </c>
      <c r="N90" t="s">
        <v>127</v>
      </c>
      <c r="O90" t="s">
        <v>1171</v>
      </c>
      <c r="P90" t="s">
        <v>1171</v>
      </c>
      <c r="Q90" t="s">
        <v>1171</v>
      </c>
      <c r="R90" t="s">
        <v>1171</v>
      </c>
      <c r="S90" s="70" t="str" cm="1">
        <f t="array" ref="S90">_xlfn.TEXTJOIN(",",TRUE,LEFT(TRIM(_xlfn.TEXTSPLIT(us_core_reqs[[#This Row],[reference]],",")),FIND(".html",TRIM(_xlfn.TEXTSPLIT(us_core_reqs[[#This Row],[reference]],",")))-1))</f>
        <v>must-support</v>
      </c>
      <c r="T90" s="70" t="str" cm="1">
        <f t="array" ref="T90">_xlfn.TEXTJOIN(",",TRUE,MID(TRIM(_xlfn.TEXTSPLIT(us_core_reqs[[#This Row],[reference]],",")),FIND("#",TRIM(_xlfn.TEXTSPLIT(us_core_reqs[[#This Row],[reference]],","))&amp;"#")+1,1000))</f>
        <v>defined-pattern-elements</v>
      </c>
      <c r="U90" t="str" cm="1">
        <f t="array" ref="U90">_xlfn.TEXTJOIN(", ",TRUE,SUBSTITUTE(SUBSTITUTE(PROPER(SUBSTITUTE(TRIM(_xlfn.TEXTSPLIT(us_core_reqs[[#This Row],[Page]],","))," -"," "))&amp;": "&amp;PROPER(SUBSTITUTE(TRIM(_xlfn.TEXTSPLIT(us_core_reqs[[#This Row],[Section]],","))," -"," ")),"Us ","US        
  "),"Uscdi","USCDI"))</f>
        <v>Must-Support: Defined-Pattern-Elements</v>
      </c>
      <c r="V90" t="s">
        <v>29</v>
      </c>
      <c r="W90" t="s">
        <v>58</v>
      </c>
      <c r="X90" t="s">
        <v>1171</v>
      </c>
      <c r="Y90" t="s">
        <v>1171</v>
      </c>
      <c r="Z90" t="s">
        <v>1171</v>
      </c>
      <c r="AA90" t="s">
        <v>1171</v>
      </c>
      <c r="AB90" t="s">
        <v>1171</v>
      </c>
      <c r="AC90" t="s">
        <v>652</v>
      </c>
      <c r="AD90" t="s">
        <v>1171</v>
      </c>
      <c r="AE90" t="s">
        <v>1171</v>
      </c>
    </row>
    <row r="91" spans="1:31" ht="52" thickBot="1" x14ac:dyDescent="0.25">
      <c r="A91" t="s">
        <v>1171</v>
      </c>
      <c r="B91" t="s">
        <v>1263</v>
      </c>
      <c r="C91" t="str">
        <f>"CONF-"&amp;TEXT(us_core_reqs[[#This Row],[ID*]], "0000")</f>
        <v>CONF-0090</v>
      </c>
      <c r="D91" s="11" t="s">
        <v>1850</v>
      </c>
      <c r="E91" s="73" t="str" cm="1">
        <f t="array" ref="E91">_xlfn.TEXTJOIN(", ", TRUE, _xlfn.TEXTAFTER(_xlfn.TEXTSPLIT(us_core_reqs[[#This Row],[URL*]], ", "), "/", -1))</f>
        <v>must-support.html#must-support---primitive-elements</v>
      </c>
      <c r="F91" s="11" t="s">
        <v>979</v>
      </c>
      <c r="G91" t="s">
        <v>29</v>
      </c>
      <c r="H91" cm="1">
        <f t="array" ref="H91">_xlfn.SWITCH(G91, "SHALL", 1, "SHOULD", 3, "MAY", 5, "SHOULD-NOT", 4, "SHALL-NOT", 2, "DEPRECATED", 6, 99)</f>
        <v>1</v>
      </c>
      <c r="J91" t="s">
        <v>30</v>
      </c>
      <c r="K91" t="s">
        <v>1171</v>
      </c>
      <c r="L91" t="s">
        <v>1171</v>
      </c>
      <c r="M91" t="s">
        <v>1173</v>
      </c>
      <c r="N91" t="s">
        <v>1171</v>
      </c>
      <c r="O91" t="s">
        <v>1171</v>
      </c>
      <c r="P91" t="s">
        <v>1171</v>
      </c>
      <c r="Q91" t="s">
        <v>1171</v>
      </c>
      <c r="R91" t="s">
        <v>1171</v>
      </c>
      <c r="S91" s="70" t="str" cm="1">
        <f t="array" ref="S91">_xlfn.TEXTJOIN(",",TRUE,LEFT(TRIM(_xlfn.TEXTSPLIT(us_core_reqs[[#This Row],[reference]],",")),FIND(".html",TRIM(_xlfn.TEXTSPLIT(us_core_reqs[[#This Row],[reference]],",")))-1))</f>
        <v>must-support</v>
      </c>
      <c r="T91" s="70" t="str" cm="1">
        <f t="array" ref="T91">_xlfn.TEXTJOIN(",",TRUE,MID(TRIM(_xlfn.TEXTSPLIT(us_core_reqs[[#This Row],[reference]],",")),FIND("#",TRIM(_xlfn.TEXTSPLIT(us_core_reqs[[#This Row],[reference]],","))&amp;"#")+1,1000))</f>
        <v>must-support---primitive-elements</v>
      </c>
      <c r="U91" t="str" cm="1">
        <f t="array" ref="U91">_xlfn.TEXTJOIN(", ",TRUE,SUBSTITUTE(SUBSTITUTE(PROPER(SUBSTITUTE(TRIM(_xlfn.TEXTSPLIT(us_core_reqs[[#This Row],[Page]],","))," -"," "))&amp;": "&amp;PROPER(SUBSTITUTE(TRIM(_xlfn.TEXTSPLIT(us_core_reqs[[#This Row],[Section]],","))," -"," ")),"Us ","US        
  "),"Uscdi","USCDI"))</f>
        <v>Must-Support: Must-Support---Primitive-Elements</v>
      </c>
      <c r="V91" t="s">
        <v>29</v>
      </c>
      <c r="W91" t="s">
        <v>30</v>
      </c>
      <c r="X91" t="s">
        <v>129</v>
      </c>
      <c r="Y91" t="s">
        <v>1171</v>
      </c>
      <c r="Z91" t="s">
        <v>1171</v>
      </c>
      <c r="AA91" t="s">
        <v>1171</v>
      </c>
      <c r="AB91" t="s">
        <v>1171</v>
      </c>
      <c r="AC91" t="s">
        <v>1171</v>
      </c>
      <c r="AD91" t="s">
        <v>1140</v>
      </c>
      <c r="AE91" t="s">
        <v>1171</v>
      </c>
    </row>
    <row r="92" spans="1:31" ht="52" thickBot="1" x14ac:dyDescent="0.25">
      <c r="A92" t="s">
        <v>1171</v>
      </c>
      <c r="B92" t="s">
        <v>1264</v>
      </c>
      <c r="C92" t="str">
        <f>"CONF-"&amp;TEXT(us_core_reqs[[#This Row],[ID*]], "0000")</f>
        <v>CONF-0091</v>
      </c>
      <c r="D92" s="11" t="s">
        <v>1850</v>
      </c>
      <c r="E92" s="73" t="str" cm="1">
        <f t="array" ref="E92">_xlfn.TEXTJOIN(", ", TRUE, _xlfn.TEXTAFTER(_xlfn.TEXTSPLIT(us_core_reqs[[#This Row],[URL*]], ", "), "/", -1))</f>
        <v>must-support.html#must-support---primitive-elements</v>
      </c>
      <c r="F92" s="11" t="s">
        <v>2041</v>
      </c>
      <c r="G92" t="s">
        <v>29</v>
      </c>
      <c r="H92" cm="1">
        <f t="array" ref="H92">_xlfn.SWITCH(G92, "SHALL", 1, "SHOULD", 3, "MAY", 5, "SHOULD-NOT", 4, "SHALL-NOT", 2, "DEPRECATED", 6, 99)</f>
        <v>1</v>
      </c>
      <c r="J92" t="s">
        <v>30</v>
      </c>
      <c r="K92" t="s">
        <v>1171</v>
      </c>
      <c r="L92" t="s">
        <v>1171</v>
      </c>
      <c r="M92" t="s">
        <v>1173</v>
      </c>
      <c r="N92" t="s">
        <v>1171</v>
      </c>
      <c r="O92" t="s">
        <v>1171</v>
      </c>
      <c r="P92" t="s">
        <v>1171</v>
      </c>
      <c r="Q92" t="s">
        <v>1171</v>
      </c>
      <c r="R92" t="s">
        <v>1171</v>
      </c>
      <c r="S92" s="70" t="str" cm="1">
        <f t="array" ref="S92">_xlfn.TEXTJOIN(",",TRUE,LEFT(TRIM(_xlfn.TEXTSPLIT(us_core_reqs[[#This Row],[reference]],",")),FIND(".html",TRIM(_xlfn.TEXTSPLIT(us_core_reqs[[#This Row],[reference]],",")))-1))</f>
        <v>must-support</v>
      </c>
      <c r="T92" s="70" t="str" cm="1">
        <f t="array" ref="T92">_xlfn.TEXTJOIN(",",TRUE,MID(TRIM(_xlfn.TEXTSPLIT(us_core_reqs[[#This Row],[reference]],",")),FIND("#",TRIM(_xlfn.TEXTSPLIT(us_core_reqs[[#This Row],[reference]],","))&amp;"#")+1,1000))</f>
        <v>must-support---primitive-elements</v>
      </c>
      <c r="U92" t="str" cm="1">
        <f t="array" ref="U92">_xlfn.TEXTJOIN(", ",TRUE,SUBSTITUTE(SUBSTITUTE(PROPER(SUBSTITUTE(TRIM(_xlfn.TEXTSPLIT(us_core_reqs[[#This Row],[Page]],","))," -"," "))&amp;": "&amp;PROPER(SUBSTITUTE(TRIM(_xlfn.TEXTSPLIT(us_core_reqs[[#This Row],[Section]],","))," -"," ")),"Us ","US        
  "),"Uscdi","USCDI"))</f>
        <v>Must-Support: Must-Support---Primitive-Elements</v>
      </c>
      <c r="V92" t="s">
        <v>29</v>
      </c>
      <c r="W92" t="s">
        <v>30</v>
      </c>
      <c r="X92" t="s">
        <v>1171</v>
      </c>
      <c r="Y92" t="s">
        <v>1171</v>
      </c>
      <c r="Z92" t="s">
        <v>1171</v>
      </c>
      <c r="AA92" t="s">
        <v>1171</v>
      </c>
      <c r="AB92" t="s">
        <v>1171</v>
      </c>
      <c r="AC92" t="s">
        <v>1171</v>
      </c>
      <c r="AD92" t="s">
        <v>1140</v>
      </c>
      <c r="AE92" t="s">
        <v>1171</v>
      </c>
    </row>
    <row r="93" spans="1:31" ht="52" thickBot="1" x14ac:dyDescent="0.25">
      <c r="A93" t="s">
        <v>1171</v>
      </c>
      <c r="B93" t="s">
        <v>1265</v>
      </c>
      <c r="C93" t="str">
        <f>"CONF-"&amp;TEXT(us_core_reqs[[#This Row],[ID*]], "0000")</f>
        <v>CONF-0092</v>
      </c>
      <c r="D93" s="11" t="s">
        <v>1850</v>
      </c>
      <c r="E93" s="73" t="str" cm="1">
        <f t="array" ref="E93">_xlfn.TEXTJOIN(", ", TRUE, _xlfn.TEXTAFTER(_xlfn.TEXTSPLIT(us_core_reqs[[#This Row],[URL*]], ", "), "/", -1))</f>
        <v>must-support.html#must-support---primitive-elements</v>
      </c>
      <c r="F93" s="11" t="s">
        <v>2042</v>
      </c>
      <c r="G93" t="s">
        <v>29</v>
      </c>
      <c r="H93" cm="1">
        <f t="array" ref="H93">_xlfn.SWITCH(G93, "SHALL", 1, "SHOULD", 3, "MAY", 5, "SHOULD-NOT", 4, "SHALL-NOT", 2, "DEPRECATED", 6, 99)</f>
        <v>1</v>
      </c>
      <c r="J93" t="s">
        <v>58</v>
      </c>
      <c r="K93" t="s">
        <v>1171</v>
      </c>
      <c r="L93" t="s">
        <v>1171</v>
      </c>
      <c r="M93" t="s">
        <v>1173</v>
      </c>
      <c r="N93" t="s">
        <v>1171</v>
      </c>
      <c r="O93" t="s">
        <v>1171</v>
      </c>
      <c r="P93" t="s">
        <v>1171</v>
      </c>
      <c r="Q93" t="s">
        <v>1171</v>
      </c>
      <c r="R93" t="s">
        <v>1171</v>
      </c>
      <c r="S93" s="70" t="str" cm="1">
        <f t="array" ref="S93">_xlfn.TEXTJOIN(",",TRUE,LEFT(TRIM(_xlfn.TEXTSPLIT(us_core_reqs[[#This Row],[reference]],",")),FIND(".html",TRIM(_xlfn.TEXTSPLIT(us_core_reqs[[#This Row],[reference]],",")))-1))</f>
        <v>must-support</v>
      </c>
      <c r="T93" s="70" t="str" cm="1">
        <f t="array" ref="T93">_xlfn.TEXTJOIN(",",TRUE,MID(TRIM(_xlfn.TEXTSPLIT(us_core_reqs[[#This Row],[reference]],",")),FIND("#",TRIM(_xlfn.TEXTSPLIT(us_core_reqs[[#This Row],[reference]],","))&amp;"#")+1,1000))</f>
        <v>must-support---primitive-elements</v>
      </c>
      <c r="U93" t="str" cm="1">
        <f t="array" ref="U93">_xlfn.TEXTJOIN(", ",TRUE,SUBSTITUTE(SUBSTITUTE(PROPER(SUBSTITUTE(TRIM(_xlfn.TEXTSPLIT(us_core_reqs[[#This Row],[Page]],","))," -"," "))&amp;": "&amp;PROPER(SUBSTITUTE(TRIM(_xlfn.TEXTSPLIT(us_core_reqs[[#This Row],[Section]],","))," -"," ")),"Us ","US        
  "),"Uscdi","USCDI"))</f>
        <v>Must-Support: Must-Support---Primitive-Elements</v>
      </c>
      <c r="V93" t="s">
        <v>29</v>
      </c>
      <c r="W93" t="s">
        <v>58</v>
      </c>
      <c r="X93" t="s">
        <v>1171</v>
      </c>
      <c r="Y93" t="s">
        <v>1171</v>
      </c>
      <c r="Z93" t="s">
        <v>1171</v>
      </c>
      <c r="AA93" t="s">
        <v>1171</v>
      </c>
      <c r="AB93" t="s">
        <v>1171</v>
      </c>
      <c r="AC93" t="s">
        <v>1171</v>
      </c>
      <c r="AD93" t="s">
        <v>1171</v>
      </c>
      <c r="AE93" t="s">
        <v>1171</v>
      </c>
    </row>
    <row r="94" spans="1:31" ht="52" thickBot="1" x14ac:dyDescent="0.25">
      <c r="A94" t="s">
        <v>1171</v>
      </c>
      <c r="B94" t="s">
        <v>1266</v>
      </c>
      <c r="C94" t="str">
        <f>"CONF-"&amp;TEXT(us_core_reqs[[#This Row],[ID*]], "0000")</f>
        <v>CONF-0093</v>
      </c>
      <c r="D94" s="11" t="s">
        <v>616</v>
      </c>
      <c r="E94" s="73" t="str" cm="1">
        <f t="array" ref="E94">_xlfn.TEXTJOIN(", ", TRUE, _xlfn.TEXTAFTER(_xlfn.TEXTSPLIT(us_core_reqs[[#This Row],[URL*]], ", "), "/", -1))</f>
        <v>must-support.html#must-support---complex-elements</v>
      </c>
      <c r="F94" s="11" t="s">
        <v>980</v>
      </c>
      <c r="G94" t="s">
        <v>29</v>
      </c>
      <c r="H94" cm="1">
        <f t="array" ref="H94">_xlfn.SWITCH(G94, "SHALL", 1, "SHOULD", 3, "MAY", 5, "SHOULD-NOT", 4, "SHALL-NOT", 2, "DEPRECATED", 6, 99)</f>
        <v>1</v>
      </c>
      <c r="J94" t="s">
        <v>30</v>
      </c>
      <c r="K94" t="s">
        <v>1171</v>
      </c>
      <c r="L94" t="s">
        <v>1171</v>
      </c>
      <c r="M94" t="s">
        <v>1173</v>
      </c>
      <c r="N94" t="s">
        <v>1171</v>
      </c>
      <c r="O94" t="s">
        <v>1171</v>
      </c>
      <c r="P94" t="s">
        <v>1171</v>
      </c>
      <c r="Q94" t="s">
        <v>1171</v>
      </c>
      <c r="R94" t="s">
        <v>1171</v>
      </c>
      <c r="S94" s="70" t="str" cm="1">
        <f t="array" ref="S94">_xlfn.TEXTJOIN(",",TRUE,LEFT(TRIM(_xlfn.TEXTSPLIT(us_core_reqs[[#This Row],[reference]],",")),FIND(".html",TRIM(_xlfn.TEXTSPLIT(us_core_reqs[[#This Row],[reference]],",")))-1))</f>
        <v>must-support</v>
      </c>
      <c r="T94" s="70" t="str" cm="1">
        <f t="array" ref="T94">_xlfn.TEXTJOIN(",",TRUE,MID(TRIM(_xlfn.TEXTSPLIT(us_core_reqs[[#This Row],[reference]],",")),FIND("#",TRIM(_xlfn.TEXTSPLIT(us_core_reqs[[#This Row],[reference]],","))&amp;"#")+1,1000))</f>
        <v>must-support---complex-elements</v>
      </c>
      <c r="U94" t="str" cm="1">
        <f t="array" ref="U94">_xlfn.TEXTJOIN(", ",TRUE,SUBSTITUTE(SUBSTITUTE(PROPER(SUBSTITUTE(TRIM(_xlfn.TEXTSPLIT(us_core_reqs[[#This Row],[Page]],","))," -"," "))&amp;": "&amp;PROPER(SUBSTITUTE(TRIM(_xlfn.TEXTSPLIT(us_core_reqs[[#This Row],[Section]],","))," -"," ")),"Us ","US        
  "),"Uscdi","USCDI"))</f>
        <v>Must-Support: Must-Support---Complex-Elements</v>
      </c>
      <c r="V94" t="s">
        <v>29</v>
      </c>
      <c r="W94" t="s">
        <v>30</v>
      </c>
      <c r="X94" t="s">
        <v>132</v>
      </c>
      <c r="Y94" t="s">
        <v>1171</v>
      </c>
      <c r="Z94" t="s">
        <v>1171</v>
      </c>
      <c r="AA94" t="s">
        <v>1171</v>
      </c>
      <c r="AB94" t="s">
        <v>1171</v>
      </c>
      <c r="AC94" t="s">
        <v>1171</v>
      </c>
      <c r="AD94" t="s">
        <v>1140</v>
      </c>
      <c r="AE94" t="s">
        <v>1171</v>
      </c>
    </row>
    <row r="95" spans="1:31" ht="52" thickBot="1" x14ac:dyDescent="0.25">
      <c r="A95" t="s">
        <v>1171</v>
      </c>
      <c r="B95" t="s">
        <v>1267</v>
      </c>
      <c r="C95" t="str">
        <f>"CONF-"&amp;TEXT(us_core_reqs[[#This Row],[ID*]], "0000")</f>
        <v>CONF-0094</v>
      </c>
      <c r="D95" s="11" t="s">
        <v>616</v>
      </c>
      <c r="E95" s="73" t="str" cm="1">
        <f t="array" ref="E95">_xlfn.TEXTJOIN(", ", TRUE, _xlfn.TEXTAFTER(_xlfn.TEXTSPLIT(us_core_reqs[[#This Row],[URL*]], ", "), "/", -1))</f>
        <v>must-support.html#must-support---complex-elements</v>
      </c>
      <c r="F95" s="11" t="s">
        <v>133</v>
      </c>
      <c r="G95" t="s">
        <v>29</v>
      </c>
      <c r="H95" cm="1">
        <f t="array" ref="H95">_xlfn.SWITCH(G95, "SHALL", 1, "SHOULD", 3, "MAY", 5, "SHOULD-NOT", 4, "SHALL-NOT", 2, "DEPRECATED", 6, 99)</f>
        <v>1</v>
      </c>
      <c r="I95" t="s">
        <v>1844</v>
      </c>
      <c r="J95" t="s">
        <v>30</v>
      </c>
      <c r="K95" t="s">
        <v>1171</v>
      </c>
      <c r="L95" t="s">
        <v>1171</v>
      </c>
      <c r="M95" t="s">
        <v>1173</v>
      </c>
      <c r="N95" t="s">
        <v>1171</v>
      </c>
      <c r="O95" t="s">
        <v>1171</v>
      </c>
      <c r="P95" t="s">
        <v>1171</v>
      </c>
      <c r="Q95" t="s">
        <v>1171</v>
      </c>
      <c r="R95" t="s">
        <v>1171</v>
      </c>
      <c r="S95" s="70" t="str" cm="1">
        <f t="array" ref="S95">_xlfn.TEXTJOIN(",",TRUE,LEFT(TRIM(_xlfn.TEXTSPLIT(us_core_reqs[[#This Row],[reference]],",")),FIND(".html",TRIM(_xlfn.TEXTSPLIT(us_core_reqs[[#This Row],[reference]],",")))-1))</f>
        <v>must-support</v>
      </c>
      <c r="T95" s="70" t="str" cm="1">
        <f t="array" ref="T95">_xlfn.TEXTJOIN(",",TRUE,MID(TRIM(_xlfn.TEXTSPLIT(us_core_reqs[[#This Row],[reference]],",")),FIND("#",TRIM(_xlfn.TEXTSPLIT(us_core_reqs[[#This Row],[reference]],","))&amp;"#")+1,1000))</f>
        <v>must-support---complex-elements</v>
      </c>
      <c r="U95" t="str" cm="1">
        <f t="array" ref="U95">_xlfn.TEXTJOIN(", ",TRUE,SUBSTITUTE(SUBSTITUTE(PROPER(SUBSTITUTE(TRIM(_xlfn.TEXTSPLIT(us_core_reqs[[#This Row],[Page]],","))," -"," "))&amp;": "&amp;PROPER(SUBSTITUTE(TRIM(_xlfn.TEXTSPLIT(us_core_reqs[[#This Row],[Section]],","))," -"," ")),"Us ","US        
  "),"Uscdi","USCDI"))</f>
        <v>Must-Support: Must-Support---Complex-Elements</v>
      </c>
      <c r="V95" t="s">
        <v>1171</v>
      </c>
      <c r="W95" t="s">
        <v>1171</v>
      </c>
      <c r="X95" t="s">
        <v>132</v>
      </c>
      <c r="Y95" t="s">
        <v>1171</v>
      </c>
      <c r="Z95" t="s">
        <v>1171</v>
      </c>
      <c r="AA95" t="s">
        <v>1171</v>
      </c>
      <c r="AB95" t="s">
        <v>1171</v>
      </c>
      <c r="AC95" t="s">
        <v>1171</v>
      </c>
      <c r="AD95" t="s">
        <v>1140</v>
      </c>
      <c r="AE95" t="s">
        <v>1171</v>
      </c>
    </row>
    <row r="96" spans="1:31" ht="52" thickBot="1" x14ac:dyDescent="0.25">
      <c r="A96" t="s">
        <v>1171</v>
      </c>
      <c r="B96" t="s">
        <v>1268</v>
      </c>
      <c r="C96" t="str">
        <f>"CONF-"&amp;TEXT(us_core_reqs[[#This Row],[ID*]], "0000")</f>
        <v>CONF-0095</v>
      </c>
      <c r="D96" s="11" t="s">
        <v>616</v>
      </c>
      <c r="E96" s="73" t="str" cm="1">
        <f t="array" ref="E96">_xlfn.TEXTJOIN(", ", TRUE, _xlfn.TEXTAFTER(_xlfn.TEXTSPLIT(us_core_reqs[[#This Row],[URL*]], ", "), "/", -1))</f>
        <v>must-support.html#must-support---complex-elements</v>
      </c>
      <c r="F96" s="11" t="s">
        <v>657</v>
      </c>
      <c r="G96" t="s">
        <v>35</v>
      </c>
      <c r="H96" cm="1">
        <f t="array" ref="H96">_xlfn.SWITCH(G96, "SHALL", 1, "SHOULD", 3, "MAY", 5, "SHOULD-NOT", 4, "SHALL-NOT", 2, "DEPRECATED", 6, 99)</f>
        <v>5</v>
      </c>
      <c r="J96" t="s">
        <v>30</v>
      </c>
      <c r="K96" t="s">
        <v>1171</v>
      </c>
      <c r="L96" t="s">
        <v>1171</v>
      </c>
      <c r="M96" t="s">
        <v>1173</v>
      </c>
      <c r="N96" t="s">
        <v>1171</v>
      </c>
      <c r="O96" t="s">
        <v>1171</v>
      </c>
      <c r="P96" t="s">
        <v>1171</v>
      </c>
      <c r="Q96" t="s">
        <v>1171</v>
      </c>
      <c r="R96" t="s">
        <v>1171</v>
      </c>
      <c r="S96" s="70" t="str" cm="1">
        <f t="array" ref="S96">_xlfn.TEXTJOIN(",",TRUE,LEFT(TRIM(_xlfn.TEXTSPLIT(us_core_reqs[[#This Row],[reference]],",")),FIND(".html",TRIM(_xlfn.TEXTSPLIT(us_core_reqs[[#This Row],[reference]],",")))-1))</f>
        <v>must-support</v>
      </c>
      <c r="T96" s="70" t="str" cm="1">
        <f t="array" ref="T96">_xlfn.TEXTJOIN(",",TRUE,MID(TRIM(_xlfn.TEXTSPLIT(us_core_reqs[[#This Row],[reference]],",")),FIND("#",TRIM(_xlfn.TEXTSPLIT(us_core_reqs[[#This Row],[reference]],","))&amp;"#")+1,1000))</f>
        <v>must-support---complex-elements</v>
      </c>
      <c r="U96" t="str" cm="1">
        <f t="array" ref="U96">_xlfn.TEXTJOIN(", ",TRUE,SUBSTITUTE(SUBSTITUTE(PROPER(SUBSTITUTE(TRIM(_xlfn.TEXTSPLIT(us_core_reqs[[#This Row],[Page]],","))," -"," "))&amp;": "&amp;PROPER(SUBSTITUTE(TRIM(_xlfn.TEXTSPLIT(us_core_reqs[[#This Row],[Section]],","))," -"," ")),"Us ","US        
  "),"Uscdi","USCDI"))</f>
        <v>Must-Support: Must-Support---Complex-Elements</v>
      </c>
      <c r="V96" t="s">
        <v>1171</v>
      </c>
      <c r="W96" t="s">
        <v>1171</v>
      </c>
      <c r="X96" t="s">
        <v>1171</v>
      </c>
      <c r="Y96" t="s">
        <v>1171</v>
      </c>
      <c r="Z96" t="s">
        <v>1171</v>
      </c>
      <c r="AA96" t="s">
        <v>1171</v>
      </c>
      <c r="AB96" t="s">
        <v>1171</v>
      </c>
      <c r="AC96" t="s">
        <v>659</v>
      </c>
      <c r="AD96" t="s">
        <v>1171</v>
      </c>
      <c r="AE96" t="s">
        <v>1171</v>
      </c>
    </row>
    <row r="97" spans="1:31" ht="69" thickBot="1" x14ac:dyDescent="0.25">
      <c r="A97" t="s">
        <v>1171</v>
      </c>
      <c r="B97" t="s">
        <v>1269</v>
      </c>
      <c r="C97" t="str">
        <f>"CONF-"&amp;TEXT(us_core_reqs[[#This Row],[ID*]], "0000")</f>
        <v>CONF-0096</v>
      </c>
      <c r="D97" s="11" t="s">
        <v>616</v>
      </c>
      <c r="E97" s="73" t="str" cm="1">
        <f t="array" ref="E97">_xlfn.TEXTJOIN(", ", TRUE, _xlfn.TEXTAFTER(_xlfn.TEXTSPLIT(us_core_reqs[[#This Row],[URL*]], ", "), "/", -1))</f>
        <v>must-support.html#must-support---complex-elements</v>
      </c>
      <c r="F97" s="11" t="s">
        <v>2073</v>
      </c>
      <c r="G97" t="s">
        <v>29</v>
      </c>
      <c r="H97" cm="1">
        <f t="array" ref="H97">_xlfn.SWITCH(G97, "SHALL", 1, "SHOULD", 3, "MAY", 5, "SHOULD-NOT", 4, "SHALL-NOT", 2, "DEPRECATED", 6, 99)</f>
        <v>1</v>
      </c>
      <c r="I97" s="76" t="s">
        <v>1852</v>
      </c>
      <c r="J97" t="s">
        <v>30</v>
      </c>
      <c r="K97" t="s">
        <v>1171</v>
      </c>
      <c r="L97" t="s">
        <v>1171</v>
      </c>
      <c r="M97" t="s">
        <v>1173</v>
      </c>
      <c r="N97" t="s">
        <v>1171</v>
      </c>
      <c r="O97" t="s">
        <v>1171</v>
      </c>
      <c r="P97" t="s">
        <v>1171</v>
      </c>
      <c r="Q97" t="s">
        <v>1171</v>
      </c>
      <c r="R97" t="s">
        <v>1171</v>
      </c>
      <c r="S97" s="70" t="str" cm="1">
        <f t="array" ref="S97">_xlfn.TEXTJOIN(",",TRUE,LEFT(TRIM(_xlfn.TEXTSPLIT(us_core_reqs[[#This Row],[reference]],",")),FIND(".html",TRIM(_xlfn.TEXTSPLIT(us_core_reqs[[#This Row],[reference]],",")))-1))</f>
        <v>must-support</v>
      </c>
      <c r="T97" s="70" t="str" cm="1">
        <f t="array" ref="T97">_xlfn.TEXTJOIN(",",TRUE,MID(TRIM(_xlfn.TEXTSPLIT(us_core_reqs[[#This Row],[reference]],",")),FIND("#",TRIM(_xlfn.TEXTSPLIT(us_core_reqs[[#This Row],[reference]],","))&amp;"#")+1,1000))</f>
        <v>must-support---complex-elements</v>
      </c>
      <c r="U97" t="str" cm="1">
        <f t="array" ref="U97">_xlfn.TEXTJOIN(", ",TRUE,SUBSTITUTE(SUBSTITUTE(PROPER(SUBSTITUTE(TRIM(_xlfn.TEXTSPLIT(us_core_reqs[[#This Row],[Page]],","))," -"," "))&amp;": "&amp;PROPER(SUBSTITUTE(TRIM(_xlfn.TEXTSPLIT(us_core_reqs[[#This Row],[Section]],","))," -"," ")),"Us ","US        
  "),"Uscdi","USCDI"))</f>
        <v>Must-Support: Must-Support---Complex-Elements</v>
      </c>
      <c r="V97" t="s">
        <v>29</v>
      </c>
      <c r="W97" t="s">
        <v>30</v>
      </c>
      <c r="X97" t="s">
        <v>1171</v>
      </c>
      <c r="Y97" t="s">
        <v>1171</v>
      </c>
      <c r="Z97" t="s">
        <v>1171</v>
      </c>
      <c r="AA97" t="s">
        <v>1171</v>
      </c>
      <c r="AB97" t="s">
        <v>1171</v>
      </c>
      <c r="AC97" t="s">
        <v>661</v>
      </c>
      <c r="AD97" t="s">
        <v>1140</v>
      </c>
      <c r="AE97" t="s">
        <v>1171</v>
      </c>
    </row>
    <row r="98" spans="1:31" ht="52" thickBot="1" x14ac:dyDescent="0.25">
      <c r="A98" t="s">
        <v>1171</v>
      </c>
      <c r="B98" t="s">
        <v>1270</v>
      </c>
      <c r="C98" t="str">
        <f>"CONF-"&amp;TEXT(us_core_reqs[[#This Row],[ID*]], "0000")</f>
        <v>CONF-0097</v>
      </c>
      <c r="D98" s="11" t="s">
        <v>616</v>
      </c>
      <c r="E98" s="73" t="str" cm="1">
        <f t="array" ref="E98">_xlfn.TEXTJOIN(", ", TRUE, _xlfn.TEXTAFTER(_xlfn.TEXTSPLIT(us_core_reqs[[#This Row],[URL*]], ", "), "/", -1))</f>
        <v>must-support.html#must-support---complex-elements</v>
      </c>
      <c r="F98" s="11" t="s">
        <v>2043</v>
      </c>
      <c r="G98" t="s">
        <v>29</v>
      </c>
      <c r="H98" cm="1">
        <f t="array" ref="H98">_xlfn.SWITCH(G98, "SHALL", 1, "SHOULD", 3, "MAY", 5, "SHOULD-NOT", 4, "SHALL-NOT", 2, "DEPRECATED", 6, 99)</f>
        <v>1</v>
      </c>
      <c r="J98" t="s">
        <v>30</v>
      </c>
      <c r="K98" t="s">
        <v>1171</v>
      </c>
      <c r="L98" t="s">
        <v>1171</v>
      </c>
      <c r="M98" t="s">
        <v>1173</v>
      </c>
      <c r="N98" t="s">
        <v>1171</v>
      </c>
      <c r="O98" t="s">
        <v>1171</v>
      </c>
      <c r="P98" t="s">
        <v>1171</v>
      </c>
      <c r="Q98" t="s">
        <v>1171</v>
      </c>
      <c r="R98" t="s">
        <v>1171</v>
      </c>
      <c r="S98" s="70" t="str" cm="1">
        <f t="array" ref="S98">_xlfn.TEXTJOIN(",",TRUE,LEFT(TRIM(_xlfn.TEXTSPLIT(us_core_reqs[[#This Row],[reference]],",")),FIND(".html",TRIM(_xlfn.TEXTSPLIT(us_core_reqs[[#This Row],[reference]],",")))-1))</f>
        <v>must-support</v>
      </c>
      <c r="T98" s="70" t="str" cm="1">
        <f t="array" ref="T98">_xlfn.TEXTJOIN(",",TRUE,MID(TRIM(_xlfn.TEXTSPLIT(us_core_reqs[[#This Row],[reference]],",")),FIND("#",TRIM(_xlfn.TEXTSPLIT(us_core_reqs[[#This Row],[reference]],","))&amp;"#")+1,1000))</f>
        <v>must-support---complex-elements</v>
      </c>
      <c r="U98" t="str" cm="1">
        <f t="array" ref="U98">_xlfn.TEXTJOIN(", ",TRUE,SUBSTITUTE(SUBSTITUTE(PROPER(SUBSTITUTE(TRIM(_xlfn.TEXTSPLIT(us_core_reqs[[#This Row],[Page]],","))," -"," "))&amp;": "&amp;PROPER(SUBSTITUTE(TRIM(_xlfn.TEXTSPLIT(us_core_reqs[[#This Row],[Section]],","))," -"," ")),"Us ","US        
  "),"Uscdi","USCDI"))</f>
        <v>Must-Support: Must-Support---Complex-Elements</v>
      </c>
      <c r="V98" t="s">
        <v>29</v>
      </c>
      <c r="W98" t="s">
        <v>30</v>
      </c>
      <c r="X98" t="s">
        <v>1171</v>
      </c>
      <c r="Y98" t="s">
        <v>1171</v>
      </c>
      <c r="Z98" t="s">
        <v>1171</v>
      </c>
      <c r="AA98" t="s">
        <v>1171</v>
      </c>
      <c r="AB98" t="s">
        <v>1171</v>
      </c>
      <c r="AC98" t="s">
        <v>1171</v>
      </c>
      <c r="AD98" t="s">
        <v>1140</v>
      </c>
      <c r="AE98" t="s">
        <v>1171</v>
      </c>
    </row>
    <row r="99" spans="1:31" ht="52" thickBot="1" x14ac:dyDescent="0.25">
      <c r="A99" t="s">
        <v>1171</v>
      </c>
      <c r="B99" t="s">
        <v>1271</v>
      </c>
      <c r="C99" t="str">
        <f>"CONF-"&amp;TEXT(us_core_reqs[[#This Row],[ID*]], "0000")</f>
        <v>CONF-0098</v>
      </c>
      <c r="D99" s="11" t="s">
        <v>616</v>
      </c>
      <c r="E99" s="73" t="str" cm="1">
        <f t="array" ref="E99">_xlfn.TEXTJOIN(", ", TRUE, _xlfn.TEXTAFTER(_xlfn.TEXTSPLIT(us_core_reqs[[#This Row],[URL*]], ", "), "/", -1))</f>
        <v>must-support.html#must-support---complex-elements</v>
      </c>
      <c r="F99" s="11" t="s">
        <v>2044</v>
      </c>
      <c r="G99" t="s">
        <v>29</v>
      </c>
      <c r="H99" cm="1">
        <f t="array" ref="H99">_xlfn.SWITCH(G99, "SHALL", 1, "SHOULD", 3, "MAY", 5, "SHOULD-NOT", 4, "SHALL-NOT", 2, "DEPRECATED", 6, 99)</f>
        <v>1</v>
      </c>
      <c r="J99" t="s">
        <v>58</v>
      </c>
      <c r="K99" t="s">
        <v>1171</v>
      </c>
      <c r="L99" t="s">
        <v>1171</v>
      </c>
      <c r="M99" t="s">
        <v>1173</v>
      </c>
      <c r="N99" t="s">
        <v>1171</v>
      </c>
      <c r="O99" t="s">
        <v>1171</v>
      </c>
      <c r="P99" t="s">
        <v>1171</v>
      </c>
      <c r="Q99" t="s">
        <v>1171</v>
      </c>
      <c r="R99" t="s">
        <v>1171</v>
      </c>
      <c r="S99" s="70" t="str" cm="1">
        <f t="array" ref="S99">_xlfn.TEXTJOIN(",",TRUE,LEFT(TRIM(_xlfn.TEXTSPLIT(us_core_reqs[[#This Row],[reference]],",")),FIND(".html",TRIM(_xlfn.TEXTSPLIT(us_core_reqs[[#This Row],[reference]],",")))-1))</f>
        <v>must-support</v>
      </c>
      <c r="T99" s="70" t="str" cm="1">
        <f t="array" ref="T99">_xlfn.TEXTJOIN(",",TRUE,MID(TRIM(_xlfn.TEXTSPLIT(us_core_reqs[[#This Row],[reference]],",")),FIND("#",TRIM(_xlfn.TEXTSPLIT(us_core_reqs[[#This Row],[reference]],","))&amp;"#")+1,1000))</f>
        <v>must-support---complex-elements</v>
      </c>
      <c r="U99" t="str" cm="1">
        <f t="array" ref="U99">_xlfn.TEXTJOIN(", ",TRUE,SUBSTITUTE(SUBSTITUTE(PROPER(SUBSTITUTE(TRIM(_xlfn.TEXTSPLIT(us_core_reqs[[#This Row],[Page]],","))," -"," "))&amp;": "&amp;PROPER(SUBSTITUTE(TRIM(_xlfn.TEXTSPLIT(us_core_reqs[[#This Row],[Section]],","))," -"," ")),"Us ","US        
  "),"Uscdi","USCDI"))</f>
        <v>Must-Support: Must-Support---Complex-Elements</v>
      </c>
      <c r="V99" t="s">
        <v>29</v>
      </c>
      <c r="W99" t="s">
        <v>58</v>
      </c>
      <c r="X99" t="s">
        <v>1171</v>
      </c>
      <c r="Y99" t="s">
        <v>1171</v>
      </c>
      <c r="Z99" t="s">
        <v>1171</v>
      </c>
      <c r="AA99" t="s">
        <v>1171</v>
      </c>
      <c r="AB99" t="s">
        <v>1171</v>
      </c>
      <c r="AC99" t="s">
        <v>1171</v>
      </c>
      <c r="AD99" t="s">
        <v>1171</v>
      </c>
      <c r="AE99" t="s">
        <v>1171</v>
      </c>
    </row>
    <row r="100" spans="1:31" ht="69" thickBot="1" x14ac:dyDescent="0.25">
      <c r="A100" t="s">
        <v>1171</v>
      </c>
      <c r="B100" t="s">
        <v>1272</v>
      </c>
      <c r="C100" t="str">
        <f>"CONF-"&amp;TEXT(us_core_reqs[[#This Row],[ID*]], "0000")</f>
        <v>CONF-0099</v>
      </c>
      <c r="D100" s="11" t="s">
        <v>616</v>
      </c>
      <c r="E100" s="73" t="str" cm="1">
        <f t="array" ref="E100">_xlfn.TEXTJOIN(", ", TRUE, _xlfn.TEXTAFTER(_xlfn.TEXTSPLIT(us_core_reqs[[#This Row],[URL*]], ", "), "/", -1))</f>
        <v>must-support.html#must-support---complex-elements</v>
      </c>
      <c r="F100" s="11" t="s">
        <v>2045</v>
      </c>
      <c r="G100" t="s">
        <v>29</v>
      </c>
      <c r="H100" cm="1">
        <f t="array" ref="H100">_xlfn.SWITCH(G100, "SHALL", 1, "SHOULD", 3, "MAY", 5, "SHOULD-NOT", 4, "SHALL-NOT", 2, "DEPRECATED", 6, 99)</f>
        <v>1</v>
      </c>
      <c r="J100" t="s">
        <v>30</v>
      </c>
      <c r="K100" t="s">
        <v>1171</v>
      </c>
      <c r="L100" t="s">
        <v>1171</v>
      </c>
      <c r="M100" t="s">
        <v>1173</v>
      </c>
      <c r="N100" t="s">
        <v>1171</v>
      </c>
      <c r="O100" t="s">
        <v>1171</v>
      </c>
      <c r="P100" t="s">
        <v>1171</v>
      </c>
      <c r="Q100" t="s">
        <v>1171</v>
      </c>
      <c r="R100" t="s">
        <v>1171</v>
      </c>
      <c r="S100" s="70" t="str" cm="1">
        <f t="array" ref="S100">_xlfn.TEXTJOIN(",",TRUE,LEFT(TRIM(_xlfn.TEXTSPLIT(us_core_reqs[[#This Row],[reference]],",")),FIND(".html",TRIM(_xlfn.TEXTSPLIT(us_core_reqs[[#This Row],[reference]],",")))-1))</f>
        <v>must-support</v>
      </c>
      <c r="T100" s="70" t="str" cm="1">
        <f t="array" ref="T100">_xlfn.TEXTJOIN(",",TRUE,MID(TRIM(_xlfn.TEXTSPLIT(us_core_reqs[[#This Row],[reference]],",")),FIND("#",TRIM(_xlfn.TEXTSPLIT(us_core_reqs[[#This Row],[reference]],","))&amp;"#")+1,1000))</f>
        <v>must-support---complex-elements</v>
      </c>
      <c r="U100" t="str" cm="1">
        <f t="array" ref="U100">_xlfn.TEXTJOIN(", ",TRUE,SUBSTITUTE(SUBSTITUTE(PROPER(SUBSTITUTE(TRIM(_xlfn.TEXTSPLIT(us_core_reqs[[#This Row],[Page]],","))," -"," "))&amp;": "&amp;PROPER(SUBSTITUTE(TRIM(_xlfn.TEXTSPLIT(us_core_reqs[[#This Row],[Section]],","))," -"," ")),"Us ","US        
  "),"Uscdi","USCDI"))</f>
        <v>Must-Support: Must-Support---Complex-Elements</v>
      </c>
      <c r="V100" t="s">
        <v>29</v>
      </c>
      <c r="W100" t="s">
        <v>30</v>
      </c>
      <c r="X100" t="s">
        <v>1171</v>
      </c>
      <c r="Y100" t="s">
        <v>1171</v>
      </c>
      <c r="Z100" t="s">
        <v>1171</v>
      </c>
      <c r="AA100" t="s">
        <v>1171</v>
      </c>
      <c r="AB100" t="s">
        <v>1171</v>
      </c>
      <c r="AC100" t="s">
        <v>1171</v>
      </c>
      <c r="AD100" t="s">
        <v>1140</v>
      </c>
      <c r="AE100" t="s">
        <v>1171</v>
      </c>
    </row>
    <row r="101" spans="1:31" ht="69" thickBot="1" x14ac:dyDescent="0.25">
      <c r="A101" t="s">
        <v>1171</v>
      </c>
      <c r="B101" t="s">
        <v>1273</v>
      </c>
      <c r="C101" t="str">
        <f>"CONF-"&amp;TEXT(us_core_reqs[[#This Row],[ID*]], "0000")</f>
        <v>CONF-0100</v>
      </c>
      <c r="D101" s="11" t="s">
        <v>616</v>
      </c>
      <c r="E101" s="73" t="str" cm="1">
        <f t="array" ref="E101">_xlfn.TEXTJOIN(", ", TRUE, _xlfn.TEXTAFTER(_xlfn.TEXTSPLIT(us_core_reqs[[#This Row],[URL*]], ", "), "/", -1))</f>
        <v>must-support.html#must-support---complex-elements</v>
      </c>
      <c r="F101" s="11" t="s">
        <v>2046</v>
      </c>
      <c r="G101" t="s">
        <v>29</v>
      </c>
      <c r="H101" cm="1">
        <f t="array" ref="H101">_xlfn.SWITCH(G101, "SHALL", 1, "SHOULD", 3, "MAY", 5, "SHOULD-NOT", 4, "SHALL-NOT", 2, "DEPRECATED", 6, 99)</f>
        <v>1</v>
      </c>
      <c r="J101" t="s">
        <v>58</v>
      </c>
      <c r="K101" t="s">
        <v>1171</v>
      </c>
      <c r="L101" t="s">
        <v>1171</v>
      </c>
      <c r="M101" t="s">
        <v>1173</v>
      </c>
      <c r="N101" t="s">
        <v>1171</v>
      </c>
      <c r="O101" t="s">
        <v>1171</v>
      </c>
      <c r="P101" t="s">
        <v>1171</v>
      </c>
      <c r="Q101" t="s">
        <v>1171</v>
      </c>
      <c r="R101" t="s">
        <v>1171</v>
      </c>
      <c r="S101" s="70" t="str" cm="1">
        <f t="array" ref="S101">_xlfn.TEXTJOIN(",",TRUE,LEFT(TRIM(_xlfn.TEXTSPLIT(us_core_reqs[[#This Row],[reference]],",")),FIND(".html",TRIM(_xlfn.TEXTSPLIT(us_core_reqs[[#This Row],[reference]],",")))-1))</f>
        <v>must-support</v>
      </c>
      <c r="T101" s="70" t="str" cm="1">
        <f t="array" ref="T101">_xlfn.TEXTJOIN(",",TRUE,MID(TRIM(_xlfn.TEXTSPLIT(us_core_reqs[[#This Row],[reference]],",")),FIND("#",TRIM(_xlfn.TEXTSPLIT(us_core_reqs[[#This Row],[reference]],","))&amp;"#")+1,1000))</f>
        <v>must-support---complex-elements</v>
      </c>
      <c r="U101" t="str" cm="1">
        <f t="array" ref="U101">_xlfn.TEXTJOIN(", ",TRUE,SUBSTITUTE(SUBSTITUTE(PROPER(SUBSTITUTE(TRIM(_xlfn.TEXTSPLIT(us_core_reqs[[#This Row],[Page]],","))," -"," "))&amp;": "&amp;PROPER(SUBSTITUTE(TRIM(_xlfn.TEXTSPLIT(us_core_reqs[[#This Row],[Section]],","))," -"," ")),"Us ","US        
  "),"Uscdi","USCDI"))</f>
        <v>Must-Support: Must-Support---Complex-Elements</v>
      </c>
      <c r="V101" t="s">
        <v>29</v>
      </c>
      <c r="W101" t="s">
        <v>58</v>
      </c>
      <c r="X101" t="s">
        <v>1171</v>
      </c>
      <c r="Y101" t="s">
        <v>1171</v>
      </c>
      <c r="Z101" t="s">
        <v>1171</v>
      </c>
      <c r="AA101" t="s">
        <v>1171</v>
      </c>
      <c r="AB101" t="s">
        <v>1171</v>
      </c>
      <c r="AC101" t="s">
        <v>1171</v>
      </c>
      <c r="AD101" t="s">
        <v>1171</v>
      </c>
      <c r="AE101" t="s">
        <v>1171</v>
      </c>
    </row>
    <row r="102" spans="1:31" ht="52" thickBot="1" x14ac:dyDescent="0.25">
      <c r="A102" t="s">
        <v>1171</v>
      </c>
      <c r="B102" t="s">
        <v>1274</v>
      </c>
      <c r="C102" t="str">
        <f>"CONF-"&amp;TEXT(us_core_reqs[[#This Row],[ID*]], "0000")</f>
        <v>CONF-0101</v>
      </c>
      <c r="D102" s="11" t="s">
        <v>616</v>
      </c>
      <c r="E102" s="73" t="str" cm="1">
        <f t="array" ref="E102">_xlfn.TEXTJOIN(", ", TRUE, _xlfn.TEXTAFTER(_xlfn.TEXTSPLIT(us_core_reqs[[#This Row],[URL*]], ", "), "/", -1))</f>
        <v>must-support.html#must-support---complex-elements</v>
      </c>
      <c r="F102" s="11" t="s">
        <v>138</v>
      </c>
      <c r="G102" t="s">
        <v>35</v>
      </c>
      <c r="H102" cm="1">
        <f t="array" ref="H102">_xlfn.SWITCH(G102, "SHALL", 1, "SHOULD", 3, "MAY", 5, "SHOULD-NOT", 4, "SHALL-NOT", 2, "DEPRECATED", 6, 99)</f>
        <v>5</v>
      </c>
      <c r="J102" t="s">
        <v>30</v>
      </c>
      <c r="K102" t="s">
        <v>1171</v>
      </c>
      <c r="L102" t="s">
        <v>1171</v>
      </c>
      <c r="M102" t="s">
        <v>1173</v>
      </c>
      <c r="N102" t="s">
        <v>1171</v>
      </c>
      <c r="O102" t="s">
        <v>1171</v>
      </c>
      <c r="P102" t="s">
        <v>1171</v>
      </c>
      <c r="Q102" t="s">
        <v>1171</v>
      </c>
      <c r="R102" t="s">
        <v>1171</v>
      </c>
      <c r="S102" s="70" t="str" cm="1">
        <f t="array" ref="S102">_xlfn.TEXTJOIN(",",TRUE,LEFT(TRIM(_xlfn.TEXTSPLIT(us_core_reqs[[#This Row],[reference]],",")),FIND(".html",TRIM(_xlfn.TEXTSPLIT(us_core_reqs[[#This Row],[reference]],",")))-1))</f>
        <v>must-support</v>
      </c>
      <c r="T102" s="70" t="str" cm="1">
        <f t="array" ref="T102">_xlfn.TEXTJOIN(",",TRUE,MID(TRIM(_xlfn.TEXTSPLIT(us_core_reqs[[#This Row],[reference]],",")),FIND("#",TRIM(_xlfn.TEXTSPLIT(us_core_reqs[[#This Row],[reference]],","))&amp;"#")+1,1000))</f>
        <v>must-support---complex-elements</v>
      </c>
      <c r="U102" t="str" cm="1">
        <f t="array" ref="U102">_xlfn.TEXTJOIN(", ",TRUE,SUBSTITUTE(SUBSTITUTE(PROPER(SUBSTITUTE(TRIM(_xlfn.TEXTSPLIT(us_core_reqs[[#This Row],[Page]],","))," -"," "))&amp;": "&amp;PROPER(SUBSTITUTE(TRIM(_xlfn.TEXTSPLIT(us_core_reqs[[#This Row],[Section]],","))," -"," ")),"Us ","US        
  "),"Uscdi","USCDI"))</f>
        <v>Must-Support: Must-Support---Complex-Elements</v>
      </c>
      <c r="V102" t="s">
        <v>1171</v>
      </c>
      <c r="W102" t="s">
        <v>30</v>
      </c>
      <c r="X102" t="s">
        <v>1171</v>
      </c>
      <c r="Y102" t="s">
        <v>1171</v>
      </c>
      <c r="Z102" t="s">
        <v>1171</v>
      </c>
      <c r="AA102" t="s">
        <v>1171</v>
      </c>
      <c r="AB102" t="s">
        <v>1171</v>
      </c>
      <c r="AC102" t="s">
        <v>1171</v>
      </c>
      <c r="AD102" t="s">
        <v>1171</v>
      </c>
      <c r="AE102" t="s">
        <v>1171</v>
      </c>
    </row>
    <row r="103" spans="1:31" ht="52" thickBot="1" x14ac:dyDescent="0.25">
      <c r="A103" t="s">
        <v>1171</v>
      </c>
      <c r="B103" t="s">
        <v>1275</v>
      </c>
      <c r="C103" t="str">
        <f>"CONF-"&amp;TEXT(us_core_reqs[[#This Row],[ID*]], "0000")</f>
        <v>CONF-0102</v>
      </c>
      <c r="D103" s="11" t="s">
        <v>616</v>
      </c>
      <c r="E103" s="73" t="str" cm="1">
        <f t="array" ref="E103">_xlfn.TEXTJOIN(", ", TRUE, _xlfn.TEXTAFTER(_xlfn.TEXTSPLIT(us_core_reqs[[#This Row],[URL*]], ", "), "/", -1))</f>
        <v>must-support.html#must-support---complex-elements</v>
      </c>
      <c r="F103" s="11" t="s">
        <v>139</v>
      </c>
      <c r="G103" t="s">
        <v>35</v>
      </c>
      <c r="H103" cm="1">
        <f t="array" ref="H103">_xlfn.SWITCH(G103, "SHALL", 1, "SHOULD", 3, "MAY", 5, "SHOULD-NOT", 4, "SHALL-NOT", 2, "DEPRECATED", 6, 99)</f>
        <v>5</v>
      </c>
      <c r="J103" t="s">
        <v>58</v>
      </c>
      <c r="K103" t="s">
        <v>1171</v>
      </c>
      <c r="L103" t="s">
        <v>1171</v>
      </c>
      <c r="M103" t="s">
        <v>1173</v>
      </c>
      <c r="N103" t="s">
        <v>1171</v>
      </c>
      <c r="O103" t="s">
        <v>1171</v>
      </c>
      <c r="P103" t="s">
        <v>1171</v>
      </c>
      <c r="Q103" t="s">
        <v>1171</v>
      </c>
      <c r="R103" t="s">
        <v>1171</v>
      </c>
      <c r="S103" s="70" t="str" cm="1">
        <f t="array" ref="S103">_xlfn.TEXTJOIN(",",TRUE,LEFT(TRIM(_xlfn.TEXTSPLIT(us_core_reqs[[#This Row],[reference]],",")),FIND(".html",TRIM(_xlfn.TEXTSPLIT(us_core_reqs[[#This Row],[reference]],",")))-1))</f>
        <v>must-support</v>
      </c>
      <c r="T103" s="70" t="str" cm="1">
        <f t="array" ref="T103">_xlfn.TEXTJOIN(",",TRUE,MID(TRIM(_xlfn.TEXTSPLIT(us_core_reqs[[#This Row],[reference]],",")),FIND("#",TRIM(_xlfn.TEXTSPLIT(us_core_reqs[[#This Row],[reference]],","))&amp;"#")+1,1000))</f>
        <v>must-support---complex-elements</v>
      </c>
      <c r="U103" t="str" cm="1">
        <f t="array" ref="U103">_xlfn.TEXTJOIN(", ",TRUE,SUBSTITUTE(SUBSTITUTE(PROPER(SUBSTITUTE(TRIM(_xlfn.TEXTSPLIT(us_core_reqs[[#This Row],[Page]],","))," -"," "))&amp;": "&amp;PROPER(SUBSTITUTE(TRIM(_xlfn.TEXTSPLIT(us_core_reqs[[#This Row],[Section]],","))," -"," ")),"Us ","US        
  "),"Uscdi","USCDI"))</f>
        <v>Must-Support: Must-Support---Complex-Elements</v>
      </c>
      <c r="V103" t="s">
        <v>1171</v>
      </c>
      <c r="W103" t="s">
        <v>58</v>
      </c>
      <c r="X103" t="s">
        <v>1171</v>
      </c>
      <c r="Y103" t="s">
        <v>1171</v>
      </c>
      <c r="Z103" t="s">
        <v>1171</v>
      </c>
      <c r="AA103" t="s">
        <v>1171</v>
      </c>
      <c r="AB103" t="s">
        <v>1171</v>
      </c>
      <c r="AC103" t="s">
        <v>1171</v>
      </c>
      <c r="AD103" t="s">
        <v>1171</v>
      </c>
      <c r="AE103" t="s">
        <v>1171</v>
      </c>
    </row>
    <row r="104" spans="1:31" ht="69" thickBot="1" x14ac:dyDescent="0.25">
      <c r="A104" t="s">
        <v>1171</v>
      </c>
      <c r="B104" t="s">
        <v>1276</v>
      </c>
      <c r="C104" t="str">
        <f>"CONF-"&amp;TEXT(us_core_reqs[[#This Row],[ID*]], "0000")</f>
        <v>CONF-0103</v>
      </c>
      <c r="D104" s="11" t="s">
        <v>616</v>
      </c>
      <c r="E104" s="73" t="str" cm="1">
        <f t="array" ref="E104">_xlfn.TEXTJOIN(", ", TRUE, _xlfn.TEXTAFTER(_xlfn.TEXTSPLIT(us_core_reqs[[#This Row],[URL*]], ", "), "/", -1))</f>
        <v>must-support.html#must-support---complex-elements</v>
      </c>
      <c r="F104" s="11" t="s">
        <v>140</v>
      </c>
      <c r="G104" t="s">
        <v>35</v>
      </c>
      <c r="H104" cm="1">
        <f t="array" ref="H104">_xlfn.SWITCH(G104, "SHALL", 1, "SHOULD", 3, "MAY", 5, "SHOULD-NOT", 4, "SHALL-NOT", 2, "DEPRECATED", 6, 99)</f>
        <v>5</v>
      </c>
      <c r="I104" t="s">
        <v>1855</v>
      </c>
      <c r="J104" t="s">
        <v>30</v>
      </c>
      <c r="K104" t="s">
        <v>1171</v>
      </c>
      <c r="L104" t="s">
        <v>1171</v>
      </c>
      <c r="M104" t="s">
        <v>1173</v>
      </c>
      <c r="N104" t="s">
        <v>1171</v>
      </c>
      <c r="O104" t="s">
        <v>1171</v>
      </c>
      <c r="P104" t="s">
        <v>1171</v>
      </c>
      <c r="Q104" t="s">
        <v>1171</v>
      </c>
      <c r="R104" t="s">
        <v>1171</v>
      </c>
      <c r="S104" s="70" t="str" cm="1">
        <f t="array" ref="S104">_xlfn.TEXTJOIN(",",TRUE,LEFT(TRIM(_xlfn.TEXTSPLIT(us_core_reqs[[#This Row],[reference]],",")),FIND(".html",TRIM(_xlfn.TEXTSPLIT(us_core_reqs[[#This Row],[reference]],",")))-1))</f>
        <v>must-support</v>
      </c>
      <c r="T104" s="70" t="str" cm="1">
        <f t="array" ref="T104">_xlfn.TEXTJOIN(",",TRUE,MID(TRIM(_xlfn.TEXTSPLIT(us_core_reqs[[#This Row],[reference]],",")),FIND("#",TRIM(_xlfn.TEXTSPLIT(us_core_reqs[[#This Row],[reference]],","))&amp;"#")+1,1000))</f>
        <v>must-support---complex-elements</v>
      </c>
      <c r="U104" t="str" cm="1">
        <f t="array" ref="U104">_xlfn.TEXTJOIN(", ",TRUE,SUBSTITUTE(SUBSTITUTE(PROPER(SUBSTITUTE(TRIM(_xlfn.TEXTSPLIT(us_core_reqs[[#This Row],[Page]],","))," -"," "))&amp;": "&amp;PROPER(SUBSTITUTE(TRIM(_xlfn.TEXTSPLIT(us_core_reqs[[#This Row],[Section]],","))," -"," ")),"Us ","US        
  "),"Uscdi","USCDI"))</f>
        <v>Must-Support: Must-Support---Complex-Elements</v>
      </c>
      <c r="V104" t="s">
        <v>35</v>
      </c>
      <c r="W104" t="s">
        <v>30</v>
      </c>
      <c r="X104" t="s">
        <v>1171</v>
      </c>
      <c r="Y104" t="s">
        <v>1171</v>
      </c>
      <c r="Z104" t="s">
        <v>1171</v>
      </c>
      <c r="AA104" t="s">
        <v>1171</v>
      </c>
      <c r="AB104" t="s">
        <v>1171</v>
      </c>
      <c r="AC104" t="s">
        <v>1171</v>
      </c>
      <c r="AD104" t="s">
        <v>1171</v>
      </c>
      <c r="AE104" t="s">
        <v>1171</v>
      </c>
    </row>
    <row r="105" spans="1:31" ht="69" thickBot="1" x14ac:dyDescent="0.25">
      <c r="A105" t="s">
        <v>1171</v>
      </c>
      <c r="B105" t="s">
        <v>1277</v>
      </c>
      <c r="C105" t="str">
        <f>"CONF-"&amp;TEXT(us_core_reqs[[#This Row],[ID*]], "0000")</f>
        <v>CONF-0104</v>
      </c>
      <c r="D105" s="11" t="s">
        <v>616</v>
      </c>
      <c r="E105" s="73" t="str" cm="1">
        <f t="array" ref="E105">_xlfn.TEXTJOIN(", ", TRUE, _xlfn.TEXTAFTER(_xlfn.TEXTSPLIT(us_core_reqs[[#This Row],[URL*]], ", "), "/", -1))</f>
        <v>must-support.html#must-support---complex-elements</v>
      </c>
      <c r="F105" s="11" t="s">
        <v>141</v>
      </c>
      <c r="G105" t="s">
        <v>35</v>
      </c>
      <c r="H105" cm="1">
        <f t="array" ref="H105">_xlfn.SWITCH(G105, "SHALL", 1, "SHOULD", 3, "MAY", 5, "SHOULD-NOT", 4, "SHALL-NOT", 2, "DEPRECATED", 6, 99)</f>
        <v>5</v>
      </c>
      <c r="J105" t="s">
        <v>58</v>
      </c>
      <c r="K105" t="s">
        <v>1171</v>
      </c>
      <c r="L105" t="s">
        <v>1171</v>
      </c>
      <c r="M105" t="s">
        <v>1173</v>
      </c>
      <c r="N105" t="s">
        <v>1171</v>
      </c>
      <c r="O105" t="s">
        <v>1171</v>
      </c>
      <c r="P105" t="s">
        <v>1171</v>
      </c>
      <c r="Q105" t="s">
        <v>1171</v>
      </c>
      <c r="R105" t="s">
        <v>1171</v>
      </c>
      <c r="S105" s="70" t="str" cm="1">
        <f t="array" ref="S105">_xlfn.TEXTJOIN(",",TRUE,LEFT(TRIM(_xlfn.TEXTSPLIT(us_core_reqs[[#This Row],[reference]],",")),FIND(".html",TRIM(_xlfn.TEXTSPLIT(us_core_reqs[[#This Row],[reference]],",")))-1))</f>
        <v>must-support</v>
      </c>
      <c r="T105" s="70" t="str" cm="1">
        <f t="array" ref="T105">_xlfn.TEXTJOIN(",",TRUE,MID(TRIM(_xlfn.TEXTSPLIT(us_core_reqs[[#This Row],[reference]],",")),FIND("#",TRIM(_xlfn.TEXTSPLIT(us_core_reqs[[#This Row],[reference]],","))&amp;"#")+1,1000))</f>
        <v>must-support---complex-elements</v>
      </c>
      <c r="U105" t="str" cm="1">
        <f t="array" ref="U105">_xlfn.TEXTJOIN(", ",TRUE,SUBSTITUTE(SUBSTITUTE(PROPER(SUBSTITUTE(TRIM(_xlfn.TEXTSPLIT(us_core_reqs[[#This Row],[Page]],","))," -"," "))&amp;": "&amp;PROPER(SUBSTITUTE(TRIM(_xlfn.TEXTSPLIT(us_core_reqs[[#This Row],[Section]],","))," -"," ")),"Us ","US        
  "),"Uscdi","USCDI"))</f>
        <v>Must-Support: Must-Support---Complex-Elements</v>
      </c>
      <c r="V105" t="s">
        <v>35</v>
      </c>
      <c r="W105" t="s">
        <v>58</v>
      </c>
      <c r="X105" t="s">
        <v>1171</v>
      </c>
      <c r="Y105" t="s">
        <v>1171</v>
      </c>
      <c r="Z105" t="s">
        <v>1171</v>
      </c>
      <c r="AA105" t="s">
        <v>1171</v>
      </c>
      <c r="AB105" t="s">
        <v>1171</v>
      </c>
      <c r="AC105" t="s">
        <v>1171</v>
      </c>
      <c r="AD105" t="s">
        <v>1171</v>
      </c>
      <c r="AE105" t="s">
        <v>1171</v>
      </c>
    </row>
    <row r="106" spans="1:31" ht="120" thickBot="1" x14ac:dyDescent="0.25">
      <c r="A106" t="s">
        <v>1171</v>
      </c>
      <c r="B106" t="s">
        <v>1278</v>
      </c>
      <c r="C106" t="str">
        <f>"CONF-"&amp;TEXT(us_core_reqs[[#This Row],[ID*]], "0000")</f>
        <v>CONF-0105</v>
      </c>
      <c r="D106" s="11" t="s">
        <v>617</v>
      </c>
      <c r="E106" s="73" t="str" cm="1">
        <f t="array" ref="E106">_xlfn.TEXTJOIN(", ", TRUE, _xlfn.TEXTAFTER(_xlfn.TEXTSPLIT(us_core_reqs[[#This Row],[URL*]], ", "), "/", -1))</f>
        <v>must-support.html#must-support---resource-references</v>
      </c>
      <c r="F106" s="11" t="s">
        <v>142</v>
      </c>
      <c r="G106" t="s">
        <v>29</v>
      </c>
      <c r="H106" cm="1">
        <f t="array" ref="H106">_xlfn.SWITCH(G106, "SHALL", 1, "SHOULD", 3, "MAY", 5, "SHOULD-NOT", 4, "SHALL-NOT", 2, "DEPRECATED", 6, 99)</f>
        <v>1</v>
      </c>
      <c r="I106" t="s">
        <v>1861</v>
      </c>
      <c r="J106" t="s">
        <v>30</v>
      </c>
      <c r="K106" t="s">
        <v>1171</v>
      </c>
      <c r="L106" t="s">
        <v>1171</v>
      </c>
      <c r="M106" t="s">
        <v>1173</v>
      </c>
      <c r="N106" t="s">
        <v>1171</v>
      </c>
      <c r="O106" t="s">
        <v>1171</v>
      </c>
      <c r="P106" t="s">
        <v>1171</v>
      </c>
      <c r="Q106" t="s">
        <v>1171</v>
      </c>
      <c r="R106" t="s">
        <v>1171</v>
      </c>
      <c r="S106" s="70" t="str" cm="1">
        <f t="array" ref="S106">_xlfn.TEXTJOIN(",",TRUE,LEFT(TRIM(_xlfn.TEXTSPLIT(us_core_reqs[[#This Row],[reference]],",")),FIND(".html",TRIM(_xlfn.TEXTSPLIT(us_core_reqs[[#This Row],[reference]],",")))-1))</f>
        <v>must-support</v>
      </c>
      <c r="T106" s="70" t="str" cm="1">
        <f t="array" ref="T106">_xlfn.TEXTJOIN(",",TRUE,MID(TRIM(_xlfn.TEXTSPLIT(us_core_reqs[[#This Row],[reference]],",")),FIND("#",TRIM(_xlfn.TEXTSPLIT(us_core_reqs[[#This Row],[reference]],","))&amp;"#")+1,1000))</f>
        <v>must-support---resource-references</v>
      </c>
      <c r="U106" t="str" cm="1">
        <f t="array" ref="U106">_xlfn.TEXTJOIN(", ",TRUE,SUBSTITUTE(SUBSTITUTE(PROPER(SUBSTITUTE(TRIM(_xlfn.TEXTSPLIT(us_core_reqs[[#This Row],[Page]],","))," -"," "))&amp;": "&amp;PROPER(SUBSTITUTE(TRIM(_xlfn.TEXTSPLIT(us_core_reqs[[#This Row],[Section]],","))," -"," ")),"Us ","US        
  "),"Uscdi","USCDI"))</f>
        <v>Must-Support: Must-Support---Resource-References</v>
      </c>
      <c r="V106" t="s">
        <v>29</v>
      </c>
      <c r="W106" t="s">
        <v>30</v>
      </c>
      <c r="X106" t="s">
        <v>143</v>
      </c>
      <c r="Y106" t="s">
        <v>1171</v>
      </c>
      <c r="Z106" t="s">
        <v>1171</v>
      </c>
      <c r="AA106" t="s">
        <v>1171</v>
      </c>
      <c r="AB106" t="s">
        <v>1171</v>
      </c>
      <c r="AC106" t="s">
        <v>1171</v>
      </c>
      <c r="AD106" t="s">
        <v>1140</v>
      </c>
      <c r="AE106" t="s">
        <v>1171</v>
      </c>
    </row>
    <row r="107" spans="1:31" ht="120" thickBot="1" x14ac:dyDescent="0.25">
      <c r="A107" t="s">
        <v>1171</v>
      </c>
      <c r="B107" t="s">
        <v>1279</v>
      </c>
      <c r="C107" t="str">
        <f>"CONF-"&amp;TEXT(us_core_reqs[[#This Row],[ID*]], "0000")</f>
        <v>CONF-0106</v>
      </c>
      <c r="D107" s="11" t="s">
        <v>617</v>
      </c>
      <c r="E107" s="73" t="str" cm="1">
        <f t="array" ref="E107">_xlfn.TEXTJOIN(", ", TRUE, _xlfn.TEXTAFTER(_xlfn.TEXTSPLIT(us_core_reqs[[#This Row],[URL*]], ", "), "/", -1))</f>
        <v>must-support.html#must-support---resource-references</v>
      </c>
      <c r="F107" s="11" t="s">
        <v>144</v>
      </c>
      <c r="G107" t="s">
        <v>29</v>
      </c>
      <c r="H107" cm="1">
        <f t="array" ref="H107">_xlfn.SWITCH(G107, "SHALL", 1, "SHOULD", 3, "MAY", 5, "SHOULD-NOT", 4, "SHALL-NOT", 2, "DEPRECATED", 6, 99)</f>
        <v>1</v>
      </c>
      <c r="I107" t="s">
        <v>1861</v>
      </c>
      <c r="J107" t="s">
        <v>58</v>
      </c>
      <c r="K107" t="s">
        <v>1171</v>
      </c>
      <c r="L107" t="s">
        <v>1171</v>
      </c>
      <c r="M107" t="s">
        <v>1173</v>
      </c>
      <c r="N107" t="s">
        <v>1171</v>
      </c>
      <c r="O107" t="s">
        <v>1171</v>
      </c>
      <c r="P107" t="s">
        <v>1171</v>
      </c>
      <c r="Q107" t="s">
        <v>1171</v>
      </c>
      <c r="R107" t="s">
        <v>1171</v>
      </c>
      <c r="S107" s="70" t="str" cm="1">
        <f t="array" ref="S107">_xlfn.TEXTJOIN(",",TRUE,LEFT(TRIM(_xlfn.TEXTSPLIT(us_core_reqs[[#This Row],[reference]],",")),FIND(".html",TRIM(_xlfn.TEXTSPLIT(us_core_reqs[[#This Row],[reference]],",")))-1))</f>
        <v>must-support</v>
      </c>
      <c r="T107" s="70" t="str" cm="1">
        <f t="array" ref="T107">_xlfn.TEXTJOIN(",",TRUE,MID(TRIM(_xlfn.TEXTSPLIT(us_core_reqs[[#This Row],[reference]],",")),FIND("#",TRIM(_xlfn.TEXTSPLIT(us_core_reqs[[#This Row],[reference]],","))&amp;"#")+1,1000))</f>
        <v>must-support---resource-references</v>
      </c>
      <c r="U107" t="str" cm="1">
        <f t="array" ref="U107">_xlfn.TEXTJOIN(", ",TRUE,SUBSTITUTE(SUBSTITUTE(PROPER(SUBSTITUTE(TRIM(_xlfn.TEXTSPLIT(us_core_reqs[[#This Row],[Page]],","))," -"," "))&amp;": "&amp;PROPER(SUBSTITUTE(TRIM(_xlfn.TEXTSPLIT(us_core_reqs[[#This Row],[Section]],","))," -"," ")),"Us ","US        
  "),"Uscdi","USCDI"))</f>
        <v>Must-Support: Must-Support---Resource-References</v>
      </c>
      <c r="V107" t="s">
        <v>29</v>
      </c>
      <c r="W107" t="s">
        <v>58</v>
      </c>
      <c r="X107" t="s">
        <v>143</v>
      </c>
      <c r="Y107" t="s">
        <v>1171</v>
      </c>
      <c r="Z107" t="s">
        <v>1171</v>
      </c>
      <c r="AA107" t="s">
        <v>1171</v>
      </c>
      <c r="AB107" t="s">
        <v>1171</v>
      </c>
      <c r="AC107" t="s">
        <v>1171</v>
      </c>
      <c r="AD107" t="s">
        <v>1171</v>
      </c>
      <c r="AE107" t="s">
        <v>1171</v>
      </c>
    </row>
    <row r="108" spans="1:31" ht="52" thickBot="1" x14ac:dyDescent="0.25">
      <c r="A108" t="s">
        <v>1171</v>
      </c>
      <c r="B108" t="s">
        <v>1280</v>
      </c>
      <c r="C108" t="str">
        <f>"CONF-"&amp;TEXT(us_core_reqs[[#This Row],[ID*]], "0000")</f>
        <v>CONF-0107</v>
      </c>
      <c r="D108" s="11" t="s">
        <v>617</v>
      </c>
      <c r="E108" s="73" t="str" cm="1">
        <f t="array" ref="E108">_xlfn.TEXTJOIN(", ", TRUE, _xlfn.TEXTAFTER(_xlfn.TEXTSPLIT(us_core_reqs[[#This Row],[URL*]], ", "), "/", -1))</f>
        <v>must-support.html#must-support---resource-references</v>
      </c>
      <c r="F108" s="11" t="s">
        <v>145</v>
      </c>
      <c r="G108" t="s">
        <v>35</v>
      </c>
      <c r="H108" cm="1">
        <f t="array" ref="H108">_xlfn.SWITCH(G108, "SHALL", 1, "SHOULD", 3, "MAY", 5, "SHOULD-NOT", 4, "SHALL-NOT", 2, "DEPRECATED", 6, 99)</f>
        <v>5</v>
      </c>
      <c r="J108" t="s">
        <v>30</v>
      </c>
      <c r="K108" t="s">
        <v>1171</v>
      </c>
      <c r="L108" t="s">
        <v>1171</v>
      </c>
      <c r="M108" t="s">
        <v>1171</v>
      </c>
      <c r="N108" t="s">
        <v>1171</v>
      </c>
      <c r="O108" t="s">
        <v>1171</v>
      </c>
      <c r="P108" t="s">
        <v>1171</v>
      </c>
      <c r="Q108" t="s">
        <v>1171</v>
      </c>
      <c r="R108" t="s">
        <v>1171</v>
      </c>
      <c r="S108" s="70" t="str" cm="1">
        <f t="array" ref="S108">_xlfn.TEXTJOIN(",",TRUE,LEFT(TRIM(_xlfn.TEXTSPLIT(us_core_reqs[[#This Row],[reference]],",")),FIND(".html",TRIM(_xlfn.TEXTSPLIT(us_core_reqs[[#This Row],[reference]],",")))-1))</f>
        <v>must-support</v>
      </c>
      <c r="T108" s="70" t="str" cm="1">
        <f t="array" ref="T108">_xlfn.TEXTJOIN(",",TRUE,MID(TRIM(_xlfn.TEXTSPLIT(us_core_reqs[[#This Row],[reference]],",")),FIND("#",TRIM(_xlfn.TEXTSPLIT(us_core_reqs[[#This Row],[reference]],","))&amp;"#")+1,1000))</f>
        <v>must-support---resource-references</v>
      </c>
      <c r="U108" t="str" cm="1">
        <f t="array" ref="U108">_xlfn.TEXTJOIN(", ",TRUE,SUBSTITUTE(SUBSTITUTE(PROPER(SUBSTITUTE(TRIM(_xlfn.TEXTSPLIT(us_core_reqs[[#This Row],[Page]],","))," -"," "))&amp;": "&amp;PROPER(SUBSTITUTE(TRIM(_xlfn.TEXTSPLIT(us_core_reqs[[#This Row],[Section]],","))," -"," ")),"Us ","US        
  "),"Uscdi","USCDI"))</f>
        <v>Must-Support: Must-Support---Resource-References</v>
      </c>
      <c r="V108" t="s">
        <v>1171</v>
      </c>
      <c r="W108" t="s">
        <v>30</v>
      </c>
      <c r="X108" t="s">
        <v>1171</v>
      </c>
      <c r="Y108" t="s">
        <v>1171</v>
      </c>
      <c r="Z108" t="s">
        <v>1171</v>
      </c>
      <c r="AA108" t="s">
        <v>1171</v>
      </c>
      <c r="AB108" t="s">
        <v>1171</v>
      </c>
      <c r="AC108" t="s">
        <v>1171</v>
      </c>
      <c r="AD108" t="s">
        <v>1171</v>
      </c>
      <c r="AE108" t="s">
        <v>1171</v>
      </c>
    </row>
    <row r="109" spans="1:31" ht="52" thickBot="1" x14ac:dyDescent="0.25">
      <c r="A109" t="s">
        <v>1171</v>
      </c>
      <c r="B109" t="s">
        <v>1281</v>
      </c>
      <c r="C109" t="str">
        <f>"CONF-"&amp;TEXT(us_core_reqs[[#This Row],[ID*]], "0000")</f>
        <v>CONF-0108</v>
      </c>
      <c r="D109" s="11" t="s">
        <v>617</v>
      </c>
      <c r="E109" s="73" t="str" cm="1">
        <f t="array" ref="E109">_xlfn.TEXTJOIN(", ", TRUE, _xlfn.TEXTAFTER(_xlfn.TEXTSPLIT(us_core_reqs[[#This Row],[URL*]], ", "), "/", -1))</f>
        <v>must-support.html#must-support---resource-references</v>
      </c>
      <c r="F109" s="11" t="s">
        <v>146</v>
      </c>
      <c r="G109" t="s">
        <v>35</v>
      </c>
      <c r="H109" cm="1">
        <f t="array" ref="H109">_xlfn.SWITCH(G109, "SHALL", 1, "SHOULD", 3, "MAY", 5, "SHOULD-NOT", 4, "SHALL-NOT", 2, "DEPRECATED", 6, 99)</f>
        <v>5</v>
      </c>
      <c r="J109" t="s">
        <v>58</v>
      </c>
      <c r="K109" t="s">
        <v>1171</v>
      </c>
      <c r="L109" t="s">
        <v>1171</v>
      </c>
      <c r="M109" t="s">
        <v>1171</v>
      </c>
      <c r="N109" t="s">
        <v>1171</v>
      </c>
      <c r="O109" t="s">
        <v>1171</v>
      </c>
      <c r="P109" t="s">
        <v>1171</v>
      </c>
      <c r="Q109" t="s">
        <v>1171</v>
      </c>
      <c r="R109" t="s">
        <v>1171</v>
      </c>
      <c r="S109" s="70" t="str" cm="1">
        <f t="array" ref="S109">_xlfn.TEXTJOIN(",",TRUE,LEFT(TRIM(_xlfn.TEXTSPLIT(us_core_reqs[[#This Row],[reference]],",")),FIND(".html",TRIM(_xlfn.TEXTSPLIT(us_core_reqs[[#This Row],[reference]],",")))-1))</f>
        <v>must-support</v>
      </c>
      <c r="T109" s="70" t="str" cm="1">
        <f t="array" ref="T109">_xlfn.TEXTJOIN(",",TRUE,MID(TRIM(_xlfn.TEXTSPLIT(us_core_reqs[[#This Row],[reference]],",")),FIND("#",TRIM(_xlfn.TEXTSPLIT(us_core_reqs[[#This Row],[reference]],","))&amp;"#")+1,1000))</f>
        <v>must-support---resource-references</v>
      </c>
      <c r="U109" t="str" cm="1">
        <f t="array" ref="U109">_xlfn.TEXTJOIN(", ",TRUE,SUBSTITUTE(SUBSTITUTE(PROPER(SUBSTITUTE(TRIM(_xlfn.TEXTSPLIT(us_core_reqs[[#This Row],[Page]],","))," -"," "))&amp;": "&amp;PROPER(SUBSTITUTE(TRIM(_xlfn.TEXTSPLIT(us_core_reqs[[#This Row],[Section]],","))," -"," ")),"Us ","US        
  "),"Uscdi","USCDI"))</f>
        <v>Must-Support: Must-Support---Resource-References</v>
      </c>
      <c r="V109" t="s">
        <v>1171</v>
      </c>
      <c r="W109" t="s">
        <v>58</v>
      </c>
      <c r="X109" t="s">
        <v>1171</v>
      </c>
      <c r="Y109" t="s">
        <v>1171</v>
      </c>
      <c r="Z109" t="s">
        <v>1171</v>
      </c>
      <c r="AA109" t="s">
        <v>1171</v>
      </c>
      <c r="AB109" t="s">
        <v>1171</v>
      </c>
      <c r="AC109" t="s">
        <v>1171</v>
      </c>
      <c r="AD109" t="s">
        <v>1171</v>
      </c>
      <c r="AE109" t="s">
        <v>1171</v>
      </c>
    </row>
    <row r="110" spans="1:31" ht="120" thickBot="1" x14ac:dyDescent="0.25">
      <c r="A110" t="s">
        <v>1171</v>
      </c>
      <c r="B110" t="s">
        <v>1282</v>
      </c>
      <c r="C110" t="str">
        <f>"CONF-"&amp;TEXT(us_core_reqs[[#This Row],[ID*]], "0000")</f>
        <v>CONF-0109</v>
      </c>
      <c r="D110" s="11" t="s">
        <v>617</v>
      </c>
      <c r="E110" s="73" t="str" cm="1">
        <f t="array" ref="E110">_xlfn.TEXTJOIN(", ", TRUE, _xlfn.TEXTAFTER(_xlfn.TEXTSPLIT(us_core_reqs[[#This Row],[URL*]], ", "), "/", -1))</f>
        <v>must-support.html#must-support---resource-references</v>
      </c>
      <c r="F110" s="11" t="s">
        <v>147</v>
      </c>
      <c r="G110" t="s">
        <v>29</v>
      </c>
      <c r="H110" cm="1">
        <f t="array" ref="H110">_xlfn.SWITCH(G110, "SHALL", 1, "SHOULD", 3, "MAY", 5, "SHOULD-NOT", 4, "SHALL-NOT", 2, "DEPRECATED", 6, 99)</f>
        <v>1</v>
      </c>
      <c r="I110" t="s">
        <v>1856</v>
      </c>
      <c r="J110" t="s">
        <v>30</v>
      </c>
      <c r="K110" t="s">
        <v>1171</v>
      </c>
      <c r="L110" t="s">
        <v>1171</v>
      </c>
      <c r="M110" t="s">
        <v>1173</v>
      </c>
      <c r="N110" t="s">
        <v>1171</v>
      </c>
      <c r="O110" t="s">
        <v>1171</v>
      </c>
      <c r="P110" t="s">
        <v>1171</v>
      </c>
      <c r="Q110" t="s">
        <v>1171</v>
      </c>
      <c r="R110" t="s">
        <v>1171</v>
      </c>
      <c r="S110" s="70" t="str" cm="1">
        <f t="array" ref="S110">_xlfn.TEXTJOIN(",",TRUE,LEFT(TRIM(_xlfn.TEXTSPLIT(us_core_reqs[[#This Row],[reference]],",")),FIND(".html",TRIM(_xlfn.TEXTSPLIT(us_core_reqs[[#This Row],[reference]],",")))-1))</f>
        <v>must-support</v>
      </c>
      <c r="T110" s="70" t="str" cm="1">
        <f t="array" ref="T110">_xlfn.TEXTJOIN(",",TRUE,MID(TRIM(_xlfn.TEXTSPLIT(us_core_reqs[[#This Row],[reference]],",")),FIND("#",TRIM(_xlfn.TEXTSPLIT(us_core_reqs[[#This Row],[reference]],","))&amp;"#")+1,1000))</f>
        <v>must-support---resource-references</v>
      </c>
      <c r="U110" t="str" cm="1">
        <f t="array" ref="U110">_xlfn.TEXTJOIN(", ",TRUE,SUBSTITUTE(SUBSTITUTE(PROPER(SUBSTITUTE(TRIM(_xlfn.TEXTSPLIT(us_core_reqs[[#This Row],[Page]],","))," -"," "))&amp;": "&amp;PROPER(SUBSTITUTE(TRIM(_xlfn.TEXTSPLIT(us_core_reqs[[#This Row],[Section]],","))," -"," ")),"Us ","US        
  "),"Uscdi","USCDI"))</f>
        <v>Must-Support: Must-Support---Resource-References</v>
      </c>
      <c r="V110" t="s">
        <v>29</v>
      </c>
      <c r="W110" t="s">
        <v>30</v>
      </c>
      <c r="X110" t="s">
        <v>143</v>
      </c>
      <c r="Y110" t="s">
        <v>1171</v>
      </c>
      <c r="Z110" t="s">
        <v>1171</v>
      </c>
      <c r="AA110" t="s">
        <v>1171</v>
      </c>
      <c r="AB110" t="s">
        <v>1171</v>
      </c>
      <c r="AC110" t="s">
        <v>1171</v>
      </c>
      <c r="AD110" t="s">
        <v>1140</v>
      </c>
      <c r="AE110" t="s">
        <v>1171</v>
      </c>
    </row>
    <row r="111" spans="1:31" ht="120" thickBot="1" x14ac:dyDescent="0.25">
      <c r="A111" t="s">
        <v>1171</v>
      </c>
      <c r="B111" t="s">
        <v>1283</v>
      </c>
      <c r="C111" t="str">
        <f>"CONF-"&amp;TEXT(us_core_reqs[[#This Row],[ID*]], "0000")</f>
        <v>CONF-0110</v>
      </c>
      <c r="D111" s="11" t="s">
        <v>617</v>
      </c>
      <c r="E111" s="73" t="str" cm="1">
        <f t="array" ref="E111">_xlfn.TEXTJOIN(", ", TRUE, _xlfn.TEXTAFTER(_xlfn.TEXTSPLIT(us_core_reqs[[#This Row],[URL*]], ", "), "/", -1))</f>
        <v>must-support.html#must-support---resource-references</v>
      </c>
      <c r="F111" s="11" t="s">
        <v>148</v>
      </c>
      <c r="G111" t="s">
        <v>29</v>
      </c>
      <c r="H111" cm="1">
        <f t="array" ref="H111">_xlfn.SWITCH(G111, "SHALL", 1, "SHOULD", 3, "MAY", 5, "SHOULD-NOT", 4, "SHALL-NOT", 2, "DEPRECATED", 6, 99)</f>
        <v>1</v>
      </c>
      <c r="I111" t="s">
        <v>1856</v>
      </c>
      <c r="J111" t="s">
        <v>58</v>
      </c>
      <c r="K111" t="s">
        <v>1171</v>
      </c>
      <c r="L111" t="s">
        <v>1171</v>
      </c>
      <c r="M111" t="s">
        <v>1173</v>
      </c>
      <c r="N111" t="s">
        <v>1171</v>
      </c>
      <c r="O111" t="s">
        <v>1171</v>
      </c>
      <c r="P111" t="s">
        <v>1171</v>
      </c>
      <c r="Q111" t="s">
        <v>1171</v>
      </c>
      <c r="R111" t="s">
        <v>1171</v>
      </c>
      <c r="S111" s="70" t="str" cm="1">
        <f t="array" ref="S111">_xlfn.TEXTJOIN(",",TRUE,LEFT(TRIM(_xlfn.TEXTSPLIT(us_core_reqs[[#This Row],[reference]],",")),FIND(".html",TRIM(_xlfn.TEXTSPLIT(us_core_reqs[[#This Row],[reference]],",")))-1))</f>
        <v>must-support</v>
      </c>
      <c r="T111" s="70" t="str" cm="1">
        <f t="array" ref="T111">_xlfn.TEXTJOIN(",",TRUE,MID(TRIM(_xlfn.TEXTSPLIT(us_core_reqs[[#This Row],[reference]],",")),FIND("#",TRIM(_xlfn.TEXTSPLIT(us_core_reqs[[#This Row],[reference]],","))&amp;"#")+1,1000))</f>
        <v>must-support---resource-references</v>
      </c>
      <c r="U111" t="str" cm="1">
        <f t="array" ref="U111">_xlfn.TEXTJOIN(", ",TRUE,SUBSTITUTE(SUBSTITUTE(PROPER(SUBSTITUTE(TRIM(_xlfn.TEXTSPLIT(us_core_reqs[[#This Row],[Page]],","))," -"," "))&amp;": "&amp;PROPER(SUBSTITUTE(TRIM(_xlfn.TEXTSPLIT(us_core_reqs[[#This Row],[Section]],","))," -"," ")),"Us ","US        
  "),"Uscdi","USCDI"))</f>
        <v>Must-Support: Must-Support---Resource-References</v>
      </c>
      <c r="V111" t="s">
        <v>29</v>
      </c>
      <c r="W111" t="s">
        <v>58</v>
      </c>
      <c r="X111" t="s">
        <v>143</v>
      </c>
      <c r="Y111" t="s">
        <v>1171</v>
      </c>
      <c r="Z111" t="s">
        <v>1171</v>
      </c>
      <c r="AA111" t="s">
        <v>1171</v>
      </c>
      <c r="AB111" t="s">
        <v>1171</v>
      </c>
      <c r="AC111" t="s">
        <v>1171</v>
      </c>
      <c r="AD111" t="s">
        <v>1171</v>
      </c>
      <c r="AE111" t="s">
        <v>1171</v>
      </c>
    </row>
    <row r="112" spans="1:31" ht="120" thickBot="1" x14ac:dyDescent="0.25">
      <c r="A112" t="s">
        <v>1171</v>
      </c>
      <c r="B112" t="s">
        <v>1284</v>
      </c>
      <c r="C112" t="str">
        <f>"CONF-"&amp;TEXT(us_core_reqs[[#This Row],[ID*]], "0000")</f>
        <v>CONF-0111</v>
      </c>
      <c r="D112" s="11" t="s">
        <v>619</v>
      </c>
      <c r="E112" s="73" t="str" cm="1">
        <f t="array" ref="E112">_xlfn.TEXTJOIN(", ", TRUE, _xlfn.TEXTAFTER(_xlfn.TEXTSPLIT(us_core_reqs[[#This Row],[URL*]], ", "), "/", -1))</f>
        <v>must-support.html#must-support---choice-of-data-types</v>
      </c>
      <c r="F112" s="11" t="s">
        <v>1865</v>
      </c>
      <c r="G112" t="s">
        <v>29</v>
      </c>
      <c r="H112" cm="1">
        <f t="array" ref="H112">_xlfn.SWITCH(G112, "SHALL", 1, "SHOULD", 3, "MAY", 5, "SHOULD-NOT", 4, "SHALL-NOT", 2, "DEPRECATED", 6, 99)</f>
        <v>1</v>
      </c>
      <c r="J112" t="s">
        <v>30</v>
      </c>
      <c r="K112" t="s">
        <v>1171</v>
      </c>
      <c r="L112" t="s">
        <v>1171</v>
      </c>
      <c r="M112" t="s">
        <v>1173</v>
      </c>
      <c r="N112" t="s">
        <v>1171</v>
      </c>
      <c r="O112" t="s">
        <v>1171</v>
      </c>
      <c r="P112" t="s">
        <v>1171</v>
      </c>
      <c r="Q112" t="s">
        <v>1171</v>
      </c>
      <c r="R112" t="s">
        <v>1171</v>
      </c>
      <c r="S112" s="70" t="str" cm="1">
        <f t="array" ref="S112">_xlfn.TEXTJOIN(",",TRUE,LEFT(TRIM(_xlfn.TEXTSPLIT(us_core_reqs[[#This Row],[reference]],",")),FIND(".html",TRIM(_xlfn.TEXTSPLIT(us_core_reqs[[#This Row],[reference]],",")))-1))</f>
        <v>must-support</v>
      </c>
      <c r="T112" s="70" t="str" cm="1">
        <f t="array" ref="T112">_xlfn.TEXTJOIN(",",TRUE,MID(TRIM(_xlfn.TEXTSPLIT(us_core_reqs[[#This Row],[reference]],",")),FIND("#",TRIM(_xlfn.TEXTSPLIT(us_core_reqs[[#This Row],[reference]],","))&amp;"#")+1,1000))</f>
        <v>must-support---choice-of-data-types</v>
      </c>
      <c r="U112" t="str" cm="1">
        <f t="array" ref="U112">_xlfn.TEXTJOIN(", ",TRUE,SUBSTITUTE(SUBSTITUTE(PROPER(SUBSTITUTE(TRIM(_xlfn.TEXTSPLIT(us_core_reqs[[#This Row],[Page]],","))," -"," "))&amp;": "&amp;PROPER(SUBSTITUTE(TRIM(_xlfn.TEXTSPLIT(us_core_reqs[[#This Row],[Section]],","))," -"," ")),"Us ","US        
  "),"Uscdi","USCDI"))</f>
        <v>Must-Support: Must-Support---Choice-Of-Data-Types</v>
      </c>
      <c r="V112" t="s">
        <v>29</v>
      </c>
      <c r="W112" t="s">
        <v>30</v>
      </c>
      <c r="X112" t="s">
        <v>149</v>
      </c>
      <c r="Y112" t="s">
        <v>1171</v>
      </c>
      <c r="Z112" t="s">
        <v>1171</v>
      </c>
      <c r="AA112" t="s">
        <v>1171</v>
      </c>
      <c r="AB112" t="s">
        <v>1171</v>
      </c>
      <c r="AC112" t="s">
        <v>662</v>
      </c>
      <c r="AD112" t="s">
        <v>1140</v>
      </c>
      <c r="AE112" t="s">
        <v>1171</v>
      </c>
    </row>
    <row r="113" spans="1:31" ht="120" thickBot="1" x14ac:dyDescent="0.25">
      <c r="A113" t="s">
        <v>1171</v>
      </c>
      <c r="B113" t="s">
        <v>1285</v>
      </c>
      <c r="C113" t="str">
        <f>"CONF-"&amp;TEXT(us_core_reqs[[#This Row],[ID*]], "0000")</f>
        <v>CONF-0112</v>
      </c>
      <c r="D113" s="11" t="s">
        <v>619</v>
      </c>
      <c r="E113" s="73" t="str" cm="1">
        <f t="array" ref="E113">_xlfn.TEXTJOIN(", ", TRUE, _xlfn.TEXTAFTER(_xlfn.TEXTSPLIT(us_core_reqs[[#This Row],[URL*]], ", "), "/", -1))</f>
        <v>must-support.html#must-support---choice-of-data-types</v>
      </c>
      <c r="F113" s="11" t="s">
        <v>1866</v>
      </c>
      <c r="G113" t="s">
        <v>29</v>
      </c>
      <c r="H113" cm="1">
        <f t="array" ref="H113">_xlfn.SWITCH(G113, "SHALL", 1, "SHOULD", 3, "MAY", 5, "SHOULD-NOT", 4, "SHALL-NOT", 2, "DEPRECATED", 6, 99)</f>
        <v>1</v>
      </c>
      <c r="J113" t="s">
        <v>58</v>
      </c>
      <c r="K113" t="s">
        <v>1171</v>
      </c>
      <c r="L113" t="s">
        <v>1171</v>
      </c>
      <c r="M113" t="s">
        <v>1173</v>
      </c>
      <c r="N113" t="s">
        <v>1171</v>
      </c>
      <c r="O113" t="s">
        <v>1171</v>
      </c>
      <c r="P113" t="s">
        <v>1171</v>
      </c>
      <c r="Q113" t="s">
        <v>1171</v>
      </c>
      <c r="R113" t="s">
        <v>1171</v>
      </c>
      <c r="S113" s="70" t="str" cm="1">
        <f t="array" ref="S113">_xlfn.TEXTJOIN(",",TRUE,LEFT(TRIM(_xlfn.TEXTSPLIT(us_core_reqs[[#This Row],[reference]],",")),FIND(".html",TRIM(_xlfn.TEXTSPLIT(us_core_reqs[[#This Row],[reference]],",")))-1))</f>
        <v>must-support</v>
      </c>
      <c r="T113" s="70" t="str" cm="1">
        <f t="array" ref="T113">_xlfn.TEXTJOIN(",",TRUE,MID(TRIM(_xlfn.TEXTSPLIT(us_core_reqs[[#This Row],[reference]],",")),FIND("#",TRIM(_xlfn.TEXTSPLIT(us_core_reqs[[#This Row],[reference]],","))&amp;"#")+1,1000))</f>
        <v>must-support---choice-of-data-types</v>
      </c>
      <c r="U113" t="str" cm="1">
        <f t="array" ref="U113">_xlfn.TEXTJOIN(", ",TRUE,SUBSTITUTE(SUBSTITUTE(PROPER(SUBSTITUTE(TRIM(_xlfn.TEXTSPLIT(us_core_reqs[[#This Row],[Page]],","))," -"," "))&amp;": "&amp;PROPER(SUBSTITUTE(TRIM(_xlfn.TEXTSPLIT(us_core_reqs[[#This Row],[Section]],","))," -"," ")),"Us ","US        
  "),"Uscdi","USCDI"))</f>
        <v>Must-Support: Must-Support---Choice-Of-Data-Types</v>
      </c>
      <c r="V113" t="s">
        <v>29</v>
      </c>
      <c r="W113" t="s">
        <v>58</v>
      </c>
      <c r="X113" t="s">
        <v>149</v>
      </c>
      <c r="Y113" t="s">
        <v>1171</v>
      </c>
      <c r="Z113" t="s">
        <v>1171</v>
      </c>
      <c r="AA113" t="s">
        <v>1171</v>
      </c>
      <c r="AB113" t="s">
        <v>1171</v>
      </c>
      <c r="AC113" t="s">
        <v>662</v>
      </c>
      <c r="AD113" t="s">
        <v>1171</v>
      </c>
      <c r="AE113" t="s">
        <v>1171</v>
      </c>
    </row>
    <row r="114" spans="1:31" ht="188" thickBot="1" x14ac:dyDescent="0.25">
      <c r="A114" t="s">
        <v>1171</v>
      </c>
      <c r="B114" t="s">
        <v>1286</v>
      </c>
      <c r="C114" t="str">
        <f>"CONF-"&amp;TEXT(us_core_reqs[[#This Row],[ID*]], "0000")</f>
        <v>CONF-0113</v>
      </c>
      <c r="D114" s="11" t="s">
        <v>619</v>
      </c>
      <c r="E114" s="73" t="str" cm="1">
        <f t="array" ref="E114">_xlfn.TEXTJOIN(", ", TRUE, _xlfn.TEXTAFTER(_xlfn.TEXTSPLIT(us_core_reqs[[#This Row],[URL*]], ", "), "/", -1))</f>
        <v>must-support.html#must-support---choice-of-data-types</v>
      </c>
      <c r="F114" s="11" t="s">
        <v>664</v>
      </c>
      <c r="G114" t="s">
        <v>35</v>
      </c>
      <c r="H114" cm="1">
        <f t="array" ref="H114">_xlfn.SWITCH(G114, "SHALL", 1, "SHOULD", 3, "MAY", 5, "SHOULD-NOT", 4, "SHALL-NOT", 2, "DEPRECATED", 6, 99)</f>
        <v>5</v>
      </c>
      <c r="I114" t="s">
        <v>1868</v>
      </c>
      <c r="J114" t="s">
        <v>58</v>
      </c>
      <c r="K114" t="s">
        <v>1171</v>
      </c>
      <c r="L114" t="s">
        <v>1171</v>
      </c>
      <c r="M114" t="s">
        <v>1173</v>
      </c>
      <c r="N114" t="s">
        <v>1171</v>
      </c>
      <c r="O114" t="s">
        <v>1171</v>
      </c>
      <c r="P114" t="s">
        <v>1171</v>
      </c>
      <c r="Q114" t="s">
        <v>1171</v>
      </c>
      <c r="R114" t="s">
        <v>1171</v>
      </c>
      <c r="S114" s="70" t="str" cm="1">
        <f t="array" ref="S114">_xlfn.TEXTJOIN(",",TRUE,LEFT(TRIM(_xlfn.TEXTSPLIT(us_core_reqs[[#This Row],[reference]],",")),FIND(".html",TRIM(_xlfn.TEXTSPLIT(us_core_reqs[[#This Row],[reference]],",")))-1))</f>
        <v>must-support</v>
      </c>
      <c r="T114" s="70" t="str" cm="1">
        <f t="array" ref="T114">_xlfn.TEXTJOIN(",",TRUE,MID(TRIM(_xlfn.TEXTSPLIT(us_core_reqs[[#This Row],[reference]],",")),FIND("#",TRIM(_xlfn.TEXTSPLIT(us_core_reqs[[#This Row],[reference]],","))&amp;"#")+1,1000))</f>
        <v>must-support---choice-of-data-types</v>
      </c>
      <c r="U114" t="str" cm="1">
        <f t="array" ref="U114">_xlfn.TEXTJOIN(", ",TRUE,SUBSTITUTE(SUBSTITUTE(PROPER(SUBSTITUTE(TRIM(_xlfn.TEXTSPLIT(us_core_reqs[[#This Row],[Page]],","))," -"," "))&amp;": "&amp;PROPER(SUBSTITUTE(TRIM(_xlfn.TEXTSPLIT(us_core_reqs[[#This Row],[Section]],","))," -"," ")),"Us ","US        
  "),"Uscdi","USCDI"))</f>
        <v>Must-Support: Must-Support---Choice-Of-Data-Types</v>
      </c>
      <c r="V114" t="s">
        <v>35</v>
      </c>
      <c r="W114" t="s">
        <v>58</v>
      </c>
      <c r="X114" t="s">
        <v>149</v>
      </c>
      <c r="Y114" t="s">
        <v>1171</v>
      </c>
      <c r="Z114" t="s">
        <v>1171</v>
      </c>
      <c r="AA114" t="s">
        <v>1171</v>
      </c>
      <c r="AB114" t="s">
        <v>1171</v>
      </c>
      <c r="AC114" t="s">
        <v>662</v>
      </c>
      <c r="AD114" t="s">
        <v>1171</v>
      </c>
      <c r="AE114" t="s">
        <v>1171</v>
      </c>
    </row>
    <row r="115" spans="1:31" ht="188" thickBot="1" x14ac:dyDescent="0.25">
      <c r="A115" t="s">
        <v>1171</v>
      </c>
      <c r="B115" t="s">
        <v>1287</v>
      </c>
      <c r="C115" t="str">
        <f>"CONF-"&amp;TEXT(us_core_reqs[[#This Row],[ID*]], "0000")</f>
        <v>CONF-0114</v>
      </c>
      <c r="D115" s="11" t="s">
        <v>619</v>
      </c>
      <c r="E115" s="73" t="str" cm="1">
        <f t="array" ref="E115">_xlfn.TEXTJOIN(", ", TRUE, _xlfn.TEXTAFTER(_xlfn.TEXTSPLIT(us_core_reqs[[#This Row],[URL*]], ", "), "/", -1))</f>
        <v>must-support.html#must-support---choice-of-data-types</v>
      </c>
      <c r="F115" s="11" t="s">
        <v>665</v>
      </c>
      <c r="G115" t="s">
        <v>35</v>
      </c>
      <c r="H115" cm="1">
        <f t="array" ref="H115">_xlfn.SWITCH(G115, "SHALL", 1, "SHOULD", 3, "MAY", 5, "SHOULD-NOT", 4, "SHALL-NOT", 2, "DEPRECATED", 6, 99)</f>
        <v>5</v>
      </c>
      <c r="I115" t="s">
        <v>1868</v>
      </c>
      <c r="J115" t="s">
        <v>30</v>
      </c>
      <c r="K115" t="s">
        <v>1171</v>
      </c>
      <c r="L115" t="s">
        <v>1171</v>
      </c>
      <c r="M115" t="s">
        <v>1173</v>
      </c>
      <c r="N115" t="s">
        <v>1171</v>
      </c>
      <c r="O115" t="s">
        <v>1171</v>
      </c>
      <c r="P115" t="s">
        <v>1171</v>
      </c>
      <c r="Q115" t="s">
        <v>1171</v>
      </c>
      <c r="R115" t="s">
        <v>1171</v>
      </c>
      <c r="S115" s="70" t="str" cm="1">
        <f t="array" ref="S115">_xlfn.TEXTJOIN(",",TRUE,LEFT(TRIM(_xlfn.TEXTSPLIT(us_core_reqs[[#This Row],[reference]],",")),FIND(".html",TRIM(_xlfn.TEXTSPLIT(us_core_reqs[[#This Row],[reference]],",")))-1))</f>
        <v>must-support</v>
      </c>
      <c r="T115" s="70" t="str" cm="1">
        <f t="array" ref="T115">_xlfn.TEXTJOIN(",",TRUE,MID(TRIM(_xlfn.TEXTSPLIT(us_core_reqs[[#This Row],[reference]],",")),FIND("#",TRIM(_xlfn.TEXTSPLIT(us_core_reqs[[#This Row],[reference]],","))&amp;"#")+1,1000))</f>
        <v>must-support---choice-of-data-types</v>
      </c>
      <c r="U115" t="str" cm="1">
        <f t="array" ref="U115">_xlfn.TEXTJOIN(", ",TRUE,SUBSTITUTE(SUBSTITUTE(PROPER(SUBSTITUTE(TRIM(_xlfn.TEXTSPLIT(us_core_reqs[[#This Row],[Page]],","))," -"," "))&amp;": "&amp;PROPER(SUBSTITUTE(TRIM(_xlfn.TEXTSPLIT(us_core_reqs[[#This Row],[Section]],","))," -"," ")),"Us ","US        
  "),"Uscdi","USCDI"))</f>
        <v>Must-Support: Must-Support---Choice-Of-Data-Types</v>
      </c>
      <c r="V115" t="s">
        <v>35</v>
      </c>
      <c r="W115" t="s">
        <v>30</v>
      </c>
      <c r="X115" t="s">
        <v>149</v>
      </c>
      <c r="Y115" t="s">
        <v>1171</v>
      </c>
      <c r="Z115" t="s">
        <v>1171</v>
      </c>
      <c r="AA115" t="s">
        <v>1171</v>
      </c>
      <c r="AB115" t="s">
        <v>1171</v>
      </c>
      <c r="AC115" t="s">
        <v>662</v>
      </c>
      <c r="AD115" t="s">
        <v>1171</v>
      </c>
      <c r="AE115" t="s">
        <v>1171</v>
      </c>
    </row>
    <row r="116" spans="1:31" ht="69" thickBot="1" x14ac:dyDescent="0.25">
      <c r="A116" t="s">
        <v>1171</v>
      </c>
      <c r="B116" t="s">
        <v>1288</v>
      </c>
      <c r="C116" t="str">
        <f>"CONF-"&amp;TEXT(us_core_reqs[[#This Row],[ID*]], "0000")</f>
        <v>CONF-0115</v>
      </c>
      <c r="D116" s="11" t="s">
        <v>620</v>
      </c>
      <c r="E116" s="73" t="str" cm="1">
        <f t="array" ref="E116">_xlfn.TEXTJOIN(", ", TRUE, _xlfn.TEXTAFTER(_xlfn.TEXTSPLIT(us_core_reqs[[#This Row],[URL*]], ", "), "/", -1))</f>
        <v>must-support.html#must-support---choice-of-profile-elements</v>
      </c>
      <c r="F116" s="11" t="s">
        <v>981</v>
      </c>
      <c r="G116" t="s">
        <v>29</v>
      </c>
      <c r="H116" cm="1">
        <f t="array" ref="H116">_xlfn.SWITCH(G116, "SHALL", 1, "SHOULD", 3, "MAY", 5, "SHOULD-NOT", 4, "SHALL-NOT", 2, "DEPRECATED", 6, 99)</f>
        <v>1</v>
      </c>
      <c r="J116" t="s">
        <v>30</v>
      </c>
      <c r="K116" t="s">
        <v>1171</v>
      </c>
      <c r="L116" t="s">
        <v>1171</v>
      </c>
      <c r="M116" t="s">
        <v>1176</v>
      </c>
      <c r="N116" t="s">
        <v>1171</v>
      </c>
      <c r="O116" t="s">
        <v>1171</v>
      </c>
      <c r="P116" t="s">
        <v>1171</v>
      </c>
      <c r="Q116" t="s">
        <v>1171</v>
      </c>
      <c r="R116" t="s">
        <v>1171</v>
      </c>
      <c r="S116" s="70" t="str" cm="1">
        <f t="array" ref="S116">_xlfn.TEXTJOIN(",",TRUE,LEFT(TRIM(_xlfn.TEXTSPLIT(us_core_reqs[[#This Row],[reference]],",")),FIND(".html",TRIM(_xlfn.TEXTSPLIT(us_core_reqs[[#This Row],[reference]],",")))-1))</f>
        <v>must-support</v>
      </c>
      <c r="T116" s="70" t="str" cm="1">
        <f t="array" ref="T116">_xlfn.TEXTJOIN(",",TRUE,MID(TRIM(_xlfn.TEXTSPLIT(us_core_reqs[[#This Row],[reference]],",")),FIND("#",TRIM(_xlfn.TEXTSPLIT(us_core_reqs[[#This Row],[reference]],","))&amp;"#")+1,1000))</f>
        <v>must-support---choice-of-profile-elements</v>
      </c>
      <c r="U116" t="str" cm="1">
        <f t="array" ref="U116">_xlfn.TEXTJOIN(", ",TRUE,SUBSTITUTE(SUBSTITUTE(PROPER(SUBSTITUTE(TRIM(_xlfn.TEXTSPLIT(us_core_reqs[[#This Row],[Page]],","))," -"," "))&amp;": "&amp;PROPER(SUBSTITUTE(TRIM(_xlfn.TEXTSPLIT(us_core_reqs[[#This Row],[Section]],","))," -"," ")),"Us ","US        
  "),"Uscdi","USCDI"))</f>
        <v>Must-Support: Must-Support---Choice-Of-Profile-Elements</v>
      </c>
      <c r="V116" t="s">
        <v>29</v>
      </c>
      <c r="W116" t="s">
        <v>30</v>
      </c>
      <c r="X116" t="s">
        <v>150</v>
      </c>
      <c r="Y116" t="s">
        <v>1171</v>
      </c>
      <c r="Z116" t="s">
        <v>1171</v>
      </c>
      <c r="AA116" t="s">
        <v>1171</v>
      </c>
      <c r="AB116" t="s">
        <v>1171</v>
      </c>
      <c r="AC116" t="s">
        <v>667</v>
      </c>
      <c r="AD116" t="s">
        <v>1140</v>
      </c>
      <c r="AE116" t="s">
        <v>1171</v>
      </c>
    </row>
    <row r="117" spans="1:31" ht="69" thickBot="1" x14ac:dyDescent="0.25">
      <c r="A117" t="s">
        <v>1171</v>
      </c>
      <c r="B117" t="s">
        <v>1289</v>
      </c>
      <c r="C117" t="str">
        <f>"CONF-"&amp;TEXT(us_core_reqs[[#This Row],[ID*]], "0000")</f>
        <v>CONF-0116</v>
      </c>
      <c r="D117" s="11" t="s">
        <v>620</v>
      </c>
      <c r="E117" s="73" t="str" cm="1">
        <f t="array" ref="E117">_xlfn.TEXTJOIN(", ", TRUE, _xlfn.TEXTAFTER(_xlfn.TEXTSPLIT(us_core_reqs[[#This Row],[URL*]], ", "), "/", -1))</f>
        <v>must-support.html#must-support---choice-of-profile-elements</v>
      </c>
      <c r="F117" s="11" t="s">
        <v>920</v>
      </c>
      <c r="G117" t="s">
        <v>29</v>
      </c>
      <c r="H117" cm="1">
        <f t="array" ref="H117">_xlfn.SWITCH(G117, "SHALL", 1, "SHOULD", 3, "MAY", 5, "SHOULD-NOT", 4, "SHALL-NOT", 2, "DEPRECATED", 6, 99)</f>
        <v>1</v>
      </c>
      <c r="J117" t="s">
        <v>58</v>
      </c>
      <c r="K117" t="s">
        <v>1171</v>
      </c>
      <c r="L117" t="s">
        <v>1171</v>
      </c>
      <c r="M117" t="s">
        <v>1176</v>
      </c>
      <c r="N117" t="s">
        <v>1171</v>
      </c>
      <c r="O117" t="s">
        <v>1171</v>
      </c>
      <c r="P117" t="s">
        <v>1171</v>
      </c>
      <c r="Q117" t="s">
        <v>1171</v>
      </c>
      <c r="R117" t="s">
        <v>1171</v>
      </c>
      <c r="S117" s="70" t="str" cm="1">
        <f t="array" ref="S117">_xlfn.TEXTJOIN(",",TRUE,LEFT(TRIM(_xlfn.TEXTSPLIT(us_core_reqs[[#This Row],[reference]],",")),FIND(".html",TRIM(_xlfn.TEXTSPLIT(us_core_reqs[[#This Row],[reference]],",")))-1))</f>
        <v>must-support</v>
      </c>
      <c r="T117" s="70" t="str" cm="1">
        <f t="array" ref="T117">_xlfn.TEXTJOIN(",",TRUE,MID(TRIM(_xlfn.TEXTSPLIT(us_core_reqs[[#This Row],[reference]],",")),FIND("#",TRIM(_xlfn.TEXTSPLIT(us_core_reqs[[#This Row],[reference]],","))&amp;"#")+1,1000))</f>
        <v>must-support---choice-of-profile-elements</v>
      </c>
      <c r="U117" t="str" cm="1">
        <f t="array" ref="U117">_xlfn.TEXTJOIN(", ",TRUE,SUBSTITUTE(SUBSTITUTE(PROPER(SUBSTITUTE(TRIM(_xlfn.TEXTSPLIT(us_core_reqs[[#This Row],[Page]],","))," -"," "))&amp;": "&amp;PROPER(SUBSTITUTE(TRIM(_xlfn.TEXTSPLIT(us_core_reqs[[#This Row],[Section]],","))," -"," ")),"Us ","US        
  "),"Uscdi","USCDI"))</f>
        <v>Must-Support: Must-Support---Choice-Of-Profile-Elements</v>
      </c>
      <c r="V117" t="s">
        <v>29</v>
      </c>
      <c r="W117" t="s">
        <v>58</v>
      </c>
      <c r="X117" t="s">
        <v>150</v>
      </c>
      <c r="Y117" t="s">
        <v>1171</v>
      </c>
      <c r="Z117" t="s">
        <v>1171</v>
      </c>
      <c r="AA117" t="s">
        <v>1171</v>
      </c>
      <c r="AB117" t="s">
        <v>1171</v>
      </c>
      <c r="AC117" t="s">
        <v>666</v>
      </c>
      <c r="AD117" t="s">
        <v>1171</v>
      </c>
      <c r="AE117" t="s">
        <v>1171</v>
      </c>
    </row>
    <row r="118" spans="1:31" ht="188" thickBot="1" x14ac:dyDescent="0.25">
      <c r="A118" t="s">
        <v>1171</v>
      </c>
      <c r="B118" t="s">
        <v>1290</v>
      </c>
      <c r="C118" t="str">
        <f>"CONF-"&amp;TEXT(us_core_reqs[[#This Row],[ID*]], "0000")</f>
        <v>CONF-0117</v>
      </c>
      <c r="D118" s="11" t="s">
        <v>825</v>
      </c>
      <c r="E118" s="73" t="str" cm="1">
        <f t="array" ref="E118">_xlfn.TEXTJOIN(", ", TRUE, _xlfn.TEXTAFTER(_xlfn.TEXTSPLIT(us_core_reqs[[#This Row],[URL*]], ", "), "/", -1))</f>
        <v>scopes.html#capability-sets</v>
      </c>
      <c r="F118" s="11" t="s">
        <v>2150</v>
      </c>
      <c r="G118" t="s">
        <v>35</v>
      </c>
      <c r="H118" cm="1">
        <f t="array" ref="H118">_xlfn.SWITCH(G118, "SHALL", 1, "SHOULD", 3, "MAY", 5, "SHOULD-NOT", 4, "SHALL-NOT", 2, "DEPRECATED", 6, 99)</f>
        <v>5</v>
      </c>
      <c r="I118" t="s">
        <v>1869</v>
      </c>
      <c r="J118" t="s">
        <v>30</v>
      </c>
      <c r="K118" t="s">
        <v>1171</v>
      </c>
      <c r="L118" t="s">
        <v>1171</v>
      </c>
      <c r="M118" t="s">
        <v>1173</v>
      </c>
      <c r="N118" t="s">
        <v>1171</v>
      </c>
      <c r="O118" t="s">
        <v>1171</v>
      </c>
      <c r="P118" t="s">
        <v>1171</v>
      </c>
      <c r="Q118" t="s">
        <v>1171</v>
      </c>
      <c r="R118" t="s">
        <v>1171</v>
      </c>
      <c r="S118" s="70" t="str" cm="1">
        <f t="array" ref="S118">_xlfn.TEXTJOIN(",",TRUE,LEFT(TRIM(_xlfn.TEXTSPLIT(us_core_reqs[[#This Row],[reference]],",")),FIND(".html",TRIM(_xlfn.TEXTSPLIT(us_core_reqs[[#This Row],[reference]],",")))-1))</f>
        <v>scopes</v>
      </c>
      <c r="T118" s="70" t="str" cm="1">
        <f t="array" ref="T118">_xlfn.TEXTJOIN(",",TRUE,MID(TRIM(_xlfn.TEXTSPLIT(us_core_reqs[[#This Row],[reference]],",")),FIND("#",TRIM(_xlfn.TEXTSPLIT(us_core_reqs[[#This Row],[reference]],","))&amp;"#")+1,1000))</f>
        <v>capability-sets</v>
      </c>
      <c r="U118" t="str" cm="1">
        <f t="array" ref="U118">_xlfn.TEXTJOIN(", ",TRUE,SUBSTITUTE(SUBSTITUTE(PROPER(SUBSTITUTE(TRIM(_xlfn.TEXTSPLIT(us_core_reqs[[#This Row],[Page]],","))," -"," "))&amp;": "&amp;PROPER(SUBSTITUTE(TRIM(_xlfn.TEXTSPLIT(us_core_reqs[[#This Row],[Section]],","))," -"," ")),"Us ","US        
  "),"Uscdi","USCDI"))</f>
        <v>Scopes: Capability-Sets</v>
      </c>
      <c r="V118" t="s">
        <v>35</v>
      </c>
      <c r="W118" t="s">
        <v>30</v>
      </c>
      <c r="X118" t="s">
        <v>151</v>
      </c>
      <c r="Y118" t="s">
        <v>1171</v>
      </c>
      <c r="Z118" t="s">
        <v>1171</v>
      </c>
      <c r="AA118" t="s">
        <v>1171</v>
      </c>
      <c r="AB118" t="s">
        <v>1171</v>
      </c>
      <c r="AC118" t="s">
        <v>1171</v>
      </c>
      <c r="AD118" t="s">
        <v>1171</v>
      </c>
      <c r="AE118" t="s">
        <v>1171</v>
      </c>
    </row>
    <row r="119" spans="1:31" ht="137" thickBot="1" x14ac:dyDescent="0.25">
      <c r="A119" t="s">
        <v>1171</v>
      </c>
      <c r="B119" t="s">
        <v>1291</v>
      </c>
      <c r="C119" t="str">
        <f>"CONF-"&amp;TEXT(us_core_reqs[[#This Row],[ID*]], "0000")</f>
        <v>CONF-0118</v>
      </c>
      <c r="D119" s="11" t="s">
        <v>826</v>
      </c>
      <c r="E119" s="73" t="str" cm="1">
        <f t="array" ref="E119">_xlfn.TEXTJOIN(", ", TRUE, _xlfn.TEXTAFTER(_xlfn.TEXTSPLIT(us_core_reqs[[#This Row],[URL*]], ", "), "/", -1))</f>
        <v>scopes.html#capabilities-for-implementations-supporting-user-facing-applications</v>
      </c>
      <c r="F119" s="11" t="s">
        <v>1908</v>
      </c>
      <c r="G119" t="s">
        <v>32</v>
      </c>
      <c r="H119" cm="1">
        <f t="array" ref="H119">_xlfn.SWITCH(G119, "SHALL", 1, "SHOULD", 3, "MAY", 5, "SHOULD-NOT", 4, "SHALL-NOT", 2, "DEPRECATED", 6, 99)</f>
        <v>3</v>
      </c>
      <c r="J119" t="s">
        <v>30</v>
      </c>
      <c r="K119" t="s">
        <v>1171</v>
      </c>
      <c r="L119" t="s">
        <v>1171</v>
      </c>
      <c r="M119" t="s">
        <v>1176</v>
      </c>
      <c r="N119" t="s">
        <v>153</v>
      </c>
      <c r="O119" t="s">
        <v>1171</v>
      </c>
      <c r="P119" t="s">
        <v>1171</v>
      </c>
      <c r="Q119" t="s">
        <v>1171</v>
      </c>
      <c r="R119" t="s">
        <v>1171</v>
      </c>
      <c r="S119" s="70" t="str" cm="1">
        <f t="array" ref="S119">_xlfn.TEXTJOIN(",",TRUE,LEFT(TRIM(_xlfn.TEXTSPLIT(us_core_reqs[[#This Row],[reference]],",")),FIND(".html",TRIM(_xlfn.TEXTSPLIT(us_core_reqs[[#This Row],[reference]],",")))-1))</f>
        <v>scopes</v>
      </c>
      <c r="T119" s="70" t="str" cm="1">
        <f t="array" ref="T119">_xlfn.TEXTJOIN(",",TRUE,MID(TRIM(_xlfn.TEXTSPLIT(us_core_reqs[[#This Row],[reference]],",")),FIND("#",TRIM(_xlfn.TEXTSPLIT(us_core_reqs[[#This Row],[reference]],","))&amp;"#")+1,1000))</f>
        <v>capabilities-for-implementations-supporting-user-facing-applications</v>
      </c>
      <c r="U119"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t="s">
        <v>32</v>
      </c>
      <c r="W119" t="s">
        <v>30</v>
      </c>
      <c r="X119" t="s">
        <v>154</v>
      </c>
      <c r="Y119" t="s">
        <v>1171</v>
      </c>
      <c r="Z119" t="s">
        <v>1171</v>
      </c>
      <c r="AA119" t="s">
        <v>1171</v>
      </c>
      <c r="AB119" t="s">
        <v>1171</v>
      </c>
      <c r="AC119" t="s">
        <v>1171</v>
      </c>
      <c r="AD119" t="s">
        <v>1171</v>
      </c>
      <c r="AE119" t="s">
        <v>1171</v>
      </c>
    </row>
    <row r="120" spans="1:31" ht="120" thickBot="1" x14ac:dyDescent="0.25">
      <c r="A120" t="s">
        <v>1171</v>
      </c>
      <c r="B120" t="s">
        <v>1292</v>
      </c>
      <c r="C120" t="str">
        <f>"CONF-"&amp;TEXT(us_core_reqs[[#This Row],[ID*]], "0000")</f>
        <v>CONF-0119</v>
      </c>
      <c r="D120" s="11" t="s">
        <v>826</v>
      </c>
      <c r="E120" s="73" t="str" cm="1">
        <f t="array" ref="E120">_xlfn.TEXTJOIN(", ", TRUE, _xlfn.TEXTAFTER(_xlfn.TEXTSPLIT(us_core_reqs[[#This Row],[URL*]], ", "), "/", -1))</f>
        <v>scopes.html#capabilities-for-implementations-supporting-user-facing-applications</v>
      </c>
      <c r="F120" s="11" t="s">
        <v>2047</v>
      </c>
      <c r="G120" t="s">
        <v>29</v>
      </c>
      <c r="H120" cm="1">
        <f t="array" ref="H120">_xlfn.SWITCH(G120, "SHALL", 1, "SHOULD", 3, "MAY", 5, "SHOULD-NOT", 4, "SHALL-NOT", 2, "DEPRECATED", 6, 99)</f>
        <v>1</v>
      </c>
      <c r="J120" t="s">
        <v>30</v>
      </c>
      <c r="K120" t="s">
        <v>1171</v>
      </c>
      <c r="L120" t="s">
        <v>1171</v>
      </c>
      <c r="M120" t="s">
        <v>1176</v>
      </c>
      <c r="N120" t="s">
        <v>156</v>
      </c>
      <c r="O120" t="s">
        <v>1171</v>
      </c>
      <c r="P120" t="s">
        <v>1171</v>
      </c>
      <c r="Q120" t="s">
        <v>1171</v>
      </c>
      <c r="R120" t="s">
        <v>1171</v>
      </c>
      <c r="S120" s="70" t="str" cm="1">
        <f t="array" ref="S120">_xlfn.TEXTJOIN(",",TRUE,LEFT(TRIM(_xlfn.TEXTSPLIT(us_core_reqs[[#This Row],[reference]],",")),FIND(".html",TRIM(_xlfn.TEXTSPLIT(us_core_reqs[[#This Row],[reference]],",")))-1))</f>
        <v>scopes</v>
      </c>
      <c r="T120" s="70" t="str" cm="1">
        <f t="array" ref="T120">_xlfn.TEXTJOIN(",",TRUE,MID(TRIM(_xlfn.TEXTSPLIT(us_core_reqs[[#This Row],[reference]],",")),FIND("#",TRIM(_xlfn.TEXTSPLIT(us_core_reqs[[#This Row],[reference]],","))&amp;"#")+1,1000))</f>
        <v>capabilities-for-implementations-supporting-user-facing-applications</v>
      </c>
      <c r="U120"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t="s">
        <v>29</v>
      </c>
      <c r="W120" t="s">
        <v>1171</v>
      </c>
      <c r="X120" t="s">
        <v>157</v>
      </c>
      <c r="Y120" t="s">
        <v>1171</v>
      </c>
      <c r="Z120" t="s">
        <v>1171</v>
      </c>
      <c r="AA120" t="s">
        <v>1171</v>
      </c>
      <c r="AB120" t="s">
        <v>1171</v>
      </c>
      <c r="AC120" t="s">
        <v>1171</v>
      </c>
      <c r="AD120" t="s">
        <v>1140</v>
      </c>
      <c r="AE120" t="s">
        <v>1171</v>
      </c>
    </row>
    <row r="121" spans="1:31" ht="52" thickBot="1" x14ac:dyDescent="0.25">
      <c r="A121" t="s">
        <v>1171</v>
      </c>
      <c r="B121" t="s">
        <v>1293</v>
      </c>
      <c r="C121" t="str">
        <f>"CONF-"&amp;TEXT(us_core_reqs[[#This Row],[ID*]], "0000")</f>
        <v>CONF-0120</v>
      </c>
      <c r="D121" s="11" t="s">
        <v>827</v>
      </c>
      <c r="E121" s="73" t="str" cm="1">
        <f t="array" ref="E121">_xlfn.TEXTJOIN(", ", TRUE, _xlfn.TEXTAFTER(_xlfn.TEXTSPLIT(us_core_reqs[[#This Row],[URL*]], ", "), "/", -1))</f>
        <v>scopes.html#capabilities-for-implementations-supporting-backend-services</v>
      </c>
      <c r="F121" s="11" t="s">
        <v>2164</v>
      </c>
      <c r="G121" t="s">
        <v>29</v>
      </c>
      <c r="H121" cm="1">
        <f t="array" ref="H121">_xlfn.SWITCH(G121, "SHALL", 1, "SHOULD", 3, "MAY", 5, "SHOULD-NOT", 4, "SHALL-NOT", 2, "DEPRECATED", 6, 99)</f>
        <v>1</v>
      </c>
      <c r="J121" t="s">
        <v>30</v>
      </c>
      <c r="K121" t="s">
        <v>1171</v>
      </c>
      <c r="L121" t="s">
        <v>1171</v>
      </c>
      <c r="M121" t="s">
        <v>1173</v>
      </c>
      <c r="N121" t="s">
        <v>1171</v>
      </c>
      <c r="O121" t="s">
        <v>1171</v>
      </c>
      <c r="P121" t="s">
        <v>1171</v>
      </c>
      <c r="Q121" t="s">
        <v>1171</v>
      </c>
      <c r="R121" t="s">
        <v>1171</v>
      </c>
      <c r="S121" s="70" t="str" cm="1">
        <f t="array" ref="S121">_xlfn.TEXTJOIN(",",TRUE,LEFT(TRIM(_xlfn.TEXTSPLIT(us_core_reqs[[#This Row],[reference]],",")),FIND(".html",TRIM(_xlfn.TEXTSPLIT(us_core_reqs[[#This Row],[reference]],",")))-1))</f>
        <v>scopes</v>
      </c>
      <c r="T121" s="70" t="str" cm="1">
        <f t="array" ref="T121">_xlfn.TEXTJOIN(",",TRUE,MID(TRIM(_xlfn.TEXTSPLIT(us_core_reqs[[#This Row],[reference]],",")),FIND("#",TRIM(_xlfn.TEXTSPLIT(us_core_reqs[[#This Row],[reference]],","))&amp;"#")+1,1000))</f>
        <v>capabilities-for-implementations-supporting-backend-services</v>
      </c>
      <c r="U121"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t="s">
        <v>29</v>
      </c>
      <c r="W121" t="s">
        <v>58</v>
      </c>
      <c r="X121" t="s">
        <v>158</v>
      </c>
      <c r="Y121" t="s">
        <v>1171</v>
      </c>
      <c r="Z121" t="s">
        <v>1171</v>
      </c>
      <c r="AA121" t="s">
        <v>1171</v>
      </c>
      <c r="AB121" t="s">
        <v>1171</v>
      </c>
      <c r="AC121" t="s">
        <v>1171</v>
      </c>
      <c r="AD121" t="s">
        <v>1142</v>
      </c>
      <c r="AE121" t="s">
        <v>1171</v>
      </c>
    </row>
    <row r="122" spans="1:31" ht="35" thickBot="1" x14ac:dyDescent="0.25">
      <c r="A122" t="s">
        <v>1171</v>
      </c>
      <c r="B122" t="s">
        <v>1294</v>
      </c>
      <c r="C122" t="str">
        <f>"CONF-"&amp;TEXT(us_core_reqs[[#This Row],[ID*]], "0000")</f>
        <v>CONF-0121</v>
      </c>
      <c r="D122" s="11" t="s">
        <v>827</v>
      </c>
      <c r="E122" s="73" t="str" cm="1">
        <f t="array" ref="E122">_xlfn.TEXTJOIN(", ", TRUE, _xlfn.TEXTAFTER(_xlfn.TEXTSPLIT(us_core_reqs[[#This Row],[URL*]], ", "), "/", -1))</f>
        <v>scopes.html#capabilities-for-implementations-supporting-backend-services</v>
      </c>
      <c r="F122" s="11" t="s">
        <v>2165</v>
      </c>
      <c r="G122" t="s">
        <v>29</v>
      </c>
      <c r="H122" cm="1">
        <f t="array" ref="H122">_xlfn.SWITCH(G122, "SHALL", 1, "SHOULD", 3, "MAY", 5, "SHOULD-NOT", 4, "SHALL-NOT", 2, "DEPRECATED", 6, 99)</f>
        <v>1</v>
      </c>
      <c r="J122" t="s">
        <v>30</v>
      </c>
      <c r="K122" t="s">
        <v>1171</v>
      </c>
      <c r="L122" t="s">
        <v>1171</v>
      </c>
      <c r="M122" t="s">
        <v>1173</v>
      </c>
      <c r="N122" t="s">
        <v>1171</v>
      </c>
      <c r="O122" t="s">
        <v>1171</v>
      </c>
      <c r="P122" t="s">
        <v>1171</v>
      </c>
      <c r="Q122" t="s">
        <v>1171</v>
      </c>
      <c r="R122" t="s">
        <v>1171</v>
      </c>
      <c r="S122" s="70" t="str" cm="1">
        <f t="array" ref="S122">_xlfn.TEXTJOIN(",",TRUE,LEFT(TRIM(_xlfn.TEXTSPLIT(us_core_reqs[[#This Row],[reference]],",")),FIND(".html",TRIM(_xlfn.TEXTSPLIT(us_core_reqs[[#This Row],[reference]],",")))-1))</f>
        <v>scopes</v>
      </c>
      <c r="T122" s="70" t="str" cm="1">
        <f t="array" ref="T122">_xlfn.TEXTJOIN(",",TRUE,MID(TRIM(_xlfn.TEXTSPLIT(us_core_reqs[[#This Row],[reference]],",")),FIND("#",TRIM(_xlfn.TEXTSPLIT(us_core_reqs[[#This Row],[reference]],","))&amp;"#")+1,1000))</f>
        <v>capabilities-for-implementations-supporting-backend-services</v>
      </c>
      <c r="U122"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t="s">
        <v>29</v>
      </c>
      <c r="W122" t="s">
        <v>30</v>
      </c>
      <c r="X122" t="s">
        <v>1171</v>
      </c>
      <c r="Y122" t="s">
        <v>1171</v>
      </c>
      <c r="Z122" t="s">
        <v>1171</v>
      </c>
      <c r="AA122" t="s">
        <v>1171</v>
      </c>
      <c r="AB122" t="s">
        <v>1171</v>
      </c>
      <c r="AC122" t="s">
        <v>1171</v>
      </c>
      <c r="AD122" t="s">
        <v>1142</v>
      </c>
      <c r="AE122" t="s">
        <v>1171</v>
      </c>
    </row>
    <row r="123" spans="1:31" ht="69" thickBot="1" x14ac:dyDescent="0.25">
      <c r="A123" t="s">
        <v>1171</v>
      </c>
      <c r="B123" t="s">
        <v>1295</v>
      </c>
      <c r="C123" t="str">
        <f>"CONF-"&amp;TEXT(us_core_reqs[[#This Row],[ID*]], "0000")</f>
        <v>CONF-0122</v>
      </c>
      <c r="D123" s="11" t="s">
        <v>827</v>
      </c>
      <c r="E123" s="73" t="str" cm="1">
        <f t="array" ref="E123">_xlfn.TEXTJOIN(", ", TRUE, _xlfn.TEXTAFTER(_xlfn.TEXTSPLIT(us_core_reqs[[#This Row],[URL*]], ", "), "/", -1))</f>
        <v>scopes.html#capabilities-for-implementations-supporting-backend-services</v>
      </c>
      <c r="F123" s="11" t="s">
        <v>2166</v>
      </c>
      <c r="G123" t="s">
        <v>29</v>
      </c>
      <c r="H123" cm="1">
        <f t="array" ref="H123">_xlfn.SWITCH(G123, "SHALL", 1, "SHOULD", 3, "MAY", 5, "SHOULD-NOT", 4, "SHALL-NOT", 2, "DEPRECATED", 6, 99)</f>
        <v>1</v>
      </c>
      <c r="I123" t="s">
        <v>1870</v>
      </c>
      <c r="J123" t="s">
        <v>58</v>
      </c>
      <c r="K123" t="s">
        <v>1171</v>
      </c>
      <c r="L123" t="s">
        <v>1171</v>
      </c>
      <c r="M123" t="s">
        <v>1173</v>
      </c>
      <c r="N123" t="s">
        <v>1171</v>
      </c>
      <c r="O123" t="s">
        <v>1171</v>
      </c>
      <c r="P123" t="s">
        <v>1171</v>
      </c>
      <c r="Q123" t="s">
        <v>1171</v>
      </c>
      <c r="R123" t="s">
        <v>1171</v>
      </c>
      <c r="S123" s="70" t="str" cm="1">
        <f t="array" ref="S123">_xlfn.TEXTJOIN(",",TRUE,LEFT(TRIM(_xlfn.TEXTSPLIT(us_core_reqs[[#This Row],[reference]],",")),FIND(".html",TRIM(_xlfn.TEXTSPLIT(us_core_reqs[[#This Row],[reference]],",")))-1))</f>
        <v>scopes</v>
      </c>
      <c r="T123" s="70" t="str" cm="1">
        <f t="array" ref="T123">_xlfn.TEXTJOIN(",",TRUE,MID(TRIM(_xlfn.TEXTSPLIT(us_core_reqs[[#This Row],[reference]],",")),FIND("#",TRIM(_xlfn.TEXTSPLIT(us_core_reqs[[#This Row],[reference]],","))&amp;"#")+1,1000))</f>
        <v>capabilities-for-implementations-supporting-backend-services</v>
      </c>
      <c r="U123"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t="s">
        <v>29</v>
      </c>
      <c r="W123" t="s">
        <v>58</v>
      </c>
      <c r="X123" t="s">
        <v>1171</v>
      </c>
      <c r="Y123" t="s">
        <v>1171</v>
      </c>
      <c r="Z123" t="s">
        <v>1171</v>
      </c>
      <c r="AA123" t="s">
        <v>1171</v>
      </c>
      <c r="AB123" t="s">
        <v>1171</v>
      </c>
      <c r="AC123" t="s">
        <v>1171</v>
      </c>
      <c r="AD123" t="s">
        <v>1142</v>
      </c>
      <c r="AE123" t="s">
        <v>1171</v>
      </c>
    </row>
    <row r="124" spans="1:31" ht="86" thickBot="1" x14ac:dyDescent="0.25">
      <c r="A124" t="s">
        <v>1171</v>
      </c>
      <c r="B124" t="s">
        <v>1296</v>
      </c>
      <c r="C124" t="str">
        <f>"CONF-"&amp;TEXT(us_core_reqs[[#This Row],[ID*]], "0000")</f>
        <v>CONF-0123</v>
      </c>
      <c r="D124" s="11" t="s">
        <v>983</v>
      </c>
      <c r="E124" s="73" t="str" cm="1">
        <f t="array" ref="E124">_xlfn.TEXTJOIN(", ", TRUE, _xlfn.TEXTAFTER(_xlfn.TEXTSPLIT(us_core_reqs[[#This Row],[URL*]], ", "), "/", -1))</f>
        <v>scopes.html#us-core-Servers-shall-support-token-introspection</v>
      </c>
      <c r="F124" s="11" t="s">
        <v>2074</v>
      </c>
      <c r="G124" t="s">
        <v>29</v>
      </c>
      <c r="H124" cm="1">
        <f t="array" ref="H124">_xlfn.SWITCH(G124, "SHALL", 1, "SHOULD", 3, "MAY", 5, "SHOULD-NOT", 4, "SHALL-NOT", 2, "DEPRECATED", 6, 99)</f>
        <v>1</v>
      </c>
      <c r="J124" t="s">
        <v>30</v>
      </c>
      <c r="K124" t="s">
        <v>1171</v>
      </c>
      <c r="L124" t="s">
        <v>1171</v>
      </c>
      <c r="M124" t="s">
        <v>1173</v>
      </c>
      <c r="N124" t="s">
        <v>1171</v>
      </c>
      <c r="O124" t="s">
        <v>1171</v>
      </c>
      <c r="P124" t="s">
        <v>1171</v>
      </c>
      <c r="Q124" t="s">
        <v>1171</v>
      </c>
      <c r="R124" t="s">
        <v>1171</v>
      </c>
      <c r="S124" s="70" t="str" cm="1">
        <f t="array" ref="S124">_xlfn.TEXTJOIN(",",TRUE,LEFT(TRIM(_xlfn.TEXTSPLIT(us_core_reqs[[#This Row],[reference]],",")),FIND(".html",TRIM(_xlfn.TEXTSPLIT(us_core_reqs[[#This Row],[reference]],",")))-1))</f>
        <v>scopes</v>
      </c>
      <c r="T124" s="70" t="str" cm="1">
        <f t="array" ref="T124">_xlfn.TEXTJOIN(",",TRUE,MID(TRIM(_xlfn.TEXTSPLIT(us_core_reqs[[#This Row],[reference]],",")),FIND("#",TRIM(_xlfn.TEXTSPLIT(us_core_reqs[[#This Row],[reference]],","))&amp;"#")+1,1000))</f>
        <v>us-core-Servers-shall-support-token-introspection</v>
      </c>
      <c r="U124" t="str" cm="1">
        <f t="array" ref="U124">_xlfn.TEXTJOIN(", ",TRUE,SUBSTITUTE(SUBSTITUTE(PROPER(SUBSTITUTE(TRIM(_xlfn.TEXTSPLIT(us_core_reqs[[#This Row],[Page]],","))," -"," "))&amp;": "&amp;PROPER(SUBSTITUTE(TRIM(_xlfn.TEXTSPLIT(us_core_reqs[[#This Row],[Section]],","))," -"," ")),"Us ","US        
  "),"Uscdi","USCDI"))</f>
        <v>Scopes: Us-Core-Servers-Shall-Support-Token-Introspection</v>
      </c>
      <c r="V124" t="s">
        <v>29</v>
      </c>
      <c r="W124" t="s">
        <v>30</v>
      </c>
      <c r="X124" t="s">
        <v>158</v>
      </c>
      <c r="Y124" t="s">
        <v>1171</v>
      </c>
      <c r="Z124" t="s">
        <v>1171</v>
      </c>
      <c r="AA124" t="s">
        <v>1171</v>
      </c>
      <c r="AB124" t="s">
        <v>1171</v>
      </c>
      <c r="AC124" t="s">
        <v>1171</v>
      </c>
      <c r="AD124" t="s">
        <v>1142</v>
      </c>
      <c r="AE124" t="s">
        <v>1171</v>
      </c>
    </row>
    <row r="125" spans="1:31" ht="52" thickBot="1" x14ac:dyDescent="0.25">
      <c r="A125" t="s">
        <v>1171</v>
      </c>
      <c r="B125" t="s">
        <v>1297</v>
      </c>
      <c r="C125" t="str">
        <f>"CONF-"&amp;TEXT(us_core_reqs[[#This Row],[ID*]], "0000")</f>
        <v>CONF-0124</v>
      </c>
      <c r="D125" s="11" t="s">
        <v>622</v>
      </c>
      <c r="E125" s="73" t="str" cm="1">
        <f t="array" ref="E125">_xlfn.TEXTJOIN(", ", TRUE, _xlfn.TEXTAFTER(_xlfn.TEXTSPLIT(us_core_reqs[[#This Row],[URL*]], ", "), "/", -1))</f>
        <v>scopes.html#smart-scopes</v>
      </c>
      <c r="F125" s="11" t="s">
        <v>161</v>
      </c>
      <c r="G125" t="s">
        <v>29</v>
      </c>
      <c r="H125" cm="1">
        <f t="array" ref="H125">_xlfn.SWITCH(G125, "SHALL", 1, "SHOULD", 3, "MAY", 5, "SHOULD-NOT", 4, "SHALL-NOT", 2, "DEPRECATED", 6, 99)</f>
        <v>1</v>
      </c>
      <c r="I125" t="s">
        <v>1872</v>
      </c>
      <c r="J125" t="s">
        <v>30</v>
      </c>
      <c r="K125" t="b">
        <v>1</v>
      </c>
      <c r="L125" t="s">
        <v>1171</v>
      </c>
      <c r="M125" t="s">
        <v>1176</v>
      </c>
      <c r="N125" t="s">
        <v>1171</v>
      </c>
      <c r="O125" t="s">
        <v>1171</v>
      </c>
      <c r="P125" t="s">
        <v>1171</v>
      </c>
      <c r="Q125" t="s">
        <v>1171</v>
      </c>
      <c r="R125" t="s">
        <v>1171</v>
      </c>
      <c r="S125" s="70" t="str" cm="1">
        <f t="array" ref="S125">_xlfn.TEXTJOIN(",",TRUE,LEFT(TRIM(_xlfn.TEXTSPLIT(us_core_reqs[[#This Row],[reference]],",")),FIND(".html",TRIM(_xlfn.TEXTSPLIT(us_core_reqs[[#This Row],[reference]],",")))-1))</f>
        <v>scopes</v>
      </c>
      <c r="T125" s="70" t="str" cm="1">
        <f t="array" ref="T125">_xlfn.TEXTJOIN(",",TRUE,MID(TRIM(_xlfn.TEXTSPLIT(us_core_reqs[[#This Row],[reference]],",")),FIND("#",TRIM(_xlfn.TEXTSPLIT(us_core_reqs[[#This Row],[reference]],","))&amp;"#")+1,1000))</f>
        <v>smart-scopes</v>
      </c>
      <c r="U125" t="str" cm="1">
        <f t="array" ref="U125">_xlfn.TEXTJOIN(", ",TRUE,SUBSTITUTE(SUBSTITUTE(PROPER(SUBSTITUTE(TRIM(_xlfn.TEXTSPLIT(us_core_reqs[[#This Row],[Page]],","))," -"," "))&amp;": "&amp;PROPER(SUBSTITUTE(TRIM(_xlfn.TEXTSPLIT(us_core_reqs[[#This Row],[Section]],","))," -"," ")),"Us ","US        
  "),"Uscdi","USCDI"))</f>
        <v>Scopes: Smart-Scopes</v>
      </c>
      <c r="V125" t="s">
        <v>1171</v>
      </c>
      <c r="W125" t="s">
        <v>1171</v>
      </c>
      <c r="X125" t="s">
        <v>1171</v>
      </c>
      <c r="Y125" t="s">
        <v>1171</v>
      </c>
      <c r="Z125" t="s">
        <v>1171</v>
      </c>
      <c r="AA125" t="s">
        <v>1171</v>
      </c>
      <c r="AB125" t="s">
        <v>1171</v>
      </c>
      <c r="AC125" t="s">
        <v>1171</v>
      </c>
      <c r="AD125" t="s">
        <v>1140</v>
      </c>
      <c r="AE125" t="s">
        <v>1171</v>
      </c>
    </row>
    <row r="126" spans="1:31" ht="35" thickBot="1" x14ac:dyDescent="0.25">
      <c r="A126" t="s">
        <v>1171</v>
      </c>
      <c r="B126" t="s">
        <v>1298</v>
      </c>
      <c r="C126" t="str">
        <f>"CONF-"&amp;TEXT(us_core_reqs[[#This Row],[ID*]], "0000")</f>
        <v>CONF-0125</v>
      </c>
      <c r="D126" s="11" t="s">
        <v>622</v>
      </c>
      <c r="E126" s="73" t="str" cm="1">
        <f t="array" ref="E126">_xlfn.TEXTJOIN(", ", TRUE, _xlfn.TEXTAFTER(_xlfn.TEXTSPLIT(us_core_reqs[[#This Row],[URL*]], ", "), "/", -1))</f>
        <v>scopes.html#smart-scopes</v>
      </c>
      <c r="F126" s="11" t="s">
        <v>162</v>
      </c>
      <c r="G126" t="s">
        <v>35</v>
      </c>
      <c r="H126" cm="1">
        <f t="array" ref="H126">_xlfn.SWITCH(G126, "SHALL", 1, "SHOULD", 3, "MAY", 5, "SHOULD-NOT", 4, "SHALL-NOT", 2, "DEPRECATED", 6, 99)</f>
        <v>5</v>
      </c>
      <c r="I126" t="s">
        <v>1871</v>
      </c>
      <c r="J126" t="s">
        <v>30</v>
      </c>
      <c r="K126" t="s">
        <v>1171</v>
      </c>
      <c r="L126" t="s">
        <v>1171</v>
      </c>
      <c r="M126" t="s">
        <v>1173</v>
      </c>
      <c r="N126" t="s">
        <v>1171</v>
      </c>
      <c r="O126" t="s">
        <v>1171</v>
      </c>
      <c r="P126" t="s">
        <v>1171</v>
      </c>
      <c r="Q126" t="s">
        <v>1171</v>
      </c>
      <c r="R126" t="s">
        <v>1171</v>
      </c>
      <c r="S126" s="70" t="str" cm="1">
        <f t="array" ref="S126">_xlfn.TEXTJOIN(",",TRUE,LEFT(TRIM(_xlfn.TEXTSPLIT(us_core_reqs[[#This Row],[reference]],",")),FIND(".html",TRIM(_xlfn.TEXTSPLIT(us_core_reqs[[#This Row],[reference]],",")))-1))</f>
        <v>scopes</v>
      </c>
      <c r="T126" s="70" t="str" cm="1">
        <f t="array" ref="T126">_xlfn.TEXTJOIN(",",TRUE,MID(TRIM(_xlfn.TEXTSPLIT(us_core_reqs[[#This Row],[reference]],",")),FIND("#",TRIM(_xlfn.TEXTSPLIT(us_core_reqs[[#This Row],[reference]],","))&amp;"#")+1,1000))</f>
        <v>smart-scopes</v>
      </c>
      <c r="U126" t="str" cm="1">
        <f t="array" ref="U126">_xlfn.TEXTJOIN(", ",TRUE,SUBSTITUTE(SUBSTITUTE(PROPER(SUBSTITUTE(TRIM(_xlfn.TEXTSPLIT(us_core_reqs[[#This Row],[Page]],","))," -"," "))&amp;": "&amp;PROPER(SUBSTITUTE(TRIM(_xlfn.TEXTSPLIT(us_core_reqs[[#This Row],[Section]],","))," -"," ")),"Us ","US        
  "),"Uscdi","USCDI"))</f>
        <v>Scopes: Smart-Scopes</v>
      </c>
      <c r="V126" t="s">
        <v>1171</v>
      </c>
      <c r="W126" t="s">
        <v>1171</v>
      </c>
      <c r="X126" t="s">
        <v>1171</v>
      </c>
      <c r="Y126" t="s">
        <v>1171</v>
      </c>
      <c r="Z126" t="s">
        <v>1171</v>
      </c>
      <c r="AA126" t="s">
        <v>1171</v>
      </c>
      <c r="AB126" t="s">
        <v>1171</v>
      </c>
      <c r="AC126" t="s">
        <v>1171</v>
      </c>
      <c r="AD126" t="s">
        <v>1171</v>
      </c>
      <c r="AE126" t="s">
        <v>1171</v>
      </c>
    </row>
    <row r="127" spans="1:31" ht="35" thickBot="1" x14ac:dyDescent="0.25">
      <c r="A127" t="s">
        <v>1171</v>
      </c>
      <c r="B127" t="s">
        <v>1299</v>
      </c>
      <c r="C127" t="str">
        <f>"CONF-"&amp;TEXT(us_core_reqs[[#This Row],[ID*]], "0000")</f>
        <v>CONF-0126</v>
      </c>
      <c r="D127" s="11" t="s">
        <v>622</v>
      </c>
      <c r="E127" s="73" t="str" cm="1">
        <f t="array" ref="E127">_xlfn.TEXTJOIN(", ", TRUE, _xlfn.TEXTAFTER(_xlfn.TEXTSPLIT(us_core_reqs[[#This Row],[URL*]], ", "), "/", -1))</f>
        <v>scopes.html#smart-scopes</v>
      </c>
      <c r="F127" s="11" t="s">
        <v>2151</v>
      </c>
      <c r="G127" t="s">
        <v>35</v>
      </c>
      <c r="H127" cm="1">
        <f t="array" ref="H127">_xlfn.SWITCH(G127, "SHALL", 1, "SHOULD", 3, "MAY", 5, "SHOULD-NOT", 4, "SHALL-NOT", 2, "DEPRECATED", 6, 99)</f>
        <v>5</v>
      </c>
      <c r="J127" t="s">
        <v>30</v>
      </c>
      <c r="K127" t="s">
        <v>1171</v>
      </c>
      <c r="L127" t="s">
        <v>1171</v>
      </c>
      <c r="M127" t="s">
        <v>1173</v>
      </c>
      <c r="N127" t="s">
        <v>1171</v>
      </c>
      <c r="O127" t="s">
        <v>1171</v>
      </c>
      <c r="P127" t="s">
        <v>1171</v>
      </c>
      <c r="Q127" t="s">
        <v>1171</v>
      </c>
      <c r="R127" t="s">
        <v>1171</v>
      </c>
      <c r="S127" s="70" t="str" cm="1">
        <f t="array" ref="S127">_xlfn.TEXTJOIN(",",TRUE,LEFT(TRIM(_xlfn.TEXTSPLIT(us_core_reqs[[#This Row],[reference]],",")),FIND(".html",TRIM(_xlfn.TEXTSPLIT(us_core_reqs[[#This Row],[reference]],",")))-1))</f>
        <v>scopes</v>
      </c>
      <c r="T127" s="70" t="str" cm="1">
        <f t="array" ref="T127">_xlfn.TEXTJOIN(",",TRUE,MID(TRIM(_xlfn.TEXTSPLIT(us_core_reqs[[#This Row],[reference]],",")),FIND("#",TRIM(_xlfn.TEXTSPLIT(us_core_reqs[[#This Row],[reference]],","))&amp;"#")+1,1000))</f>
        <v>smart-scopes</v>
      </c>
      <c r="U127" t="str" cm="1">
        <f t="array" ref="U127">_xlfn.TEXTJOIN(", ",TRUE,SUBSTITUTE(SUBSTITUTE(PROPER(SUBSTITUTE(TRIM(_xlfn.TEXTSPLIT(us_core_reqs[[#This Row],[Page]],","))," -"," "))&amp;": "&amp;PROPER(SUBSTITUTE(TRIM(_xlfn.TEXTSPLIT(us_core_reqs[[#This Row],[Section]],","))," -"," ")),"Us ","US        
  "),"Uscdi","USCDI"))</f>
        <v>Scopes: Smart-Scopes</v>
      </c>
      <c r="V127" t="s">
        <v>35</v>
      </c>
      <c r="W127" t="s">
        <v>30</v>
      </c>
      <c r="X127" t="s">
        <v>1171</v>
      </c>
      <c r="Y127" t="s">
        <v>1171</v>
      </c>
      <c r="Z127" t="s">
        <v>1171</v>
      </c>
      <c r="AA127" t="s">
        <v>1171</v>
      </c>
      <c r="AB127" t="s">
        <v>1171</v>
      </c>
      <c r="AC127" t="s">
        <v>1171</v>
      </c>
      <c r="AD127" t="s">
        <v>1171</v>
      </c>
      <c r="AE127" t="s">
        <v>1171</v>
      </c>
    </row>
    <row r="128" spans="1:31" ht="52" thickBot="1" x14ac:dyDescent="0.25">
      <c r="A128" t="s">
        <v>1171</v>
      </c>
      <c r="B128" t="s">
        <v>1300</v>
      </c>
      <c r="C128" t="str">
        <f>"CONF-"&amp;TEXT(us_core_reqs[[#This Row],[ID*]], "0000")</f>
        <v>CONF-0127</v>
      </c>
      <c r="D128" s="11" t="s">
        <v>622</v>
      </c>
      <c r="E128" s="73" t="str" cm="1">
        <f t="array" ref="E128">_xlfn.TEXTJOIN(", ", TRUE, _xlfn.TEXTAFTER(_xlfn.TEXTSPLIT(us_core_reqs[[#This Row],[URL*]], ", "), "/", -1))</f>
        <v>scopes.html#smart-scopes</v>
      </c>
      <c r="F128" s="11" t="s">
        <v>923</v>
      </c>
      <c r="G128" t="s">
        <v>32</v>
      </c>
      <c r="H128" cm="1">
        <f t="array" ref="H128">_xlfn.SWITCH(G128, "SHALL", 1, "SHOULD", 3, "MAY", 5, "SHOULD-NOT", 4, "SHALL-NOT", 2, "DEPRECATED", 6, 99)</f>
        <v>3</v>
      </c>
      <c r="I128" t="s">
        <v>1873</v>
      </c>
      <c r="J128" t="s">
        <v>58</v>
      </c>
      <c r="K128" t="s">
        <v>1171</v>
      </c>
      <c r="L128" t="s">
        <v>1171</v>
      </c>
      <c r="M128" t="s">
        <v>1173</v>
      </c>
      <c r="N128" t="s">
        <v>1171</v>
      </c>
      <c r="O128" t="s">
        <v>1171</v>
      </c>
      <c r="P128" t="s">
        <v>1171</v>
      </c>
      <c r="Q128" t="s">
        <v>1171</v>
      </c>
      <c r="R128" t="s">
        <v>1171</v>
      </c>
      <c r="S128" s="70" t="str" cm="1">
        <f t="array" ref="S128">_xlfn.TEXTJOIN(",",TRUE,LEFT(TRIM(_xlfn.TEXTSPLIT(us_core_reqs[[#This Row],[reference]],",")),FIND(".html",TRIM(_xlfn.TEXTSPLIT(us_core_reqs[[#This Row],[reference]],",")))-1))</f>
        <v>scopes</v>
      </c>
      <c r="T128" s="70" t="str" cm="1">
        <f t="array" ref="T128">_xlfn.TEXTJOIN(",",TRUE,MID(TRIM(_xlfn.TEXTSPLIT(us_core_reqs[[#This Row],[reference]],",")),FIND("#",TRIM(_xlfn.TEXTSPLIT(us_core_reqs[[#This Row],[reference]],","))&amp;"#")+1,1000))</f>
        <v>smart-scopes</v>
      </c>
      <c r="U128" t="str" cm="1">
        <f t="array" ref="U128">_xlfn.TEXTJOIN(", ",TRUE,SUBSTITUTE(SUBSTITUTE(PROPER(SUBSTITUTE(TRIM(_xlfn.TEXTSPLIT(us_core_reqs[[#This Row],[Page]],","))," -"," "))&amp;": "&amp;PROPER(SUBSTITUTE(TRIM(_xlfn.TEXTSPLIT(us_core_reqs[[#This Row],[Section]],","))," -"," ")),"Us ","US        
  "),"Uscdi","USCDI"))</f>
        <v>Scopes: Smart-Scopes</v>
      </c>
      <c r="V128" t="s">
        <v>32</v>
      </c>
      <c r="W128" t="s">
        <v>58</v>
      </c>
      <c r="X128" t="s">
        <v>1171</v>
      </c>
      <c r="Y128" t="s">
        <v>1171</v>
      </c>
      <c r="Z128" t="s">
        <v>1171</v>
      </c>
      <c r="AA128" t="s">
        <v>1171</v>
      </c>
      <c r="AB128" t="s">
        <v>1171</v>
      </c>
      <c r="AC128" t="s">
        <v>1171</v>
      </c>
      <c r="AD128" t="s">
        <v>1171</v>
      </c>
      <c r="AE128" t="s">
        <v>1171</v>
      </c>
    </row>
    <row r="129" spans="1:31" ht="120" thickBot="1" x14ac:dyDescent="0.25">
      <c r="A129" t="s">
        <v>1171</v>
      </c>
      <c r="B129" t="s">
        <v>1301</v>
      </c>
      <c r="C129" t="str">
        <f>"CONF-"&amp;TEXT(us_core_reqs[[#This Row],[ID*]], "0000")</f>
        <v>CONF-0128</v>
      </c>
      <c r="D129" s="11" t="s">
        <v>828</v>
      </c>
      <c r="E129" s="73" t="str" cm="1">
        <f t="array" ref="E129">_xlfn.TEXTJOIN(", ", TRUE, _xlfn.TEXTAFTER(_xlfn.TEXTSPLIT(us_core_reqs[[#This Row],[URL*]], ", "), "/", -1))</f>
        <v>scopes.html#us-core-scopes</v>
      </c>
      <c r="F129" s="11" t="s">
        <v>2075</v>
      </c>
      <c r="G129" t="s">
        <v>29</v>
      </c>
      <c r="H129" cm="1">
        <f t="array" ref="H129">_xlfn.SWITCH(G129, "SHALL", 1, "SHOULD", 3, "MAY", 5, "SHOULD-NOT", 4, "SHALL-NOT", 2, "DEPRECATED", 6, 99)</f>
        <v>1</v>
      </c>
      <c r="J129" t="s">
        <v>30</v>
      </c>
      <c r="K129" t="s">
        <v>1171</v>
      </c>
      <c r="L129" t="s">
        <v>1171</v>
      </c>
      <c r="M129" t="s">
        <v>1173</v>
      </c>
      <c r="N129" t="s">
        <v>1171</v>
      </c>
      <c r="O129" t="s">
        <v>1171</v>
      </c>
      <c r="P129" t="s">
        <v>1171</v>
      </c>
      <c r="Q129" t="s">
        <v>1171</v>
      </c>
      <c r="R129" t="s">
        <v>1171</v>
      </c>
      <c r="S129" s="70" t="str" cm="1">
        <f t="array" ref="S129">_xlfn.TEXTJOIN(",",TRUE,LEFT(TRIM(_xlfn.TEXTSPLIT(us_core_reqs[[#This Row],[reference]],",")),FIND(".html",TRIM(_xlfn.TEXTSPLIT(us_core_reqs[[#This Row],[reference]],",")))-1))</f>
        <v>scopes</v>
      </c>
      <c r="T129" s="70" t="str" cm="1">
        <f t="array" ref="T129">_xlfn.TEXTJOIN(",",TRUE,MID(TRIM(_xlfn.TEXTSPLIT(us_core_reqs[[#This Row],[reference]],",")),FIND("#",TRIM(_xlfn.TEXTSPLIT(us_core_reqs[[#This Row],[reference]],","))&amp;"#")+1,1000))</f>
        <v>us-core-scopes</v>
      </c>
      <c r="U129" t="str" cm="1">
        <f t="array" ref="U129">_xlfn.TEXTJOIN(", ",TRUE,SUBSTITUTE(SUBSTITUTE(PROPER(SUBSTITUTE(TRIM(_xlfn.TEXTSPLIT(us_core_reqs[[#This Row],[Page]],","))," -"," "))&amp;": "&amp;PROPER(SUBSTITUTE(TRIM(_xlfn.TEXTSPLIT(us_core_reqs[[#This Row],[Section]],","))," -"," ")),"Us ","US        
  "),"Uscdi","USCDI"))</f>
        <v>Scopes: Us-Core-Scopes</v>
      </c>
      <c r="V129" t="s">
        <v>29</v>
      </c>
      <c r="W129" t="s">
        <v>30</v>
      </c>
      <c r="X129" t="s">
        <v>164</v>
      </c>
      <c r="Y129" t="s">
        <v>1171</v>
      </c>
      <c r="Z129" t="s">
        <v>1171</v>
      </c>
      <c r="AA129" t="s">
        <v>1171</v>
      </c>
      <c r="AB129" t="s">
        <v>1171</v>
      </c>
      <c r="AC129" t="s">
        <v>1171</v>
      </c>
      <c r="AD129" t="s">
        <v>1140</v>
      </c>
      <c r="AE129" t="s">
        <v>1171</v>
      </c>
    </row>
    <row r="130" spans="1:31" ht="120" thickBot="1" x14ac:dyDescent="0.25">
      <c r="A130" t="s">
        <v>1171</v>
      </c>
      <c r="B130" t="s">
        <v>1302</v>
      </c>
      <c r="C130" t="str">
        <f>"CONF-"&amp;TEXT(us_core_reqs[[#This Row],[ID*]], "0000")</f>
        <v>CONF-0129</v>
      </c>
      <c r="D130" s="11" t="s">
        <v>828</v>
      </c>
      <c r="E130" s="73" t="str" cm="1">
        <f t="array" ref="E130">_xlfn.TEXTJOIN(", ", TRUE, _xlfn.TEXTAFTER(_xlfn.TEXTSPLIT(us_core_reqs[[#This Row],[URL*]], ", "), "/", -1))</f>
        <v>scopes.html#us-core-scopes</v>
      </c>
      <c r="F130" s="11" t="s">
        <v>1909</v>
      </c>
      <c r="G130" t="s">
        <v>32</v>
      </c>
      <c r="H130" cm="1">
        <f t="array" ref="H130">_xlfn.SWITCH(G130, "SHALL", 1, "SHOULD", 3, "MAY", 5, "SHOULD-NOT", 4, "SHALL-NOT", 2, "DEPRECATED", 6, 99)</f>
        <v>3</v>
      </c>
      <c r="J130" t="s">
        <v>30</v>
      </c>
      <c r="K130" t="s">
        <v>1171</v>
      </c>
      <c r="L130" t="s">
        <v>1171</v>
      </c>
      <c r="M130" t="s">
        <v>1173</v>
      </c>
      <c r="N130" t="s">
        <v>1171</v>
      </c>
      <c r="O130" t="s">
        <v>1171</v>
      </c>
      <c r="P130" t="s">
        <v>1171</v>
      </c>
      <c r="Q130" t="s">
        <v>1171</v>
      </c>
      <c r="R130" t="s">
        <v>1171</v>
      </c>
      <c r="S130" s="70" t="str" cm="1">
        <f t="array" ref="S130">_xlfn.TEXTJOIN(",",TRUE,LEFT(TRIM(_xlfn.TEXTSPLIT(us_core_reqs[[#This Row],[reference]],",")),FIND(".html",TRIM(_xlfn.TEXTSPLIT(us_core_reqs[[#This Row],[reference]],",")))-1))</f>
        <v>scopes</v>
      </c>
      <c r="T130" s="70" t="str" cm="1">
        <f t="array" ref="T130">_xlfn.TEXTJOIN(",",TRUE,MID(TRIM(_xlfn.TEXTSPLIT(us_core_reqs[[#This Row],[reference]],",")),FIND("#",TRIM(_xlfn.TEXTSPLIT(us_core_reqs[[#This Row],[reference]],","))&amp;"#")+1,1000))</f>
        <v>us-core-scopes</v>
      </c>
      <c r="U130" t="str" cm="1">
        <f t="array" ref="U130">_xlfn.TEXTJOIN(", ",TRUE,SUBSTITUTE(SUBSTITUTE(PROPER(SUBSTITUTE(TRIM(_xlfn.TEXTSPLIT(us_core_reqs[[#This Row],[Page]],","))," -"," "))&amp;": "&amp;PROPER(SUBSTITUTE(TRIM(_xlfn.TEXTSPLIT(us_core_reqs[[#This Row],[Section]],","))," -"," ")),"Us ","US        
  "),"Uscdi","USCDI"))</f>
        <v>Scopes: Us-Core-Scopes</v>
      </c>
      <c r="V130" t="s">
        <v>32</v>
      </c>
      <c r="W130" t="s">
        <v>30</v>
      </c>
      <c r="X130" t="s">
        <v>1171</v>
      </c>
      <c r="Y130" t="s">
        <v>1171</v>
      </c>
      <c r="Z130" t="s">
        <v>1171</v>
      </c>
      <c r="AA130" t="s">
        <v>1171</v>
      </c>
      <c r="AB130" t="s">
        <v>1171</v>
      </c>
      <c r="AC130" t="s">
        <v>1171</v>
      </c>
      <c r="AD130" t="s">
        <v>1171</v>
      </c>
      <c r="AE130" t="s">
        <v>1171</v>
      </c>
    </row>
    <row r="131" spans="1:31" ht="69" thickBot="1" x14ac:dyDescent="0.25">
      <c r="A131" t="s">
        <v>1171</v>
      </c>
      <c r="B131" t="s">
        <v>1303</v>
      </c>
      <c r="C131" t="str">
        <f>"CONF-"&amp;TEXT(us_core_reqs[[#This Row],[ID*]], "0000")</f>
        <v>CONF-0130</v>
      </c>
      <c r="D131" s="11" t="s">
        <v>828</v>
      </c>
      <c r="E131" s="73" t="str" cm="1">
        <f t="array" ref="E131">_xlfn.TEXTJOIN(", ", TRUE, _xlfn.TEXTAFTER(_xlfn.TEXTSPLIT(us_core_reqs[[#This Row],[URL*]], ", "), "/", -1))</f>
        <v>scopes.html#us-core-scopes</v>
      </c>
      <c r="F131" s="11" t="s">
        <v>2076</v>
      </c>
      <c r="G131" t="s">
        <v>29</v>
      </c>
      <c r="H131" cm="1">
        <f t="array" ref="H131">_xlfn.SWITCH(G131, "SHALL", 1, "SHOULD", 3, "MAY", 5, "SHOULD-NOT", 4, "SHALL-NOT", 2, "DEPRECATED", 6, 99)</f>
        <v>1</v>
      </c>
      <c r="J131" t="s">
        <v>30</v>
      </c>
      <c r="K131" t="s">
        <v>1171</v>
      </c>
      <c r="L131" t="s">
        <v>1171</v>
      </c>
      <c r="M131" t="s">
        <v>1173</v>
      </c>
      <c r="N131" t="s">
        <v>1171</v>
      </c>
      <c r="O131" t="s">
        <v>1171</v>
      </c>
      <c r="P131" t="s">
        <v>1171</v>
      </c>
      <c r="Q131" t="s">
        <v>1171</v>
      </c>
      <c r="R131" t="s">
        <v>1171</v>
      </c>
      <c r="S131" s="70" t="str" cm="1">
        <f t="array" ref="S131">_xlfn.TEXTJOIN(",",TRUE,LEFT(TRIM(_xlfn.TEXTSPLIT(us_core_reqs[[#This Row],[reference]],",")),FIND(".html",TRIM(_xlfn.TEXTSPLIT(us_core_reqs[[#This Row],[reference]],",")))-1))</f>
        <v>scopes</v>
      </c>
      <c r="T131" s="70" t="str" cm="1">
        <f t="array" ref="T131">_xlfn.TEXTJOIN(",",TRUE,MID(TRIM(_xlfn.TEXTSPLIT(us_core_reqs[[#This Row],[reference]],",")),FIND("#",TRIM(_xlfn.TEXTSPLIT(us_core_reqs[[#This Row],[reference]],","))&amp;"#")+1,1000))</f>
        <v>us-core-scopes</v>
      </c>
      <c r="U131" t="str" cm="1">
        <f t="array" ref="U131">_xlfn.TEXTJOIN(", ",TRUE,SUBSTITUTE(SUBSTITUTE(PROPER(SUBSTITUTE(TRIM(_xlfn.TEXTSPLIT(us_core_reqs[[#This Row],[Page]],","))," -"," "))&amp;": "&amp;PROPER(SUBSTITUTE(TRIM(_xlfn.TEXTSPLIT(us_core_reqs[[#This Row],[Section]],","))," -"," ")),"Us ","US        
  "),"Uscdi","USCDI"))</f>
        <v>Scopes: Us-Core-Scopes</v>
      </c>
      <c r="V131" t="s">
        <v>29</v>
      </c>
      <c r="W131" t="s">
        <v>58</v>
      </c>
      <c r="X131" t="s">
        <v>165</v>
      </c>
      <c r="Y131" t="s">
        <v>1171</v>
      </c>
      <c r="Z131" t="s">
        <v>1171</v>
      </c>
      <c r="AA131" t="s">
        <v>1171</v>
      </c>
      <c r="AB131" t="s">
        <v>1171</v>
      </c>
      <c r="AC131" t="s">
        <v>1171</v>
      </c>
      <c r="AD131" t="s">
        <v>1142</v>
      </c>
      <c r="AE131" t="s">
        <v>1171</v>
      </c>
    </row>
    <row r="132" spans="1:31" ht="69" thickBot="1" x14ac:dyDescent="0.25">
      <c r="A132" t="s">
        <v>1171</v>
      </c>
      <c r="B132" t="s">
        <v>1304</v>
      </c>
      <c r="C132" t="str">
        <f>"CONF-"&amp;TEXT(us_core_reqs[[#This Row],[ID*]], "0000")</f>
        <v>CONF-0131</v>
      </c>
      <c r="D132" s="11" t="s">
        <v>828</v>
      </c>
      <c r="E132" s="73" t="str" cm="1">
        <f t="array" ref="E132">_xlfn.TEXTJOIN(", ", TRUE, _xlfn.TEXTAFTER(_xlfn.TEXTSPLIT(us_core_reqs[[#This Row],[URL*]], ", "), "/", -1))</f>
        <v>scopes.html#us-core-scopes</v>
      </c>
      <c r="F132" s="11" t="s">
        <v>1910</v>
      </c>
      <c r="G132" t="s">
        <v>32</v>
      </c>
      <c r="H132" cm="1">
        <f t="array" ref="H132">_xlfn.SWITCH(G132, "SHALL", 1, "SHOULD", 3, "MAY", 5, "SHOULD-NOT", 4, "SHALL-NOT", 2, "DEPRECATED", 6, 99)</f>
        <v>3</v>
      </c>
      <c r="J132" t="s">
        <v>30</v>
      </c>
      <c r="K132" t="s">
        <v>1171</v>
      </c>
      <c r="L132" t="s">
        <v>1171</v>
      </c>
      <c r="M132" t="s">
        <v>1173</v>
      </c>
      <c r="N132" t="s">
        <v>1171</v>
      </c>
      <c r="O132" t="s">
        <v>1171</v>
      </c>
      <c r="P132" t="s">
        <v>1171</v>
      </c>
      <c r="Q132" t="s">
        <v>1171</v>
      </c>
      <c r="R132" t="s">
        <v>1171</v>
      </c>
      <c r="S132" s="70" t="str" cm="1">
        <f t="array" ref="S132">_xlfn.TEXTJOIN(",",TRUE,LEFT(TRIM(_xlfn.TEXTSPLIT(us_core_reqs[[#This Row],[reference]],",")),FIND(".html",TRIM(_xlfn.TEXTSPLIT(us_core_reqs[[#This Row],[reference]],",")))-1))</f>
        <v>scopes</v>
      </c>
      <c r="T132" s="70" t="str" cm="1">
        <f t="array" ref="T132">_xlfn.TEXTJOIN(",",TRUE,MID(TRIM(_xlfn.TEXTSPLIT(us_core_reqs[[#This Row],[reference]],",")),FIND("#",TRIM(_xlfn.TEXTSPLIT(us_core_reqs[[#This Row],[reference]],","))&amp;"#")+1,1000))</f>
        <v>us-core-scopes</v>
      </c>
      <c r="U132" t="str" cm="1">
        <f t="array" ref="U132">_xlfn.TEXTJOIN(", ",TRUE,SUBSTITUTE(SUBSTITUTE(PROPER(SUBSTITUTE(TRIM(_xlfn.TEXTSPLIT(us_core_reqs[[#This Row],[Page]],","))," -"," "))&amp;": "&amp;PROPER(SUBSTITUTE(TRIM(_xlfn.TEXTSPLIT(us_core_reqs[[#This Row],[Section]],","))," -"," ")),"Us ","US        
  "),"Uscdi","USCDI"))</f>
        <v>Scopes: Us-Core-Scopes</v>
      </c>
      <c r="V132" t="s">
        <v>32</v>
      </c>
      <c r="W132" t="s">
        <v>58</v>
      </c>
      <c r="X132" t="s">
        <v>1171</v>
      </c>
      <c r="Y132" t="s">
        <v>1171</v>
      </c>
      <c r="Z132" t="s">
        <v>1171</v>
      </c>
      <c r="AA132" t="s">
        <v>1171</v>
      </c>
      <c r="AB132" t="s">
        <v>1171</v>
      </c>
      <c r="AC132" t="s">
        <v>1171</v>
      </c>
      <c r="AD132" t="s">
        <v>1171</v>
      </c>
      <c r="AE132" t="s">
        <v>1171</v>
      </c>
    </row>
    <row r="133" spans="1:31" ht="154" thickBot="1" x14ac:dyDescent="0.25">
      <c r="A133" t="s">
        <v>1171</v>
      </c>
      <c r="B133" t="s">
        <v>1305</v>
      </c>
      <c r="C133" t="str">
        <f>"CONF-"&amp;TEXT(us_core_reqs[[#This Row],[ID*]], "0000")</f>
        <v>CONF-0132</v>
      </c>
      <c r="D133" s="11" t="s">
        <v>829</v>
      </c>
      <c r="E133" s="73" t="str" cm="1">
        <f t="array" ref="E133">_xlfn.TEXTJOIN(", ", TRUE, _xlfn.TEXTAFTER(_xlfn.TEXTSPLIT(us_core_reqs[[#This Row],[URL*]], ", "), "/", -1))</f>
        <v>scopes.html#scopes-for-requesting-fhir-resources-by-type, StructureDefinition-us-core-allergyintolerance.html#us-core-scopes</v>
      </c>
      <c r="F133" s="11" t="s">
        <v>696</v>
      </c>
      <c r="G133" t="s">
        <v>29</v>
      </c>
      <c r="H133" cm="1">
        <f t="array" ref="H133">_xlfn.SWITCH(G133, "SHALL", 1, "SHOULD", 3, "MAY", 5, "SHOULD-NOT", 4, "SHALL-NOT", 2, "DEPRECATED", 6, 99)</f>
        <v>1</v>
      </c>
      <c r="J133" t="s">
        <v>30</v>
      </c>
      <c r="K133" t="s">
        <v>1171</v>
      </c>
      <c r="L133" t="s">
        <v>1171</v>
      </c>
      <c r="M133" t="s">
        <v>1176</v>
      </c>
      <c r="N133" t="s">
        <v>166</v>
      </c>
      <c r="O133" t="s">
        <v>1171</v>
      </c>
      <c r="P133" t="s">
        <v>1171</v>
      </c>
      <c r="Q133" t="s">
        <v>1171</v>
      </c>
      <c r="R133" t="s">
        <v>1171</v>
      </c>
      <c r="S133" s="70" t="str" cm="1">
        <f t="array" ref="S133">_xlfn.TEXTJOIN(",",TRUE,LEFT(TRIM(_xlfn.TEXTSPLIT(us_core_reqs[[#This Row],[reference]],",")),FIND(".html",TRIM(_xlfn.TEXTSPLIT(us_core_reqs[[#This Row],[reference]],",")))-1))</f>
        <v>scopes,StructureDefinition-us-core-allergyintolerance</v>
      </c>
      <c r="T133" s="70" t="str" cm="1">
        <f t="array" ref="T133">_xlfn.TEXTJOIN(",",TRUE,MID(TRIM(_xlfn.TEXTSPLIT(us_core_reqs[[#This Row],[reference]],",")),FIND("#",TRIM(_xlfn.TEXTSPLIT(us_core_reqs[[#This Row],[reference]],","))&amp;"#")+1,1000))</f>
        <v>scopes-for-requesting-fhir-resources-by-type,us-core-scopes</v>
      </c>
      <c r="U133"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t="s">
        <v>29</v>
      </c>
      <c r="W133" t="s">
        <v>1171</v>
      </c>
      <c r="X133" t="s">
        <v>167</v>
      </c>
      <c r="Y133" t="s">
        <v>1171</v>
      </c>
      <c r="Z133" t="s">
        <v>1171</v>
      </c>
      <c r="AA133" t="s">
        <v>1171</v>
      </c>
      <c r="AB133" t="s">
        <v>1171</v>
      </c>
      <c r="AC133" t="s">
        <v>697</v>
      </c>
      <c r="AD133" t="s">
        <v>1140</v>
      </c>
      <c r="AE133" t="s">
        <v>1171</v>
      </c>
    </row>
    <row r="134" spans="1:31" ht="137" thickBot="1" x14ac:dyDescent="0.25">
      <c r="A134" t="s">
        <v>1171</v>
      </c>
      <c r="B134" t="s">
        <v>1306</v>
      </c>
      <c r="C134" t="str">
        <f>"CONF-"&amp;TEXT(us_core_reqs[[#This Row],[ID*]], "0000")</f>
        <v>CONF-0133</v>
      </c>
      <c r="D134" s="11" t="s">
        <v>623</v>
      </c>
      <c r="E134" s="73" t="str" cm="1">
        <f t="array" ref="E134">_xlfn.TEXTJOIN(", ", TRUE, _xlfn.TEXTAFTER(_xlfn.TEXTSPLIT(us_core_reqs[[#This Row],[URL*]], ", "), "/", -1))</f>
        <v>scopes.html#scopes-for-requesting-fhir-resources-by-type</v>
      </c>
      <c r="F134" s="11" t="s">
        <v>673</v>
      </c>
      <c r="G134" t="s">
        <v>29</v>
      </c>
      <c r="H134" cm="1">
        <f t="array" ref="H134">_xlfn.SWITCH(G134, "SHALL", 1, "SHOULD", 3, "MAY", 5, "SHOULD-NOT", 4, "SHALL-NOT", 2, "DEPRECATED", 6, 99)</f>
        <v>1</v>
      </c>
      <c r="J134" t="s">
        <v>30</v>
      </c>
      <c r="K134" t="s">
        <v>1171</v>
      </c>
      <c r="L134" t="s">
        <v>1171</v>
      </c>
      <c r="M134" t="s">
        <v>1176</v>
      </c>
      <c r="N134" t="s">
        <v>168</v>
      </c>
      <c r="O134" t="s">
        <v>1171</v>
      </c>
      <c r="P134" t="s">
        <v>1171</v>
      </c>
      <c r="Q134" t="s">
        <v>1171</v>
      </c>
      <c r="R134" t="s">
        <v>1171</v>
      </c>
      <c r="S134" s="70" t="str" cm="1">
        <f t="array" ref="S134">_xlfn.TEXTJOIN(",",TRUE,LEFT(TRIM(_xlfn.TEXTSPLIT(us_core_reqs[[#This Row],[reference]],",")),FIND(".html",TRIM(_xlfn.TEXTSPLIT(us_core_reqs[[#This Row],[reference]],",")))-1))</f>
        <v>scopes</v>
      </c>
      <c r="T134" s="70" t="str" cm="1">
        <f t="array" ref="T134">_xlfn.TEXTJOIN(",",TRUE,MID(TRIM(_xlfn.TEXTSPLIT(us_core_reqs[[#This Row],[reference]],",")),FIND("#",TRIM(_xlfn.TEXTSPLIT(us_core_reqs[[#This Row],[reference]],","))&amp;"#")+1,1000))</f>
        <v>scopes-for-requesting-fhir-resources-by-type</v>
      </c>
      <c r="U134" t="str" cm="1">
        <f t="array" ref="U134">_xlfn.TEXTJOIN(", ",TRUE,SUBSTITUTE(SUBSTITUTE(PROPER(SUBSTITUTE(TRIM(_xlfn.TEXTSPLIT(us_core_reqs[[#This Row],[Page]],","))," -"," "))&amp;": "&amp;PROPER(SUBSTITUTE(TRIM(_xlfn.TEXTSPLIT(us_core_reqs[[#This Row],[Section]],","))," -"," ")),"Us ","US        
  "),"Uscdi","USCDI"))</f>
        <v>Scopes: Scopes-For-Requesting-Fhir-Resources-By-Type</v>
      </c>
      <c r="V134" t="s">
        <v>29</v>
      </c>
      <c r="W134" t="s">
        <v>1171</v>
      </c>
      <c r="X134" t="s">
        <v>1171</v>
      </c>
      <c r="Y134" t="s">
        <v>1171</v>
      </c>
      <c r="Z134" t="s">
        <v>1171</v>
      </c>
      <c r="AA134" t="s">
        <v>1171</v>
      </c>
      <c r="AB134" t="s">
        <v>1171</v>
      </c>
      <c r="AC134" t="s">
        <v>697</v>
      </c>
      <c r="AD134" t="s">
        <v>1140</v>
      </c>
      <c r="AE134" t="s">
        <v>1171</v>
      </c>
    </row>
    <row r="135" spans="1:31" ht="120" thickBot="1" x14ac:dyDescent="0.25">
      <c r="A135" t="s">
        <v>1171</v>
      </c>
      <c r="B135" t="s">
        <v>1307</v>
      </c>
      <c r="C135" t="str">
        <f>"CONF-"&amp;TEXT(us_core_reqs[[#This Row],[ID*]], "0000")</f>
        <v>CONF-0134</v>
      </c>
      <c r="D135" s="11" t="s">
        <v>623</v>
      </c>
      <c r="E135" s="73" t="str" cm="1">
        <f t="array" ref="E135">_xlfn.TEXTJOIN(", ", TRUE, _xlfn.TEXTAFTER(_xlfn.TEXTSPLIT(us_core_reqs[[#This Row],[URL*]], ", "), "/", -1))</f>
        <v>scopes.html#scopes-for-requesting-fhir-resources-by-type</v>
      </c>
      <c r="F135" s="11" t="s">
        <v>674</v>
      </c>
      <c r="G135" t="s">
        <v>29</v>
      </c>
      <c r="H135" cm="1">
        <f t="array" ref="H135">_xlfn.SWITCH(G135, "SHALL", 1, "SHOULD", 3, "MAY", 5, "SHOULD-NOT", 4, "SHALL-NOT", 2, "DEPRECATED", 6, 99)</f>
        <v>1</v>
      </c>
      <c r="J135" t="s">
        <v>30</v>
      </c>
      <c r="K135" t="s">
        <v>1171</v>
      </c>
      <c r="L135" t="s">
        <v>1171</v>
      </c>
      <c r="M135" t="s">
        <v>1176</v>
      </c>
      <c r="N135" t="s">
        <v>169</v>
      </c>
      <c r="O135" t="s">
        <v>1171</v>
      </c>
      <c r="P135" t="s">
        <v>1171</v>
      </c>
      <c r="Q135" t="s">
        <v>1171</v>
      </c>
      <c r="R135" t="s">
        <v>1171</v>
      </c>
      <c r="S135" s="70" t="str" cm="1">
        <f t="array" ref="S135">_xlfn.TEXTJOIN(",",TRUE,LEFT(TRIM(_xlfn.TEXTSPLIT(us_core_reqs[[#This Row],[reference]],",")),FIND(".html",TRIM(_xlfn.TEXTSPLIT(us_core_reqs[[#This Row],[reference]],",")))-1))</f>
        <v>scopes</v>
      </c>
      <c r="T135" s="70" t="str" cm="1">
        <f t="array" ref="T135">_xlfn.TEXTJOIN(",",TRUE,MID(TRIM(_xlfn.TEXTSPLIT(us_core_reqs[[#This Row],[reference]],",")),FIND("#",TRIM(_xlfn.TEXTSPLIT(us_core_reqs[[#This Row],[reference]],","))&amp;"#")+1,1000))</f>
        <v>scopes-for-requesting-fhir-resources-by-type</v>
      </c>
      <c r="U135" t="str" cm="1">
        <f t="array" ref="U135">_xlfn.TEXTJOIN(", ",TRUE,SUBSTITUTE(SUBSTITUTE(PROPER(SUBSTITUTE(TRIM(_xlfn.TEXTSPLIT(us_core_reqs[[#This Row],[Page]],","))," -"," "))&amp;": "&amp;PROPER(SUBSTITUTE(TRIM(_xlfn.TEXTSPLIT(us_core_reqs[[#This Row],[Section]],","))," -"," ")),"Us ","US        
  "),"Uscdi","USCDI"))</f>
        <v>Scopes: Scopes-For-Requesting-Fhir-Resources-By-Type</v>
      </c>
      <c r="V135" t="s">
        <v>29</v>
      </c>
      <c r="W135" t="s">
        <v>1171</v>
      </c>
      <c r="X135" t="s">
        <v>1171</v>
      </c>
      <c r="Y135" t="s">
        <v>1171</v>
      </c>
      <c r="Z135" t="s">
        <v>1171</v>
      </c>
      <c r="AA135" t="s">
        <v>1171</v>
      </c>
      <c r="AB135" t="s">
        <v>1171</v>
      </c>
      <c r="AC135" t="s">
        <v>697</v>
      </c>
      <c r="AD135" t="s">
        <v>1140</v>
      </c>
      <c r="AE135" t="s">
        <v>1171</v>
      </c>
    </row>
    <row r="136" spans="1:31" ht="120" thickBot="1" x14ac:dyDescent="0.25">
      <c r="A136" t="s">
        <v>1171</v>
      </c>
      <c r="B136" t="s">
        <v>1308</v>
      </c>
      <c r="C136" t="str">
        <f>"CONF-"&amp;TEXT(us_core_reqs[[#This Row],[ID*]], "0000")</f>
        <v>CONF-0135</v>
      </c>
      <c r="D136" s="11" t="s">
        <v>623</v>
      </c>
      <c r="E136" s="73" t="str" cm="1">
        <f t="array" ref="E136">_xlfn.TEXTJOIN(", ", TRUE, _xlfn.TEXTAFTER(_xlfn.TEXTSPLIT(us_core_reqs[[#This Row],[URL*]], ", "), "/", -1))</f>
        <v>scopes.html#scopes-for-requesting-fhir-resources-by-type</v>
      </c>
      <c r="F136" s="11" t="s">
        <v>675</v>
      </c>
      <c r="G136" t="s">
        <v>29</v>
      </c>
      <c r="H136" cm="1">
        <f t="array" ref="H136">_xlfn.SWITCH(G136, "SHALL", 1, "SHOULD", 3, "MAY", 5, "SHOULD-NOT", 4, "SHALL-NOT", 2, "DEPRECATED", 6, 99)</f>
        <v>1</v>
      </c>
      <c r="J136" t="s">
        <v>30</v>
      </c>
      <c r="K136" t="s">
        <v>1171</v>
      </c>
      <c r="L136" t="s">
        <v>1171</v>
      </c>
      <c r="M136" t="s">
        <v>1176</v>
      </c>
      <c r="N136" t="s">
        <v>170</v>
      </c>
      <c r="O136" t="s">
        <v>1171</v>
      </c>
      <c r="P136" t="s">
        <v>1171</v>
      </c>
      <c r="Q136" t="s">
        <v>1171</v>
      </c>
      <c r="R136" t="s">
        <v>1171</v>
      </c>
      <c r="S136" s="70" t="str" cm="1">
        <f t="array" ref="S136">_xlfn.TEXTJOIN(",",TRUE,LEFT(TRIM(_xlfn.TEXTSPLIT(us_core_reqs[[#This Row],[reference]],",")),FIND(".html",TRIM(_xlfn.TEXTSPLIT(us_core_reqs[[#This Row],[reference]],",")))-1))</f>
        <v>scopes</v>
      </c>
      <c r="T136" s="70" t="str" cm="1">
        <f t="array" ref="T136">_xlfn.TEXTJOIN(",",TRUE,MID(TRIM(_xlfn.TEXTSPLIT(us_core_reqs[[#This Row],[reference]],",")),FIND("#",TRIM(_xlfn.TEXTSPLIT(us_core_reqs[[#This Row],[reference]],","))&amp;"#")+1,1000))</f>
        <v>scopes-for-requesting-fhir-resources-by-type</v>
      </c>
      <c r="U136" t="str" cm="1">
        <f t="array" ref="U136">_xlfn.TEXTJOIN(", ",TRUE,SUBSTITUTE(SUBSTITUTE(PROPER(SUBSTITUTE(TRIM(_xlfn.TEXTSPLIT(us_core_reqs[[#This Row],[Page]],","))," -"," "))&amp;": "&amp;PROPER(SUBSTITUTE(TRIM(_xlfn.TEXTSPLIT(us_core_reqs[[#This Row],[Section]],","))," -"," ")),"Us ","US        
  "),"Uscdi","USCDI"))</f>
        <v>Scopes: Scopes-For-Requesting-Fhir-Resources-By-Type</v>
      </c>
      <c r="V136" t="s">
        <v>29</v>
      </c>
      <c r="W136" t="s">
        <v>1171</v>
      </c>
      <c r="X136" t="s">
        <v>1171</v>
      </c>
      <c r="Y136" t="s">
        <v>1171</v>
      </c>
      <c r="Z136" t="s">
        <v>1171</v>
      </c>
      <c r="AA136" t="s">
        <v>1171</v>
      </c>
      <c r="AB136" t="s">
        <v>1171</v>
      </c>
      <c r="AC136" t="s">
        <v>697</v>
      </c>
      <c r="AD136" t="s">
        <v>1140</v>
      </c>
      <c r="AE136" t="s">
        <v>1171</v>
      </c>
    </row>
    <row r="137" spans="1:31" ht="120" thickBot="1" x14ac:dyDescent="0.25">
      <c r="A137" t="s">
        <v>1171</v>
      </c>
      <c r="B137" t="s">
        <v>1309</v>
      </c>
      <c r="C137" t="str">
        <f>"CONF-"&amp;TEXT(us_core_reqs[[#This Row],[ID*]], "0000")</f>
        <v>CONF-0136</v>
      </c>
      <c r="D137" s="11" t="s">
        <v>623</v>
      </c>
      <c r="E137" s="73" t="str" cm="1">
        <f t="array" ref="E137">_xlfn.TEXTJOIN(", ", TRUE, _xlfn.TEXTAFTER(_xlfn.TEXTSPLIT(us_core_reqs[[#This Row],[URL*]], ", "), "/", -1))</f>
        <v>scopes.html#scopes-for-requesting-fhir-resources-by-type</v>
      </c>
      <c r="F137" s="11" t="s">
        <v>676</v>
      </c>
      <c r="G137" t="s">
        <v>29</v>
      </c>
      <c r="H137" cm="1">
        <f t="array" ref="H137">_xlfn.SWITCH(G137, "SHALL", 1, "SHOULD", 3, "MAY", 5, "SHOULD-NOT", 4, "SHALL-NOT", 2, "DEPRECATED", 6, 99)</f>
        <v>1</v>
      </c>
      <c r="J137" t="s">
        <v>30</v>
      </c>
      <c r="K137" t="s">
        <v>1171</v>
      </c>
      <c r="L137" t="s">
        <v>1171</v>
      </c>
      <c r="M137" t="s">
        <v>1176</v>
      </c>
      <c r="N137" t="s">
        <v>171</v>
      </c>
      <c r="O137" t="s">
        <v>1171</v>
      </c>
      <c r="P137" t="s">
        <v>1171</v>
      </c>
      <c r="Q137" t="s">
        <v>1171</v>
      </c>
      <c r="R137" t="s">
        <v>1171</v>
      </c>
      <c r="S137" s="70" t="str" cm="1">
        <f t="array" ref="S137">_xlfn.TEXTJOIN(",",TRUE,LEFT(TRIM(_xlfn.TEXTSPLIT(us_core_reqs[[#This Row],[reference]],",")),FIND(".html",TRIM(_xlfn.TEXTSPLIT(us_core_reqs[[#This Row],[reference]],",")))-1))</f>
        <v>scopes</v>
      </c>
      <c r="T137" s="70" t="str" cm="1">
        <f t="array" ref="T137">_xlfn.TEXTJOIN(",",TRUE,MID(TRIM(_xlfn.TEXTSPLIT(us_core_reqs[[#This Row],[reference]],",")),FIND("#",TRIM(_xlfn.TEXTSPLIT(us_core_reqs[[#This Row],[reference]],","))&amp;"#")+1,1000))</f>
        <v>scopes-for-requesting-fhir-resources-by-type</v>
      </c>
      <c r="U137" t="str" cm="1">
        <f t="array" ref="U137">_xlfn.TEXTJOIN(", ",TRUE,SUBSTITUTE(SUBSTITUTE(PROPER(SUBSTITUTE(TRIM(_xlfn.TEXTSPLIT(us_core_reqs[[#This Row],[Page]],","))," -"," "))&amp;": "&amp;PROPER(SUBSTITUTE(TRIM(_xlfn.TEXTSPLIT(us_core_reqs[[#This Row],[Section]],","))," -"," ")),"Us ","US        
  "),"Uscdi","USCDI"))</f>
        <v>Scopes: Scopes-For-Requesting-Fhir-Resources-By-Type</v>
      </c>
      <c r="V137" t="s">
        <v>29</v>
      </c>
      <c r="W137" t="s">
        <v>1171</v>
      </c>
      <c r="X137" t="s">
        <v>1171</v>
      </c>
      <c r="Y137" t="s">
        <v>1171</v>
      </c>
      <c r="Z137" t="s">
        <v>1171</v>
      </c>
      <c r="AA137" t="s">
        <v>1171</v>
      </c>
      <c r="AB137" t="s">
        <v>1171</v>
      </c>
      <c r="AC137" t="s">
        <v>697</v>
      </c>
      <c r="AD137" t="s">
        <v>1140</v>
      </c>
      <c r="AE137" t="s">
        <v>1171</v>
      </c>
    </row>
    <row r="138" spans="1:31" ht="120" thickBot="1" x14ac:dyDescent="0.25">
      <c r="A138" t="s">
        <v>1171</v>
      </c>
      <c r="B138" t="s">
        <v>1310</v>
      </c>
      <c r="C138" t="str">
        <f>"CONF-"&amp;TEXT(us_core_reqs[[#This Row],[ID*]], "0000")</f>
        <v>CONF-0137</v>
      </c>
      <c r="D138" s="11" t="s">
        <v>623</v>
      </c>
      <c r="E138" s="73" t="str" cm="1">
        <f t="array" ref="E138">_xlfn.TEXTJOIN(", ", TRUE, _xlfn.TEXTAFTER(_xlfn.TEXTSPLIT(us_core_reqs[[#This Row],[URL*]], ", "), "/", -1))</f>
        <v>scopes.html#scopes-for-requesting-fhir-resources-by-type</v>
      </c>
      <c r="F138" s="11" t="s">
        <v>677</v>
      </c>
      <c r="G138" t="s">
        <v>29</v>
      </c>
      <c r="H138" cm="1">
        <f t="array" ref="H138">_xlfn.SWITCH(G138, "SHALL", 1, "SHOULD", 3, "MAY", 5, "SHOULD-NOT", 4, "SHALL-NOT", 2, "DEPRECATED", 6, 99)</f>
        <v>1</v>
      </c>
      <c r="J138" t="s">
        <v>30</v>
      </c>
      <c r="K138" t="s">
        <v>1171</v>
      </c>
      <c r="L138" t="s">
        <v>1171</v>
      </c>
      <c r="M138" t="s">
        <v>1176</v>
      </c>
      <c r="N138" t="s">
        <v>172</v>
      </c>
      <c r="O138" t="s">
        <v>1171</v>
      </c>
      <c r="P138" t="s">
        <v>1171</v>
      </c>
      <c r="Q138" t="s">
        <v>1171</v>
      </c>
      <c r="R138" t="s">
        <v>1171</v>
      </c>
      <c r="S138" s="70" t="str" cm="1">
        <f t="array" ref="S138">_xlfn.TEXTJOIN(",",TRUE,LEFT(TRIM(_xlfn.TEXTSPLIT(us_core_reqs[[#This Row],[reference]],",")),FIND(".html",TRIM(_xlfn.TEXTSPLIT(us_core_reqs[[#This Row],[reference]],",")))-1))</f>
        <v>scopes</v>
      </c>
      <c r="T138" s="70" t="str" cm="1">
        <f t="array" ref="T138">_xlfn.TEXTJOIN(",",TRUE,MID(TRIM(_xlfn.TEXTSPLIT(us_core_reqs[[#This Row],[reference]],",")),FIND("#",TRIM(_xlfn.TEXTSPLIT(us_core_reqs[[#This Row],[reference]],","))&amp;"#")+1,1000))</f>
        <v>scopes-for-requesting-fhir-resources-by-type</v>
      </c>
      <c r="U138" t="str" cm="1">
        <f t="array" ref="U138">_xlfn.TEXTJOIN(", ",TRUE,SUBSTITUTE(SUBSTITUTE(PROPER(SUBSTITUTE(TRIM(_xlfn.TEXTSPLIT(us_core_reqs[[#This Row],[Page]],","))," -"," "))&amp;": "&amp;PROPER(SUBSTITUTE(TRIM(_xlfn.TEXTSPLIT(us_core_reqs[[#This Row],[Section]],","))," -"," ")),"Us ","US        
  "),"Uscdi","USCDI"))</f>
        <v>Scopes: Scopes-For-Requesting-Fhir-Resources-By-Type</v>
      </c>
      <c r="V138" t="s">
        <v>29</v>
      </c>
      <c r="W138" t="s">
        <v>1171</v>
      </c>
      <c r="X138" t="s">
        <v>1171</v>
      </c>
      <c r="Y138" t="s">
        <v>1171</v>
      </c>
      <c r="Z138" t="s">
        <v>1171</v>
      </c>
      <c r="AA138" t="s">
        <v>1171</v>
      </c>
      <c r="AB138" t="s">
        <v>1171</v>
      </c>
      <c r="AC138" t="s">
        <v>697</v>
      </c>
      <c r="AD138" t="s">
        <v>1140</v>
      </c>
      <c r="AE138" t="s">
        <v>1171</v>
      </c>
    </row>
    <row r="139" spans="1:31" ht="137" thickBot="1" x14ac:dyDescent="0.25">
      <c r="A139" t="s">
        <v>1171</v>
      </c>
      <c r="B139" t="s">
        <v>1311</v>
      </c>
      <c r="C139" t="str">
        <f>"CONF-"&amp;TEXT(us_core_reqs[[#This Row],[ID*]], "0000")</f>
        <v>CONF-0138</v>
      </c>
      <c r="D139" s="11" t="s">
        <v>623</v>
      </c>
      <c r="E139" s="73" t="str" cm="1">
        <f t="array" ref="E139">_xlfn.TEXTJOIN(", ", TRUE, _xlfn.TEXTAFTER(_xlfn.TEXTSPLIT(us_core_reqs[[#This Row],[URL*]], ", "), "/", -1))</f>
        <v>scopes.html#scopes-for-requesting-fhir-resources-by-type</v>
      </c>
      <c r="F139" s="11" t="s">
        <v>678</v>
      </c>
      <c r="G139" t="s">
        <v>29</v>
      </c>
      <c r="H139" cm="1">
        <f t="array" ref="H139">_xlfn.SWITCH(G139, "SHALL", 1, "SHOULD", 3, "MAY", 5, "SHOULD-NOT", 4, "SHALL-NOT", 2, "DEPRECATED", 6, 99)</f>
        <v>1</v>
      </c>
      <c r="J139" t="s">
        <v>30</v>
      </c>
      <c r="K139" t="s">
        <v>1171</v>
      </c>
      <c r="L139" t="s">
        <v>1171</v>
      </c>
      <c r="M139" t="s">
        <v>1176</v>
      </c>
      <c r="N139" t="s">
        <v>173</v>
      </c>
      <c r="O139" t="s">
        <v>1171</v>
      </c>
      <c r="P139" t="s">
        <v>1171</v>
      </c>
      <c r="Q139" t="s">
        <v>1171</v>
      </c>
      <c r="R139" t="s">
        <v>1171</v>
      </c>
      <c r="S139" s="70" t="str" cm="1">
        <f t="array" ref="S139">_xlfn.TEXTJOIN(",",TRUE,LEFT(TRIM(_xlfn.TEXTSPLIT(us_core_reqs[[#This Row],[reference]],",")),FIND(".html",TRIM(_xlfn.TEXTSPLIT(us_core_reqs[[#This Row],[reference]],",")))-1))</f>
        <v>scopes</v>
      </c>
      <c r="T139" s="70" t="str" cm="1">
        <f t="array" ref="T139">_xlfn.TEXTJOIN(",",TRUE,MID(TRIM(_xlfn.TEXTSPLIT(us_core_reqs[[#This Row],[reference]],",")),FIND("#",TRIM(_xlfn.TEXTSPLIT(us_core_reqs[[#This Row],[reference]],","))&amp;"#")+1,1000))</f>
        <v>scopes-for-requesting-fhir-resources-by-type</v>
      </c>
      <c r="U139" t="str" cm="1">
        <f t="array" ref="U139">_xlfn.TEXTJOIN(", ",TRUE,SUBSTITUTE(SUBSTITUTE(PROPER(SUBSTITUTE(TRIM(_xlfn.TEXTSPLIT(us_core_reqs[[#This Row],[Page]],","))," -"," "))&amp;": "&amp;PROPER(SUBSTITUTE(TRIM(_xlfn.TEXTSPLIT(us_core_reqs[[#This Row],[Section]],","))," -"," ")),"Us ","US        
  "),"Uscdi","USCDI"))</f>
        <v>Scopes: Scopes-For-Requesting-Fhir-Resources-By-Type</v>
      </c>
      <c r="V139" t="s">
        <v>29</v>
      </c>
      <c r="W139" t="s">
        <v>1171</v>
      </c>
      <c r="X139" t="s">
        <v>1171</v>
      </c>
      <c r="Y139" t="s">
        <v>1171</v>
      </c>
      <c r="Z139" t="s">
        <v>1171</v>
      </c>
      <c r="AA139" t="s">
        <v>1171</v>
      </c>
      <c r="AB139" t="s">
        <v>1171</v>
      </c>
      <c r="AC139" t="s">
        <v>697</v>
      </c>
      <c r="AD139" t="s">
        <v>1140</v>
      </c>
      <c r="AE139" t="s">
        <v>1171</v>
      </c>
    </row>
    <row r="140" spans="1:31" ht="137" thickBot="1" x14ac:dyDescent="0.25">
      <c r="A140" t="s">
        <v>1171</v>
      </c>
      <c r="B140" t="s">
        <v>1312</v>
      </c>
      <c r="C140" t="str">
        <f>"CONF-"&amp;TEXT(us_core_reqs[[#This Row],[ID*]], "0000")</f>
        <v>CONF-0139</v>
      </c>
      <c r="D140" s="11" t="s">
        <v>623</v>
      </c>
      <c r="E140" s="73" t="str" cm="1">
        <f t="array" ref="E140">_xlfn.TEXTJOIN(", ", TRUE, _xlfn.TEXTAFTER(_xlfn.TEXTSPLIT(us_core_reqs[[#This Row],[URL*]], ", "), "/", -1))</f>
        <v>scopes.html#scopes-for-requesting-fhir-resources-by-type</v>
      </c>
      <c r="F140" s="11" t="s">
        <v>679</v>
      </c>
      <c r="G140" t="s">
        <v>29</v>
      </c>
      <c r="H140" cm="1">
        <f t="array" ref="H140">_xlfn.SWITCH(G140, "SHALL", 1, "SHOULD", 3, "MAY", 5, "SHOULD-NOT", 4, "SHALL-NOT", 2, "DEPRECATED", 6, 99)</f>
        <v>1</v>
      </c>
      <c r="J140" t="s">
        <v>30</v>
      </c>
      <c r="K140" t="s">
        <v>1171</v>
      </c>
      <c r="L140" t="s">
        <v>1171</v>
      </c>
      <c r="M140" t="s">
        <v>1176</v>
      </c>
      <c r="N140" t="s">
        <v>174</v>
      </c>
      <c r="O140" t="s">
        <v>1171</v>
      </c>
      <c r="P140" t="s">
        <v>1171</v>
      </c>
      <c r="Q140" t="s">
        <v>1171</v>
      </c>
      <c r="R140" t="s">
        <v>1171</v>
      </c>
      <c r="S140" s="70" t="str" cm="1">
        <f t="array" ref="S140">_xlfn.TEXTJOIN(",",TRUE,LEFT(TRIM(_xlfn.TEXTSPLIT(us_core_reqs[[#This Row],[reference]],",")),FIND(".html",TRIM(_xlfn.TEXTSPLIT(us_core_reqs[[#This Row],[reference]],",")))-1))</f>
        <v>scopes</v>
      </c>
      <c r="T140" s="70" t="str" cm="1">
        <f t="array" ref="T140">_xlfn.TEXTJOIN(",",TRUE,MID(TRIM(_xlfn.TEXTSPLIT(us_core_reqs[[#This Row],[reference]],",")),FIND("#",TRIM(_xlfn.TEXTSPLIT(us_core_reqs[[#This Row],[reference]],","))&amp;"#")+1,1000))</f>
        <v>scopes-for-requesting-fhir-resources-by-type</v>
      </c>
      <c r="U140" t="str" cm="1">
        <f t="array" ref="U140">_xlfn.TEXTJOIN(", ",TRUE,SUBSTITUTE(SUBSTITUTE(PROPER(SUBSTITUTE(TRIM(_xlfn.TEXTSPLIT(us_core_reqs[[#This Row],[Page]],","))," -"," "))&amp;": "&amp;PROPER(SUBSTITUTE(TRIM(_xlfn.TEXTSPLIT(us_core_reqs[[#This Row],[Section]],","))," -"," ")),"Us ","US        
  "),"Uscdi","USCDI"))</f>
        <v>Scopes: Scopes-For-Requesting-Fhir-Resources-By-Type</v>
      </c>
      <c r="V140" t="s">
        <v>29</v>
      </c>
      <c r="W140" t="s">
        <v>1171</v>
      </c>
      <c r="X140" t="s">
        <v>1171</v>
      </c>
      <c r="Y140" t="s">
        <v>1171</v>
      </c>
      <c r="Z140" t="s">
        <v>1171</v>
      </c>
      <c r="AA140" t="s">
        <v>1171</v>
      </c>
      <c r="AB140" t="s">
        <v>1171</v>
      </c>
      <c r="AC140" t="s">
        <v>697</v>
      </c>
      <c r="AD140" t="s">
        <v>1140</v>
      </c>
      <c r="AE140" t="s">
        <v>1171</v>
      </c>
    </row>
    <row r="141" spans="1:31" ht="120" thickBot="1" x14ac:dyDescent="0.25">
      <c r="A141" t="s">
        <v>1171</v>
      </c>
      <c r="B141" t="s">
        <v>1313</v>
      </c>
      <c r="C141" t="str">
        <f>"CONF-"&amp;TEXT(us_core_reqs[[#This Row],[ID*]], "0000")</f>
        <v>CONF-0140</v>
      </c>
      <c r="D141" s="11" t="s">
        <v>623</v>
      </c>
      <c r="E141" s="73" t="str" cm="1">
        <f t="array" ref="E141">_xlfn.TEXTJOIN(", ", TRUE, _xlfn.TEXTAFTER(_xlfn.TEXTSPLIT(us_core_reqs[[#This Row],[URL*]], ", "), "/", -1))</f>
        <v>scopes.html#scopes-for-requesting-fhir-resources-by-type</v>
      </c>
      <c r="F141" s="11" t="s">
        <v>680</v>
      </c>
      <c r="G141" t="s">
        <v>29</v>
      </c>
      <c r="H141" cm="1">
        <f t="array" ref="H141">_xlfn.SWITCH(G141, "SHALL", 1, "SHOULD", 3, "MAY", 5, "SHOULD-NOT", 4, "SHALL-NOT", 2, "DEPRECATED", 6, 99)</f>
        <v>1</v>
      </c>
      <c r="J141" t="s">
        <v>30</v>
      </c>
      <c r="K141" t="s">
        <v>1171</v>
      </c>
      <c r="L141" t="s">
        <v>1171</v>
      </c>
      <c r="M141" t="s">
        <v>1176</v>
      </c>
      <c r="N141" t="s">
        <v>175</v>
      </c>
      <c r="O141" t="s">
        <v>1171</v>
      </c>
      <c r="P141" t="s">
        <v>1171</v>
      </c>
      <c r="Q141" t="s">
        <v>1171</v>
      </c>
      <c r="R141" t="s">
        <v>1171</v>
      </c>
      <c r="S141" s="70" t="str" cm="1">
        <f t="array" ref="S141">_xlfn.TEXTJOIN(",",TRUE,LEFT(TRIM(_xlfn.TEXTSPLIT(us_core_reqs[[#This Row],[reference]],",")),FIND(".html",TRIM(_xlfn.TEXTSPLIT(us_core_reqs[[#This Row],[reference]],",")))-1))</f>
        <v>scopes</v>
      </c>
      <c r="T141" s="70" t="str" cm="1">
        <f t="array" ref="T141">_xlfn.TEXTJOIN(",",TRUE,MID(TRIM(_xlfn.TEXTSPLIT(us_core_reqs[[#This Row],[reference]],",")),FIND("#",TRIM(_xlfn.TEXTSPLIT(us_core_reqs[[#This Row],[reference]],","))&amp;"#")+1,1000))</f>
        <v>scopes-for-requesting-fhir-resources-by-type</v>
      </c>
      <c r="U141" t="str" cm="1">
        <f t="array" ref="U141">_xlfn.TEXTJOIN(", ",TRUE,SUBSTITUTE(SUBSTITUTE(PROPER(SUBSTITUTE(TRIM(_xlfn.TEXTSPLIT(us_core_reqs[[#This Row],[Page]],","))," -"," "))&amp;": "&amp;PROPER(SUBSTITUTE(TRIM(_xlfn.TEXTSPLIT(us_core_reqs[[#This Row],[Section]],","))," -"," ")),"Us ","US        
  "),"Uscdi","USCDI"))</f>
        <v>Scopes: Scopes-For-Requesting-Fhir-Resources-By-Type</v>
      </c>
      <c r="V141" t="s">
        <v>29</v>
      </c>
      <c r="W141" t="s">
        <v>1171</v>
      </c>
      <c r="X141" t="s">
        <v>1171</v>
      </c>
      <c r="Y141" t="s">
        <v>1171</v>
      </c>
      <c r="Z141" t="s">
        <v>1171</v>
      </c>
      <c r="AA141" t="s">
        <v>1171</v>
      </c>
      <c r="AB141" t="s">
        <v>1171</v>
      </c>
      <c r="AC141" t="s">
        <v>697</v>
      </c>
      <c r="AD141" t="s">
        <v>1140</v>
      </c>
      <c r="AE141" t="s">
        <v>1171</v>
      </c>
    </row>
    <row r="142" spans="1:31" ht="120" thickBot="1" x14ac:dyDescent="0.25">
      <c r="A142" t="s">
        <v>1171</v>
      </c>
      <c r="B142" t="s">
        <v>1314</v>
      </c>
      <c r="C142" t="str">
        <f>"CONF-"&amp;TEXT(us_core_reqs[[#This Row],[ID*]], "0000")</f>
        <v>CONF-0141</v>
      </c>
      <c r="D142" s="11" t="s">
        <v>623</v>
      </c>
      <c r="E142" s="73" t="str" cm="1">
        <f t="array" ref="E142">_xlfn.TEXTJOIN(", ", TRUE, _xlfn.TEXTAFTER(_xlfn.TEXTSPLIT(us_core_reqs[[#This Row],[URL*]], ", "), "/", -1))</f>
        <v>scopes.html#scopes-for-requesting-fhir-resources-by-type</v>
      </c>
      <c r="F142" s="11" t="s">
        <v>681</v>
      </c>
      <c r="G142" t="s">
        <v>29</v>
      </c>
      <c r="H142" cm="1">
        <f t="array" ref="H142">_xlfn.SWITCH(G142, "SHALL", 1, "SHOULD", 3, "MAY", 5, "SHOULD-NOT", 4, "SHALL-NOT", 2, "DEPRECATED", 6, 99)</f>
        <v>1</v>
      </c>
      <c r="J142" t="s">
        <v>30</v>
      </c>
      <c r="K142" t="s">
        <v>1171</v>
      </c>
      <c r="L142" t="s">
        <v>1171</v>
      </c>
      <c r="M142" t="s">
        <v>1176</v>
      </c>
      <c r="N142" t="s">
        <v>176</v>
      </c>
      <c r="O142" t="s">
        <v>1171</v>
      </c>
      <c r="P142" t="s">
        <v>1171</v>
      </c>
      <c r="Q142" t="s">
        <v>1171</v>
      </c>
      <c r="R142" t="s">
        <v>1171</v>
      </c>
      <c r="S142" s="70" t="str" cm="1">
        <f t="array" ref="S142">_xlfn.TEXTJOIN(",",TRUE,LEFT(TRIM(_xlfn.TEXTSPLIT(us_core_reqs[[#This Row],[reference]],",")),FIND(".html",TRIM(_xlfn.TEXTSPLIT(us_core_reqs[[#This Row],[reference]],",")))-1))</f>
        <v>scopes</v>
      </c>
      <c r="T142" s="70" t="str" cm="1">
        <f t="array" ref="T142">_xlfn.TEXTJOIN(",",TRUE,MID(TRIM(_xlfn.TEXTSPLIT(us_core_reqs[[#This Row],[reference]],",")),FIND("#",TRIM(_xlfn.TEXTSPLIT(us_core_reqs[[#This Row],[reference]],","))&amp;"#")+1,1000))</f>
        <v>scopes-for-requesting-fhir-resources-by-type</v>
      </c>
      <c r="U142" t="str" cm="1">
        <f t="array" ref="U142">_xlfn.TEXTJOIN(", ",TRUE,SUBSTITUTE(SUBSTITUTE(PROPER(SUBSTITUTE(TRIM(_xlfn.TEXTSPLIT(us_core_reqs[[#This Row],[Page]],","))," -"," "))&amp;": "&amp;PROPER(SUBSTITUTE(TRIM(_xlfn.TEXTSPLIT(us_core_reqs[[#This Row],[Section]],","))," -"," ")),"Us ","US        
  "),"Uscdi","USCDI"))</f>
        <v>Scopes: Scopes-For-Requesting-Fhir-Resources-By-Type</v>
      </c>
      <c r="V142" t="s">
        <v>29</v>
      </c>
      <c r="W142" t="s">
        <v>1171</v>
      </c>
      <c r="X142" t="s">
        <v>1171</v>
      </c>
      <c r="Y142" t="s">
        <v>1171</v>
      </c>
      <c r="Z142" t="s">
        <v>1171</v>
      </c>
      <c r="AA142" t="s">
        <v>1171</v>
      </c>
      <c r="AB142" t="s">
        <v>1171</v>
      </c>
      <c r="AC142" t="s">
        <v>697</v>
      </c>
      <c r="AD142" t="s">
        <v>1140</v>
      </c>
      <c r="AE142" t="s">
        <v>1171</v>
      </c>
    </row>
    <row r="143" spans="1:31" ht="120" thickBot="1" x14ac:dyDescent="0.25">
      <c r="A143" t="s">
        <v>1171</v>
      </c>
      <c r="B143" t="s">
        <v>1315</v>
      </c>
      <c r="C143" t="str">
        <f>"CONF-"&amp;TEXT(us_core_reqs[[#This Row],[ID*]], "0000")</f>
        <v>CONF-0142</v>
      </c>
      <c r="D143" s="11" t="s">
        <v>623</v>
      </c>
      <c r="E143" s="73" t="str" cm="1">
        <f t="array" ref="E143">_xlfn.TEXTJOIN(", ", TRUE, _xlfn.TEXTAFTER(_xlfn.TEXTSPLIT(us_core_reqs[[#This Row],[URL*]], ", "), "/", -1))</f>
        <v>scopes.html#scopes-for-requesting-fhir-resources-by-type</v>
      </c>
      <c r="F143" s="11" t="s">
        <v>682</v>
      </c>
      <c r="G143" t="s">
        <v>29</v>
      </c>
      <c r="H143" cm="1">
        <f t="array" ref="H143">_xlfn.SWITCH(G143, "SHALL", 1, "SHOULD", 3, "MAY", 5, "SHOULD-NOT", 4, "SHALL-NOT", 2, "DEPRECATED", 6, 99)</f>
        <v>1</v>
      </c>
      <c r="J143" t="s">
        <v>30</v>
      </c>
      <c r="K143" t="s">
        <v>1171</v>
      </c>
      <c r="L143" t="s">
        <v>1171</v>
      </c>
      <c r="M143" t="s">
        <v>1176</v>
      </c>
      <c r="N143" t="s">
        <v>177</v>
      </c>
      <c r="O143" t="s">
        <v>1171</v>
      </c>
      <c r="P143" t="s">
        <v>1171</v>
      </c>
      <c r="Q143" t="s">
        <v>1171</v>
      </c>
      <c r="R143" t="s">
        <v>1171</v>
      </c>
      <c r="S143" s="70" t="str" cm="1">
        <f t="array" ref="S143">_xlfn.TEXTJOIN(",",TRUE,LEFT(TRIM(_xlfn.TEXTSPLIT(us_core_reqs[[#This Row],[reference]],",")),FIND(".html",TRIM(_xlfn.TEXTSPLIT(us_core_reqs[[#This Row],[reference]],",")))-1))</f>
        <v>scopes</v>
      </c>
      <c r="T143" s="70" t="str" cm="1">
        <f t="array" ref="T143">_xlfn.TEXTJOIN(",",TRUE,MID(TRIM(_xlfn.TEXTSPLIT(us_core_reqs[[#This Row],[reference]],",")),FIND("#",TRIM(_xlfn.TEXTSPLIT(us_core_reqs[[#This Row],[reference]],","))&amp;"#")+1,1000))</f>
        <v>scopes-for-requesting-fhir-resources-by-type</v>
      </c>
      <c r="U143" t="str" cm="1">
        <f t="array" ref="U143">_xlfn.TEXTJOIN(", ",TRUE,SUBSTITUTE(SUBSTITUTE(PROPER(SUBSTITUTE(TRIM(_xlfn.TEXTSPLIT(us_core_reqs[[#This Row],[Page]],","))," -"," "))&amp;": "&amp;PROPER(SUBSTITUTE(TRIM(_xlfn.TEXTSPLIT(us_core_reqs[[#This Row],[Section]],","))," -"," ")),"Us ","US        
  "),"Uscdi","USCDI"))</f>
        <v>Scopes: Scopes-For-Requesting-Fhir-Resources-By-Type</v>
      </c>
      <c r="V143" t="s">
        <v>29</v>
      </c>
      <c r="W143" t="s">
        <v>1171</v>
      </c>
      <c r="X143" t="s">
        <v>1171</v>
      </c>
      <c r="Y143" t="s">
        <v>1171</v>
      </c>
      <c r="Z143" t="s">
        <v>1171</v>
      </c>
      <c r="AA143" t="s">
        <v>1171</v>
      </c>
      <c r="AB143" t="s">
        <v>1171</v>
      </c>
      <c r="AC143" t="s">
        <v>697</v>
      </c>
      <c r="AD143" t="s">
        <v>1140</v>
      </c>
      <c r="AE143" t="s">
        <v>1171</v>
      </c>
    </row>
    <row r="144" spans="1:31" ht="137" thickBot="1" x14ac:dyDescent="0.25">
      <c r="A144" t="s">
        <v>1171</v>
      </c>
      <c r="B144" t="s">
        <v>1316</v>
      </c>
      <c r="C144" t="str">
        <f>"CONF-"&amp;TEXT(us_core_reqs[[#This Row],[ID*]], "0000")</f>
        <v>CONF-0143</v>
      </c>
      <c r="D144" s="11" t="s">
        <v>623</v>
      </c>
      <c r="E144" s="73" t="str" cm="1">
        <f t="array" ref="E144">_xlfn.TEXTJOIN(", ", TRUE, _xlfn.TEXTAFTER(_xlfn.TEXTSPLIT(us_core_reqs[[#This Row],[URL*]], ", "), "/", -1))</f>
        <v>scopes.html#scopes-for-requesting-fhir-resources-by-type</v>
      </c>
      <c r="F144" s="11" t="s">
        <v>683</v>
      </c>
      <c r="G144" t="s">
        <v>29</v>
      </c>
      <c r="H144" cm="1">
        <f t="array" ref="H144">_xlfn.SWITCH(G144, "SHALL", 1, "SHOULD", 3, "MAY", 5, "SHOULD-NOT", 4, "SHALL-NOT", 2, "DEPRECATED", 6, 99)</f>
        <v>1</v>
      </c>
      <c r="J144" t="s">
        <v>30</v>
      </c>
      <c r="K144" t="s">
        <v>1171</v>
      </c>
      <c r="L144" t="s">
        <v>1171</v>
      </c>
      <c r="M144" t="s">
        <v>1176</v>
      </c>
      <c r="N144" t="s">
        <v>178</v>
      </c>
      <c r="O144" t="s">
        <v>1171</v>
      </c>
      <c r="P144" t="s">
        <v>1171</v>
      </c>
      <c r="Q144" t="s">
        <v>1171</v>
      </c>
      <c r="R144" t="s">
        <v>1171</v>
      </c>
      <c r="S144" s="70" t="str" cm="1">
        <f t="array" ref="S144">_xlfn.TEXTJOIN(",",TRUE,LEFT(TRIM(_xlfn.TEXTSPLIT(us_core_reqs[[#This Row],[reference]],",")),FIND(".html",TRIM(_xlfn.TEXTSPLIT(us_core_reqs[[#This Row],[reference]],",")))-1))</f>
        <v>scopes</v>
      </c>
      <c r="T144" s="70" t="str" cm="1">
        <f t="array" ref="T144">_xlfn.TEXTJOIN(",",TRUE,MID(TRIM(_xlfn.TEXTSPLIT(us_core_reqs[[#This Row],[reference]],",")),FIND("#",TRIM(_xlfn.TEXTSPLIT(us_core_reqs[[#This Row],[reference]],","))&amp;"#")+1,1000))</f>
        <v>scopes-for-requesting-fhir-resources-by-type</v>
      </c>
      <c r="U144" t="str" cm="1">
        <f t="array" ref="U144">_xlfn.TEXTJOIN(", ",TRUE,SUBSTITUTE(SUBSTITUTE(PROPER(SUBSTITUTE(TRIM(_xlfn.TEXTSPLIT(us_core_reqs[[#This Row],[Page]],","))," -"," "))&amp;": "&amp;PROPER(SUBSTITUTE(TRIM(_xlfn.TEXTSPLIT(us_core_reqs[[#This Row],[Section]],","))," -"," ")),"Us ","US        
  "),"Uscdi","USCDI"))</f>
        <v>Scopes: Scopes-For-Requesting-Fhir-Resources-By-Type</v>
      </c>
      <c r="V144" t="s">
        <v>29</v>
      </c>
      <c r="W144" t="s">
        <v>1171</v>
      </c>
      <c r="X144" t="s">
        <v>1171</v>
      </c>
      <c r="Y144" t="s">
        <v>1171</v>
      </c>
      <c r="Z144" t="s">
        <v>1171</v>
      </c>
      <c r="AA144" t="s">
        <v>1171</v>
      </c>
      <c r="AB144" t="s">
        <v>1171</v>
      </c>
      <c r="AC144" t="s">
        <v>697</v>
      </c>
      <c r="AD144" t="s">
        <v>1140</v>
      </c>
      <c r="AE144" t="s">
        <v>1171</v>
      </c>
    </row>
    <row r="145" spans="1:31" ht="137" thickBot="1" x14ac:dyDescent="0.25">
      <c r="A145" t="s">
        <v>1171</v>
      </c>
      <c r="B145" t="s">
        <v>1317</v>
      </c>
      <c r="C145" t="str">
        <f>"CONF-"&amp;TEXT(us_core_reqs[[#This Row],[ID*]], "0000")</f>
        <v>CONF-0144</v>
      </c>
      <c r="D145" s="11" t="s">
        <v>623</v>
      </c>
      <c r="E145" s="73" t="str" cm="1">
        <f t="array" ref="E145">_xlfn.TEXTJOIN(", ", TRUE, _xlfn.TEXTAFTER(_xlfn.TEXTSPLIT(us_core_reqs[[#This Row],[URL*]], ", "), "/", -1))</f>
        <v>scopes.html#scopes-for-requesting-fhir-resources-by-type</v>
      </c>
      <c r="F145" s="11" t="s">
        <v>684</v>
      </c>
      <c r="G145" t="s">
        <v>29</v>
      </c>
      <c r="H145" cm="1">
        <f t="array" ref="H145">_xlfn.SWITCH(G145, "SHALL", 1, "SHOULD", 3, "MAY", 5, "SHOULD-NOT", 4, "SHALL-NOT", 2, "DEPRECATED", 6, 99)</f>
        <v>1</v>
      </c>
      <c r="J145" t="s">
        <v>30</v>
      </c>
      <c r="K145" t="s">
        <v>1171</v>
      </c>
      <c r="L145" t="s">
        <v>1171</v>
      </c>
      <c r="M145" t="s">
        <v>1176</v>
      </c>
      <c r="N145" t="s">
        <v>179</v>
      </c>
      <c r="O145" t="s">
        <v>1171</v>
      </c>
      <c r="P145" t="s">
        <v>1171</v>
      </c>
      <c r="Q145" t="s">
        <v>1171</v>
      </c>
      <c r="R145" t="s">
        <v>1171</v>
      </c>
      <c r="S145" s="70" t="str" cm="1">
        <f t="array" ref="S145">_xlfn.TEXTJOIN(",",TRUE,LEFT(TRIM(_xlfn.TEXTSPLIT(us_core_reqs[[#This Row],[reference]],",")),FIND(".html",TRIM(_xlfn.TEXTSPLIT(us_core_reqs[[#This Row],[reference]],",")))-1))</f>
        <v>scopes</v>
      </c>
      <c r="T145" s="70" t="str" cm="1">
        <f t="array" ref="T145">_xlfn.TEXTJOIN(",",TRUE,MID(TRIM(_xlfn.TEXTSPLIT(us_core_reqs[[#This Row],[reference]],",")),FIND("#",TRIM(_xlfn.TEXTSPLIT(us_core_reqs[[#This Row],[reference]],","))&amp;"#")+1,1000))</f>
        <v>scopes-for-requesting-fhir-resources-by-type</v>
      </c>
      <c r="U145" t="str" cm="1">
        <f t="array" ref="U145">_xlfn.TEXTJOIN(", ",TRUE,SUBSTITUTE(SUBSTITUTE(PROPER(SUBSTITUTE(TRIM(_xlfn.TEXTSPLIT(us_core_reqs[[#This Row],[Page]],","))," -"," "))&amp;": "&amp;PROPER(SUBSTITUTE(TRIM(_xlfn.TEXTSPLIT(us_core_reqs[[#This Row],[Section]],","))," -"," ")),"Us ","US        
  "),"Uscdi","USCDI"))</f>
        <v>Scopes: Scopes-For-Requesting-Fhir-Resources-By-Type</v>
      </c>
      <c r="V145" t="s">
        <v>29</v>
      </c>
      <c r="W145" t="s">
        <v>1171</v>
      </c>
      <c r="X145" t="s">
        <v>1171</v>
      </c>
      <c r="Y145" t="s">
        <v>1171</v>
      </c>
      <c r="Z145" t="s">
        <v>1171</v>
      </c>
      <c r="AA145" t="s">
        <v>1171</v>
      </c>
      <c r="AB145" t="s">
        <v>1171</v>
      </c>
      <c r="AC145" t="s">
        <v>697</v>
      </c>
      <c r="AD145" t="s">
        <v>1140</v>
      </c>
      <c r="AE145" t="s">
        <v>1171</v>
      </c>
    </row>
    <row r="146" spans="1:31" ht="120" thickBot="1" x14ac:dyDescent="0.25">
      <c r="A146" t="s">
        <v>1171</v>
      </c>
      <c r="B146" t="s">
        <v>1318</v>
      </c>
      <c r="C146" t="str">
        <f>"CONF-"&amp;TEXT(us_core_reqs[[#This Row],[ID*]], "0000")</f>
        <v>CONF-0145</v>
      </c>
      <c r="D146" s="11" t="s">
        <v>623</v>
      </c>
      <c r="E146" s="73" t="str" cm="1">
        <f t="array" ref="E146">_xlfn.TEXTJOIN(", ", TRUE, _xlfn.TEXTAFTER(_xlfn.TEXTSPLIT(us_core_reqs[[#This Row],[URL*]], ", "), "/", -1))</f>
        <v>scopes.html#scopes-for-requesting-fhir-resources-by-type</v>
      </c>
      <c r="F146" s="11" t="s">
        <v>685</v>
      </c>
      <c r="G146" t="s">
        <v>29</v>
      </c>
      <c r="H146" cm="1">
        <f t="array" ref="H146">_xlfn.SWITCH(G146, "SHALL", 1, "SHOULD", 3, "MAY", 5, "SHOULD-NOT", 4, "SHALL-NOT", 2, "DEPRECATED", 6, 99)</f>
        <v>1</v>
      </c>
      <c r="J146" t="s">
        <v>30</v>
      </c>
      <c r="K146" t="s">
        <v>1171</v>
      </c>
      <c r="L146" t="s">
        <v>1171</v>
      </c>
      <c r="M146" t="s">
        <v>1176</v>
      </c>
      <c r="N146" t="s">
        <v>180</v>
      </c>
      <c r="O146" t="s">
        <v>1171</v>
      </c>
      <c r="P146" t="s">
        <v>1171</v>
      </c>
      <c r="Q146" t="s">
        <v>1171</v>
      </c>
      <c r="R146" t="s">
        <v>1171</v>
      </c>
      <c r="S146" s="70" t="str" cm="1">
        <f t="array" ref="S146">_xlfn.TEXTJOIN(",",TRUE,LEFT(TRIM(_xlfn.TEXTSPLIT(us_core_reqs[[#This Row],[reference]],",")),FIND(".html",TRIM(_xlfn.TEXTSPLIT(us_core_reqs[[#This Row],[reference]],",")))-1))</f>
        <v>scopes</v>
      </c>
      <c r="T146" s="70" t="str" cm="1">
        <f t="array" ref="T146">_xlfn.TEXTJOIN(",",TRUE,MID(TRIM(_xlfn.TEXTSPLIT(us_core_reqs[[#This Row],[reference]],",")),FIND("#",TRIM(_xlfn.TEXTSPLIT(us_core_reqs[[#This Row],[reference]],","))&amp;"#")+1,1000))</f>
        <v>scopes-for-requesting-fhir-resources-by-type</v>
      </c>
      <c r="U146" t="str" cm="1">
        <f t="array" ref="U146">_xlfn.TEXTJOIN(", ",TRUE,SUBSTITUTE(SUBSTITUTE(PROPER(SUBSTITUTE(TRIM(_xlfn.TEXTSPLIT(us_core_reqs[[#This Row],[Page]],","))," -"," "))&amp;": "&amp;PROPER(SUBSTITUTE(TRIM(_xlfn.TEXTSPLIT(us_core_reqs[[#This Row],[Section]],","))," -"," ")),"Us ","US        
  "),"Uscdi","USCDI"))</f>
        <v>Scopes: Scopes-For-Requesting-Fhir-Resources-By-Type</v>
      </c>
      <c r="V146" t="s">
        <v>29</v>
      </c>
      <c r="W146" t="s">
        <v>1171</v>
      </c>
      <c r="X146" t="s">
        <v>1171</v>
      </c>
      <c r="Y146" t="s">
        <v>1171</v>
      </c>
      <c r="Z146" t="s">
        <v>1171</v>
      </c>
      <c r="AA146" t="s">
        <v>1171</v>
      </c>
      <c r="AB146" t="s">
        <v>1171</v>
      </c>
      <c r="AC146" t="s">
        <v>697</v>
      </c>
      <c r="AD146" t="s">
        <v>1140</v>
      </c>
      <c r="AE146" t="s">
        <v>1171</v>
      </c>
    </row>
    <row r="147" spans="1:31" ht="120" thickBot="1" x14ac:dyDescent="0.25">
      <c r="A147" t="s">
        <v>1171</v>
      </c>
      <c r="B147" t="s">
        <v>1319</v>
      </c>
      <c r="C147" t="str">
        <f>"CONF-"&amp;TEXT(us_core_reqs[[#This Row],[ID*]], "0000")</f>
        <v>CONF-0146</v>
      </c>
      <c r="D147" s="11" t="s">
        <v>623</v>
      </c>
      <c r="E147" s="73" t="str" cm="1">
        <f t="array" ref="E147">_xlfn.TEXTJOIN(", ", TRUE, _xlfn.TEXTAFTER(_xlfn.TEXTSPLIT(us_core_reqs[[#This Row],[URL*]], ", "), "/", -1))</f>
        <v>scopes.html#scopes-for-requesting-fhir-resources-by-type</v>
      </c>
      <c r="F147" s="11" t="s">
        <v>686</v>
      </c>
      <c r="G147" t="s">
        <v>29</v>
      </c>
      <c r="H147" cm="1">
        <f t="array" ref="H147">_xlfn.SWITCH(G147, "SHALL", 1, "SHOULD", 3, "MAY", 5, "SHOULD-NOT", 4, "SHALL-NOT", 2, "DEPRECATED", 6, 99)</f>
        <v>1</v>
      </c>
      <c r="J147" t="s">
        <v>30</v>
      </c>
      <c r="K147" t="s">
        <v>1171</v>
      </c>
      <c r="L147" t="s">
        <v>1171</v>
      </c>
      <c r="M147" t="s">
        <v>1176</v>
      </c>
      <c r="N147" t="s">
        <v>181</v>
      </c>
      <c r="O147" t="s">
        <v>1171</v>
      </c>
      <c r="P147" t="s">
        <v>1171</v>
      </c>
      <c r="Q147" t="s">
        <v>1171</v>
      </c>
      <c r="R147" t="s">
        <v>1171</v>
      </c>
      <c r="S147" s="70" t="str" cm="1">
        <f t="array" ref="S147">_xlfn.TEXTJOIN(",",TRUE,LEFT(TRIM(_xlfn.TEXTSPLIT(us_core_reqs[[#This Row],[reference]],",")),FIND(".html",TRIM(_xlfn.TEXTSPLIT(us_core_reqs[[#This Row],[reference]],",")))-1))</f>
        <v>scopes</v>
      </c>
      <c r="T147" s="70" t="str" cm="1">
        <f t="array" ref="T147">_xlfn.TEXTJOIN(",",TRUE,MID(TRIM(_xlfn.TEXTSPLIT(us_core_reqs[[#This Row],[reference]],",")),FIND("#",TRIM(_xlfn.TEXTSPLIT(us_core_reqs[[#This Row],[reference]],","))&amp;"#")+1,1000))</f>
        <v>scopes-for-requesting-fhir-resources-by-type</v>
      </c>
      <c r="U147" t="str" cm="1">
        <f t="array" ref="U147">_xlfn.TEXTJOIN(", ",TRUE,SUBSTITUTE(SUBSTITUTE(PROPER(SUBSTITUTE(TRIM(_xlfn.TEXTSPLIT(us_core_reqs[[#This Row],[Page]],","))," -"," "))&amp;": "&amp;PROPER(SUBSTITUTE(TRIM(_xlfn.TEXTSPLIT(us_core_reqs[[#This Row],[Section]],","))," -"," ")),"Us ","US        
  "),"Uscdi","USCDI"))</f>
        <v>Scopes: Scopes-For-Requesting-Fhir-Resources-By-Type</v>
      </c>
      <c r="V147" t="s">
        <v>29</v>
      </c>
      <c r="W147" t="s">
        <v>1171</v>
      </c>
      <c r="X147" t="s">
        <v>1171</v>
      </c>
      <c r="Y147" t="s">
        <v>1171</v>
      </c>
      <c r="Z147" t="s">
        <v>1171</v>
      </c>
      <c r="AA147" t="s">
        <v>1171</v>
      </c>
      <c r="AB147" t="s">
        <v>1171</v>
      </c>
      <c r="AC147" t="s">
        <v>697</v>
      </c>
      <c r="AD147" t="s">
        <v>1140</v>
      </c>
      <c r="AE147" t="s">
        <v>1171</v>
      </c>
    </row>
    <row r="148" spans="1:31" ht="120" thickBot="1" x14ac:dyDescent="0.25">
      <c r="A148" t="s">
        <v>1171</v>
      </c>
      <c r="B148" t="s">
        <v>1320</v>
      </c>
      <c r="C148" t="str">
        <f>"CONF-"&amp;TEXT(us_core_reqs[[#This Row],[ID*]], "0000")</f>
        <v>CONF-0147</v>
      </c>
      <c r="D148" s="11" t="s">
        <v>623</v>
      </c>
      <c r="E148" s="73" t="str" cm="1">
        <f t="array" ref="E148">_xlfn.TEXTJOIN(", ", TRUE, _xlfn.TEXTAFTER(_xlfn.TEXTSPLIT(us_core_reqs[[#This Row],[URL*]], ", "), "/", -1))</f>
        <v>scopes.html#scopes-for-requesting-fhir-resources-by-type</v>
      </c>
      <c r="F148" s="11" t="s">
        <v>687</v>
      </c>
      <c r="G148" t="s">
        <v>29</v>
      </c>
      <c r="H148" cm="1">
        <f t="array" ref="H148">_xlfn.SWITCH(G148, "SHALL", 1, "SHOULD", 3, "MAY", 5, "SHOULD-NOT", 4, "SHALL-NOT", 2, "DEPRECATED", 6, 99)</f>
        <v>1</v>
      </c>
      <c r="J148" t="s">
        <v>30</v>
      </c>
      <c r="K148" t="s">
        <v>1171</v>
      </c>
      <c r="L148" t="s">
        <v>1171</v>
      </c>
      <c r="M148" t="s">
        <v>1176</v>
      </c>
      <c r="N148" t="s">
        <v>182</v>
      </c>
      <c r="O148" t="s">
        <v>1171</v>
      </c>
      <c r="P148" t="s">
        <v>1171</v>
      </c>
      <c r="Q148" t="s">
        <v>1171</v>
      </c>
      <c r="R148" t="s">
        <v>1171</v>
      </c>
      <c r="S148" s="70" t="str" cm="1">
        <f t="array" ref="S148">_xlfn.TEXTJOIN(",",TRUE,LEFT(TRIM(_xlfn.TEXTSPLIT(us_core_reqs[[#This Row],[reference]],",")),FIND(".html",TRIM(_xlfn.TEXTSPLIT(us_core_reqs[[#This Row],[reference]],",")))-1))</f>
        <v>scopes</v>
      </c>
      <c r="T148" s="70" t="str" cm="1">
        <f t="array" ref="T148">_xlfn.TEXTJOIN(",",TRUE,MID(TRIM(_xlfn.TEXTSPLIT(us_core_reqs[[#This Row],[reference]],",")),FIND("#",TRIM(_xlfn.TEXTSPLIT(us_core_reqs[[#This Row],[reference]],","))&amp;"#")+1,1000))</f>
        <v>scopes-for-requesting-fhir-resources-by-type</v>
      </c>
      <c r="U148" t="str" cm="1">
        <f t="array" ref="U148">_xlfn.TEXTJOIN(", ",TRUE,SUBSTITUTE(SUBSTITUTE(PROPER(SUBSTITUTE(TRIM(_xlfn.TEXTSPLIT(us_core_reqs[[#This Row],[Page]],","))," -"," "))&amp;": "&amp;PROPER(SUBSTITUTE(TRIM(_xlfn.TEXTSPLIT(us_core_reqs[[#This Row],[Section]],","))," -"," ")),"Us ","US        
  "),"Uscdi","USCDI"))</f>
        <v>Scopes: Scopes-For-Requesting-Fhir-Resources-By-Type</v>
      </c>
      <c r="V148" t="s">
        <v>29</v>
      </c>
      <c r="W148" t="s">
        <v>1171</v>
      </c>
      <c r="X148" t="s">
        <v>1171</v>
      </c>
      <c r="Y148" t="s">
        <v>1171</v>
      </c>
      <c r="Z148" t="s">
        <v>1171</v>
      </c>
      <c r="AA148" t="s">
        <v>1171</v>
      </c>
      <c r="AB148" t="s">
        <v>1171</v>
      </c>
      <c r="AC148" t="s">
        <v>697</v>
      </c>
      <c r="AD148" t="s">
        <v>1140</v>
      </c>
      <c r="AE148" t="s">
        <v>1171</v>
      </c>
    </row>
    <row r="149" spans="1:31" ht="120" thickBot="1" x14ac:dyDescent="0.25">
      <c r="A149" t="s">
        <v>1171</v>
      </c>
      <c r="B149" t="s">
        <v>1321</v>
      </c>
      <c r="C149" t="str">
        <f>"CONF-"&amp;TEXT(us_core_reqs[[#This Row],[ID*]], "0000")</f>
        <v>CONF-0148</v>
      </c>
      <c r="D149" s="11" t="s">
        <v>623</v>
      </c>
      <c r="E149" s="73" t="str" cm="1">
        <f t="array" ref="E149">_xlfn.TEXTJOIN(", ", TRUE, _xlfn.TEXTAFTER(_xlfn.TEXTSPLIT(us_core_reqs[[#This Row],[URL*]], ", "), "/", -1))</f>
        <v>scopes.html#scopes-for-requesting-fhir-resources-by-type</v>
      </c>
      <c r="F149" s="11" t="s">
        <v>688</v>
      </c>
      <c r="G149" t="s">
        <v>29</v>
      </c>
      <c r="H149" cm="1">
        <f t="array" ref="H149">_xlfn.SWITCH(G149, "SHALL", 1, "SHOULD", 3, "MAY", 5, "SHOULD-NOT", 4, "SHALL-NOT", 2, "DEPRECATED", 6, 99)</f>
        <v>1</v>
      </c>
      <c r="J149" t="s">
        <v>30</v>
      </c>
      <c r="K149" t="s">
        <v>1171</v>
      </c>
      <c r="L149" t="s">
        <v>1171</v>
      </c>
      <c r="M149" t="s">
        <v>1176</v>
      </c>
      <c r="N149" t="s">
        <v>183</v>
      </c>
      <c r="O149" t="s">
        <v>1171</v>
      </c>
      <c r="P149" t="s">
        <v>1171</v>
      </c>
      <c r="Q149" t="s">
        <v>1171</v>
      </c>
      <c r="R149" t="s">
        <v>1171</v>
      </c>
      <c r="S149" s="70" t="str" cm="1">
        <f t="array" ref="S149">_xlfn.TEXTJOIN(",",TRUE,LEFT(TRIM(_xlfn.TEXTSPLIT(us_core_reqs[[#This Row],[reference]],",")),FIND(".html",TRIM(_xlfn.TEXTSPLIT(us_core_reqs[[#This Row],[reference]],",")))-1))</f>
        <v>scopes</v>
      </c>
      <c r="T149" s="70" t="str" cm="1">
        <f t="array" ref="T149">_xlfn.TEXTJOIN(",",TRUE,MID(TRIM(_xlfn.TEXTSPLIT(us_core_reqs[[#This Row],[reference]],",")),FIND("#",TRIM(_xlfn.TEXTSPLIT(us_core_reqs[[#This Row],[reference]],","))&amp;"#")+1,1000))</f>
        <v>scopes-for-requesting-fhir-resources-by-type</v>
      </c>
      <c r="U149" t="str" cm="1">
        <f t="array" ref="U149">_xlfn.TEXTJOIN(", ",TRUE,SUBSTITUTE(SUBSTITUTE(PROPER(SUBSTITUTE(TRIM(_xlfn.TEXTSPLIT(us_core_reqs[[#This Row],[Page]],","))," -"," "))&amp;": "&amp;PROPER(SUBSTITUTE(TRIM(_xlfn.TEXTSPLIT(us_core_reqs[[#This Row],[Section]],","))," -"," ")),"Us ","US        
  "),"Uscdi","USCDI"))</f>
        <v>Scopes: Scopes-For-Requesting-Fhir-Resources-By-Type</v>
      </c>
      <c r="V149" t="s">
        <v>29</v>
      </c>
      <c r="W149" t="s">
        <v>1171</v>
      </c>
      <c r="X149" t="s">
        <v>1171</v>
      </c>
      <c r="Y149" t="s">
        <v>1171</v>
      </c>
      <c r="Z149" t="s">
        <v>1171</v>
      </c>
      <c r="AA149" t="s">
        <v>1171</v>
      </c>
      <c r="AB149" t="s">
        <v>1171</v>
      </c>
      <c r="AC149" t="s">
        <v>697</v>
      </c>
      <c r="AD149" t="s">
        <v>1140</v>
      </c>
      <c r="AE149" t="s">
        <v>1171</v>
      </c>
    </row>
    <row r="150" spans="1:31" ht="137" thickBot="1" x14ac:dyDescent="0.25">
      <c r="A150" t="s">
        <v>1171</v>
      </c>
      <c r="B150" t="s">
        <v>1322</v>
      </c>
      <c r="C150" t="str">
        <f>"CONF-"&amp;TEXT(us_core_reqs[[#This Row],[ID*]], "0000")</f>
        <v>CONF-0149</v>
      </c>
      <c r="D150" s="11" t="s">
        <v>623</v>
      </c>
      <c r="E150" s="73" t="str" cm="1">
        <f t="array" ref="E150">_xlfn.TEXTJOIN(", ", TRUE, _xlfn.TEXTAFTER(_xlfn.TEXTSPLIT(us_core_reqs[[#This Row],[URL*]], ", "), "/", -1))</f>
        <v>scopes.html#scopes-for-requesting-fhir-resources-by-type</v>
      </c>
      <c r="F150" s="11" t="s">
        <v>689</v>
      </c>
      <c r="G150" t="s">
        <v>29</v>
      </c>
      <c r="H150" cm="1">
        <f t="array" ref="H150">_xlfn.SWITCH(G150, "SHALL", 1, "SHOULD", 3, "MAY", 5, "SHOULD-NOT", 4, "SHALL-NOT", 2, "DEPRECATED", 6, 99)</f>
        <v>1</v>
      </c>
      <c r="J150" t="s">
        <v>30</v>
      </c>
      <c r="K150" t="s">
        <v>1171</v>
      </c>
      <c r="L150" t="s">
        <v>1171</v>
      </c>
      <c r="M150" t="s">
        <v>1176</v>
      </c>
      <c r="N150" t="s">
        <v>184</v>
      </c>
      <c r="O150" t="s">
        <v>1171</v>
      </c>
      <c r="P150" t="s">
        <v>1171</v>
      </c>
      <c r="Q150" t="s">
        <v>1171</v>
      </c>
      <c r="R150" t="s">
        <v>1171</v>
      </c>
      <c r="S150" s="70" t="str" cm="1">
        <f t="array" ref="S150">_xlfn.TEXTJOIN(",",TRUE,LEFT(TRIM(_xlfn.TEXTSPLIT(us_core_reqs[[#This Row],[reference]],",")),FIND(".html",TRIM(_xlfn.TEXTSPLIT(us_core_reqs[[#This Row],[reference]],",")))-1))</f>
        <v>scopes</v>
      </c>
      <c r="T150" s="70" t="str" cm="1">
        <f t="array" ref="T150">_xlfn.TEXTJOIN(",",TRUE,MID(TRIM(_xlfn.TEXTSPLIT(us_core_reqs[[#This Row],[reference]],",")),FIND("#",TRIM(_xlfn.TEXTSPLIT(us_core_reqs[[#This Row],[reference]],","))&amp;"#")+1,1000))</f>
        <v>scopes-for-requesting-fhir-resources-by-type</v>
      </c>
      <c r="U150" t="str" cm="1">
        <f t="array" ref="U150">_xlfn.TEXTJOIN(", ",TRUE,SUBSTITUTE(SUBSTITUTE(PROPER(SUBSTITUTE(TRIM(_xlfn.TEXTSPLIT(us_core_reqs[[#This Row],[Page]],","))," -"," "))&amp;": "&amp;PROPER(SUBSTITUTE(TRIM(_xlfn.TEXTSPLIT(us_core_reqs[[#This Row],[Section]],","))," -"," ")),"Us ","US        
  "),"Uscdi","USCDI"))</f>
        <v>Scopes: Scopes-For-Requesting-Fhir-Resources-By-Type</v>
      </c>
      <c r="V150" t="s">
        <v>29</v>
      </c>
      <c r="W150" t="s">
        <v>1171</v>
      </c>
      <c r="X150" t="s">
        <v>1171</v>
      </c>
      <c r="Y150" t="s">
        <v>1171</v>
      </c>
      <c r="Z150" t="s">
        <v>1171</v>
      </c>
      <c r="AA150" t="s">
        <v>1171</v>
      </c>
      <c r="AB150" t="s">
        <v>1171</v>
      </c>
      <c r="AC150" t="s">
        <v>697</v>
      </c>
      <c r="AD150" t="s">
        <v>1140</v>
      </c>
      <c r="AE150" t="s">
        <v>1171</v>
      </c>
    </row>
    <row r="151" spans="1:31" ht="120" thickBot="1" x14ac:dyDescent="0.25">
      <c r="A151" t="s">
        <v>1171</v>
      </c>
      <c r="B151" t="s">
        <v>1323</v>
      </c>
      <c r="C151" t="str">
        <f>"CONF-"&amp;TEXT(us_core_reqs[[#This Row],[ID*]], "0000")</f>
        <v>CONF-0150</v>
      </c>
      <c r="D151" s="11" t="s">
        <v>623</v>
      </c>
      <c r="E151" s="73" t="str" cm="1">
        <f t="array" ref="E151">_xlfn.TEXTJOIN(", ", TRUE, _xlfn.TEXTAFTER(_xlfn.TEXTSPLIT(us_core_reqs[[#This Row],[URL*]], ", "), "/", -1))</f>
        <v>scopes.html#scopes-for-requesting-fhir-resources-by-type</v>
      </c>
      <c r="F151" s="11" t="s">
        <v>690</v>
      </c>
      <c r="G151" t="s">
        <v>29</v>
      </c>
      <c r="H151" cm="1">
        <f t="array" ref="H151">_xlfn.SWITCH(G151, "SHALL", 1, "SHOULD", 3, "MAY", 5, "SHOULD-NOT", 4, "SHALL-NOT", 2, "DEPRECATED", 6, 99)</f>
        <v>1</v>
      </c>
      <c r="J151" t="s">
        <v>30</v>
      </c>
      <c r="K151" t="s">
        <v>1171</v>
      </c>
      <c r="L151" t="s">
        <v>1171</v>
      </c>
      <c r="M151" t="s">
        <v>1176</v>
      </c>
      <c r="N151" t="s">
        <v>185</v>
      </c>
      <c r="O151" t="s">
        <v>1171</v>
      </c>
      <c r="P151" t="s">
        <v>1171</v>
      </c>
      <c r="Q151" t="s">
        <v>1171</v>
      </c>
      <c r="R151" t="s">
        <v>1171</v>
      </c>
      <c r="S151" s="70" t="str" cm="1">
        <f t="array" ref="S151">_xlfn.TEXTJOIN(",",TRUE,LEFT(TRIM(_xlfn.TEXTSPLIT(us_core_reqs[[#This Row],[reference]],",")),FIND(".html",TRIM(_xlfn.TEXTSPLIT(us_core_reqs[[#This Row],[reference]],",")))-1))</f>
        <v>scopes</v>
      </c>
      <c r="T151" s="70" t="str" cm="1">
        <f t="array" ref="T151">_xlfn.TEXTJOIN(",",TRUE,MID(TRIM(_xlfn.TEXTSPLIT(us_core_reqs[[#This Row],[reference]],",")),FIND("#",TRIM(_xlfn.TEXTSPLIT(us_core_reqs[[#This Row],[reference]],","))&amp;"#")+1,1000))</f>
        <v>scopes-for-requesting-fhir-resources-by-type</v>
      </c>
      <c r="U151" t="str" cm="1">
        <f t="array" ref="U151">_xlfn.TEXTJOIN(", ",TRUE,SUBSTITUTE(SUBSTITUTE(PROPER(SUBSTITUTE(TRIM(_xlfn.TEXTSPLIT(us_core_reqs[[#This Row],[Page]],","))," -"," "))&amp;": "&amp;PROPER(SUBSTITUTE(TRIM(_xlfn.TEXTSPLIT(us_core_reqs[[#This Row],[Section]],","))," -"," ")),"Us ","US        
  "),"Uscdi","USCDI"))</f>
        <v>Scopes: Scopes-For-Requesting-Fhir-Resources-By-Type</v>
      </c>
      <c r="V151" t="s">
        <v>29</v>
      </c>
      <c r="W151" t="s">
        <v>1171</v>
      </c>
      <c r="X151" t="s">
        <v>1171</v>
      </c>
      <c r="Y151" t="s">
        <v>1171</v>
      </c>
      <c r="Z151" t="s">
        <v>1171</v>
      </c>
      <c r="AA151" t="s">
        <v>1171</v>
      </c>
      <c r="AB151" t="s">
        <v>1171</v>
      </c>
      <c r="AC151" t="s">
        <v>697</v>
      </c>
      <c r="AD151" t="s">
        <v>1140</v>
      </c>
      <c r="AE151" t="s">
        <v>1171</v>
      </c>
    </row>
    <row r="152" spans="1:31" ht="120" thickBot="1" x14ac:dyDescent="0.25">
      <c r="A152" t="s">
        <v>1171</v>
      </c>
      <c r="B152" t="s">
        <v>1324</v>
      </c>
      <c r="C152" t="str">
        <f>"CONF-"&amp;TEXT(us_core_reqs[[#This Row],[ID*]], "0000")</f>
        <v>CONF-0151</v>
      </c>
      <c r="D152" s="11" t="s">
        <v>623</v>
      </c>
      <c r="E152" s="73" t="str" cm="1">
        <f t="array" ref="E152">_xlfn.TEXTJOIN(", ", TRUE, _xlfn.TEXTAFTER(_xlfn.TEXTSPLIT(us_core_reqs[[#This Row],[URL*]], ", "), "/", -1))</f>
        <v>scopes.html#scopes-for-requesting-fhir-resources-by-type</v>
      </c>
      <c r="F152" s="11" t="s">
        <v>691</v>
      </c>
      <c r="G152" t="s">
        <v>29</v>
      </c>
      <c r="H152" cm="1">
        <f t="array" ref="H152">_xlfn.SWITCH(G152, "SHALL", 1, "SHOULD", 3, "MAY", 5, "SHOULD-NOT", 4, "SHALL-NOT", 2, "DEPRECATED", 6, 99)</f>
        <v>1</v>
      </c>
      <c r="J152" t="s">
        <v>30</v>
      </c>
      <c r="K152" t="s">
        <v>1171</v>
      </c>
      <c r="L152" t="s">
        <v>1171</v>
      </c>
      <c r="M152" t="s">
        <v>1176</v>
      </c>
      <c r="N152" t="s">
        <v>186</v>
      </c>
      <c r="O152" t="s">
        <v>1171</v>
      </c>
      <c r="P152" t="s">
        <v>1171</v>
      </c>
      <c r="Q152" t="s">
        <v>1171</v>
      </c>
      <c r="R152" t="s">
        <v>1171</v>
      </c>
      <c r="S152" s="70" t="str" cm="1">
        <f t="array" ref="S152">_xlfn.TEXTJOIN(",",TRUE,LEFT(TRIM(_xlfn.TEXTSPLIT(us_core_reqs[[#This Row],[reference]],",")),FIND(".html",TRIM(_xlfn.TEXTSPLIT(us_core_reqs[[#This Row],[reference]],",")))-1))</f>
        <v>scopes</v>
      </c>
      <c r="T152" s="70" t="str" cm="1">
        <f t="array" ref="T152">_xlfn.TEXTJOIN(",",TRUE,MID(TRIM(_xlfn.TEXTSPLIT(us_core_reqs[[#This Row],[reference]],",")),FIND("#",TRIM(_xlfn.TEXTSPLIT(us_core_reqs[[#This Row],[reference]],","))&amp;"#")+1,1000))</f>
        <v>scopes-for-requesting-fhir-resources-by-type</v>
      </c>
      <c r="U152" t="str" cm="1">
        <f t="array" ref="U152">_xlfn.TEXTJOIN(", ",TRUE,SUBSTITUTE(SUBSTITUTE(PROPER(SUBSTITUTE(TRIM(_xlfn.TEXTSPLIT(us_core_reqs[[#This Row],[Page]],","))," -"," "))&amp;": "&amp;PROPER(SUBSTITUTE(TRIM(_xlfn.TEXTSPLIT(us_core_reqs[[#This Row],[Section]],","))," -"," ")),"Us ","US        
  "),"Uscdi","USCDI"))</f>
        <v>Scopes: Scopes-For-Requesting-Fhir-Resources-By-Type</v>
      </c>
      <c r="V152" t="s">
        <v>29</v>
      </c>
      <c r="W152" t="s">
        <v>1171</v>
      </c>
      <c r="X152" t="s">
        <v>1171</v>
      </c>
      <c r="Y152" t="s">
        <v>1171</v>
      </c>
      <c r="Z152" t="s">
        <v>1171</v>
      </c>
      <c r="AA152" t="s">
        <v>1171</v>
      </c>
      <c r="AB152" t="s">
        <v>1171</v>
      </c>
      <c r="AC152" t="s">
        <v>697</v>
      </c>
      <c r="AD152" t="s">
        <v>1140</v>
      </c>
      <c r="AE152" t="s">
        <v>1171</v>
      </c>
    </row>
    <row r="153" spans="1:31" ht="137" thickBot="1" x14ac:dyDescent="0.25">
      <c r="A153" t="s">
        <v>1171</v>
      </c>
      <c r="B153" t="s">
        <v>1325</v>
      </c>
      <c r="C153" t="str">
        <f>"CONF-"&amp;TEXT(us_core_reqs[[#This Row],[ID*]], "0000")</f>
        <v>CONF-0152</v>
      </c>
      <c r="D153" s="11" t="s">
        <v>623</v>
      </c>
      <c r="E153" s="73" t="str" cm="1">
        <f t="array" ref="E153">_xlfn.TEXTJOIN(", ", TRUE, _xlfn.TEXTAFTER(_xlfn.TEXTSPLIT(us_core_reqs[[#This Row],[URL*]], ", "), "/", -1))</f>
        <v>scopes.html#scopes-for-requesting-fhir-resources-by-type</v>
      </c>
      <c r="F153" s="11" t="s">
        <v>692</v>
      </c>
      <c r="G153" t="s">
        <v>29</v>
      </c>
      <c r="H153" cm="1">
        <f t="array" ref="H153">_xlfn.SWITCH(G153, "SHALL", 1, "SHOULD", 3, "MAY", 5, "SHOULD-NOT", 4, "SHALL-NOT", 2, "DEPRECATED", 6, 99)</f>
        <v>1</v>
      </c>
      <c r="J153" t="s">
        <v>30</v>
      </c>
      <c r="K153" t="s">
        <v>1171</v>
      </c>
      <c r="L153" t="s">
        <v>1171</v>
      </c>
      <c r="M153" t="s">
        <v>1176</v>
      </c>
      <c r="N153" t="s">
        <v>187</v>
      </c>
      <c r="O153" t="s">
        <v>1171</v>
      </c>
      <c r="P153" t="s">
        <v>1171</v>
      </c>
      <c r="Q153" t="s">
        <v>1171</v>
      </c>
      <c r="R153" t="s">
        <v>1171</v>
      </c>
      <c r="S153" s="70" t="str" cm="1">
        <f t="array" ref="S153">_xlfn.TEXTJOIN(",",TRUE,LEFT(TRIM(_xlfn.TEXTSPLIT(us_core_reqs[[#This Row],[reference]],",")),FIND(".html",TRIM(_xlfn.TEXTSPLIT(us_core_reqs[[#This Row],[reference]],",")))-1))</f>
        <v>scopes</v>
      </c>
      <c r="T153" s="70" t="str" cm="1">
        <f t="array" ref="T153">_xlfn.TEXTJOIN(",",TRUE,MID(TRIM(_xlfn.TEXTSPLIT(us_core_reqs[[#This Row],[reference]],",")),FIND("#",TRIM(_xlfn.TEXTSPLIT(us_core_reqs[[#This Row],[reference]],","))&amp;"#")+1,1000))</f>
        <v>scopes-for-requesting-fhir-resources-by-type</v>
      </c>
      <c r="U153" t="str" cm="1">
        <f t="array" ref="U153">_xlfn.TEXTJOIN(", ",TRUE,SUBSTITUTE(SUBSTITUTE(PROPER(SUBSTITUTE(TRIM(_xlfn.TEXTSPLIT(us_core_reqs[[#This Row],[Page]],","))," -"," "))&amp;": "&amp;PROPER(SUBSTITUTE(TRIM(_xlfn.TEXTSPLIT(us_core_reqs[[#This Row],[Section]],","))," -"," ")),"Us ","US        
  "),"Uscdi","USCDI"))</f>
        <v>Scopes: Scopes-For-Requesting-Fhir-Resources-By-Type</v>
      </c>
      <c r="V153" t="s">
        <v>29</v>
      </c>
      <c r="W153" t="s">
        <v>1171</v>
      </c>
      <c r="X153" t="s">
        <v>1171</v>
      </c>
      <c r="Y153" t="s">
        <v>1171</v>
      </c>
      <c r="Z153" t="s">
        <v>1171</v>
      </c>
      <c r="AA153" t="s">
        <v>1171</v>
      </c>
      <c r="AB153" t="s">
        <v>1171</v>
      </c>
      <c r="AC153" t="s">
        <v>697</v>
      </c>
      <c r="AD153" t="s">
        <v>1140</v>
      </c>
      <c r="AE153" t="s">
        <v>1171</v>
      </c>
    </row>
    <row r="154" spans="1:31" ht="120" thickBot="1" x14ac:dyDescent="0.25">
      <c r="A154" t="s">
        <v>1171</v>
      </c>
      <c r="B154" t="s">
        <v>1326</v>
      </c>
      <c r="C154" t="str">
        <f>"CONF-"&amp;TEXT(us_core_reqs[[#This Row],[ID*]], "0000")</f>
        <v>CONF-0153</v>
      </c>
      <c r="D154" s="11" t="s">
        <v>623</v>
      </c>
      <c r="E154" s="73" t="str" cm="1">
        <f t="array" ref="E154">_xlfn.TEXTJOIN(", ", TRUE, _xlfn.TEXTAFTER(_xlfn.TEXTSPLIT(us_core_reqs[[#This Row],[URL*]], ", "), "/", -1))</f>
        <v>scopes.html#scopes-for-requesting-fhir-resources-by-type</v>
      </c>
      <c r="F154" s="11" t="s">
        <v>693</v>
      </c>
      <c r="G154" t="s">
        <v>29</v>
      </c>
      <c r="H154" cm="1">
        <f t="array" ref="H154">_xlfn.SWITCH(G154, "SHALL", 1, "SHOULD", 3, "MAY", 5, "SHOULD-NOT", 4, "SHALL-NOT", 2, "DEPRECATED", 6, 99)</f>
        <v>1</v>
      </c>
      <c r="J154" t="s">
        <v>30</v>
      </c>
      <c r="K154" t="s">
        <v>1171</v>
      </c>
      <c r="L154" t="s">
        <v>1171</v>
      </c>
      <c r="M154" t="s">
        <v>1176</v>
      </c>
      <c r="N154" t="s">
        <v>188</v>
      </c>
      <c r="O154" t="s">
        <v>1171</v>
      </c>
      <c r="P154" t="s">
        <v>1171</v>
      </c>
      <c r="Q154" t="s">
        <v>1171</v>
      </c>
      <c r="R154" t="s">
        <v>1171</v>
      </c>
      <c r="S154" s="70" t="str" cm="1">
        <f t="array" ref="S154">_xlfn.TEXTJOIN(",",TRUE,LEFT(TRIM(_xlfn.TEXTSPLIT(us_core_reqs[[#This Row],[reference]],",")),FIND(".html",TRIM(_xlfn.TEXTSPLIT(us_core_reqs[[#This Row],[reference]],",")))-1))</f>
        <v>scopes</v>
      </c>
      <c r="T154" s="70" t="str" cm="1">
        <f t="array" ref="T154">_xlfn.TEXTJOIN(",",TRUE,MID(TRIM(_xlfn.TEXTSPLIT(us_core_reqs[[#This Row],[reference]],",")),FIND("#",TRIM(_xlfn.TEXTSPLIT(us_core_reqs[[#This Row],[reference]],","))&amp;"#")+1,1000))</f>
        <v>scopes-for-requesting-fhir-resources-by-type</v>
      </c>
      <c r="U154" t="str" cm="1">
        <f t="array" ref="U154">_xlfn.TEXTJOIN(", ",TRUE,SUBSTITUTE(SUBSTITUTE(PROPER(SUBSTITUTE(TRIM(_xlfn.TEXTSPLIT(us_core_reqs[[#This Row],[Page]],","))," -"," "))&amp;": "&amp;PROPER(SUBSTITUTE(TRIM(_xlfn.TEXTSPLIT(us_core_reqs[[#This Row],[Section]],","))," -"," ")),"Us ","US        
  "),"Uscdi","USCDI"))</f>
        <v>Scopes: Scopes-For-Requesting-Fhir-Resources-By-Type</v>
      </c>
      <c r="V154" t="s">
        <v>29</v>
      </c>
      <c r="W154" t="s">
        <v>1171</v>
      </c>
      <c r="X154" t="s">
        <v>1171</v>
      </c>
      <c r="Y154" t="s">
        <v>1171</v>
      </c>
      <c r="Z154" t="s">
        <v>1171</v>
      </c>
      <c r="AA154" t="s">
        <v>1171</v>
      </c>
      <c r="AB154" t="s">
        <v>1171</v>
      </c>
      <c r="AC154" t="s">
        <v>697</v>
      </c>
      <c r="AD154" t="s">
        <v>1140</v>
      </c>
      <c r="AE154" t="s">
        <v>1171</v>
      </c>
    </row>
    <row r="155" spans="1:31" ht="120" thickBot="1" x14ac:dyDescent="0.25">
      <c r="A155" t="s">
        <v>1171</v>
      </c>
      <c r="B155" t="s">
        <v>1327</v>
      </c>
      <c r="C155" t="str">
        <f>"CONF-"&amp;TEXT(us_core_reqs[[#This Row],[ID*]], "0000")</f>
        <v>CONF-0154</v>
      </c>
      <c r="D155" s="11" t="s">
        <v>623</v>
      </c>
      <c r="E155" s="73" t="str" cm="1">
        <f t="array" ref="E155">_xlfn.TEXTJOIN(", ", TRUE, _xlfn.TEXTAFTER(_xlfn.TEXTSPLIT(us_core_reqs[[#This Row],[URL*]], ", "), "/", -1))</f>
        <v>scopes.html#scopes-for-requesting-fhir-resources-by-type</v>
      </c>
      <c r="F155" s="11" t="s">
        <v>694</v>
      </c>
      <c r="G155" t="s">
        <v>29</v>
      </c>
      <c r="H155" cm="1">
        <f t="array" ref="H155">_xlfn.SWITCH(G155, "SHALL", 1, "SHOULD", 3, "MAY", 5, "SHOULD-NOT", 4, "SHALL-NOT", 2, "DEPRECATED", 6, 99)</f>
        <v>1</v>
      </c>
      <c r="J155" t="s">
        <v>30</v>
      </c>
      <c r="K155" t="s">
        <v>1171</v>
      </c>
      <c r="L155" t="s">
        <v>1171</v>
      </c>
      <c r="M155" t="s">
        <v>1176</v>
      </c>
      <c r="N155" t="s">
        <v>189</v>
      </c>
      <c r="O155" t="s">
        <v>1171</v>
      </c>
      <c r="P155" t="s">
        <v>1171</v>
      </c>
      <c r="Q155" t="s">
        <v>1171</v>
      </c>
      <c r="R155" t="s">
        <v>1171</v>
      </c>
      <c r="S155" s="70" t="str" cm="1">
        <f t="array" ref="S155">_xlfn.TEXTJOIN(",",TRUE,LEFT(TRIM(_xlfn.TEXTSPLIT(us_core_reqs[[#This Row],[reference]],",")),FIND(".html",TRIM(_xlfn.TEXTSPLIT(us_core_reqs[[#This Row],[reference]],",")))-1))</f>
        <v>scopes</v>
      </c>
      <c r="T155" s="70" t="str" cm="1">
        <f t="array" ref="T155">_xlfn.TEXTJOIN(",",TRUE,MID(TRIM(_xlfn.TEXTSPLIT(us_core_reqs[[#This Row],[reference]],",")),FIND("#",TRIM(_xlfn.TEXTSPLIT(us_core_reqs[[#This Row],[reference]],","))&amp;"#")+1,1000))</f>
        <v>scopes-for-requesting-fhir-resources-by-type</v>
      </c>
      <c r="U155" t="str" cm="1">
        <f t="array" ref="U155">_xlfn.TEXTJOIN(", ",TRUE,SUBSTITUTE(SUBSTITUTE(PROPER(SUBSTITUTE(TRIM(_xlfn.TEXTSPLIT(us_core_reqs[[#This Row],[Page]],","))," -"," "))&amp;": "&amp;PROPER(SUBSTITUTE(TRIM(_xlfn.TEXTSPLIT(us_core_reqs[[#This Row],[Section]],","))," -"," ")),"Us ","US        
  "),"Uscdi","USCDI"))</f>
        <v>Scopes: Scopes-For-Requesting-Fhir-Resources-By-Type</v>
      </c>
      <c r="V155" t="s">
        <v>29</v>
      </c>
      <c r="W155" t="s">
        <v>1171</v>
      </c>
      <c r="X155" t="s">
        <v>1171</v>
      </c>
      <c r="Y155" t="s">
        <v>1171</v>
      </c>
      <c r="Z155" t="s">
        <v>1171</v>
      </c>
      <c r="AA155" t="s">
        <v>1171</v>
      </c>
      <c r="AB155" t="s">
        <v>1171</v>
      </c>
      <c r="AC155" t="s">
        <v>697</v>
      </c>
      <c r="AD155" t="s">
        <v>1140</v>
      </c>
      <c r="AE155" t="s">
        <v>1171</v>
      </c>
    </row>
    <row r="156" spans="1:31" ht="120" thickBot="1" x14ac:dyDescent="0.25">
      <c r="A156" t="s">
        <v>1171</v>
      </c>
      <c r="B156" t="s">
        <v>1328</v>
      </c>
      <c r="C156" t="str">
        <f>"CONF-"&amp;TEXT(us_core_reqs[[#This Row],[ID*]], "0000")</f>
        <v>CONF-0155</v>
      </c>
      <c r="D156" s="11" t="s">
        <v>623</v>
      </c>
      <c r="E156" s="73" t="str" cm="1">
        <f t="array" ref="E156">_xlfn.TEXTJOIN(", ", TRUE, _xlfn.TEXTAFTER(_xlfn.TEXTSPLIT(us_core_reqs[[#This Row],[URL*]], ", "), "/", -1))</f>
        <v>scopes.html#scopes-for-requesting-fhir-resources-by-type</v>
      </c>
      <c r="F156" s="11" t="s">
        <v>695</v>
      </c>
      <c r="G156" t="s">
        <v>29</v>
      </c>
      <c r="H156" cm="1">
        <f t="array" ref="H156">_xlfn.SWITCH(G156, "SHALL", 1, "SHOULD", 3, "MAY", 5, "SHOULD-NOT", 4, "SHALL-NOT", 2, "DEPRECATED", 6, 99)</f>
        <v>1</v>
      </c>
      <c r="J156" t="s">
        <v>30</v>
      </c>
      <c r="K156" t="s">
        <v>1171</v>
      </c>
      <c r="L156" t="s">
        <v>1171</v>
      </c>
      <c r="M156" t="s">
        <v>1176</v>
      </c>
      <c r="N156" t="s">
        <v>190</v>
      </c>
      <c r="O156" t="s">
        <v>1171</v>
      </c>
      <c r="P156" t="s">
        <v>1171</v>
      </c>
      <c r="Q156" t="s">
        <v>1171</v>
      </c>
      <c r="R156" t="s">
        <v>1171</v>
      </c>
      <c r="S156" s="70" t="str" cm="1">
        <f t="array" ref="S156">_xlfn.TEXTJOIN(",",TRUE,LEFT(TRIM(_xlfn.TEXTSPLIT(us_core_reqs[[#This Row],[reference]],",")),FIND(".html",TRIM(_xlfn.TEXTSPLIT(us_core_reqs[[#This Row],[reference]],",")))-1))</f>
        <v>scopes</v>
      </c>
      <c r="T156" s="70" t="str" cm="1">
        <f t="array" ref="T156">_xlfn.TEXTJOIN(",",TRUE,MID(TRIM(_xlfn.TEXTSPLIT(us_core_reqs[[#This Row],[reference]],",")),FIND("#",TRIM(_xlfn.TEXTSPLIT(us_core_reqs[[#This Row],[reference]],","))&amp;"#")+1,1000))</f>
        <v>scopes-for-requesting-fhir-resources-by-type</v>
      </c>
      <c r="U156" t="str" cm="1">
        <f t="array" ref="U156">_xlfn.TEXTJOIN(", ",TRUE,SUBSTITUTE(SUBSTITUTE(PROPER(SUBSTITUTE(TRIM(_xlfn.TEXTSPLIT(us_core_reqs[[#This Row],[Page]],","))," -"," "))&amp;": "&amp;PROPER(SUBSTITUTE(TRIM(_xlfn.TEXTSPLIT(us_core_reqs[[#This Row],[Section]],","))," -"," ")),"Us ","US        
  "),"Uscdi","USCDI"))</f>
        <v>Scopes: Scopes-For-Requesting-Fhir-Resources-By-Type</v>
      </c>
      <c r="V156" t="s">
        <v>29</v>
      </c>
      <c r="W156" t="s">
        <v>1171</v>
      </c>
      <c r="X156" t="s">
        <v>1171</v>
      </c>
      <c r="Y156" t="s">
        <v>1171</v>
      </c>
      <c r="Z156" t="s">
        <v>1171</v>
      </c>
      <c r="AA156" t="s">
        <v>1171</v>
      </c>
      <c r="AB156" t="s">
        <v>1171</v>
      </c>
      <c r="AC156" t="s">
        <v>697</v>
      </c>
      <c r="AD156" t="s">
        <v>1140</v>
      </c>
      <c r="AE156" t="s">
        <v>1171</v>
      </c>
    </row>
    <row r="157" spans="1:31" ht="120" thickBot="1" x14ac:dyDescent="0.25">
      <c r="A157" t="s">
        <v>1171</v>
      </c>
      <c r="B157" t="s">
        <v>1329</v>
      </c>
      <c r="C157" t="str">
        <f>"CONF-"&amp;TEXT(us_core_reqs[[#This Row],[ID*]], "0000")</f>
        <v>CONF-0156</v>
      </c>
      <c r="D157" s="11" t="s">
        <v>623</v>
      </c>
      <c r="E157" s="73" t="str" cm="1">
        <f t="array" ref="E157">_xlfn.TEXTJOIN(", ", TRUE, _xlfn.TEXTAFTER(_xlfn.TEXTSPLIT(us_core_reqs[[#This Row],[URL*]], ", "), "/", -1))</f>
        <v>scopes.html#scopes-for-requesting-fhir-resources-by-type</v>
      </c>
      <c r="F157" s="11" t="s">
        <v>699</v>
      </c>
      <c r="G157" t="s">
        <v>35</v>
      </c>
      <c r="H157" cm="1">
        <f t="array" ref="H157">_xlfn.SWITCH(G157, "SHALL", 1, "SHOULD", 3, "MAY", 5, "SHOULD-NOT", 4, "SHALL-NOT", 2, "DEPRECATED", 6, 99)</f>
        <v>5</v>
      </c>
      <c r="J157" t="s">
        <v>30</v>
      </c>
      <c r="K157" t="s">
        <v>1171</v>
      </c>
      <c r="L157" t="s">
        <v>1171</v>
      </c>
      <c r="M157" t="s">
        <v>1173</v>
      </c>
      <c r="N157" t="s">
        <v>1171</v>
      </c>
      <c r="O157" t="s">
        <v>1171</v>
      </c>
      <c r="P157" t="s">
        <v>1171</v>
      </c>
      <c r="Q157" t="s">
        <v>1171</v>
      </c>
      <c r="R157" t="s">
        <v>1171</v>
      </c>
      <c r="S157" s="70" t="str" cm="1">
        <f t="array" ref="S157">_xlfn.TEXTJOIN(",",TRUE,LEFT(TRIM(_xlfn.TEXTSPLIT(us_core_reqs[[#This Row],[reference]],",")),FIND(".html",TRIM(_xlfn.TEXTSPLIT(us_core_reqs[[#This Row],[reference]],",")))-1))</f>
        <v>scopes</v>
      </c>
      <c r="T157" s="70" t="str" cm="1">
        <f t="array" ref="T157">_xlfn.TEXTJOIN(",",TRUE,MID(TRIM(_xlfn.TEXTSPLIT(us_core_reqs[[#This Row],[reference]],",")),FIND("#",TRIM(_xlfn.TEXTSPLIT(us_core_reqs[[#This Row],[reference]],","))&amp;"#")+1,1000))</f>
        <v>scopes-for-requesting-fhir-resources-by-type</v>
      </c>
      <c r="U157" t="str" cm="1">
        <f t="array" ref="U157">_xlfn.TEXTJOIN(", ",TRUE,SUBSTITUTE(SUBSTITUTE(PROPER(SUBSTITUTE(TRIM(_xlfn.TEXTSPLIT(us_core_reqs[[#This Row],[Page]],","))," -"," "))&amp;": "&amp;PROPER(SUBSTITUTE(TRIM(_xlfn.TEXTSPLIT(us_core_reqs[[#This Row],[Section]],","))," -"," ")),"Us ","US        
  "),"Uscdi","USCDI"))</f>
        <v>Scopes: Scopes-For-Requesting-Fhir-Resources-By-Type</v>
      </c>
      <c r="V157" t="s">
        <v>35</v>
      </c>
      <c r="W157" t="s">
        <v>1171</v>
      </c>
      <c r="X157" t="s">
        <v>1171</v>
      </c>
      <c r="Y157" t="s">
        <v>1171</v>
      </c>
      <c r="Z157" t="s">
        <v>1171</v>
      </c>
      <c r="AA157" t="s">
        <v>1171</v>
      </c>
      <c r="AB157" t="s">
        <v>1171</v>
      </c>
      <c r="AC157" t="s">
        <v>700</v>
      </c>
      <c r="AD157" t="s">
        <v>1171</v>
      </c>
      <c r="AE157" t="s">
        <v>1171</v>
      </c>
    </row>
    <row r="158" spans="1:31" ht="120" thickBot="1" x14ac:dyDescent="0.25">
      <c r="A158" t="s">
        <v>1171</v>
      </c>
      <c r="B158" t="s">
        <v>1330</v>
      </c>
      <c r="C158" t="str">
        <f>"CONF-"&amp;TEXT(us_core_reqs[[#This Row],[ID*]], "0000")</f>
        <v>CONF-0157</v>
      </c>
      <c r="D158" s="11" t="s">
        <v>623</v>
      </c>
      <c r="E158" s="73" t="str" cm="1">
        <f t="array" ref="E158">_xlfn.TEXTJOIN(", ", TRUE, _xlfn.TEXTAFTER(_xlfn.TEXTSPLIT(us_core_reqs[[#This Row],[URL*]], ", "), "/", -1))</f>
        <v>scopes.html#scopes-for-requesting-fhir-resources-by-type</v>
      </c>
      <c r="F158" s="11" t="s">
        <v>698</v>
      </c>
      <c r="G158" t="s">
        <v>35</v>
      </c>
      <c r="H158" cm="1">
        <f t="array" ref="H158">_xlfn.SWITCH(G158, "SHALL", 1, "SHOULD", 3, "MAY", 5, "SHOULD-NOT", 4, "SHALL-NOT", 2, "DEPRECATED", 6, 99)</f>
        <v>5</v>
      </c>
      <c r="J158" t="s">
        <v>30</v>
      </c>
      <c r="K158" t="s">
        <v>1171</v>
      </c>
      <c r="L158" t="s">
        <v>1171</v>
      </c>
      <c r="M158" t="s">
        <v>1173</v>
      </c>
      <c r="N158" t="s">
        <v>1171</v>
      </c>
      <c r="O158" t="s">
        <v>1171</v>
      </c>
      <c r="P158" t="s">
        <v>1171</v>
      </c>
      <c r="Q158" t="s">
        <v>1171</v>
      </c>
      <c r="R158" t="s">
        <v>1171</v>
      </c>
      <c r="S158" s="70" t="str" cm="1">
        <f t="array" ref="S158">_xlfn.TEXTJOIN(",",TRUE,LEFT(TRIM(_xlfn.TEXTSPLIT(us_core_reqs[[#This Row],[reference]],",")),FIND(".html",TRIM(_xlfn.TEXTSPLIT(us_core_reqs[[#This Row],[reference]],",")))-1))</f>
        <v>scopes</v>
      </c>
      <c r="T158" s="70" t="str" cm="1">
        <f t="array" ref="T158">_xlfn.TEXTJOIN(",",TRUE,MID(TRIM(_xlfn.TEXTSPLIT(us_core_reqs[[#This Row],[reference]],",")),FIND("#",TRIM(_xlfn.TEXTSPLIT(us_core_reqs[[#This Row],[reference]],","))&amp;"#")+1,1000))</f>
        <v>scopes-for-requesting-fhir-resources-by-type</v>
      </c>
      <c r="U158" t="str" cm="1">
        <f t="array" ref="U158">_xlfn.TEXTJOIN(", ",TRUE,SUBSTITUTE(SUBSTITUTE(PROPER(SUBSTITUTE(TRIM(_xlfn.TEXTSPLIT(us_core_reqs[[#This Row],[Page]],","))," -"," "))&amp;": "&amp;PROPER(SUBSTITUTE(TRIM(_xlfn.TEXTSPLIT(us_core_reqs[[#This Row],[Section]],","))," -"," ")),"Us ","US        
  "),"Uscdi","USCDI"))</f>
        <v>Scopes: Scopes-For-Requesting-Fhir-Resources-By-Type</v>
      </c>
      <c r="V158" t="s">
        <v>35</v>
      </c>
      <c r="W158" t="s">
        <v>1171</v>
      </c>
      <c r="X158" t="s">
        <v>1171</v>
      </c>
      <c r="Y158" t="s">
        <v>1171</v>
      </c>
      <c r="Z158" t="s">
        <v>1171</v>
      </c>
      <c r="AA158" t="s">
        <v>1171</v>
      </c>
      <c r="AB158" t="s">
        <v>1171</v>
      </c>
      <c r="AC158" t="s">
        <v>700</v>
      </c>
      <c r="AD158" t="s">
        <v>1171</v>
      </c>
      <c r="AE158" t="s">
        <v>1171</v>
      </c>
    </row>
    <row r="159" spans="1:31" ht="137" thickBot="1" x14ac:dyDescent="0.25">
      <c r="A159" t="s">
        <v>1171</v>
      </c>
      <c r="B159" t="s">
        <v>1331</v>
      </c>
      <c r="C159" t="str">
        <f>"CONF-"&amp;TEXT(us_core_reqs[[#This Row],[ID*]], "0000")</f>
        <v>CONF-0158</v>
      </c>
      <c r="D159" s="11" t="s">
        <v>624</v>
      </c>
      <c r="E159" s="73" t="str" cm="1">
        <f t="array" ref="E159">_xlfn.TEXTJOIN(", ", TRUE, _xlfn.TEXTAFTER(_xlfn.TEXTSPLIT(us_core_reqs[[#This Row],[URL*]], ", "), "/", -1))</f>
        <v>scopes.html#granular-scopes-for-requesting-fhir-resources</v>
      </c>
      <c r="F159" s="11" t="s">
        <v>702</v>
      </c>
      <c r="G159" t="s">
        <v>29</v>
      </c>
      <c r="H159" cm="1">
        <f t="array" ref="H159">_xlfn.SWITCH(G159, "SHALL", 1, "SHOULD", 3, "MAY", 5, "SHOULD-NOT", 4, "SHALL-NOT", 2, "DEPRECATED", 6, 99)</f>
        <v>1</v>
      </c>
      <c r="J159" t="s">
        <v>30</v>
      </c>
      <c r="K159" t="s">
        <v>1171</v>
      </c>
      <c r="L159" t="s">
        <v>1171</v>
      </c>
      <c r="M159" t="s">
        <v>1173</v>
      </c>
      <c r="N159" t="s">
        <v>1171</v>
      </c>
      <c r="O159" t="s">
        <v>1171</v>
      </c>
      <c r="P159" t="s">
        <v>1171</v>
      </c>
      <c r="Q159" t="s">
        <v>1171</v>
      </c>
      <c r="R159" t="s">
        <v>1171</v>
      </c>
      <c r="S159" s="70" t="str" cm="1">
        <f t="array" ref="S159">_xlfn.TEXTJOIN(",",TRUE,LEFT(TRIM(_xlfn.TEXTSPLIT(us_core_reqs[[#This Row],[reference]],",")),FIND(".html",TRIM(_xlfn.TEXTSPLIT(us_core_reqs[[#This Row],[reference]],",")))-1))</f>
        <v>scopes</v>
      </c>
      <c r="T159" s="70" t="str" cm="1">
        <f t="array" ref="T159">_xlfn.TEXTJOIN(",",TRUE,MID(TRIM(_xlfn.TEXTSPLIT(us_core_reqs[[#This Row],[reference]],",")),FIND("#",TRIM(_xlfn.TEXTSPLIT(us_core_reqs[[#This Row],[reference]],","))&amp;"#")+1,1000))</f>
        <v>granular-scopes-for-requesting-fhir-resources</v>
      </c>
      <c r="U159" t="str" cm="1">
        <f t="array" ref="U159">_xlfn.TEXTJOIN(", ",TRUE,SUBSTITUTE(SUBSTITUTE(PROPER(SUBSTITUTE(TRIM(_xlfn.TEXTSPLIT(us_core_reqs[[#This Row],[Page]],","))," -"," "))&amp;": "&amp;PROPER(SUBSTITUTE(TRIM(_xlfn.TEXTSPLIT(us_core_reqs[[#This Row],[Section]],","))," -"," ")),"Us ","US        
  "),"Uscdi","USCDI"))</f>
        <v>Scopes: Granular-Scopes-For-Requesting-Fhir-Resources</v>
      </c>
      <c r="V159" t="s">
        <v>29</v>
      </c>
      <c r="W159" t="s">
        <v>1171</v>
      </c>
      <c r="X159" t="s">
        <v>1171</v>
      </c>
      <c r="Y159" t="s">
        <v>1171</v>
      </c>
      <c r="Z159" t="s">
        <v>1171</v>
      </c>
      <c r="AA159" t="s">
        <v>1171</v>
      </c>
      <c r="AB159" t="s">
        <v>1171</v>
      </c>
      <c r="AC159" t="s">
        <v>701</v>
      </c>
      <c r="AD159" t="s">
        <v>1140</v>
      </c>
      <c r="AE159" t="s">
        <v>1171</v>
      </c>
    </row>
    <row r="160" spans="1:31" ht="137" thickBot="1" x14ac:dyDescent="0.25">
      <c r="A160" t="s">
        <v>1171</v>
      </c>
      <c r="B160" t="s">
        <v>1332</v>
      </c>
      <c r="C160" t="str">
        <f>"CONF-"&amp;TEXT(us_core_reqs[[#This Row],[ID*]], "0000")</f>
        <v>CONF-0159</v>
      </c>
      <c r="D160" s="11" t="s">
        <v>624</v>
      </c>
      <c r="E160" s="73" t="str" cm="1">
        <f t="array" ref="E160">_xlfn.TEXTJOIN(", ", TRUE, _xlfn.TEXTAFTER(_xlfn.TEXTSPLIT(us_core_reqs[[#This Row],[URL*]], ", "), "/", -1))</f>
        <v>scopes.html#granular-scopes-for-requesting-fhir-resources</v>
      </c>
      <c r="F160" s="11" t="s">
        <v>703</v>
      </c>
      <c r="G160" t="s">
        <v>29</v>
      </c>
      <c r="H160" cm="1">
        <f t="array" ref="H160">_xlfn.SWITCH(G160, "SHALL", 1, "SHOULD", 3, "MAY", 5, "SHOULD-NOT", 4, "SHALL-NOT", 2, "DEPRECATED", 6, 99)</f>
        <v>1</v>
      </c>
      <c r="J160" t="s">
        <v>30</v>
      </c>
      <c r="K160" t="s">
        <v>1171</v>
      </c>
      <c r="L160" t="s">
        <v>1171</v>
      </c>
      <c r="M160" t="s">
        <v>1173</v>
      </c>
      <c r="N160" t="s">
        <v>1171</v>
      </c>
      <c r="O160" t="s">
        <v>1171</v>
      </c>
      <c r="P160" t="s">
        <v>1171</v>
      </c>
      <c r="Q160" t="s">
        <v>1171</v>
      </c>
      <c r="R160" t="s">
        <v>1171</v>
      </c>
      <c r="S160" s="70" t="str" cm="1">
        <f t="array" ref="S160">_xlfn.TEXTJOIN(",",TRUE,LEFT(TRIM(_xlfn.TEXTSPLIT(us_core_reqs[[#This Row],[reference]],",")),FIND(".html",TRIM(_xlfn.TEXTSPLIT(us_core_reqs[[#This Row],[reference]],",")))-1))</f>
        <v>scopes</v>
      </c>
      <c r="T160" s="70" t="str" cm="1">
        <f t="array" ref="T160">_xlfn.TEXTJOIN(",",TRUE,MID(TRIM(_xlfn.TEXTSPLIT(us_core_reqs[[#This Row],[reference]],",")),FIND("#",TRIM(_xlfn.TEXTSPLIT(us_core_reqs[[#This Row],[reference]],","))&amp;"#")+1,1000))</f>
        <v>granular-scopes-for-requesting-fhir-resources</v>
      </c>
      <c r="U160" t="str" cm="1">
        <f t="array" ref="U160">_xlfn.TEXTJOIN(", ",TRUE,SUBSTITUTE(SUBSTITUTE(PROPER(SUBSTITUTE(TRIM(_xlfn.TEXTSPLIT(us_core_reqs[[#This Row],[Page]],","))," -"," "))&amp;": "&amp;PROPER(SUBSTITUTE(TRIM(_xlfn.TEXTSPLIT(us_core_reqs[[#This Row],[Section]],","))," -"," ")),"Us ","US        
  "),"Uscdi","USCDI"))</f>
        <v>Scopes: Granular-Scopes-For-Requesting-Fhir-Resources</v>
      </c>
      <c r="V160" t="s">
        <v>29</v>
      </c>
      <c r="W160" t="s">
        <v>1171</v>
      </c>
      <c r="X160" t="s">
        <v>1171</v>
      </c>
      <c r="Y160" t="s">
        <v>1171</v>
      </c>
      <c r="Z160" t="s">
        <v>1171</v>
      </c>
      <c r="AA160" t="s">
        <v>1171</v>
      </c>
      <c r="AB160" t="s">
        <v>1171</v>
      </c>
      <c r="AC160" t="s">
        <v>701</v>
      </c>
      <c r="AD160" t="s">
        <v>1140</v>
      </c>
      <c r="AE160" t="s">
        <v>1171</v>
      </c>
    </row>
    <row r="161" spans="1:31" ht="137" thickBot="1" x14ac:dyDescent="0.25">
      <c r="A161" t="s">
        <v>1171</v>
      </c>
      <c r="B161" t="s">
        <v>1333</v>
      </c>
      <c r="C161" t="str">
        <f>"CONF-"&amp;TEXT(us_core_reqs[[#This Row],[ID*]], "0000")</f>
        <v>CONF-0160</v>
      </c>
      <c r="D161" s="11" t="s">
        <v>624</v>
      </c>
      <c r="E161" s="73" t="str" cm="1">
        <f t="array" ref="E161">_xlfn.TEXTJOIN(", ", TRUE, _xlfn.TEXTAFTER(_xlfn.TEXTSPLIT(us_core_reqs[[#This Row],[URL*]], ", "), "/", -1))</f>
        <v>scopes.html#granular-scopes-for-requesting-fhir-resources</v>
      </c>
      <c r="F161" s="11" t="s">
        <v>704</v>
      </c>
      <c r="G161" t="s">
        <v>29</v>
      </c>
      <c r="H161" cm="1">
        <f t="array" ref="H161">_xlfn.SWITCH(G161, "SHALL", 1, "SHOULD", 3, "MAY", 5, "SHOULD-NOT", 4, "SHALL-NOT", 2, "DEPRECATED", 6, 99)</f>
        <v>1</v>
      </c>
      <c r="J161" t="s">
        <v>30</v>
      </c>
      <c r="K161" t="s">
        <v>1171</v>
      </c>
      <c r="L161" t="s">
        <v>1171</v>
      </c>
      <c r="M161" t="s">
        <v>1173</v>
      </c>
      <c r="N161" t="s">
        <v>1171</v>
      </c>
      <c r="O161" t="s">
        <v>1171</v>
      </c>
      <c r="P161" t="s">
        <v>1171</v>
      </c>
      <c r="Q161" t="s">
        <v>1171</v>
      </c>
      <c r="R161" t="s">
        <v>1171</v>
      </c>
      <c r="S161" s="70" t="str" cm="1">
        <f t="array" ref="S161">_xlfn.TEXTJOIN(",",TRUE,LEFT(TRIM(_xlfn.TEXTSPLIT(us_core_reqs[[#This Row],[reference]],",")),FIND(".html",TRIM(_xlfn.TEXTSPLIT(us_core_reqs[[#This Row],[reference]],",")))-1))</f>
        <v>scopes</v>
      </c>
      <c r="T161" s="70" t="str" cm="1">
        <f t="array" ref="T161">_xlfn.TEXTJOIN(",",TRUE,MID(TRIM(_xlfn.TEXTSPLIT(us_core_reqs[[#This Row],[reference]],",")),FIND("#",TRIM(_xlfn.TEXTSPLIT(us_core_reqs[[#This Row],[reference]],","))&amp;"#")+1,1000))</f>
        <v>granular-scopes-for-requesting-fhir-resources</v>
      </c>
      <c r="U161" t="str" cm="1">
        <f t="array" ref="U161">_xlfn.TEXTJOIN(", ",TRUE,SUBSTITUTE(SUBSTITUTE(PROPER(SUBSTITUTE(TRIM(_xlfn.TEXTSPLIT(us_core_reqs[[#This Row],[Page]],","))," -"," "))&amp;": "&amp;PROPER(SUBSTITUTE(TRIM(_xlfn.TEXTSPLIT(us_core_reqs[[#This Row],[Section]],","))," -"," ")),"Us ","US        
  "),"Uscdi","USCDI"))</f>
        <v>Scopes: Granular-Scopes-For-Requesting-Fhir-Resources</v>
      </c>
      <c r="V161" t="s">
        <v>29</v>
      </c>
      <c r="W161" t="s">
        <v>1171</v>
      </c>
      <c r="X161" t="s">
        <v>1171</v>
      </c>
      <c r="Y161" t="s">
        <v>1171</v>
      </c>
      <c r="Z161" t="s">
        <v>1171</v>
      </c>
      <c r="AA161" t="s">
        <v>1171</v>
      </c>
      <c r="AB161" t="s">
        <v>1171</v>
      </c>
      <c r="AC161" t="s">
        <v>701</v>
      </c>
      <c r="AD161" t="s">
        <v>1140</v>
      </c>
      <c r="AE161" t="s">
        <v>1171</v>
      </c>
    </row>
    <row r="162" spans="1:31" ht="137" thickBot="1" x14ac:dyDescent="0.25">
      <c r="A162" t="s">
        <v>1171</v>
      </c>
      <c r="B162" t="s">
        <v>1334</v>
      </c>
      <c r="C162" t="str">
        <f>"CONF-"&amp;TEXT(us_core_reqs[[#This Row],[ID*]], "0000")</f>
        <v>CONF-0161</v>
      </c>
      <c r="D162" s="11" t="s">
        <v>624</v>
      </c>
      <c r="E162" s="73" t="str" cm="1">
        <f t="array" ref="E162">_xlfn.TEXTJOIN(", ", TRUE, _xlfn.TEXTAFTER(_xlfn.TEXTSPLIT(us_core_reqs[[#This Row],[URL*]], ", "), "/", -1))</f>
        <v>scopes.html#granular-scopes-for-requesting-fhir-resources</v>
      </c>
      <c r="F162" s="11" t="s">
        <v>705</v>
      </c>
      <c r="G162" t="s">
        <v>29</v>
      </c>
      <c r="H162" cm="1">
        <f t="array" ref="H162">_xlfn.SWITCH(G162, "SHALL", 1, "SHOULD", 3, "MAY", 5, "SHOULD-NOT", 4, "SHALL-NOT", 2, "DEPRECATED", 6, 99)</f>
        <v>1</v>
      </c>
      <c r="J162" t="s">
        <v>30</v>
      </c>
      <c r="K162" t="s">
        <v>1171</v>
      </c>
      <c r="L162" t="s">
        <v>1171</v>
      </c>
      <c r="M162" t="s">
        <v>1173</v>
      </c>
      <c r="N162" t="s">
        <v>1171</v>
      </c>
      <c r="O162" t="s">
        <v>1171</v>
      </c>
      <c r="P162" t="s">
        <v>1171</v>
      </c>
      <c r="Q162" t="s">
        <v>1171</v>
      </c>
      <c r="R162" t="s">
        <v>1171</v>
      </c>
      <c r="S162" s="70" t="str" cm="1">
        <f t="array" ref="S162">_xlfn.TEXTJOIN(",",TRUE,LEFT(TRIM(_xlfn.TEXTSPLIT(us_core_reqs[[#This Row],[reference]],",")),FIND(".html",TRIM(_xlfn.TEXTSPLIT(us_core_reqs[[#This Row],[reference]],",")))-1))</f>
        <v>scopes</v>
      </c>
      <c r="T162" s="70" t="str" cm="1">
        <f t="array" ref="T162">_xlfn.TEXTJOIN(",",TRUE,MID(TRIM(_xlfn.TEXTSPLIT(us_core_reqs[[#This Row],[reference]],",")),FIND("#",TRIM(_xlfn.TEXTSPLIT(us_core_reqs[[#This Row],[reference]],","))&amp;"#")+1,1000))</f>
        <v>granular-scopes-for-requesting-fhir-resources</v>
      </c>
      <c r="U162" t="str" cm="1">
        <f t="array" ref="U162">_xlfn.TEXTJOIN(", ",TRUE,SUBSTITUTE(SUBSTITUTE(PROPER(SUBSTITUTE(TRIM(_xlfn.TEXTSPLIT(us_core_reqs[[#This Row],[Page]],","))," -"," "))&amp;": "&amp;PROPER(SUBSTITUTE(TRIM(_xlfn.TEXTSPLIT(us_core_reqs[[#This Row],[Section]],","))," -"," ")),"Us ","US        
  "),"Uscdi","USCDI"))</f>
        <v>Scopes: Granular-Scopes-For-Requesting-Fhir-Resources</v>
      </c>
      <c r="V162" t="s">
        <v>29</v>
      </c>
      <c r="W162" t="s">
        <v>1171</v>
      </c>
      <c r="X162" t="s">
        <v>1171</v>
      </c>
      <c r="Y162" t="s">
        <v>1171</v>
      </c>
      <c r="Z162" t="s">
        <v>1171</v>
      </c>
      <c r="AA162" t="s">
        <v>1171</v>
      </c>
      <c r="AB162" t="s">
        <v>1171</v>
      </c>
      <c r="AC162" t="s">
        <v>701</v>
      </c>
      <c r="AD162" t="s">
        <v>1140</v>
      </c>
      <c r="AE162" t="s">
        <v>1171</v>
      </c>
    </row>
    <row r="163" spans="1:31" ht="137" thickBot="1" x14ac:dyDescent="0.25">
      <c r="A163" t="s">
        <v>1171</v>
      </c>
      <c r="B163" t="s">
        <v>1335</v>
      </c>
      <c r="C163" t="str">
        <f>"CONF-"&amp;TEXT(us_core_reqs[[#This Row],[ID*]], "0000")</f>
        <v>CONF-0162</v>
      </c>
      <c r="D163" s="11" t="s">
        <v>624</v>
      </c>
      <c r="E163" s="73" t="str" cm="1">
        <f t="array" ref="E163">_xlfn.TEXTJOIN(", ", TRUE, _xlfn.TEXTAFTER(_xlfn.TEXTSPLIT(us_core_reqs[[#This Row],[URL*]], ", "), "/", -1))</f>
        <v>scopes.html#granular-scopes-for-requesting-fhir-resources</v>
      </c>
      <c r="F163" s="11" t="s">
        <v>706</v>
      </c>
      <c r="G163" t="s">
        <v>29</v>
      </c>
      <c r="H163" cm="1">
        <f t="array" ref="H163">_xlfn.SWITCH(G163, "SHALL", 1, "SHOULD", 3, "MAY", 5, "SHOULD-NOT", 4, "SHALL-NOT", 2, "DEPRECATED", 6, 99)</f>
        <v>1</v>
      </c>
      <c r="J163" t="s">
        <v>30</v>
      </c>
      <c r="K163" t="s">
        <v>1171</v>
      </c>
      <c r="L163" t="s">
        <v>1171</v>
      </c>
      <c r="M163" t="s">
        <v>1173</v>
      </c>
      <c r="N163" t="s">
        <v>1171</v>
      </c>
      <c r="O163" t="s">
        <v>1171</v>
      </c>
      <c r="P163" t="s">
        <v>1171</v>
      </c>
      <c r="Q163" t="s">
        <v>1171</v>
      </c>
      <c r="R163" t="s">
        <v>1171</v>
      </c>
      <c r="S163" s="70" t="str" cm="1">
        <f t="array" ref="S163">_xlfn.TEXTJOIN(",",TRUE,LEFT(TRIM(_xlfn.TEXTSPLIT(us_core_reqs[[#This Row],[reference]],",")),FIND(".html",TRIM(_xlfn.TEXTSPLIT(us_core_reqs[[#This Row],[reference]],",")))-1))</f>
        <v>scopes</v>
      </c>
      <c r="T163" s="70" t="str" cm="1">
        <f t="array" ref="T163">_xlfn.TEXTJOIN(",",TRUE,MID(TRIM(_xlfn.TEXTSPLIT(us_core_reqs[[#This Row],[reference]],",")),FIND("#",TRIM(_xlfn.TEXTSPLIT(us_core_reqs[[#This Row],[reference]],","))&amp;"#")+1,1000))</f>
        <v>granular-scopes-for-requesting-fhir-resources</v>
      </c>
      <c r="U163" t="str" cm="1">
        <f t="array" ref="U163">_xlfn.TEXTJOIN(", ",TRUE,SUBSTITUTE(SUBSTITUTE(PROPER(SUBSTITUTE(TRIM(_xlfn.TEXTSPLIT(us_core_reqs[[#This Row],[Page]],","))," -"," "))&amp;": "&amp;PROPER(SUBSTITUTE(TRIM(_xlfn.TEXTSPLIT(us_core_reqs[[#This Row],[Section]],","))," -"," ")),"Us ","US        
  "),"Uscdi","USCDI"))</f>
        <v>Scopes: Granular-Scopes-For-Requesting-Fhir-Resources</v>
      </c>
      <c r="V163" t="s">
        <v>29</v>
      </c>
      <c r="W163" t="s">
        <v>1171</v>
      </c>
      <c r="X163" t="s">
        <v>1171</v>
      </c>
      <c r="Y163" t="s">
        <v>1171</v>
      </c>
      <c r="Z163" t="s">
        <v>1171</v>
      </c>
      <c r="AA163" t="s">
        <v>1171</v>
      </c>
      <c r="AB163" t="s">
        <v>1171</v>
      </c>
      <c r="AC163" t="s">
        <v>701</v>
      </c>
      <c r="AD163" t="s">
        <v>1140</v>
      </c>
      <c r="AE163" t="s">
        <v>1171</v>
      </c>
    </row>
    <row r="164" spans="1:31" ht="137" thickBot="1" x14ac:dyDescent="0.25">
      <c r="A164" t="s">
        <v>1171</v>
      </c>
      <c r="B164" t="s">
        <v>1336</v>
      </c>
      <c r="C164" t="str">
        <f>"CONF-"&amp;TEXT(us_core_reqs[[#This Row],[ID*]], "0000")</f>
        <v>CONF-0163</v>
      </c>
      <c r="D164" s="11" t="s">
        <v>624</v>
      </c>
      <c r="E164" s="73" t="str" cm="1">
        <f t="array" ref="E164">_xlfn.TEXTJOIN(", ", TRUE, _xlfn.TEXTAFTER(_xlfn.TEXTSPLIT(us_core_reqs[[#This Row],[URL*]], ", "), "/", -1))</f>
        <v>scopes.html#granular-scopes-for-requesting-fhir-resources</v>
      </c>
      <c r="F164" s="11" t="s">
        <v>707</v>
      </c>
      <c r="G164" t="s">
        <v>29</v>
      </c>
      <c r="H164" cm="1">
        <f t="array" ref="H164">_xlfn.SWITCH(G164, "SHALL", 1, "SHOULD", 3, "MAY", 5, "SHOULD-NOT", 4, "SHALL-NOT", 2, "DEPRECATED", 6, 99)</f>
        <v>1</v>
      </c>
      <c r="J164" t="s">
        <v>30</v>
      </c>
      <c r="K164" t="s">
        <v>1171</v>
      </c>
      <c r="L164" t="s">
        <v>1171</v>
      </c>
      <c r="M164" t="s">
        <v>1173</v>
      </c>
      <c r="N164" t="s">
        <v>1171</v>
      </c>
      <c r="O164" t="s">
        <v>1171</v>
      </c>
      <c r="P164" t="s">
        <v>1171</v>
      </c>
      <c r="Q164" t="s">
        <v>1171</v>
      </c>
      <c r="R164" t="s">
        <v>1171</v>
      </c>
      <c r="S164" s="70" t="str" cm="1">
        <f t="array" ref="S164">_xlfn.TEXTJOIN(",",TRUE,LEFT(TRIM(_xlfn.TEXTSPLIT(us_core_reqs[[#This Row],[reference]],",")),FIND(".html",TRIM(_xlfn.TEXTSPLIT(us_core_reqs[[#This Row],[reference]],",")))-1))</f>
        <v>scopes</v>
      </c>
      <c r="T164" s="70" t="str" cm="1">
        <f t="array" ref="T164">_xlfn.TEXTJOIN(",",TRUE,MID(TRIM(_xlfn.TEXTSPLIT(us_core_reqs[[#This Row],[reference]],",")),FIND("#",TRIM(_xlfn.TEXTSPLIT(us_core_reqs[[#This Row],[reference]],","))&amp;"#")+1,1000))</f>
        <v>granular-scopes-for-requesting-fhir-resources</v>
      </c>
      <c r="U164" t="str" cm="1">
        <f t="array" ref="U164">_xlfn.TEXTJOIN(", ",TRUE,SUBSTITUTE(SUBSTITUTE(PROPER(SUBSTITUTE(TRIM(_xlfn.TEXTSPLIT(us_core_reqs[[#This Row],[Page]],","))," -"," "))&amp;": "&amp;PROPER(SUBSTITUTE(TRIM(_xlfn.TEXTSPLIT(us_core_reqs[[#This Row],[Section]],","))," -"," ")),"Us ","US        
  "),"Uscdi","USCDI"))</f>
        <v>Scopes: Granular-Scopes-For-Requesting-Fhir-Resources</v>
      </c>
      <c r="V164" t="s">
        <v>29</v>
      </c>
      <c r="W164" t="s">
        <v>1171</v>
      </c>
      <c r="X164" t="s">
        <v>1171</v>
      </c>
      <c r="Y164" t="s">
        <v>1171</v>
      </c>
      <c r="Z164" t="s">
        <v>1171</v>
      </c>
      <c r="AA164" t="s">
        <v>1171</v>
      </c>
      <c r="AB164" t="s">
        <v>1171</v>
      </c>
      <c r="AC164" t="s">
        <v>701</v>
      </c>
      <c r="AD164" t="s">
        <v>1140</v>
      </c>
      <c r="AE164" t="s">
        <v>1171</v>
      </c>
    </row>
    <row r="165" spans="1:31" ht="137" thickBot="1" x14ac:dyDescent="0.25">
      <c r="A165" t="s">
        <v>1171</v>
      </c>
      <c r="B165" t="s">
        <v>1337</v>
      </c>
      <c r="C165" t="str">
        <f>"CONF-"&amp;TEXT(us_core_reqs[[#This Row],[ID*]], "0000")</f>
        <v>CONF-0164</v>
      </c>
      <c r="D165" s="11" t="s">
        <v>624</v>
      </c>
      <c r="E165" s="73" t="str" cm="1">
        <f t="array" ref="E165">_xlfn.TEXTJOIN(", ", TRUE, _xlfn.TEXTAFTER(_xlfn.TEXTSPLIT(us_core_reqs[[#This Row],[URL*]], ", "), "/", -1))</f>
        <v>scopes.html#granular-scopes-for-requesting-fhir-resources</v>
      </c>
      <c r="F165" s="11" t="s">
        <v>708</v>
      </c>
      <c r="G165" t="s">
        <v>29</v>
      </c>
      <c r="H165" cm="1">
        <f t="array" ref="H165">_xlfn.SWITCH(G165, "SHALL", 1, "SHOULD", 3, "MAY", 5, "SHOULD-NOT", 4, "SHALL-NOT", 2, "DEPRECATED", 6, 99)</f>
        <v>1</v>
      </c>
      <c r="J165" t="s">
        <v>30</v>
      </c>
      <c r="K165" t="s">
        <v>1171</v>
      </c>
      <c r="L165" t="s">
        <v>1171</v>
      </c>
      <c r="M165" t="s">
        <v>1173</v>
      </c>
      <c r="N165" t="s">
        <v>1171</v>
      </c>
      <c r="O165" t="s">
        <v>1171</v>
      </c>
      <c r="P165" t="s">
        <v>1171</v>
      </c>
      <c r="Q165" t="s">
        <v>1171</v>
      </c>
      <c r="R165" t="s">
        <v>1171</v>
      </c>
      <c r="S165" s="70" t="str" cm="1">
        <f t="array" ref="S165">_xlfn.TEXTJOIN(",",TRUE,LEFT(TRIM(_xlfn.TEXTSPLIT(us_core_reqs[[#This Row],[reference]],",")),FIND(".html",TRIM(_xlfn.TEXTSPLIT(us_core_reqs[[#This Row],[reference]],",")))-1))</f>
        <v>scopes</v>
      </c>
      <c r="T165" s="70" t="str" cm="1">
        <f t="array" ref="T165">_xlfn.TEXTJOIN(",",TRUE,MID(TRIM(_xlfn.TEXTSPLIT(us_core_reqs[[#This Row],[reference]],",")),FIND("#",TRIM(_xlfn.TEXTSPLIT(us_core_reqs[[#This Row],[reference]],","))&amp;"#")+1,1000))</f>
        <v>granular-scopes-for-requesting-fhir-resources</v>
      </c>
      <c r="U165" t="str" cm="1">
        <f t="array" ref="U165">_xlfn.TEXTJOIN(", ",TRUE,SUBSTITUTE(SUBSTITUTE(PROPER(SUBSTITUTE(TRIM(_xlfn.TEXTSPLIT(us_core_reqs[[#This Row],[Page]],","))," -"," "))&amp;": "&amp;PROPER(SUBSTITUTE(TRIM(_xlfn.TEXTSPLIT(us_core_reqs[[#This Row],[Section]],","))," -"," ")),"Us ","US        
  "),"Uscdi","USCDI"))</f>
        <v>Scopes: Granular-Scopes-For-Requesting-Fhir-Resources</v>
      </c>
      <c r="V165" t="s">
        <v>29</v>
      </c>
      <c r="W165" t="s">
        <v>1171</v>
      </c>
      <c r="X165" t="s">
        <v>1171</v>
      </c>
      <c r="Y165" t="s">
        <v>1171</v>
      </c>
      <c r="Z165" t="s">
        <v>1171</v>
      </c>
      <c r="AA165" t="s">
        <v>1171</v>
      </c>
      <c r="AB165" t="s">
        <v>1171</v>
      </c>
      <c r="AC165" t="s">
        <v>701</v>
      </c>
      <c r="AD165" t="s">
        <v>1140</v>
      </c>
      <c r="AE165" t="s">
        <v>1171</v>
      </c>
    </row>
    <row r="166" spans="1:31" ht="137" thickBot="1" x14ac:dyDescent="0.25">
      <c r="A166" t="s">
        <v>1171</v>
      </c>
      <c r="B166" t="s">
        <v>1338</v>
      </c>
      <c r="C166" t="str">
        <f>"CONF-"&amp;TEXT(us_core_reqs[[#This Row],[ID*]], "0000")</f>
        <v>CONF-0165</v>
      </c>
      <c r="D166" s="11" t="s">
        <v>624</v>
      </c>
      <c r="E166" s="73" t="str" cm="1">
        <f t="array" ref="E166">_xlfn.TEXTJOIN(", ", TRUE, _xlfn.TEXTAFTER(_xlfn.TEXTSPLIT(us_core_reqs[[#This Row],[URL*]], ", "), "/", -1))</f>
        <v>scopes.html#granular-scopes-for-requesting-fhir-resources</v>
      </c>
      <c r="F166" s="11" t="s">
        <v>709</v>
      </c>
      <c r="G166" t="s">
        <v>29</v>
      </c>
      <c r="H166" cm="1">
        <f t="array" ref="H166">_xlfn.SWITCH(G166, "SHALL", 1, "SHOULD", 3, "MAY", 5, "SHOULD-NOT", 4, "SHALL-NOT", 2, "DEPRECATED", 6, 99)</f>
        <v>1</v>
      </c>
      <c r="J166" t="s">
        <v>30</v>
      </c>
      <c r="K166" t="s">
        <v>1171</v>
      </c>
      <c r="L166" t="s">
        <v>1171</v>
      </c>
      <c r="M166" t="s">
        <v>1173</v>
      </c>
      <c r="N166" t="s">
        <v>1171</v>
      </c>
      <c r="O166" t="s">
        <v>1171</v>
      </c>
      <c r="P166" t="s">
        <v>1171</v>
      </c>
      <c r="Q166" t="s">
        <v>1171</v>
      </c>
      <c r="R166" t="s">
        <v>1171</v>
      </c>
      <c r="S166" s="70" t="str" cm="1">
        <f t="array" ref="S166">_xlfn.TEXTJOIN(",",TRUE,LEFT(TRIM(_xlfn.TEXTSPLIT(us_core_reqs[[#This Row],[reference]],",")),FIND(".html",TRIM(_xlfn.TEXTSPLIT(us_core_reqs[[#This Row],[reference]],",")))-1))</f>
        <v>scopes</v>
      </c>
      <c r="T166" s="70" t="str" cm="1">
        <f t="array" ref="T166">_xlfn.TEXTJOIN(",",TRUE,MID(TRIM(_xlfn.TEXTSPLIT(us_core_reqs[[#This Row],[reference]],",")),FIND("#",TRIM(_xlfn.TEXTSPLIT(us_core_reqs[[#This Row],[reference]],","))&amp;"#")+1,1000))</f>
        <v>granular-scopes-for-requesting-fhir-resources</v>
      </c>
      <c r="U166" t="str" cm="1">
        <f t="array" ref="U166">_xlfn.TEXTJOIN(", ",TRUE,SUBSTITUTE(SUBSTITUTE(PROPER(SUBSTITUTE(TRIM(_xlfn.TEXTSPLIT(us_core_reqs[[#This Row],[Page]],","))," -"," "))&amp;": "&amp;PROPER(SUBSTITUTE(TRIM(_xlfn.TEXTSPLIT(us_core_reqs[[#This Row],[Section]],","))," -"," ")),"Us ","US        
  "),"Uscdi","USCDI"))</f>
        <v>Scopes: Granular-Scopes-For-Requesting-Fhir-Resources</v>
      </c>
      <c r="V166" t="s">
        <v>29</v>
      </c>
      <c r="W166" t="s">
        <v>1171</v>
      </c>
      <c r="X166" t="s">
        <v>1171</v>
      </c>
      <c r="Y166" t="s">
        <v>1171</v>
      </c>
      <c r="Z166" t="s">
        <v>1171</v>
      </c>
      <c r="AA166" t="s">
        <v>1171</v>
      </c>
      <c r="AB166" t="s">
        <v>1171</v>
      </c>
      <c r="AC166" t="s">
        <v>701</v>
      </c>
      <c r="AD166" t="s">
        <v>1140</v>
      </c>
      <c r="AE166" t="s">
        <v>1171</v>
      </c>
    </row>
    <row r="167" spans="1:31" ht="154" thickBot="1" x14ac:dyDescent="0.25">
      <c r="A167" t="s">
        <v>1171</v>
      </c>
      <c r="B167" t="s">
        <v>1339</v>
      </c>
      <c r="C167" t="str">
        <f>"CONF-"&amp;TEXT(us_core_reqs[[#This Row],[ID*]], "0000")</f>
        <v>CONF-0166</v>
      </c>
      <c r="D167" s="11" t="s">
        <v>624</v>
      </c>
      <c r="E167" s="73" t="str" cm="1">
        <f t="array" ref="E167">_xlfn.TEXTJOIN(", ", TRUE, _xlfn.TEXTAFTER(_xlfn.TEXTSPLIT(us_core_reqs[[#This Row],[URL*]], ", "), "/", -1))</f>
        <v>scopes.html#granular-scopes-for-requesting-fhir-resources</v>
      </c>
      <c r="F167" s="11" t="s">
        <v>710</v>
      </c>
      <c r="G167" t="s">
        <v>32</v>
      </c>
      <c r="H167" cm="1">
        <f t="array" ref="H167">_xlfn.SWITCH(G167, "SHALL", 1, "SHOULD", 3, "MAY", 5, "SHOULD-NOT", 4, "SHALL-NOT", 2, "DEPRECATED", 6, 99)</f>
        <v>3</v>
      </c>
      <c r="J167" t="s">
        <v>30</v>
      </c>
      <c r="K167" t="s">
        <v>1171</v>
      </c>
      <c r="L167" t="s">
        <v>1171</v>
      </c>
      <c r="M167" t="s">
        <v>1173</v>
      </c>
      <c r="N167" t="s">
        <v>1171</v>
      </c>
      <c r="O167" t="s">
        <v>1171</v>
      </c>
      <c r="P167" t="s">
        <v>1171</v>
      </c>
      <c r="Q167" t="s">
        <v>1171</v>
      </c>
      <c r="R167" t="s">
        <v>1171</v>
      </c>
      <c r="S167" s="70" t="str" cm="1">
        <f t="array" ref="S167">_xlfn.TEXTJOIN(",",TRUE,LEFT(TRIM(_xlfn.TEXTSPLIT(us_core_reqs[[#This Row],[reference]],",")),FIND(".html",TRIM(_xlfn.TEXTSPLIT(us_core_reqs[[#This Row],[reference]],",")))-1))</f>
        <v>scopes</v>
      </c>
      <c r="T167" s="70" t="str" cm="1">
        <f t="array" ref="T167">_xlfn.TEXTJOIN(",",TRUE,MID(TRIM(_xlfn.TEXTSPLIT(us_core_reqs[[#This Row],[reference]],",")),FIND("#",TRIM(_xlfn.TEXTSPLIT(us_core_reqs[[#This Row],[reference]],","))&amp;"#")+1,1000))</f>
        <v>granular-scopes-for-requesting-fhir-resources</v>
      </c>
      <c r="U167" t="str" cm="1">
        <f t="array" ref="U167">_xlfn.TEXTJOIN(", ",TRUE,SUBSTITUTE(SUBSTITUTE(PROPER(SUBSTITUTE(TRIM(_xlfn.TEXTSPLIT(us_core_reqs[[#This Row],[Page]],","))," -"," "))&amp;": "&amp;PROPER(SUBSTITUTE(TRIM(_xlfn.TEXTSPLIT(us_core_reqs[[#This Row],[Section]],","))," -"," ")),"Us ","US        
  "),"Uscdi","USCDI"))</f>
        <v>Scopes: Granular-Scopes-For-Requesting-Fhir-Resources</v>
      </c>
      <c r="V167" t="s">
        <v>32</v>
      </c>
      <c r="W167" t="s">
        <v>1171</v>
      </c>
      <c r="X167" t="s">
        <v>191</v>
      </c>
      <c r="Y167" t="s">
        <v>1171</v>
      </c>
      <c r="Z167" t="s">
        <v>1171</v>
      </c>
      <c r="AA167" t="s">
        <v>1171</v>
      </c>
      <c r="AB167" t="s">
        <v>1171</v>
      </c>
      <c r="AC167" t="s">
        <v>701</v>
      </c>
      <c r="AD167" t="s">
        <v>1171</v>
      </c>
      <c r="AE167" t="s">
        <v>1171</v>
      </c>
    </row>
    <row r="168" spans="1:31" ht="86" thickBot="1" x14ac:dyDescent="0.25">
      <c r="A168" t="s">
        <v>1171</v>
      </c>
      <c r="B168" t="s">
        <v>1340</v>
      </c>
      <c r="C168" t="str">
        <f>"CONF-"&amp;TEXT(us_core_reqs[[#This Row],[ID*]], "0000")</f>
        <v>CONF-0167</v>
      </c>
      <c r="D168" s="11" t="s">
        <v>986</v>
      </c>
      <c r="E168" s="73" t="str" cm="1">
        <f t="array" ref="E168">_xlfn.TEXTJOIN(", ", TRUE, _xlfn.TEXTAFTER(_xlfn.TEXTSPLIT(us_core_reqs[[#This Row],[URL*]], ", "), "/", -1))</f>
        <v>scopes.html#Servers-shall-support-the-following-metadata-in-their-well-knownsmart-configuration</v>
      </c>
      <c r="F168" s="11" t="s">
        <v>2201</v>
      </c>
      <c r="G168" t="s">
        <v>29</v>
      </c>
      <c r="H168" cm="1">
        <f t="array" ref="H168">_xlfn.SWITCH(G168, "SHALL", 1, "SHOULD", 3, "MAY", 5, "SHOULD-NOT", 4, "SHALL-NOT", 2, "DEPRECATED", 6, 99)</f>
        <v>1</v>
      </c>
      <c r="J168" t="s">
        <v>30</v>
      </c>
      <c r="K168" t="s">
        <v>1171</v>
      </c>
      <c r="L168" t="s">
        <v>192</v>
      </c>
      <c r="M168" t="s">
        <v>1173</v>
      </c>
      <c r="N168" t="s">
        <v>1171</v>
      </c>
      <c r="O168" t="s">
        <v>1171</v>
      </c>
      <c r="P168" t="s">
        <v>1171</v>
      </c>
      <c r="Q168" t="s">
        <v>1171</v>
      </c>
      <c r="R168" t="s">
        <v>1171</v>
      </c>
      <c r="S168" s="70" t="str" cm="1">
        <f t="array" ref="S168">_xlfn.TEXTJOIN(",",TRUE,LEFT(TRIM(_xlfn.TEXTSPLIT(us_core_reqs[[#This Row],[reference]],",")),FIND(".html",TRIM(_xlfn.TEXTSPLIT(us_core_reqs[[#This Row],[reference]],",")))-1))</f>
        <v>scopes</v>
      </c>
      <c r="T168" s="70" t="str" cm="1">
        <f t="array" ref="T168">_xlfn.TEXTJOIN(",",TRUE,MID(TRIM(_xlfn.TEXTSPLIT(us_core_reqs[[#This Row],[reference]],",")),FIND("#",TRIM(_xlfn.TEXTSPLIT(us_core_reqs[[#This Row],[reference]],","))&amp;"#")+1,1000))</f>
        <v>Servers-shall-support-the-following-metadata-in-their-well-knownsmart-configuration</v>
      </c>
      <c r="U168"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t="s">
        <v>29</v>
      </c>
      <c r="W168" t="s">
        <v>30</v>
      </c>
      <c r="X168" t="s">
        <v>193</v>
      </c>
      <c r="Y168" t="s">
        <v>1171</v>
      </c>
      <c r="Z168" t="s">
        <v>1171</v>
      </c>
      <c r="AA168" t="s">
        <v>1171</v>
      </c>
      <c r="AB168" t="s">
        <v>1171</v>
      </c>
      <c r="AC168" t="s">
        <v>194</v>
      </c>
      <c r="AD168" t="s">
        <v>1140</v>
      </c>
      <c r="AE168" t="s">
        <v>1171</v>
      </c>
    </row>
    <row r="169" spans="1:31" ht="120" thickBot="1" x14ac:dyDescent="0.25">
      <c r="A169" t="s">
        <v>1171</v>
      </c>
      <c r="B169" t="s">
        <v>1341</v>
      </c>
      <c r="C169" t="str">
        <f>"CONF-"&amp;TEXT(us_core_reqs[[#This Row],[ID*]], "0000")</f>
        <v>CONF-0168</v>
      </c>
      <c r="D169" s="11" t="s">
        <v>625</v>
      </c>
      <c r="E169" s="73" t="str" cm="1">
        <f t="array" ref="E169">_xlfn.TEXTJOIN(", ", TRUE, _xlfn.TEXTAFTER(_xlfn.TEXTSPLIT(us_core_reqs[[#This Row],[URL*]], ", "), "/", -1))</f>
        <v>scopes.html#additional-us-core-requirements</v>
      </c>
      <c r="F169" s="11" t="s">
        <v>2210</v>
      </c>
      <c r="G169" t="s">
        <v>29</v>
      </c>
      <c r="H169" cm="1">
        <f t="array" ref="H169">_xlfn.SWITCH(G169, "SHALL", 1, "SHOULD", 3, "MAY", 5, "SHOULD-NOT", 4, "SHALL-NOT", 2, "DEPRECATED", 6, 99)</f>
        <v>1</v>
      </c>
      <c r="J169" t="s">
        <v>30</v>
      </c>
      <c r="K169" t="s">
        <v>1171</v>
      </c>
      <c r="L169" t="s">
        <v>1171</v>
      </c>
      <c r="M169" t="s">
        <v>1173</v>
      </c>
      <c r="N169" t="s">
        <v>1171</v>
      </c>
      <c r="O169" t="s">
        <v>1171</v>
      </c>
      <c r="P169" t="s">
        <v>1171</v>
      </c>
      <c r="Q169" t="s">
        <v>1171</v>
      </c>
      <c r="R169" t="s">
        <v>1171</v>
      </c>
      <c r="S169" s="70" t="str" cm="1">
        <f t="array" ref="S169">_xlfn.TEXTJOIN(",",TRUE,LEFT(TRIM(_xlfn.TEXTSPLIT(us_core_reqs[[#This Row],[reference]],",")),FIND(".html",TRIM(_xlfn.TEXTSPLIT(us_core_reqs[[#This Row],[reference]],",")))-1))</f>
        <v>scopes</v>
      </c>
      <c r="T169" s="70" t="str" cm="1">
        <f t="array" ref="T169">_xlfn.TEXTJOIN(",",TRUE,MID(TRIM(_xlfn.TEXTSPLIT(us_core_reqs[[#This Row],[reference]],",")),FIND("#",TRIM(_xlfn.TEXTSPLIT(us_core_reqs[[#This Row],[reference]],","))&amp;"#")+1,1000))</f>
        <v>additional-us-core-requirements</v>
      </c>
      <c r="U169" t="str" cm="1">
        <f t="array" ref="U169">_xlfn.TEXTJOIN(", ",TRUE,SUBSTITUTE(SUBSTITUTE(PROPER(SUBSTITUTE(TRIM(_xlfn.TEXTSPLIT(us_core_reqs[[#This Row],[Page]],","))," -"," "))&amp;": "&amp;PROPER(SUBSTITUTE(TRIM(_xlfn.TEXTSPLIT(us_core_reqs[[#This Row],[Section]],","))," -"," ")),"Us ","US        
  "),"Uscdi","USCDI"))</f>
        <v>Scopes: Additional-Us-Core-Requirements</v>
      </c>
      <c r="V169" t="s">
        <v>35</v>
      </c>
      <c r="W169" t="s">
        <v>30</v>
      </c>
      <c r="X169" t="s">
        <v>195</v>
      </c>
      <c r="Y169" t="s">
        <v>1171</v>
      </c>
      <c r="Z169" t="s">
        <v>1171</v>
      </c>
      <c r="AA169" t="s">
        <v>1171</v>
      </c>
      <c r="AB169" t="s">
        <v>1171</v>
      </c>
      <c r="AC169" t="s">
        <v>989</v>
      </c>
      <c r="AD169" t="s">
        <v>1140</v>
      </c>
      <c r="AE169" t="s">
        <v>1171</v>
      </c>
    </row>
    <row r="170" spans="1:31" ht="120" thickBot="1" x14ac:dyDescent="0.25">
      <c r="A170" t="s">
        <v>1171</v>
      </c>
      <c r="B170" t="s">
        <v>1342</v>
      </c>
      <c r="C170" t="str">
        <f>"CONF-"&amp;TEXT(us_core_reqs[[#This Row],[ID*]], "0000")</f>
        <v>CONF-0169</v>
      </c>
      <c r="D170" s="11" t="s">
        <v>625</v>
      </c>
      <c r="E170" s="73" t="str" cm="1">
        <f t="array" ref="E170">_xlfn.TEXTJOIN(", ", TRUE, _xlfn.TEXTAFTER(_xlfn.TEXTSPLIT(us_core_reqs[[#This Row],[URL*]], ", "), "/", -1))</f>
        <v>scopes.html#additional-us-core-requirements</v>
      </c>
      <c r="F170" s="11" t="s">
        <v>990</v>
      </c>
      <c r="G170" t="s">
        <v>35</v>
      </c>
      <c r="H170" cm="1">
        <f t="array" ref="H170">_xlfn.SWITCH(G170, "SHALL", 1, "SHOULD", 3, "MAY", 5, "SHOULD-NOT", 4, "SHALL-NOT", 2, "DEPRECATED", 6, 99)</f>
        <v>5</v>
      </c>
      <c r="J170" t="s">
        <v>30</v>
      </c>
      <c r="K170" t="s">
        <v>1171</v>
      </c>
      <c r="L170" t="s">
        <v>1171</v>
      </c>
      <c r="M170" t="s">
        <v>1173</v>
      </c>
      <c r="N170" t="s">
        <v>1171</v>
      </c>
      <c r="O170" t="s">
        <v>1171</v>
      </c>
      <c r="P170" t="s">
        <v>1171</v>
      </c>
      <c r="Q170" t="s">
        <v>1171</v>
      </c>
      <c r="R170" t="s">
        <v>1171</v>
      </c>
      <c r="S170" s="70" t="str" cm="1">
        <f t="array" ref="S170">_xlfn.TEXTJOIN(",",TRUE,LEFT(TRIM(_xlfn.TEXTSPLIT(us_core_reqs[[#This Row],[reference]],",")),FIND(".html",TRIM(_xlfn.TEXTSPLIT(us_core_reqs[[#This Row],[reference]],",")))-1))</f>
        <v>scopes</v>
      </c>
      <c r="T170" s="70" t="str" cm="1">
        <f t="array" ref="T170">_xlfn.TEXTJOIN(",",TRUE,MID(TRIM(_xlfn.TEXTSPLIT(us_core_reqs[[#This Row],[reference]],",")),FIND("#",TRIM(_xlfn.TEXTSPLIT(us_core_reqs[[#This Row],[reference]],","))&amp;"#")+1,1000))</f>
        <v>additional-us-core-requirements</v>
      </c>
      <c r="U170" t="str" cm="1">
        <f t="array" ref="U170">_xlfn.TEXTJOIN(", ",TRUE,SUBSTITUTE(SUBSTITUTE(PROPER(SUBSTITUTE(TRIM(_xlfn.TEXTSPLIT(us_core_reqs[[#This Row],[Page]],","))," -"," "))&amp;": "&amp;PROPER(SUBSTITUTE(TRIM(_xlfn.TEXTSPLIT(us_core_reqs[[#This Row],[Section]],","))," -"," ")),"Us ","US        
  "),"Uscdi","USCDI"))</f>
        <v>Scopes: Additional-Us-Core-Requirements</v>
      </c>
      <c r="V170" t="s">
        <v>35</v>
      </c>
      <c r="W170" t="s">
        <v>30</v>
      </c>
      <c r="X170" t="s">
        <v>1171</v>
      </c>
      <c r="Y170" t="s">
        <v>1171</v>
      </c>
      <c r="Z170" t="s">
        <v>1171</v>
      </c>
      <c r="AA170" t="s">
        <v>1171</v>
      </c>
      <c r="AB170" t="s">
        <v>1171</v>
      </c>
      <c r="AC170" t="s">
        <v>1171</v>
      </c>
      <c r="AD170" t="s">
        <v>1171</v>
      </c>
      <c r="AE170" t="s">
        <v>1171</v>
      </c>
    </row>
    <row r="171" spans="1:31" ht="120" thickBot="1" x14ac:dyDescent="0.25">
      <c r="A171" t="s">
        <v>1171</v>
      </c>
      <c r="B171" t="s">
        <v>1343</v>
      </c>
      <c r="C171" t="str">
        <f>"CONF-"&amp;TEXT(us_core_reqs[[#This Row],[ID*]], "0000")</f>
        <v>CONF-0170</v>
      </c>
      <c r="D171" s="11" t="s">
        <v>625</v>
      </c>
      <c r="E171" s="73" t="str" cm="1">
        <f t="array" ref="E171">_xlfn.TEXTJOIN(", ", TRUE, _xlfn.TEXTAFTER(_xlfn.TEXTSPLIT(us_core_reqs[[#This Row],[URL*]], ", "), "/", -1))</f>
        <v>scopes.html#additional-us-core-requirements</v>
      </c>
      <c r="F171" s="11" t="s">
        <v>2183</v>
      </c>
      <c r="G171" t="s">
        <v>35</v>
      </c>
      <c r="H171" cm="1">
        <f t="array" ref="H171">_xlfn.SWITCH(G171, "SHALL", 1, "SHOULD", 3, "MAY", 5, "SHOULD-NOT", 4, "SHALL-NOT", 2, "DEPRECATED", 6, 99)</f>
        <v>5</v>
      </c>
      <c r="J171" t="s">
        <v>30</v>
      </c>
      <c r="K171" t="s">
        <v>1171</v>
      </c>
      <c r="L171" t="s">
        <v>1171</v>
      </c>
      <c r="M171" t="s">
        <v>1173</v>
      </c>
      <c r="N171" t="s">
        <v>1171</v>
      </c>
      <c r="O171" t="s">
        <v>1171</v>
      </c>
      <c r="P171" t="s">
        <v>1171</v>
      </c>
      <c r="Q171" t="s">
        <v>1171</v>
      </c>
      <c r="R171" t="s">
        <v>1171</v>
      </c>
      <c r="S171" s="70" t="str" cm="1">
        <f t="array" ref="S171">_xlfn.TEXTJOIN(",",TRUE,LEFT(TRIM(_xlfn.TEXTSPLIT(us_core_reqs[[#This Row],[reference]],",")),FIND(".html",TRIM(_xlfn.TEXTSPLIT(us_core_reqs[[#This Row],[reference]],",")))-1))</f>
        <v>scopes</v>
      </c>
      <c r="T171" s="70" t="str" cm="1">
        <f t="array" ref="T171">_xlfn.TEXTJOIN(",",TRUE,MID(TRIM(_xlfn.TEXTSPLIT(us_core_reqs[[#This Row],[reference]],",")),FIND("#",TRIM(_xlfn.TEXTSPLIT(us_core_reqs[[#This Row],[reference]],","))&amp;"#")+1,1000))</f>
        <v>additional-us-core-requirements</v>
      </c>
      <c r="U171" t="str" cm="1">
        <f t="array" ref="U171">_xlfn.TEXTJOIN(", ",TRUE,SUBSTITUTE(SUBSTITUTE(PROPER(SUBSTITUTE(TRIM(_xlfn.TEXTSPLIT(us_core_reqs[[#This Row],[Page]],","))," -"," "))&amp;": "&amp;PROPER(SUBSTITUTE(TRIM(_xlfn.TEXTSPLIT(us_core_reqs[[#This Row],[Section]],","))," -"," ")),"Us ","US        
  "),"Uscdi","USCDI"))</f>
        <v>Scopes: Additional-Us-Core-Requirements</v>
      </c>
      <c r="V171" t="s">
        <v>35</v>
      </c>
      <c r="W171" t="s">
        <v>30</v>
      </c>
      <c r="X171" t="s">
        <v>1171</v>
      </c>
      <c r="Y171" t="s">
        <v>1171</v>
      </c>
      <c r="Z171" t="s">
        <v>1171</v>
      </c>
      <c r="AA171" t="s">
        <v>1171</v>
      </c>
      <c r="AB171" t="s">
        <v>1171</v>
      </c>
      <c r="AC171" t="s">
        <v>1171</v>
      </c>
      <c r="AD171" t="s">
        <v>1171</v>
      </c>
      <c r="AE171" t="s">
        <v>1171</v>
      </c>
    </row>
    <row r="172" spans="1:31" ht="120" thickBot="1" x14ac:dyDescent="0.25">
      <c r="A172" t="s">
        <v>1171</v>
      </c>
      <c r="B172" t="s">
        <v>1344</v>
      </c>
      <c r="C172" t="str">
        <f>"CONF-"&amp;TEXT(us_core_reqs[[#This Row],[ID*]], "0000")</f>
        <v>CONF-0171</v>
      </c>
      <c r="D172" s="11" t="s">
        <v>625</v>
      </c>
      <c r="E172" s="73" t="str" cm="1">
        <f t="array" ref="E172">_xlfn.TEXTJOIN(", ", TRUE, _xlfn.TEXTAFTER(_xlfn.TEXTSPLIT(us_core_reqs[[#This Row],[URL*]], ", "), "/", -1))</f>
        <v>scopes.html#additional-us-core-requirements</v>
      </c>
      <c r="F172" s="11" t="s">
        <v>2197</v>
      </c>
      <c r="G172" t="s">
        <v>29</v>
      </c>
      <c r="H172" cm="1">
        <f t="array" ref="H172">_xlfn.SWITCH(G172, "SHALL", 1, "SHOULD", 3, "MAY", 5, "SHOULD-NOT", 4, "SHALL-NOT", 2, "DEPRECATED", 6, 99)</f>
        <v>1</v>
      </c>
      <c r="J172" t="s">
        <v>30</v>
      </c>
      <c r="K172" t="s">
        <v>1171</v>
      </c>
      <c r="L172" t="s">
        <v>1171</v>
      </c>
      <c r="M172" t="s">
        <v>1173</v>
      </c>
      <c r="N172" t="s">
        <v>1171</v>
      </c>
      <c r="O172" t="s">
        <v>1171</v>
      </c>
      <c r="P172" t="s">
        <v>1171</v>
      </c>
      <c r="Q172" t="s">
        <v>1171</v>
      </c>
      <c r="R172" t="s">
        <v>1171</v>
      </c>
      <c r="S172" s="70" t="str" cm="1">
        <f t="array" ref="S172">_xlfn.TEXTJOIN(",",TRUE,LEFT(TRIM(_xlfn.TEXTSPLIT(us_core_reqs[[#This Row],[reference]],",")),FIND(".html",TRIM(_xlfn.TEXTSPLIT(us_core_reqs[[#This Row],[reference]],",")))-1))</f>
        <v>scopes</v>
      </c>
      <c r="T172" s="70" t="str" cm="1">
        <f t="array" ref="T172">_xlfn.TEXTJOIN(",",TRUE,MID(TRIM(_xlfn.TEXTSPLIT(us_core_reqs[[#This Row],[reference]],",")),FIND("#",TRIM(_xlfn.TEXTSPLIT(us_core_reqs[[#This Row],[reference]],","))&amp;"#")+1,1000))</f>
        <v>additional-us-core-requirements</v>
      </c>
      <c r="U172" t="str" cm="1">
        <f t="array" ref="U172">_xlfn.TEXTJOIN(", ",TRUE,SUBSTITUTE(SUBSTITUTE(PROPER(SUBSTITUTE(TRIM(_xlfn.TEXTSPLIT(us_core_reqs[[#This Row],[Page]],","))," -"," "))&amp;": "&amp;PROPER(SUBSTITUTE(TRIM(_xlfn.TEXTSPLIT(us_core_reqs[[#This Row],[Section]],","))," -"," ")),"Us ","US        
  "),"Uscdi","USCDI"))</f>
        <v>Scopes: Additional-Us-Core-Requirements</v>
      </c>
      <c r="V172" t="s">
        <v>35</v>
      </c>
      <c r="W172" t="s">
        <v>30</v>
      </c>
      <c r="X172" t="s">
        <v>1171</v>
      </c>
      <c r="Y172" t="s">
        <v>1171</v>
      </c>
      <c r="Z172" t="s">
        <v>1171</v>
      </c>
      <c r="AA172" t="s">
        <v>1171</v>
      </c>
      <c r="AB172" t="s">
        <v>1171</v>
      </c>
      <c r="AC172" t="s">
        <v>1171</v>
      </c>
      <c r="AD172" t="s">
        <v>1140</v>
      </c>
      <c r="AE172" t="s">
        <v>1171</v>
      </c>
    </row>
    <row r="173" spans="1:31" ht="120" thickBot="1" x14ac:dyDescent="0.25">
      <c r="A173" t="s">
        <v>1171</v>
      </c>
      <c r="B173" t="s">
        <v>1345</v>
      </c>
      <c r="C173" t="str">
        <f>"CONF-"&amp;TEXT(us_core_reqs[[#This Row],[ID*]], "0000")</f>
        <v>CONF-0172</v>
      </c>
      <c r="D173" s="11" t="s">
        <v>625</v>
      </c>
      <c r="E173" s="73" t="str" cm="1">
        <f t="array" ref="E173">_xlfn.TEXTJOIN(", ", TRUE, _xlfn.TEXTAFTER(_xlfn.TEXTSPLIT(us_core_reqs[[#This Row],[URL*]], ", "), "/", -1))</f>
        <v>scopes.html#additional-us-core-requirements</v>
      </c>
      <c r="F173" s="11" t="s">
        <v>1911</v>
      </c>
      <c r="G173" t="s">
        <v>32</v>
      </c>
      <c r="H173" cm="1">
        <f t="array" ref="H173">_xlfn.SWITCH(G173, "SHALL", 1, "SHOULD", 3, "MAY", 5, "SHOULD-NOT", 4, "SHALL-NOT", 2, "DEPRECATED", 6, 99)</f>
        <v>3</v>
      </c>
      <c r="J173" t="s">
        <v>58</v>
      </c>
      <c r="K173" t="s">
        <v>1171</v>
      </c>
      <c r="L173" t="s">
        <v>1171</v>
      </c>
      <c r="M173" t="s">
        <v>1173</v>
      </c>
      <c r="N173" t="s">
        <v>1171</v>
      </c>
      <c r="O173" t="s">
        <v>1171</v>
      </c>
      <c r="P173" t="s">
        <v>1171</v>
      </c>
      <c r="Q173" t="s">
        <v>1171</v>
      </c>
      <c r="R173" t="s">
        <v>1171</v>
      </c>
      <c r="S173" s="70" t="str" cm="1">
        <f t="array" ref="S173">_xlfn.TEXTJOIN(",",TRUE,LEFT(TRIM(_xlfn.TEXTSPLIT(us_core_reqs[[#This Row],[reference]],",")),FIND(".html",TRIM(_xlfn.TEXTSPLIT(us_core_reqs[[#This Row],[reference]],",")))-1))</f>
        <v>scopes</v>
      </c>
      <c r="T173" s="70" t="str" cm="1">
        <f t="array" ref="T173">_xlfn.TEXTJOIN(",",TRUE,MID(TRIM(_xlfn.TEXTSPLIT(us_core_reqs[[#This Row],[reference]],",")),FIND("#",TRIM(_xlfn.TEXTSPLIT(us_core_reqs[[#This Row],[reference]],","))&amp;"#")+1,1000))</f>
        <v>additional-us-core-requirements</v>
      </c>
      <c r="U173" t="str" cm="1">
        <f t="array" ref="U173">_xlfn.TEXTJOIN(", ",TRUE,SUBSTITUTE(SUBSTITUTE(PROPER(SUBSTITUTE(TRIM(_xlfn.TEXTSPLIT(us_core_reqs[[#This Row],[Page]],","))," -"," "))&amp;": "&amp;PROPER(SUBSTITUTE(TRIM(_xlfn.TEXTSPLIT(us_core_reqs[[#This Row],[Section]],","))," -"," ")),"Us ","US        
  "),"Uscdi","USCDI"))</f>
        <v>Scopes: Additional-Us-Core-Requirements</v>
      </c>
      <c r="V173" t="s">
        <v>35</v>
      </c>
      <c r="W173" t="s">
        <v>30</v>
      </c>
      <c r="X173" t="s">
        <v>1171</v>
      </c>
      <c r="Y173" t="s">
        <v>1171</v>
      </c>
      <c r="Z173" t="s">
        <v>1171</v>
      </c>
      <c r="AA173" t="s">
        <v>1171</v>
      </c>
      <c r="AB173" t="s">
        <v>1171</v>
      </c>
      <c r="AC173" t="s">
        <v>1171</v>
      </c>
      <c r="AD173" t="s">
        <v>1171</v>
      </c>
      <c r="AE173" t="s">
        <v>1171</v>
      </c>
    </row>
    <row r="174" spans="1:31" ht="103" thickBot="1" x14ac:dyDescent="0.25">
      <c r="A174" t="s">
        <v>1171</v>
      </c>
      <c r="B174" t="s">
        <v>1346</v>
      </c>
      <c r="C174" t="str">
        <f>"CONF-"&amp;TEXT(us_core_reqs[[#This Row],[ID*]], "0000")</f>
        <v>CONF-0173</v>
      </c>
      <c r="D174" s="11" t="s">
        <v>625</v>
      </c>
      <c r="E174" s="73" t="str" cm="1">
        <f t="array" ref="E174">_xlfn.TEXTJOIN(", ", TRUE, _xlfn.TEXTAFTER(_xlfn.TEXTSPLIT(us_core_reqs[[#This Row],[URL*]], ", "), "/", -1))</f>
        <v>scopes.html#additional-us-core-requirements</v>
      </c>
      <c r="F174" s="11" t="s">
        <v>2202</v>
      </c>
      <c r="G174" t="s">
        <v>29</v>
      </c>
      <c r="H174" cm="1">
        <f t="array" ref="H174">_xlfn.SWITCH(G174, "SHALL", 1, "SHOULD", 3, "MAY", 5, "SHOULD-NOT", 4, "SHALL-NOT", 2, "DEPRECATED", 6, 99)</f>
        <v>1</v>
      </c>
      <c r="J174" t="s">
        <v>30</v>
      </c>
      <c r="K174" t="s">
        <v>1171</v>
      </c>
      <c r="L174" t="s">
        <v>1171</v>
      </c>
      <c r="M174" t="s">
        <v>1173</v>
      </c>
      <c r="N174" t="s">
        <v>1171</v>
      </c>
      <c r="O174" t="s">
        <v>1171</v>
      </c>
      <c r="P174" t="s">
        <v>1171</v>
      </c>
      <c r="Q174" t="s">
        <v>1171</v>
      </c>
      <c r="R174" t="s">
        <v>1171</v>
      </c>
      <c r="S174" s="70" t="str" cm="1">
        <f t="array" ref="S174">_xlfn.TEXTJOIN(",",TRUE,LEFT(TRIM(_xlfn.TEXTSPLIT(us_core_reqs[[#This Row],[reference]],",")),FIND(".html",TRIM(_xlfn.TEXTSPLIT(us_core_reqs[[#This Row],[reference]],",")))-1))</f>
        <v>scopes</v>
      </c>
      <c r="T174" s="70" t="str" cm="1">
        <f t="array" ref="T174">_xlfn.TEXTJOIN(",",TRUE,MID(TRIM(_xlfn.TEXTSPLIT(us_core_reqs[[#This Row],[reference]],",")),FIND("#",TRIM(_xlfn.TEXTSPLIT(us_core_reqs[[#This Row],[reference]],","))&amp;"#")+1,1000))</f>
        <v>additional-us-core-requirements</v>
      </c>
      <c r="U174" t="str" cm="1">
        <f t="array" ref="U174">_xlfn.TEXTJOIN(", ",TRUE,SUBSTITUTE(SUBSTITUTE(PROPER(SUBSTITUTE(TRIM(_xlfn.TEXTSPLIT(us_core_reqs[[#This Row],[Page]],","))," -"," "))&amp;": "&amp;PROPER(SUBSTITUTE(TRIM(_xlfn.TEXTSPLIT(us_core_reqs[[#This Row],[Section]],","))," -"," ")),"Us ","US        
  "),"Uscdi","USCDI"))</f>
        <v>Scopes: Additional-Us-Core-Requirements</v>
      </c>
      <c r="V174" t="s">
        <v>29</v>
      </c>
      <c r="W174" t="s">
        <v>30</v>
      </c>
      <c r="X174" t="s">
        <v>196</v>
      </c>
      <c r="Y174" t="s">
        <v>1171</v>
      </c>
      <c r="Z174" t="s">
        <v>1171</v>
      </c>
      <c r="AA174" t="s">
        <v>1171</v>
      </c>
      <c r="AB174" t="s">
        <v>1171</v>
      </c>
      <c r="AC174" t="s">
        <v>1171</v>
      </c>
      <c r="AD174" t="s">
        <v>1140</v>
      </c>
      <c r="AE174" t="s">
        <v>1171</v>
      </c>
    </row>
    <row r="175" spans="1:31" ht="52" thickBot="1" x14ac:dyDescent="0.25">
      <c r="A175" t="s">
        <v>1171</v>
      </c>
      <c r="B175" t="s">
        <v>1347</v>
      </c>
      <c r="C175" t="str">
        <f>"CONF-"&amp;TEXT(us_core_reqs[[#This Row],[ID*]], "0000")</f>
        <v>CONF-0174</v>
      </c>
      <c r="D175" s="11" t="s">
        <v>830</v>
      </c>
      <c r="E175" s="73" t="str" cm="1">
        <f t="array" ref="E175">_xlfn.TEXTJOIN(", ", TRUE, _xlfn.TEXTAFTER(_xlfn.TEXTSPLIT(us_core_reqs[[#This Row],[URL*]], ", "), "/", -1))</f>
        <v>general-guidance.html#referencing-us-core-profiles</v>
      </c>
      <c r="F175" s="11" t="s">
        <v>1912</v>
      </c>
      <c r="G175" t="s">
        <v>32</v>
      </c>
      <c r="H175" cm="1">
        <f t="array" ref="H175">_xlfn.SWITCH(G175, "SHALL", 1, "SHOULD", 3, "MAY", 5, "SHOULD-NOT", 4, "SHALL-NOT", 2, "DEPRECATED", 6, 99)</f>
        <v>3</v>
      </c>
      <c r="J175" t="s">
        <v>30</v>
      </c>
      <c r="K175" t="s">
        <v>1171</v>
      </c>
      <c r="L175" t="s">
        <v>1171</v>
      </c>
      <c r="M175" t="s">
        <v>1173</v>
      </c>
      <c r="N175" t="s">
        <v>1171</v>
      </c>
      <c r="O175" t="s">
        <v>1171</v>
      </c>
      <c r="P175" t="s">
        <v>1171</v>
      </c>
      <c r="Q175" t="s">
        <v>1171</v>
      </c>
      <c r="R175" t="s">
        <v>1171</v>
      </c>
      <c r="S175" s="70" t="str" cm="1">
        <f t="array" ref="S175">_xlfn.TEXTJOIN(",",TRUE,LEFT(TRIM(_xlfn.TEXTSPLIT(us_core_reqs[[#This Row],[reference]],",")),FIND(".html",TRIM(_xlfn.TEXTSPLIT(us_core_reqs[[#This Row],[reference]],",")))-1))</f>
        <v>general-guidance</v>
      </c>
      <c r="T175" s="70" t="str" cm="1">
        <f t="array" ref="T175">_xlfn.TEXTJOIN(",",TRUE,MID(TRIM(_xlfn.TEXTSPLIT(us_core_reqs[[#This Row],[reference]],",")),FIND("#",TRIM(_xlfn.TEXTSPLIT(us_core_reqs[[#This Row],[reference]],","))&amp;"#")+1,1000))</f>
        <v>referencing-us-core-profiles</v>
      </c>
      <c r="U175" t="str" cm="1">
        <f t="array" ref="U175">_xlfn.TEXTJOIN(", ",TRUE,SUBSTITUTE(SUBSTITUTE(PROPER(SUBSTITUTE(TRIM(_xlfn.TEXTSPLIT(us_core_reqs[[#This Row],[Page]],","))," -"," "))&amp;": "&amp;PROPER(SUBSTITUTE(TRIM(_xlfn.TEXTSPLIT(us_core_reqs[[#This Row],[Section]],","))," -"," ")),"Us ","US        
  "),"Uscdi","USCDI"))</f>
        <v>General-Guidance: Referencing-Us-Core-Profiles</v>
      </c>
      <c r="V175" t="s">
        <v>32</v>
      </c>
      <c r="W175" t="s">
        <v>1171</v>
      </c>
      <c r="X175" t="s">
        <v>198</v>
      </c>
      <c r="Y175" t="s">
        <v>1171</v>
      </c>
      <c r="Z175" t="s">
        <v>1171</v>
      </c>
      <c r="AA175" t="s">
        <v>1171</v>
      </c>
      <c r="AB175" t="s">
        <v>1171</v>
      </c>
      <c r="AC175" t="s">
        <v>1171</v>
      </c>
      <c r="AD175" t="s">
        <v>1171</v>
      </c>
      <c r="AE175" t="s">
        <v>1171</v>
      </c>
    </row>
    <row r="176" spans="1:31" ht="52" thickBot="1" x14ac:dyDescent="0.25">
      <c r="A176" t="s">
        <v>1171</v>
      </c>
      <c r="B176" t="s">
        <v>1348</v>
      </c>
      <c r="C176" t="str">
        <f>"CONF-"&amp;TEXT(us_core_reqs[[#This Row],[ID*]], "0000")</f>
        <v>CONF-0175</v>
      </c>
      <c r="D176" s="11" t="s">
        <v>830</v>
      </c>
      <c r="E176" s="73" t="str" cm="1">
        <f t="array" ref="E176">_xlfn.TEXTJOIN(", ", TRUE, _xlfn.TEXTAFTER(_xlfn.TEXTSPLIT(us_core_reqs[[#This Row],[URL*]], ", "), "/", -1))</f>
        <v>general-guidance.html#referencing-us-core-profiles</v>
      </c>
      <c r="F176" s="11" t="s">
        <v>1913</v>
      </c>
      <c r="G176" t="s">
        <v>32</v>
      </c>
      <c r="H176" cm="1">
        <f t="array" ref="H176">_xlfn.SWITCH(G176, "SHALL", 1, "SHOULD", 3, "MAY", 5, "SHOULD-NOT", 4, "SHALL-NOT", 2, "DEPRECATED", 6, 99)</f>
        <v>3</v>
      </c>
      <c r="J176" t="s">
        <v>30</v>
      </c>
      <c r="K176" t="s">
        <v>1171</v>
      </c>
      <c r="L176" t="s">
        <v>1171</v>
      </c>
      <c r="M176" t="s">
        <v>1173</v>
      </c>
      <c r="N176" t="s">
        <v>1171</v>
      </c>
      <c r="O176" t="s">
        <v>1171</v>
      </c>
      <c r="P176" t="s">
        <v>1171</v>
      </c>
      <c r="Q176" t="s">
        <v>1171</v>
      </c>
      <c r="R176" t="s">
        <v>1171</v>
      </c>
      <c r="S176" s="70" t="str" cm="1">
        <f t="array" ref="S176">_xlfn.TEXTJOIN(",",TRUE,LEFT(TRIM(_xlfn.TEXTSPLIT(us_core_reqs[[#This Row],[reference]],",")),FIND(".html",TRIM(_xlfn.TEXTSPLIT(us_core_reqs[[#This Row],[reference]],",")))-1))</f>
        <v>general-guidance</v>
      </c>
      <c r="T176" s="70" t="str" cm="1">
        <f t="array" ref="T176">_xlfn.TEXTJOIN(",",TRUE,MID(TRIM(_xlfn.TEXTSPLIT(us_core_reqs[[#This Row],[reference]],",")),FIND("#",TRIM(_xlfn.TEXTSPLIT(us_core_reqs[[#This Row],[reference]],","))&amp;"#")+1,1000))</f>
        <v>referencing-us-core-profiles</v>
      </c>
      <c r="U176" t="str" cm="1">
        <f t="array" ref="U176">_xlfn.TEXTJOIN(", ",TRUE,SUBSTITUTE(SUBSTITUTE(PROPER(SUBSTITUTE(TRIM(_xlfn.TEXTSPLIT(us_core_reqs[[#This Row],[Page]],","))," -"," "))&amp;": "&amp;PROPER(SUBSTITUTE(TRIM(_xlfn.TEXTSPLIT(us_core_reqs[[#This Row],[Section]],","))," -"," ")),"Us ","US        
  "),"Uscdi","USCDI"))</f>
        <v>General-Guidance: Referencing-Us-Core-Profiles</v>
      </c>
      <c r="V176" t="s">
        <v>32</v>
      </c>
      <c r="W176" t="s">
        <v>30</v>
      </c>
      <c r="X176" t="s">
        <v>198</v>
      </c>
      <c r="Y176" t="s">
        <v>1171</v>
      </c>
      <c r="Z176" t="s">
        <v>1171</v>
      </c>
      <c r="AA176" t="s">
        <v>1171</v>
      </c>
      <c r="AB176" t="s">
        <v>1171</v>
      </c>
      <c r="AC176" t="s">
        <v>1171</v>
      </c>
      <c r="AD176" t="s">
        <v>1171</v>
      </c>
      <c r="AE176" t="s">
        <v>1171</v>
      </c>
    </row>
    <row r="177" spans="1:31" ht="52" thickBot="1" x14ac:dyDescent="0.25">
      <c r="A177" t="s">
        <v>1171</v>
      </c>
      <c r="B177" t="s">
        <v>1349</v>
      </c>
      <c r="C177" t="str">
        <f>"CONF-"&amp;TEXT(us_core_reqs[[#This Row],[ID*]], "0000")</f>
        <v>CONF-0176</v>
      </c>
      <c r="D177" s="11" t="s">
        <v>831</v>
      </c>
      <c r="E177" s="73" t="str" cm="1">
        <f t="array" ref="E177">_xlfn.TEXTJOIN(", ", TRUE, _xlfn.TEXTAFTER(_xlfn.TEXTSPLIT(us_core_reqs[[#This Row],[URL*]], ", "), "/", -1))</f>
        <v>general-guidance.html#contained-resources</v>
      </c>
      <c r="F177" s="11" t="s">
        <v>1914</v>
      </c>
      <c r="G177" t="s">
        <v>1834</v>
      </c>
      <c r="H177" cm="1">
        <f t="array" ref="H177">_xlfn.SWITCH(G177, "SHALL", 1, "SHOULD", 3, "MAY", 5, "SHOULD-NOT", 4, "SHALL-NOT", 2, "DEPRECATED", 6, 99)</f>
        <v>4</v>
      </c>
      <c r="I177" s="77" t="s">
        <v>1874</v>
      </c>
      <c r="J177" t="s">
        <v>30</v>
      </c>
      <c r="K177" t="s">
        <v>1171</v>
      </c>
      <c r="L177" t="s">
        <v>1171</v>
      </c>
      <c r="M177" t="s">
        <v>1173</v>
      </c>
      <c r="N177" t="s">
        <v>1171</v>
      </c>
      <c r="O177" t="s">
        <v>1171</v>
      </c>
      <c r="P177" t="s">
        <v>1171</v>
      </c>
      <c r="Q177" t="s">
        <v>1171</v>
      </c>
      <c r="R177" t="s">
        <v>1171</v>
      </c>
      <c r="S177" s="70" t="str" cm="1">
        <f t="array" ref="S177">_xlfn.TEXTJOIN(",",TRUE,LEFT(TRIM(_xlfn.TEXTSPLIT(us_core_reqs[[#This Row],[reference]],",")),FIND(".html",TRIM(_xlfn.TEXTSPLIT(us_core_reqs[[#This Row],[reference]],",")))-1))</f>
        <v>general-guidance</v>
      </c>
      <c r="T177" s="70" t="str" cm="1">
        <f t="array" ref="T177">_xlfn.TEXTJOIN(",",TRUE,MID(TRIM(_xlfn.TEXTSPLIT(us_core_reqs[[#This Row],[reference]],",")),FIND("#",TRIM(_xlfn.TEXTSPLIT(us_core_reqs[[#This Row],[reference]],","))&amp;"#")+1,1000))</f>
        <v>contained-resources</v>
      </c>
      <c r="U177" t="str" cm="1">
        <f t="array" ref="U177">_xlfn.TEXTJOIN(", ",TRUE,SUBSTITUTE(SUBSTITUTE(PROPER(SUBSTITUTE(TRIM(_xlfn.TEXTSPLIT(us_core_reqs[[#This Row],[Page]],","))," -"," "))&amp;": "&amp;PROPER(SUBSTITUTE(TRIM(_xlfn.TEXTSPLIT(us_core_reqs[[#This Row],[Section]],","))," -"," ")),"Us ","US        
  "),"Uscdi","USCDI"))</f>
        <v>General-Guidance: Contained-Resources</v>
      </c>
      <c r="V177" t="s">
        <v>32</v>
      </c>
      <c r="W177" t="s">
        <v>30</v>
      </c>
      <c r="X177" t="s">
        <v>200</v>
      </c>
      <c r="Y177" t="s">
        <v>1171</v>
      </c>
      <c r="Z177" t="s">
        <v>1171</v>
      </c>
      <c r="AA177" t="s">
        <v>1171</v>
      </c>
      <c r="AB177" t="s">
        <v>1171</v>
      </c>
      <c r="AC177" t="s">
        <v>1171</v>
      </c>
      <c r="AD177" t="s">
        <v>1171</v>
      </c>
      <c r="AE177" t="s">
        <v>1171</v>
      </c>
    </row>
    <row r="178" spans="1:31" ht="52" thickBot="1" x14ac:dyDescent="0.25">
      <c r="A178" t="s">
        <v>1171</v>
      </c>
      <c r="B178" t="s">
        <v>1350</v>
      </c>
      <c r="C178" t="str">
        <f>"CONF-"&amp;TEXT(us_core_reqs[[#This Row],[ID*]], "0000")</f>
        <v>CONF-0177</v>
      </c>
      <c r="D178" s="11" t="s">
        <v>831</v>
      </c>
      <c r="E178" s="73" t="str" cm="1">
        <f t="array" ref="E178">_xlfn.TEXTJOIN(", ", TRUE, _xlfn.TEXTAFTER(_xlfn.TEXTSPLIT(us_core_reqs[[#This Row],[URL*]], ", "), "/", -1))</f>
        <v>general-guidance.html#contained-resources</v>
      </c>
      <c r="F178" s="11" t="s">
        <v>1915</v>
      </c>
      <c r="G178" t="s">
        <v>32</v>
      </c>
      <c r="H178" cm="1">
        <f t="array" ref="H178">_xlfn.SWITCH(G178, "SHALL", 1, "SHOULD", 3, "MAY", 5, "SHOULD-NOT", 4, "SHALL-NOT", 2, "DEPRECATED", 6, 99)</f>
        <v>3</v>
      </c>
      <c r="J178" t="s">
        <v>30</v>
      </c>
      <c r="K178" t="s">
        <v>1171</v>
      </c>
      <c r="L178" t="s">
        <v>1171</v>
      </c>
      <c r="M178" t="s">
        <v>1173</v>
      </c>
      <c r="N178" t="s">
        <v>1171</v>
      </c>
      <c r="O178" t="s">
        <v>1171</v>
      </c>
      <c r="P178" t="s">
        <v>1171</v>
      </c>
      <c r="Q178" t="s">
        <v>1171</v>
      </c>
      <c r="R178" t="s">
        <v>1171</v>
      </c>
      <c r="S178" s="70" t="str" cm="1">
        <f t="array" ref="S178">_xlfn.TEXTJOIN(",",TRUE,LEFT(TRIM(_xlfn.TEXTSPLIT(us_core_reqs[[#This Row],[reference]],",")),FIND(".html",TRIM(_xlfn.TEXTSPLIT(us_core_reqs[[#This Row],[reference]],",")))-1))</f>
        <v>general-guidance</v>
      </c>
      <c r="T178" s="70" t="str" cm="1">
        <f t="array" ref="T178">_xlfn.TEXTJOIN(",",TRUE,MID(TRIM(_xlfn.TEXTSPLIT(us_core_reqs[[#This Row],[reference]],",")),FIND("#",TRIM(_xlfn.TEXTSPLIT(us_core_reqs[[#This Row],[reference]],","))&amp;"#")+1,1000))</f>
        <v>contained-resources</v>
      </c>
      <c r="U178" t="str" cm="1">
        <f t="array" ref="U178">_xlfn.TEXTJOIN(", ",TRUE,SUBSTITUTE(SUBSTITUTE(PROPER(SUBSTITUTE(TRIM(_xlfn.TEXTSPLIT(us_core_reqs[[#This Row],[Page]],","))," -"," "))&amp;": "&amp;PROPER(SUBSTITUTE(TRIM(_xlfn.TEXTSPLIT(us_core_reqs[[#This Row],[Section]],","))," -"," ")),"Us ","US        
  "),"Uscdi","USCDI"))</f>
        <v>General-Guidance: Contained-Resources</v>
      </c>
      <c r="V178" t="s">
        <v>32</v>
      </c>
      <c r="W178" t="s">
        <v>1171</v>
      </c>
      <c r="X178" t="s">
        <v>202</v>
      </c>
      <c r="Y178" t="s">
        <v>1171</v>
      </c>
      <c r="Z178" t="s">
        <v>1171</v>
      </c>
      <c r="AA178" t="s">
        <v>1171</v>
      </c>
      <c r="AB178" t="s">
        <v>1171</v>
      </c>
      <c r="AC178" t="s">
        <v>1171</v>
      </c>
      <c r="AD178" t="s">
        <v>1171</v>
      </c>
      <c r="AE178" t="s">
        <v>1171</v>
      </c>
    </row>
    <row r="179" spans="1:31" ht="52" thickBot="1" x14ac:dyDescent="0.25">
      <c r="A179" t="s">
        <v>1171</v>
      </c>
      <c r="B179" t="s">
        <v>1351</v>
      </c>
      <c r="C179" t="str">
        <f>"CONF-"&amp;TEXT(us_core_reqs[[#This Row],[ID*]], "0000")</f>
        <v>CONF-0178</v>
      </c>
      <c r="D179" s="11" t="s">
        <v>831</v>
      </c>
      <c r="E179" s="73" t="str" cm="1">
        <f t="array" ref="E179">_xlfn.TEXTJOIN(", ", TRUE, _xlfn.TEXTAFTER(_xlfn.TEXTSPLIT(us_core_reqs[[#This Row],[URL*]], ", "), "/", -1))</f>
        <v>general-guidance.html#contained-resources</v>
      </c>
      <c r="F179" s="11" t="s">
        <v>1916</v>
      </c>
      <c r="G179" t="s">
        <v>32</v>
      </c>
      <c r="H179" cm="1">
        <f t="array" ref="H179">_xlfn.SWITCH(G179, "SHALL", 1, "SHOULD", 3, "MAY", 5, "SHOULD-NOT", 4, "SHALL-NOT", 2, "DEPRECATED", 6, 99)</f>
        <v>3</v>
      </c>
      <c r="J179" t="s">
        <v>30</v>
      </c>
      <c r="K179" t="s">
        <v>1171</v>
      </c>
      <c r="L179" t="s">
        <v>1171</v>
      </c>
      <c r="M179" t="s">
        <v>1173</v>
      </c>
      <c r="N179" t="s">
        <v>1171</v>
      </c>
      <c r="O179" t="s">
        <v>1171</v>
      </c>
      <c r="P179" t="s">
        <v>1171</v>
      </c>
      <c r="Q179" t="s">
        <v>1171</v>
      </c>
      <c r="R179" t="s">
        <v>1171</v>
      </c>
      <c r="S179" s="70" t="str" cm="1">
        <f t="array" ref="S179">_xlfn.TEXTJOIN(",",TRUE,LEFT(TRIM(_xlfn.TEXTSPLIT(us_core_reqs[[#This Row],[reference]],",")),FIND(".html",TRIM(_xlfn.TEXTSPLIT(us_core_reqs[[#This Row],[reference]],",")))-1))</f>
        <v>general-guidance</v>
      </c>
      <c r="T179" s="70" t="str" cm="1">
        <f t="array" ref="T179">_xlfn.TEXTJOIN(",",TRUE,MID(TRIM(_xlfn.TEXTSPLIT(us_core_reqs[[#This Row],[reference]],",")),FIND("#",TRIM(_xlfn.TEXTSPLIT(us_core_reqs[[#This Row],[reference]],","))&amp;"#")+1,1000))</f>
        <v>contained-resources</v>
      </c>
      <c r="U179" t="str" cm="1">
        <f t="array" ref="U179">_xlfn.TEXTJOIN(", ",TRUE,SUBSTITUTE(SUBSTITUTE(PROPER(SUBSTITUTE(TRIM(_xlfn.TEXTSPLIT(us_core_reqs[[#This Row],[Page]],","))," -"," "))&amp;": "&amp;PROPER(SUBSTITUTE(TRIM(_xlfn.TEXTSPLIT(us_core_reqs[[#This Row],[Section]],","))," -"," ")),"Us ","US        
  "),"Uscdi","USCDI"))</f>
        <v>General-Guidance: Contained-Resources</v>
      </c>
      <c r="V179" t="s">
        <v>32</v>
      </c>
      <c r="W179" t="s">
        <v>1171</v>
      </c>
      <c r="X179" t="s">
        <v>204</v>
      </c>
      <c r="Y179" t="s">
        <v>1171</v>
      </c>
      <c r="Z179" t="s">
        <v>1171</v>
      </c>
      <c r="AA179" t="s">
        <v>1171</v>
      </c>
      <c r="AB179" t="s">
        <v>1171</v>
      </c>
      <c r="AC179" t="s">
        <v>1171</v>
      </c>
      <c r="AD179" t="s">
        <v>1171</v>
      </c>
      <c r="AE179" t="s">
        <v>1171</v>
      </c>
    </row>
    <row r="180" spans="1:31" ht="52" thickBot="1" x14ac:dyDescent="0.25">
      <c r="A180" t="s">
        <v>1171</v>
      </c>
      <c r="B180" t="s">
        <v>1352</v>
      </c>
      <c r="C180" t="str">
        <f>"CONF-"&amp;TEXT(us_core_reqs[[#This Row],[ID*]], "0000")</f>
        <v>CONF-0179</v>
      </c>
      <c r="D180" s="11" t="s">
        <v>831</v>
      </c>
      <c r="E180" s="73" t="str" cm="1">
        <f t="array" ref="E180">_xlfn.TEXTJOIN(", ", TRUE, _xlfn.TEXTAFTER(_xlfn.TEXTSPLIT(us_core_reqs[[#This Row],[URL*]], ", "), "/", -1))</f>
        <v>general-guidance.html#contained-resources</v>
      </c>
      <c r="F180" s="11" t="s">
        <v>1917</v>
      </c>
      <c r="G180" t="s">
        <v>32</v>
      </c>
      <c r="H180" cm="1">
        <f t="array" ref="H180">_xlfn.SWITCH(G180, "SHALL", 1, "SHOULD", 3, "MAY", 5, "SHOULD-NOT", 4, "SHALL-NOT", 2, "DEPRECATED", 6, 99)</f>
        <v>3</v>
      </c>
      <c r="J180" t="s">
        <v>30</v>
      </c>
      <c r="K180" t="s">
        <v>1171</v>
      </c>
      <c r="L180" t="s">
        <v>1171</v>
      </c>
      <c r="M180" t="s">
        <v>1176</v>
      </c>
      <c r="N180" t="s">
        <v>206</v>
      </c>
      <c r="O180" t="s">
        <v>1171</v>
      </c>
      <c r="P180" t="s">
        <v>1171</v>
      </c>
      <c r="Q180" t="s">
        <v>1171</v>
      </c>
      <c r="R180" t="s">
        <v>1171</v>
      </c>
      <c r="S180" s="70" t="str" cm="1">
        <f t="array" ref="S180">_xlfn.TEXTJOIN(",",TRUE,LEFT(TRIM(_xlfn.TEXTSPLIT(us_core_reqs[[#This Row],[reference]],",")),FIND(".html",TRIM(_xlfn.TEXTSPLIT(us_core_reqs[[#This Row],[reference]],",")))-1))</f>
        <v>general-guidance</v>
      </c>
      <c r="T180" s="70" t="str" cm="1">
        <f t="array" ref="T180">_xlfn.TEXTJOIN(",",TRUE,MID(TRIM(_xlfn.TEXTSPLIT(us_core_reqs[[#This Row],[reference]],",")),FIND("#",TRIM(_xlfn.TEXTSPLIT(us_core_reqs[[#This Row],[reference]],","))&amp;"#")+1,1000))</f>
        <v>contained-resources</v>
      </c>
      <c r="U180" t="str" cm="1">
        <f t="array" ref="U180">_xlfn.TEXTJOIN(", ",TRUE,SUBSTITUTE(SUBSTITUTE(PROPER(SUBSTITUTE(TRIM(_xlfn.TEXTSPLIT(us_core_reqs[[#This Row],[Page]],","))," -"," "))&amp;": "&amp;PROPER(SUBSTITUTE(TRIM(_xlfn.TEXTSPLIT(us_core_reqs[[#This Row],[Section]],","))," -"," ")),"Us ","US        
  "),"Uscdi","USCDI"))</f>
        <v>General-Guidance: Contained-Resources</v>
      </c>
      <c r="V180" t="s">
        <v>32</v>
      </c>
      <c r="W180" t="s">
        <v>1171</v>
      </c>
      <c r="X180" t="s">
        <v>207</v>
      </c>
      <c r="Y180" t="s">
        <v>1171</v>
      </c>
      <c r="Z180" t="s">
        <v>1171</v>
      </c>
      <c r="AA180" t="s">
        <v>1171</v>
      </c>
      <c r="AB180" t="s">
        <v>1171</v>
      </c>
      <c r="AC180" t="s">
        <v>1171</v>
      </c>
      <c r="AD180" t="s">
        <v>1171</v>
      </c>
      <c r="AE180" t="s">
        <v>1171</v>
      </c>
    </row>
    <row r="181" spans="1:31" ht="69" thickBot="1" x14ac:dyDescent="0.25">
      <c r="A181" t="s">
        <v>1171</v>
      </c>
      <c r="B181" t="s">
        <v>1353</v>
      </c>
      <c r="C181" t="str">
        <f>"CONF-"&amp;TEXT(us_core_reqs[[#This Row],[ID*]], "0000")</f>
        <v>CONF-0180</v>
      </c>
      <c r="D181" s="11" t="s">
        <v>831</v>
      </c>
      <c r="E181" s="73" t="str" cm="1">
        <f t="array" ref="E181">_xlfn.TEXTJOIN(", ", TRUE, _xlfn.TEXTAFTER(_xlfn.TEXTSPLIT(us_core_reqs[[#This Row],[URL*]], ", "), "/", -1))</f>
        <v>general-guidance.html#contained-resources</v>
      </c>
      <c r="F181" s="11" t="s">
        <v>208</v>
      </c>
      <c r="G181" t="s">
        <v>32</v>
      </c>
      <c r="H181" cm="1">
        <f t="array" ref="H181">_xlfn.SWITCH(G181, "SHALL", 1, "SHOULD", 3, "MAY", 5, "SHOULD-NOT", 4, "SHALL-NOT", 2, "DEPRECATED", 6, 99)</f>
        <v>3</v>
      </c>
      <c r="J181" t="s">
        <v>30</v>
      </c>
      <c r="K181" t="s">
        <v>1171</v>
      </c>
      <c r="L181" t="s">
        <v>1171</v>
      </c>
      <c r="M181" t="s">
        <v>1176</v>
      </c>
      <c r="N181" t="s">
        <v>206</v>
      </c>
      <c r="O181" t="s">
        <v>1171</v>
      </c>
      <c r="P181" t="s">
        <v>1171</v>
      </c>
      <c r="Q181" t="s">
        <v>1171</v>
      </c>
      <c r="R181" t="s">
        <v>1171</v>
      </c>
      <c r="S181" s="70" t="str" cm="1">
        <f t="array" ref="S181">_xlfn.TEXTJOIN(",",TRUE,LEFT(TRIM(_xlfn.TEXTSPLIT(us_core_reqs[[#This Row],[reference]],",")),FIND(".html",TRIM(_xlfn.TEXTSPLIT(us_core_reqs[[#This Row],[reference]],",")))-1))</f>
        <v>general-guidance</v>
      </c>
      <c r="T181" s="70" t="str" cm="1">
        <f t="array" ref="T181">_xlfn.TEXTJOIN(",",TRUE,MID(TRIM(_xlfn.TEXTSPLIT(us_core_reqs[[#This Row],[reference]],",")),FIND("#",TRIM(_xlfn.TEXTSPLIT(us_core_reqs[[#This Row],[reference]],","))&amp;"#")+1,1000))</f>
        <v>contained-resources</v>
      </c>
      <c r="U181" t="str" cm="1">
        <f t="array" ref="U181">_xlfn.TEXTJOIN(", ",TRUE,SUBSTITUTE(SUBSTITUTE(PROPER(SUBSTITUTE(TRIM(_xlfn.TEXTSPLIT(us_core_reqs[[#This Row],[Page]],","))," -"," "))&amp;": "&amp;PROPER(SUBSTITUTE(TRIM(_xlfn.TEXTSPLIT(us_core_reqs[[#This Row],[Section]],","))," -"," ")),"Us ","US        
  "),"Uscdi","USCDI"))</f>
        <v>General-Guidance: Contained-Resources</v>
      </c>
      <c r="V181" t="s">
        <v>1171</v>
      </c>
      <c r="W181" t="s">
        <v>1171</v>
      </c>
      <c r="X181" t="s">
        <v>207</v>
      </c>
      <c r="Y181" t="s">
        <v>1171</v>
      </c>
      <c r="Z181" t="s">
        <v>1171</v>
      </c>
      <c r="AA181" t="s">
        <v>1171</v>
      </c>
      <c r="AB181" t="s">
        <v>1171</v>
      </c>
      <c r="AC181" t="s">
        <v>209</v>
      </c>
      <c r="AD181" t="s">
        <v>1171</v>
      </c>
      <c r="AE181" t="s">
        <v>1171</v>
      </c>
    </row>
    <row r="182" spans="1:31" ht="69" thickBot="1" x14ac:dyDescent="0.25">
      <c r="A182" t="s">
        <v>1171</v>
      </c>
      <c r="B182" t="s">
        <v>1354</v>
      </c>
      <c r="C182" t="str">
        <f>"CONF-"&amp;TEXT(us_core_reqs[[#This Row],[ID*]], "0000")</f>
        <v>CONF-0181</v>
      </c>
      <c r="D182" s="11" t="s">
        <v>832</v>
      </c>
      <c r="E182" s="73" t="str" cm="1">
        <f t="array" ref="E182">_xlfn.TEXTJOIN(", ", TRUE, _xlfn.TEXTAFTER(_xlfn.TEXTSPLIT(us_core_reqs[[#This Row],[URL*]], ", "), "/", -1))</f>
        <v>general-guidance.html#snomed-ct-united-states-edition</v>
      </c>
      <c r="F182" s="11" t="s">
        <v>2186</v>
      </c>
      <c r="G182" t="s">
        <v>35</v>
      </c>
      <c r="H182" cm="1">
        <f t="array" ref="H182">_xlfn.SWITCH(G182, "SHALL", 1, "SHOULD", 3, "MAY", 5, "SHOULD-NOT", 4, "SHALL-NOT", 2, "DEPRECATED", 6, 99)</f>
        <v>5</v>
      </c>
      <c r="J182" t="s">
        <v>30</v>
      </c>
      <c r="K182" t="s">
        <v>1171</v>
      </c>
      <c r="L182" t="s">
        <v>1171</v>
      </c>
      <c r="M182" t="s">
        <v>1176</v>
      </c>
      <c r="N182" t="s">
        <v>211</v>
      </c>
      <c r="O182" t="s">
        <v>1171</v>
      </c>
      <c r="P182" t="s">
        <v>1171</v>
      </c>
      <c r="Q182" t="s">
        <v>1171</v>
      </c>
      <c r="R182" t="s">
        <v>1171</v>
      </c>
      <c r="S182" s="70" t="str" cm="1">
        <f t="array" ref="S182">_xlfn.TEXTJOIN(",",TRUE,LEFT(TRIM(_xlfn.TEXTSPLIT(us_core_reqs[[#This Row],[reference]],",")),FIND(".html",TRIM(_xlfn.TEXTSPLIT(us_core_reqs[[#This Row],[reference]],",")))-1))</f>
        <v>general-guidance</v>
      </c>
      <c r="T182" s="70" t="str" cm="1">
        <f t="array" ref="T182">_xlfn.TEXTJOIN(",",TRUE,MID(TRIM(_xlfn.TEXTSPLIT(us_core_reqs[[#This Row],[reference]],",")),FIND("#",TRIM(_xlfn.TEXTSPLIT(us_core_reqs[[#This Row],[reference]],","))&amp;"#")+1,1000))</f>
        <v>snomed-ct-united-states-edition</v>
      </c>
      <c r="U182" t="str" cm="1">
        <f t="array" ref="U182">_xlfn.TEXTJOIN(", ",TRUE,SUBSTITUTE(SUBSTITUTE(PROPER(SUBSTITUTE(TRIM(_xlfn.TEXTSPLIT(us_core_reqs[[#This Row],[Page]],","))," -"," "))&amp;": "&amp;PROPER(SUBSTITUTE(TRIM(_xlfn.TEXTSPLIT(us_core_reqs[[#This Row],[Section]],","))," -"," ")),"Us ","US        
  "),"Uscdi","USCDI"))</f>
        <v>General-Guidance: Snomed-Ct-United-States-Edition</v>
      </c>
      <c r="V182" t="s">
        <v>35</v>
      </c>
      <c r="W182" t="s">
        <v>1171</v>
      </c>
      <c r="X182" t="s">
        <v>212</v>
      </c>
      <c r="Y182" t="s">
        <v>1171</v>
      </c>
      <c r="Z182" t="s">
        <v>1171</v>
      </c>
      <c r="AA182" t="s">
        <v>1171</v>
      </c>
      <c r="AB182" t="s">
        <v>1171</v>
      </c>
      <c r="AC182" t="s">
        <v>1171</v>
      </c>
      <c r="AD182" t="s">
        <v>1171</v>
      </c>
      <c r="AE182" t="s">
        <v>1171</v>
      </c>
    </row>
    <row r="183" spans="1:31" ht="103" thickBot="1" x14ac:dyDescent="0.25">
      <c r="A183" t="s">
        <v>1171</v>
      </c>
      <c r="B183" t="s">
        <v>1355</v>
      </c>
      <c r="C183" t="str">
        <f>"CONF-"&amp;TEXT(us_core_reqs[[#This Row],[ID*]], "0000")</f>
        <v>CONF-0182</v>
      </c>
      <c r="D183" s="11" t="s">
        <v>832</v>
      </c>
      <c r="E183" s="73" t="str" cm="1">
        <f t="array" ref="E183">_xlfn.TEXTJOIN(", ", TRUE, _xlfn.TEXTAFTER(_xlfn.TEXTSPLIT(us_core_reqs[[#This Row],[URL*]], ", "), "/", -1))</f>
        <v>general-guidance.html#snomed-ct-united-states-edition</v>
      </c>
      <c r="F183" s="11" t="s">
        <v>1918</v>
      </c>
      <c r="G183" t="s">
        <v>32</v>
      </c>
      <c r="H183" cm="1">
        <f t="array" ref="H183">_xlfn.SWITCH(G183, "SHALL", 1, "SHOULD", 3, "MAY", 5, "SHOULD-NOT", 4, "SHALL-NOT", 2, "DEPRECATED", 6, 99)</f>
        <v>3</v>
      </c>
      <c r="J183" t="s">
        <v>30</v>
      </c>
      <c r="K183" t="s">
        <v>1171</v>
      </c>
      <c r="L183" t="s">
        <v>1171</v>
      </c>
      <c r="M183" t="s">
        <v>1173</v>
      </c>
      <c r="N183" t="s">
        <v>1171</v>
      </c>
      <c r="O183" t="s">
        <v>1171</v>
      </c>
      <c r="P183" t="s">
        <v>1171</v>
      </c>
      <c r="Q183" t="s">
        <v>1171</v>
      </c>
      <c r="R183" t="s">
        <v>1171</v>
      </c>
      <c r="S183" s="70" t="str" cm="1">
        <f t="array" ref="S183">_xlfn.TEXTJOIN(",",TRUE,LEFT(TRIM(_xlfn.TEXTSPLIT(us_core_reqs[[#This Row],[reference]],",")),FIND(".html",TRIM(_xlfn.TEXTSPLIT(us_core_reqs[[#This Row],[reference]],",")))-1))</f>
        <v>general-guidance</v>
      </c>
      <c r="T183" s="70" t="str" cm="1">
        <f t="array" ref="T183">_xlfn.TEXTJOIN(",",TRUE,MID(TRIM(_xlfn.TEXTSPLIT(us_core_reqs[[#This Row],[reference]],",")),FIND("#",TRIM(_xlfn.TEXTSPLIT(us_core_reqs[[#This Row],[reference]],","))&amp;"#")+1,1000))</f>
        <v>snomed-ct-united-states-edition</v>
      </c>
      <c r="U183" t="str" cm="1">
        <f t="array" ref="U183">_xlfn.TEXTJOIN(", ",TRUE,SUBSTITUTE(SUBSTITUTE(PROPER(SUBSTITUTE(TRIM(_xlfn.TEXTSPLIT(us_core_reqs[[#This Row],[Page]],","))," -"," "))&amp;": "&amp;PROPER(SUBSTITUTE(TRIM(_xlfn.TEXTSPLIT(us_core_reqs[[#This Row],[Section]],","))," -"," ")),"Us ","US        
  "),"Uscdi","USCDI"))</f>
        <v>General-Guidance: Snomed-Ct-United-States-Edition</v>
      </c>
      <c r="V183" t="s">
        <v>32</v>
      </c>
      <c r="W183" t="s">
        <v>30</v>
      </c>
      <c r="X183" t="s">
        <v>213</v>
      </c>
      <c r="Y183" t="s">
        <v>1171</v>
      </c>
      <c r="Z183" t="s">
        <v>1171</v>
      </c>
      <c r="AA183" t="s">
        <v>1171</v>
      </c>
      <c r="AB183" t="s">
        <v>1171</v>
      </c>
      <c r="AC183" t="s">
        <v>1171</v>
      </c>
      <c r="AD183" t="s">
        <v>1171</v>
      </c>
      <c r="AE183" t="s">
        <v>1171</v>
      </c>
    </row>
    <row r="184" spans="1:31" ht="86" thickBot="1" x14ac:dyDescent="0.25">
      <c r="A184" t="s">
        <v>1171</v>
      </c>
      <c r="B184" t="s">
        <v>1356</v>
      </c>
      <c r="C184" t="str">
        <f>"CONF-"&amp;TEXT(us_core_reqs[[#This Row],[ID*]], "0000")</f>
        <v>CONF-0183</v>
      </c>
      <c r="D184" s="11" t="s">
        <v>833</v>
      </c>
      <c r="E184" s="73" t="str" cm="1">
        <f t="array" ref="E184">_xlfn.TEXTJOIN(", ", TRUE, _xlfn.TEXTAFTER(_xlfn.TEXTSPLIT(us_core_reqs[[#This Row],[URL*]], ", "), "/", -1))</f>
        <v>general-guidance.html#using-ucum-codes-in-the-quantity-datatype</v>
      </c>
      <c r="F184" s="11" t="s">
        <v>214</v>
      </c>
      <c r="G184" t="s">
        <v>32</v>
      </c>
      <c r="H184" cm="1">
        <f t="array" ref="H184">_xlfn.SWITCH(G184, "SHALL", 1, "SHOULD", 3, "MAY", 5, "SHOULD-NOT", 4, "SHALL-NOT", 2, "DEPRECATED", 6, 99)</f>
        <v>3</v>
      </c>
      <c r="I184" t="s">
        <v>1873</v>
      </c>
      <c r="J184" t="s">
        <v>30</v>
      </c>
      <c r="K184" t="s">
        <v>1171</v>
      </c>
      <c r="L184" t="s">
        <v>1171</v>
      </c>
      <c r="M184" t="s">
        <v>1176</v>
      </c>
      <c r="N184" t="s">
        <v>215</v>
      </c>
      <c r="O184" t="s">
        <v>1171</v>
      </c>
      <c r="P184" t="s">
        <v>1171</v>
      </c>
      <c r="Q184" t="s">
        <v>1171</v>
      </c>
      <c r="R184" t="s">
        <v>1171</v>
      </c>
      <c r="S184" s="70" t="str" cm="1">
        <f t="array" ref="S184">_xlfn.TEXTJOIN(",",TRUE,LEFT(TRIM(_xlfn.TEXTSPLIT(us_core_reqs[[#This Row],[reference]],",")),FIND(".html",TRIM(_xlfn.TEXTSPLIT(us_core_reqs[[#This Row],[reference]],",")))-1))</f>
        <v>general-guidance</v>
      </c>
      <c r="T184" s="70" t="str" cm="1">
        <f t="array" ref="T184">_xlfn.TEXTJOIN(",",TRUE,MID(TRIM(_xlfn.TEXTSPLIT(us_core_reqs[[#This Row],[reference]],",")),FIND("#",TRIM(_xlfn.TEXTSPLIT(us_core_reqs[[#This Row],[reference]],","))&amp;"#")+1,1000))</f>
        <v>using-ucum-codes-in-the-quantity-datatype</v>
      </c>
      <c r="U184" t="str" cm="1">
        <f t="array" ref="U184">_xlfn.TEXTJOIN(", ",TRUE,SUBSTITUTE(SUBSTITUTE(PROPER(SUBSTITUTE(TRIM(_xlfn.TEXTSPLIT(us_core_reqs[[#This Row],[Page]],","))," -"," "))&amp;": "&amp;PROPER(SUBSTITUTE(TRIM(_xlfn.TEXTSPLIT(us_core_reqs[[#This Row],[Section]],","))," -"," ")),"Us ","US        
  "),"Uscdi","USCDI"))</f>
        <v>General-Guidance: Using-Ucum-Codes-In-The-Quantity-Datatype</v>
      </c>
      <c r="V184" t="s">
        <v>32</v>
      </c>
      <c r="W184" t="s">
        <v>1171</v>
      </c>
      <c r="X184" t="s">
        <v>216</v>
      </c>
      <c r="Y184" t="s">
        <v>1171</v>
      </c>
      <c r="Z184" t="s">
        <v>1171</v>
      </c>
      <c r="AA184" t="s">
        <v>1171</v>
      </c>
      <c r="AB184" t="s">
        <v>1171</v>
      </c>
      <c r="AC184" t="s">
        <v>1171</v>
      </c>
      <c r="AD184" t="s">
        <v>1171</v>
      </c>
      <c r="AE184" t="s">
        <v>1171</v>
      </c>
    </row>
    <row r="185" spans="1:31" ht="86" thickBot="1" x14ac:dyDescent="0.25">
      <c r="A185" t="s">
        <v>1171</v>
      </c>
      <c r="B185" t="s">
        <v>1357</v>
      </c>
      <c r="C185" t="str">
        <f>"CONF-"&amp;TEXT(us_core_reqs[[#This Row],[ID*]], "0000")</f>
        <v>CONF-0184</v>
      </c>
      <c r="D185" s="11" t="s">
        <v>833</v>
      </c>
      <c r="E185" s="73" t="str" cm="1">
        <f t="array" ref="E185">_xlfn.TEXTJOIN(", ", TRUE, _xlfn.TEXTAFTER(_xlfn.TEXTSPLIT(us_core_reqs[[#This Row],[URL*]], ", "), "/", -1))</f>
        <v>general-guidance.html#using-ucum-codes-in-the-quantity-datatype</v>
      </c>
      <c r="F185" s="11" t="s">
        <v>1919</v>
      </c>
      <c r="G185" t="s">
        <v>32</v>
      </c>
      <c r="H185" cm="1">
        <f t="array" ref="H185">_xlfn.SWITCH(G185, "SHALL", 1, "SHOULD", 3, "MAY", 5, "SHOULD-NOT", 4, "SHALL-NOT", 2, "DEPRECATED", 6, 99)</f>
        <v>3</v>
      </c>
      <c r="J185" t="s">
        <v>30</v>
      </c>
      <c r="K185" t="s">
        <v>1171</v>
      </c>
      <c r="L185" t="s">
        <v>1171</v>
      </c>
      <c r="M185" t="s">
        <v>1176</v>
      </c>
      <c r="N185" t="s">
        <v>215</v>
      </c>
      <c r="O185" t="s">
        <v>1171</v>
      </c>
      <c r="P185" t="s">
        <v>1171</v>
      </c>
      <c r="Q185" t="s">
        <v>1171</v>
      </c>
      <c r="R185" t="s">
        <v>1171</v>
      </c>
      <c r="S185" s="70" t="str" cm="1">
        <f t="array" ref="S185">_xlfn.TEXTJOIN(",",TRUE,LEFT(TRIM(_xlfn.TEXTSPLIT(us_core_reqs[[#This Row],[reference]],",")),FIND(".html",TRIM(_xlfn.TEXTSPLIT(us_core_reqs[[#This Row],[reference]],",")))-1))</f>
        <v>general-guidance</v>
      </c>
      <c r="T185" s="70" t="str" cm="1">
        <f t="array" ref="T185">_xlfn.TEXTJOIN(",",TRUE,MID(TRIM(_xlfn.TEXTSPLIT(us_core_reqs[[#This Row],[reference]],",")),FIND("#",TRIM(_xlfn.TEXTSPLIT(us_core_reqs[[#This Row],[reference]],","))&amp;"#")+1,1000))</f>
        <v>using-ucum-codes-in-the-quantity-datatype</v>
      </c>
      <c r="U185" t="str" cm="1">
        <f t="array" ref="U185">_xlfn.TEXTJOIN(", ",TRUE,SUBSTITUTE(SUBSTITUTE(PROPER(SUBSTITUTE(TRIM(_xlfn.TEXTSPLIT(us_core_reqs[[#This Row],[Page]],","))," -"," "))&amp;": "&amp;PROPER(SUBSTITUTE(TRIM(_xlfn.TEXTSPLIT(us_core_reqs[[#This Row],[Section]],","))," -"," ")),"Us ","US        
  "),"Uscdi","USCDI"))</f>
        <v>General-Guidance: Using-Ucum-Codes-In-The-Quantity-Datatype</v>
      </c>
      <c r="V185" t="s">
        <v>32</v>
      </c>
      <c r="W185" t="s">
        <v>1171</v>
      </c>
      <c r="X185" t="s">
        <v>218</v>
      </c>
      <c r="Y185" t="s">
        <v>1171</v>
      </c>
      <c r="Z185" t="s">
        <v>1171</v>
      </c>
      <c r="AA185" t="s">
        <v>1171</v>
      </c>
      <c r="AB185" t="s">
        <v>1171</v>
      </c>
      <c r="AC185" t="s">
        <v>209</v>
      </c>
      <c r="AD185" t="s">
        <v>1171</v>
      </c>
      <c r="AE185" t="s">
        <v>1171</v>
      </c>
    </row>
    <row r="186" spans="1:31" ht="69" thickBot="1" x14ac:dyDescent="0.25">
      <c r="A186" t="s">
        <v>1171</v>
      </c>
      <c r="B186" t="s">
        <v>1358</v>
      </c>
      <c r="C186" t="str">
        <f>"CONF-"&amp;TEXT(us_core_reqs[[#This Row],[ID*]], "0000")</f>
        <v>CONF-0185</v>
      </c>
      <c r="D186" s="11" t="s">
        <v>833</v>
      </c>
      <c r="E186" s="73" t="str" cm="1">
        <f t="array" ref="E186">_xlfn.TEXTJOIN(", ", TRUE, _xlfn.TEXTAFTER(_xlfn.TEXTSPLIT(us_core_reqs[[#This Row],[URL*]], ", "), "/", -1))</f>
        <v>general-guidance.html#using-ucum-codes-in-the-quantity-datatype</v>
      </c>
      <c r="F186" s="11" t="s">
        <v>219</v>
      </c>
      <c r="G186" t="s">
        <v>32</v>
      </c>
      <c r="H186" cm="1">
        <f t="array" ref="H186">_xlfn.SWITCH(G186, "SHALL", 1, "SHOULD", 3, "MAY", 5, "SHOULD-NOT", 4, "SHALL-NOT", 2, "DEPRECATED", 6, 99)</f>
        <v>3</v>
      </c>
      <c r="J186" t="s">
        <v>30</v>
      </c>
      <c r="K186" t="s">
        <v>1171</v>
      </c>
      <c r="L186" t="s">
        <v>1171</v>
      </c>
      <c r="M186" t="s">
        <v>1176</v>
      </c>
      <c r="N186" t="s">
        <v>220</v>
      </c>
      <c r="O186" t="s">
        <v>1171</v>
      </c>
      <c r="P186" t="s">
        <v>1171</v>
      </c>
      <c r="Q186" t="s">
        <v>1171</v>
      </c>
      <c r="R186" t="s">
        <v>1171</v>
      </c>
      <c r="S186" s="70" t="str" cm="1">
        <f t="array" ref="S186">_xlfn.TEXTJOIN(",",TRUE,LEFT(TRIM(_xlfn.TEXTSPLIT(us_core_reqs[[#This Row],[reference]],",")),FIND(".html",TRIM(_xlfn.TEXTSPLIT(us_core_reqs[[#This Row],[reference]],",")))-1))</f>
        <v>general-guidance</v>
      </c>
      <c r="T186" s="70" t="str" cm="1">
        <f t="array" ref="T186">_xlfn.TEXTJOIN(",",TRUE,MID(TRIM(_xlfn.TEXTSPLIT(us_core_reqs[[#This Row],[reference]],",")),FIND("#",TRIM(_xlfn.TEXTSPLIT(us_core_reqs[[#This Row],[reference]],","))&amp;"#")+1,1000))</f>
        <v>using-ucum-codes-in-the-quantity-datatype</v>
      </c>
      <c r="U186" t="str" cm="1">
        <f t="array" ref="U186">_xlfn.TEXTJOIN(", ",TRUE,SUBSTITUTE(SUBSTITUTE(PROPER(SUBSTITUTE(TRIM(_xlfn.TEXTSPLIT(us_core_reqs[[#This Row],[Page]],","))," -"," "))&amp;": "&amp;PROPER(SUBSTITUTE(TRIM(_xlfn.TEXTSPLIT(us_core_reqs[[#This Row],[Section]],","))," -"," ")),"Us ","US        
  "),"Uscdi","USCDI"))</f>
        <v>General-Guidance: Using-Ucum-Codes-In-The-Quantity-Datatype</v>
      </c>
      <c r="V186" t="s">
        <v>1171</v>
      </c>
      <c r="W186" t="s">
        <v>1171</v>
      </c>
      <c r="X186" t="s">
        <v>218</v>
      </c>
      <c r="Y186" t="s">
        <v>1171</v>
      </c>
      <c r="Z186" t="s">
        <v>1171</v>
      </c>
      <c r="AA186" t="s">
        <v>1171</v>
      </c>
      <c r="AB186" t="s">
        <v>1171</v>
      </c>
      <c r="AC186" t="s">
        <v>209</v>
      </c>
      <c r="AD186" t="s">
        <v>1171</v>
      </c>
      <c r="AE186" t="s">
        <v>1171</v>
      </c>
    </row>
    <row r="187" spans="1:31" ht="35" thickBot="1" x14ac:dyDescent="0.25">
      <c r="A187" t="s">
        <v>1171</v>
      </c>
      <c r="B187" t="s">
        <v>1359</v>
      </c>
      <c r="C187" t="str">
        <f>"CONF-"&amp;TEXT(us_core_reqs[[#This Row],[ID*]], "0000")</f>
        <v>CONF-0186</v>
      </c>
      <c r="D187" s="11" t="s">
        <v>833</v>
      </c>
      <c r="E187" s="73" t="str" cm="1">
        <f t="array" ref="E187">_xlfn.TEXTJOIN(", ", TRUE, _xlfn.TEXTAFTER(_xlfn.TEXTSPLIT(us_core_reqs[[#This Row],[URL*]], ", "), "/", -1))</f>
        <v>general-guidance.html#using-ucum-codes-in-the-quantity-datatype</v>
      </c>
      <c r="F187" s="11" t="s">
        <v>2024</v>
      </c>
      <c r="G187" t="s">
        <v>1834</v>
      </c>
      <c r="H187" cm="1">
        <f t="array" ref="H187">_xlfn.SWITCH(G187, "SHALL", 1, "SHOULD", 3, "MAY", 5, "SHOULD-NOT", 4, "SHALL-NOT", 2, "DEPRECATED", 6, 99)</f>
        <v>4</v>
      </c>
      <c r="J187" t="s">
        <v>30</v>
      </c>
      <c r="K187" t="s">
        <v>1171</v>
      </c>
      <c r="L187" t="s">
        <v>1171</v>
      </c>
      <c r="M187" t="s">
        <v>1176</v>
      </c>
      <c r="N187" t="s">
        <v>222</v>
      </c>
      <c r="O187" t="s">
        <v>1171</v>
      </c>
      <c r="P187" t="s">
        <v>1171</v>
      </c>
      <c r="Q187" t="s">
        <v>1171</v>
      </c>
      <c r="R187" t="s">
        <v>1171</v>
      </c>
      <c r="S187" s="70" t="str" cm="1">
        <f t="array" ref="S187">_xlfn.TEXTJOIN(",",TRUE,LEFT(TRIM(_xlfn.TEXTSPLIT(us_core_reqs[[#This Row],[reference]],",")),FIND(".html",TRIM(_xlfn.TEXTSPLIT(us_core_reqs[[#This Row],[reference]],",")))-1))</f>
        <v>general-guidance</v>
      </c>
      <c r="T187" s="70" t="str" cm="1">
        <f t="array" ref="T187">_xlfn.TEXTJOIN(",",TRUE,MID(TRIM(_xlfn.TEXTSPLIT(us_core_reqs[[#This Row],[reference]],",")),FIND("#",TRIM(_xlfn.TEXTSPLIT(us_core_reqs[[#This Row],[reference]],","))&amp;"#")+1,1000))</f>
        <v>using-ucum-codes-in-the-quantity-datatype</v>
      </c>
      <c r="U187" t="str" cm="1">
        <f t="array" ref="U187">_xlfn.TEXTJOIN(", ",TRUE,SUBSTITUTE(SUBSTITUTE(PROPER(SUBSTITUTE(TRIM(_xlfn.TEXTSPLIT(us_core_reqs[[#This Row],[Page]],","))," -"," "))&amp;": "&amp;PROPER(SUBSTITUTE(TRIM(_xlfn.TEXTSPLIT(us_core_reqs[[#This Row],[Section]],","))," -"," ")),"Us ","US        
  "),"Uscdi","USCDI"))</f>
        <v>General-Guidance: Using-Ucum-Codes-In-The-Quantity-Datatype</v>
      </c>
      <c r="V187" t="s">
        <v>32</v>
      </c>
      <c r="W187" t="s">
        <v>1171</v>
      </c>
      <c r="X187" t="s">
        <v>218</v>
      </c>
      <c r="Y187" t="s">
        <v>1171</v>
      </c>
      <c r="Z187" t="s">
        <v>1171</v>
      </c>
      <c r="AA187" t="s">
        <v>1171</v>
      </c>
      <c r="AB187" t="s">
        <v>1171</v>
      </c>
      <c r="AC187" t="s">
        <v>209</v>
      </c>
      <c r="AD187" t="s">
        <v>1171</v>
      </c>
      <c r="AE187" t="s">
        <v>1171</v>
      </c>
    </row>
    <row r="188" spans="1:31" ht="52" thickBot="1" x14ac:dyDescent="0.25">
      <c r="A188" t="s">
        <v>1171</v>
      </c>
      <c r="B188" t="s">
        <v>1360</v>
      </c>
      <c r="C188" t="str">
        <f>"CONF-"&amp;TEXT(us_core_reqs[[#This Row],[ID*]], "0000")</f>
        <v>CONF-0187</v>
      </c>
      <c r="D188" s="11" t="s">
        <v>2218</v>
      </c>
      <c r="E188" s="73" t="str" cm="1">
        <f t="array" ref="E188">_xlfn.TEXTJOIN(", ", TRUE, _xlfn.TEXTAFTER(_xlfn.TEXTSPLIT(us_core_reqs[[#This Row],[URL*]], ", "), "/", -1))</f>
        <v>general-guidance.html#representing-deleted-and-entered-in-error-information</v>
      </c>
      <c r="F188" s="11" t="s">
        <v>1920</v>
      </c>
      <c r="G188" t="s">
        <v>1834</v>
      </c>
      <c r="H188" cm="1">
        <f t="array" ref="H188">_xlfn.SWITCH(G188, "SHALL", 1, "SHOULD", 3, "MAY", 5, "SHOULD-NOT", 4, "SHALL-NOT", 2, "DEPRECATED", 6, 99)</f>
        <v>4</v>
      </c>
      <c r="I188" s="77" t="s">
        <v>1875</v>
      </c>
      <c r="J188" t="s">
        <v>30</v>
      </c>
      <c r="K188" t="s">
        <v>1171</v>
      </c>
      <c r="L188" t="s">
        <v>1171</v>
      </c>
      <c r="M188" t="s">
        <v>1173</v>
      </c>
      <c r="N188" t="s">
        <v>1171</v>
      </c>
      <c r="O188" t="s">
        <v>1171</v>
      </c>
      <c r="P188" t="s">
        <v>1171</v>
      </c>
      <c r="Q188" t="s">
        <v>1171</v>
      </c>
      <c r="R188" t="s">
        <v>1171</v>
      </c>
      <c r="S188" s="70" t="str" cm="1">
        <f t="array" ref="S188">_xlfn.TEXTJOIN(",",TRUE,LEFT(TRIM(_xlfn.TEXTSPLIT(us_core_reqs[[#This Row],[reference]],",")),FIND(".html",TRIM(_xlfn.TEXTSPLIT(us_core_reqs[[#This Row],[reference]],",")))-1))</f>
        <v>general-guidance</v>
      </c>
      <c r="T188" s="70" t="str" cm="1">
        <f t="array" ref="T188">_xlfn.TEXTJOIN(",",TRUE,MID(TRIM(_xlfn.TEXTSPLIT(us_core_reqs[[#This Row],[reference]],",")),FIND("#",TRIM(_xlfn.TEXTSPLIT(us_core_reqs[[#This Row],[reference]],","))&amp;"#")+1,1000))</f>
        <v>representing-deleted-and-entered-in-error-information</v>
      </c>
      <c r="U188"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t="s">
        <v>32</v>
      </c>
      <c r="W188" t="s">
        <v>30</v>
      </c>
      <c r="X188" t="s">
        <v>218</v>
      </c>
      <c r="Y188" t="s">
        <v>1171</v>
      </c>
      <c r="Z188" t="s">
        <v>1171</v>
      </c>
      <c r="AA188" t="s">
        <v>1171</v>
      </c>
      <c r="AB188" t="s">
        <v>1171</v>
      </c>
      <c r="AC188" t="s">
        <v>1171</v>
      </c>
      <c r="AD188" t="s">
        <v>1171</v>
      </c>
      <c r="AE188" t="s">
        <v>1171</v>
      </c>
    </row>
    <row r="189" spans="1:31" ht="52" thickBot="1" x14ac:dyDescent="0.25">
      <c r="A189" t="s">
        <v>1171</v>
      </c>
      <c r="B189" t="s">
        <v>1361</v>
      </c>
      <c r="C189" t="str">
        <f>"CONF-"&amp;TEXT(us_core_reqs[[#This Row],[ID*]], "0000")</f>
        <v>CONF-0188</v>
      </c>
      <c r="D189" s="11" t="s">
        <v>2218</v>
      </c>
      <c r="E189" s="73" t="str" cm="1">
        <f t="array" ref="E189">_xlfn.TEXTJOIN(", ", TRUE, _xlfn.TEXTAFTER(_xlfn.TEXTSPLIT(us_core_reqs[[#This Row],[URL*]], ", "), "/", -1))</f>
        <v>general-guidance.html#representing-deleted-and-entered-in-error-information</v>
      </c>
      <c r="F189" s="11" t="s">
        <v>1921</v>
      </c>
      <c r="G189" t="s">
        <v>32</v>
      </c>
      <c r="H189" cm="1">
        <f t="array" ref="H189">_xlfn.SWITCH(G189, "SHALL", 1, "SHOULD", 3, "MAY", 5, "SHOULD-NOT", 4, "SHALL-NOT", 2, "DEPRECATED", 6, 99)</f>
        <v>3</v>
      </c>
      <c r="J189" t="s">
        <v>30</v>
      </c>
      <c r="K189" t="s">
        <v>1171</v>
      </c>
      <c r="L189" t="s">
        <v>1171</v>
      </c>
      <c r="M189" t="s">
        <v>1173</v>
      </c>
      <c r="N189" t="s">
        <v>1171</v>
      </c>
      <c r="O189" t="s">
        <v>1171</v>
      </c>
      <c r="P189" t="s">
        <v>1171</v>
      </c>
      <c r="Q189" t="s">
        <v>1171</v>
      </c>
      <c r="R189" t="s">
        <v>1171</v>
      </c>
      <c r="S189" s="70" t="str" cm="1">
        <f t="array" ref="S189">_xlfn.TEXTJOIN(",",TRUE,LEFT(TRIM(_xlfn.TEXTSPLIT(us_core_reqs[[#This Row],[reference]],",")),FIND(".html",TRIM(_xlfn.TEXTSPLIT(us_core_reqs[[#This Row],[reference]],",")))-1))</f>
        <v>general-guidance</v>
      </c>
      <c r="T189" s="70" t="str" cm="1">
        <f t="array" ref="T189">_xlfn.TEXTJOIN(",",TRUE,MID(TRIM(_xlfn.TEXTSPLIT(us_core_reqs[[#This Row],[reference]],",")),FIND("#",TRIM(_xlfn.TEXTSPLIT(us_core_reqs[[#This Row],[reference]],","))&amp;"#")+1,1000))</f>
        <v>representing-deleted-and-entered-in-error-information</v>
      </c>
      <c r="U189"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t="s">
        <v>32</v>
      </c>
      <c r="W189" t="s">
        <v>30</v>
      </c>
      <c r="X189" t="s">
        <v>218</v>
      </c>
      <c r="Y189" t="s">
        <v>1171</v>
      </c>
      <c r="Z189" t="s">
        <v>1171</v>
      </c>
      <c r="AA189" t="s">
        <v>1171</v>
      </c>
      <c r="AB189" t="s">
        <v>1171</v>
      </c>
      <c r="AC189" t="s">
        <v>1171</v>
      </c>
      <c r="AD189" t="s">
        <v>1171</v>
      </c>
      <c r="AE189" t="s">
        <v>1171</v>
      </c>
    </row>
    <row r="190" spans="1:31" ht="69" thickBot="1" x14ac:dyDescent="0.25">
      <c r="A190" t="s">
        <v>1171</v>
      </c>
      <c r="B190" t="s">
        <v>1362</v>
      </c>
      <c r="C190" t="str">
        <f>"CONF-"&amp;TEXT(us_core_reqs[[#This Row],[ID*]], "0000")</f>
        <v>CONF-0189</v>
      </c>
      <c r="D190" s="11" t="s">
        <v>2218</v>
      </c>
      <c r="E190" s="73" t="str" cm="1">
        <f t="array" ref="E190">_xlfn.TEXTJOIN(", ", TRUE, _xlfn.TEXTAFTER(_xlfn.TEXTSPLIT(us_core_reqs[[#This Row],[URL*]], ", "), "/", -1))</f>
        <v>general-guidance.html#representing-deleted-and-entered-in-error-information</v>
      </c>
      <c r="F190" s="11" t="s">
        <v>1922</v>
      </c>
      <c r="G190" t="s">
        <v>32</v>
      </c>
      <c r="H190" cm="1">
        <f t="array" ref="H190">_xlfn.SWITCH(G190, "SHALL", 1, "SHOULD", 3, "MAY", 5, "SHOULD-NOT", 4, "SHALL-NOT", 2, "DEPRECATED", 6, 99)</f>
        <v>3</v>
      </c>
      <c r="J190" t="s">
        <v>30</v>
      </c>
      <c r="K190" t="s">
        <v>1171</v>
      </c>
      <c r="L190" t="s">
        <v>1171</v>
      </c>
      <c r="M190" t="s">
        <v>1176</v>
      </c>
      <c r="N190" t="s">
        <v>225</v>
      </c>
      <c r="O190" t="s">
        <v>1171</v>
      </c>
      <c r="P190" t="s">
        <v>1171</v>
      </c>
      <c r="Q190" t="s">
        <v>1171</v>
      </c>
      <c r="R190" t="s">
        <v>1171</v>
      </c>
      <c r="S190" s="70" t="str" cm="1">
        <f t="array" ref="S190">_xlfn.TEXTJOIN(",",TRUE,LEFT(TRIM(_xlfn.TEXTSPLIT(us_core_reqs[[#This Row],[reference]],",")),FIND(".html",TRIM(_xlfn.TEXTSPLIT(us_core_reqs[[#This Row],[reference]],",")))-1))</f>
        <v>general-guidance</v>
      </c>
      <c r="T190" s="70" t="str" cm="1">
        <f t="array" ref="T190">_xlfn.TEXTJOIN(",",TRUE,MID(TRIM(_xlfn.TEXTSPLIT(us_core_reqs[[#This Row],[reference]],",")),FIND("#",TRIM(_xlfn.TEXTSPLIT(us_core_reqs[[#This Row],[reference]],","))&amp;"#")+1,1000))</f>
        <v>representing-deleted-and-entered-in-error-information</v>
      </c>
      <c r="U190"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t="s">
        <v>32</v>
      </c>
      <c r="W190" t="s">
        <v>1171</v>
      </c>
      <c r="X190" t="s">
        <v>226</v>
      </c>
      <c r="Y190" t="s">
        <v>1171</v>
      </c>
      <c r="Z190" t="s">
        <v>1171</v>
      </c>
      <c r="AA190" t="s">
        <v>1171</v>
      </c>
      <c r="AB190" t="s">
        <v>1171</v>
      </c>
      <c r="AC190" t="s">
        <v>1171</v>
      </c>
      <c r="AD190" t="s">
        <v>1171</v>
      </c>
      <c r="AE190" t="s">
        <v>1171</v>
      </c>
    </row>
    <row r="191" spans="1:31" ht="52" thickBot="1" x14ac:dyDescent="0.25">
      <c r="A191" t="s">
        <v>1171</v>
      </c>
      <c r="B191" t="s">
        <v>1363</v>
      </c>
      <c r="C191" t="str">
        <f>"CONF-"&amp;TEXT(us_core_reqs[[#This Row],[ID*]], "0000")</f>
        <v>CONF-0190</v>
      </c>
      <c r="D191" s="11" t="s">
        <v>2218</v>
      </c>
      <c r="E191" s="73" t="str" cm="1">
        <f t="array" ref="E191">_xlfn.TEXTJOIN(", ", TRUE, _xlfn.TEXTAFTER(_xlfn.TEXTSPLIT(us_core_reqs[[#This Row],[URL*]], ", "), "/", -1))</f>
        <v>general-guidance.html#representing-deleted-and-entered-in-error-information</v>
      </c>
      <c r="F191" s="11" t="s">
        <v>1923</v>
      </c>
      <c r="G191" t="s">
        <v>32</v>
      </c>
      <c r="H191" cm="1">
        <f t="array" ref="H191">_xlfn.SWITCH(G191, "SHALL", 1, "SHOULD", 3, "MAY", 5, "SHOULD-NOT", 4, "SHALL-NOT", 2, "DEPRECATED", 6, 99)</f>
        <v>3</v>
      </c>
      <c r="J191" t="s">
        <v>30</v>
      </c>
      <c r="K191" t="s">
        <v>1171</v>
      </c>
      <c r="L191" t="s">
        <v>1171</v>
      </c>
      <c r="M191" t="s">
        <v>1176</v>
      </c>
      <c r="N191" t="s">
        <v>227</v>
      </c>
      <c r="O191" t="s">
        <v>1171</v>
      </c>
      <c r="P191" t="s">
        <v>1171</v>
      </c>
      <c r="Q191" t="s">
        <v>1171</v>
      </c>
      <c r="R191" t="s">
        <v>1171</v>
      </c>
      <c r="S191" s="70" t="str" cm="1">
        <f t="array" ref="S191">_xlfn.TEXTJOIN(",",TRUE,LEFT(TRIM(_xlfn.TEXTSPLIT(us_core_reqs[[#This Row],[reference]],",")),FIND(".html",TRIM(_xlfn.TEXTSPLIT(us_core_reqs[[#This Row],[reference]],",")))-1))</f>
        <v>general-guidance</v>
      </c>
      <c r="T191" s="70" t="str" cm="1">
        <f t="array" ref="T191">_xlfn.TEXTJOIN(",",TRUE,MID(TRIM(_xlfn.TEXTSPLIT(us_core_reqs[[#This Row],[reference]],",")),FIND("#",TRIM(_xlfn.TEXTSPLIT(us_core_reqs[[#This Row],[reference]],","))&amp;"#")+1,1000))</f>
        <v>representing-deleted-and-entered-in-error-information</v>
      </c>
      <c r="U191"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t="s">
        <v>32</v>
      </c>
      <c r="W191" t="s">
        <v>30</v>
      </c>
      <c r="X191" t="s">
        <v>226</v>
      </c>
      <c r="Y191" t="s">
        <v>1171</v>
      </c>
      <c r="Z191" t="s">
        <v>1171</v>
      </c>
      <c r="AA191" t="s">
        <v>1171</v>
      </c>
      <c r="AB191" t="s">
        <v>1171</v>
      </c>
      <c r="AC191" t="s">
        <v>1171</v>
      </c>
      <c r="AD191" t="s">
        <v>1171</v>
      </c>
      <c r="AE191" t="s">
        <v>1171</v>
      </c>
    </row>
    <row r="192" spans="1:31" ht="86" thickBot="1" x14ac:dyDescent="0.25">
      <c r="A192" t="s">
        <v>1171</v>
      </c>
      <c r="B192" t="s">
        <v>1364</v>
      </c>
      <c r="C192" t="str">
        <f>"CONF-"&amp;TEXT(us_core_reqs[[#This Row],[ID*]], "0000")</f>
        <v>CONF-0191</v>
      </c>
      <c r="D192" s="11" t="s">
        <v>2218</v>
      </c>
      <c r="E192" s="73" t="str" cm="1">
        <f t="array" ref="E192">_xlfn.TEXTJOIN(", ", TRUE, _xlfn.TEXTAFTER(_xlfn.TEXTSPLIT(us_core_reqs[[#This Row],[URL*]], ", "), "/", -1))</f>
        <v>general-guidance.html#representing-deleted-and-entered-in-error-information</v>
      </c>
      <c r="F192" s="11" t="s">
        <v>1924</v>
      </c>
      <c r="G192" t="s">
        <v>32</v>
      </c>
      <c r="H192" cm="1">
        <f t="array" ref="H192">_xlfn.SWITCH(G192, "SHALL", 1, "SHOULD", 3, "MAY", 5, "SHOULD-NOT", 4, "SHALL-NOT", 2, "DEPRECATED", 6, 99)</f>
        <v>3</v>
      </c>
      <c r="J192" t="s">
        <v>30</v>
      </c>
      <c r="K192" t="s">
        <v>1171</v>
      </c>
      <c r="L192" t="s">
        <v>1171</v>
      </c>
      <c r="M192" t="s">
        <v>1176</v>
      </c>
      <c r="N192" t="s">
        <v>227</v>
      </c>
      <c r="O192" t="s">
        <v>1171</v>
      </c>
      <c r="P192" t="s">
        <v>1171</v>
      </c>
      <c r="Q192" t="s">
        <v>1171</v>
      </c>
      <c r="R192" t="s">
        <v>1171</v>
      </c>
      <c r="S192" s="70" t="str" cm="1">
        <f t="array" ref="S192">_xlfn.TEXTJOIN(",",TRUE,LEFT(TRIM(_xlfn.TEXTSPLIT(us_core_reqs[[#This Row],[reference]],",")),FIND(".html",TRIM(_xlfn.TEXTSPLIT(us_core_reqs[[#This Row],[reference]],",")))-1))</f>
        <v>general-guidance</v>
      </c>
      <c r="T192" s="70" t="str" cm="1">
        <f t="array" ref="T192">_xlfn.TEXTJOIN(",",TRUE,MID(TRIM(_xlfn.TEXTSPLIT(us_core_reqs[[#This Row],[reference]],",")),FIND("#",TRIM(_xlfn.TEXTSPLIT(us_core_reqs[[#This Row],[reference]],","))&amp;"#")+1,1000))</f>
        <v>representing-deleted-and-entered-in-error-information</v>
      </c>
      <c r="U192"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t="s">
        <v>32</v>
      </c>
      <c r="W192" t="s">
        <v>30</v>
      </c>
      <c r="X192" t="s">
        <v>228</v>
      </c>
      <c r="Y192" t="s">
        <v>1171</v>
      </c>
      <c r="Z192" t="s">
        <v>1171</v>
      </c>
      <c r="AA192" t="s">
        <v>1171</v>
      </c>
      <c r="AB192" t="s">
        <v>1171</v>
      </c>
      <c r="AC192" t="s">
        <v>1171</v>
      </c>
      <c r="AD192" t="s">
        <v>1171</v>
      </c>
      <c r="AE192" t="s">
        <v>1171</v>
      </c>
    </row>
    <row r="193" spans="1:31" ht="120" thickBot="1" x14ac:dyDescent="0.25">
      <c r="A193" t="s">
        <v>1171</v>
      </c>
      <c r="B193" t="s">
        <v>1365</v>
      </c>
      <c r="C193" t="str">
        <f>"CONF-"&amp;TEXT(us_core_reqs[[#This Row],[ID*]], "0000")</f>
        <v>CONF-0192</v>
      </c>
      <c r="D193" s="11" t="s">
        <v>2218</v>
      </c>
      <c r="E193" s="73" t="str" cm="1">
        <f t="array" ref="E193">_xlfn.TEXTJOIN(", ", TRUE, _xlfn.TEXTAFTER(_xlfn.TEXTSPLIT(us_core_reqs[[#This Row],[URL*]], ", "), "/", -1))</f>
        <v>general-guidance.html#representing-deleted-and-entered-in-error-information</v>
      </c>
      <c r="F193" s="11" t="s">
        <v>999</v>
      </c>
      <c r="G193" t="s">
        <v>35</v>
      </c>
      <c r="H193" cm="1">
        <f t="array" ref="H193">_xlfn.SWITCH(G193, "SHALL", 1, "SHOULD", 3, "MAY", 5, "SHOULD-NOT", 4, "SHALL-NOT", 2, "DEPRECATED", 6, 99)</f>
        <v>5</v>
      </c>
      <c r="J193" t="s">
        <v>30</v>
      </c>
      <c r="K193" t="s">
        <v>1171</v>
      </c>
      <c r="L193" t="s">
        <v>1171</v>
      </c>
      <c r="M193" t="s">
        <v>1176</v>
      </c>
      <c r="N193" t="s">
        <v>227</v>
      </c>
      <c r="O193" t="s">
        <v>1171</v>
      </c>
      <c r="P193" t="s">
        <v>1171</v>
      </c>
      <c r="Q193" t="s">
        <v>1171</v>
      </c>
      <c r="R193" t="s">
        <v>1171</v>
      </c>
      <c r="S193" s="70" t="str" cm="1">
        <f t="array" ref="S193">_xlfn.TEXTJOIN(",",TRUE,LEFT(TRIM(_xlfn.TEXTSPLIT(us_core_reqs[[#This Row],[reference]],",")),FIND(".html",TRIM(_xlfn.TEXTSPLIT(us_core_reqs[[#This Row],[reference]],",")))-1))</f>
        <v>general-guidance</v>
      </c>
      <c r="T193" s="70" t="str" cm="1">
        <f t="array" ref="T193">_xlfn.TEXTJOIN(",",TRUE,MID(TRIM(_xlfn.TEXTSPLIT(us_core_reqs[[#This Row],[reference]],",")),FIND("#",TRIM(_xlfn.TEXTSPLIT(us_core_reqs[[#This Row],[reference]],","))&amp;"#")+1,1000))</f>
        <v>representing-deleted-and-entered-in-error-information</v>
      </c>
      <c r="U193"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t="s">
        <v>35</v>
      </c>
      <c r="W193" t="s">
        <v>30</v>
      </c>
      <c r="X193" t="s">
        <v>229</v>
      </c>
      <c r="Y193" t="s">
        <v>1171</v>
      </c>
      <c r="Z193" t="s">
        <v>1171</v>
      </c>
      <c r="AA193" t="s">
        <v>1171</v>
      </c>
      <c r="AB193" t="s">
        <v>1171</v>
      </c>
      <c r="AC193" t="s">
        <v>1171</v>
      </c>
      <c r="AD193" t="s">
        <v>1171</v>
      </c>
      <c r="AE193" t="s">
        <v>1171</v>
      </c>
    </row>
    <row r="194" spans="1:31" ht="52" thickBot="1" x14ac:dyDescent="0.25">
      <c r="A194" t="s">
        <v>1171</v>
      </c>
      <c r="B194" t="s">
        <v>1366</v>
      </c>
      <c r="C194" t="str">
        <f>"CONF-"&amp;TEXT(us_core_reqs[[#This Row],[ID*]], "0000")</f>
        <v>CONF-0193</v>
      </c>
      <c r="D194" s="11" t="s">
        <v>837</v>
      </c>
      <c r="E194" s="73" t="str" cm="1">
        <f t="array" ref="E194">_xlfn.TEXTJOIN(", ", TRUE, _xlfn.TEXTAFTER(_xlfn.TEXTSPLIT(us_core_reqs[[#This Row],[URL*]], ", "), "/", -1))</f>
        <v>general-guidance.html#language-support</v>
      </c>
      <c r="F194" s="11" t="s">
        <v>1925</v>
      </c>
      <c r="G194" t="s">
        <v>32</v>
      </c>
      <c r="H194" cm="1">
        <f t="array" ref="H194">_xlfn.SWITCH(G194, "SHALL", 1, "SHOULD", 3, "MAY", 5, "SHOULD-NOT", 4, "SHALL-NOT", 2, "DEPRECATED", 6, 99)</f>
        <v>3</v>
      </c>
      <c r="J194" t="s">
        <v>30</v>
      </c>
      <c r="K194" t="s">
        <v>1171</v>
      </c>
      <c r="L194" t="s">
        <v>1171</v>
      </c>
      <c r="M194" t="s">
        <v>1173</v>
      </c>
      <c r="N194" t="s">
        <v>1171</v>
      </c>
      <c r="O194" t="s">
        <v>1171</v>
      </c>
      <c r="P194" t="s">
        <v>1171</v>
      </c>
      <c r="Q194" t="s">
        <v>1171</v>
      </c>
      <c r="R194" t="s">
        <v>1171</v>
      </c>
      <c r="S194" s="70" t="str" cm="1">
        <f t="array" ref="S194">_xlfn.TEXTJOIN(",",TRUE,LEFT(TRIM(_xlfn.TEXTSPLIT(us_core_reqs[[#This Row],[reference]],",")),FIND(".html",TRIM(_xlfn.TEXTSPLIT(us_core_reqs[[#This Row],[reference]],",")))-1))</f>
        <v>general-guidance</v>
      </c>
      <c r="T194" s="70" t="str" cm="1">
        <f t="array" ref="T194">_xlfn.TEXTJOIN(",",TRUE,MID(TRIM(_xlfn.TEXTSPLIT(us_core_reqs[[#This Row],[reference]],",")),FIND("#",TRIM(_xlfn.TEXTSPLIT(us_core_reqs[[#This Row],[reference]],","))&amp;"#")+1,1000))</f>
        <v>language-support</v>
      </c>
      <c r="U194" t="str" cm="1">
        <f t="array" ref="U194">_xlfn.TEXTJOIN(", ",TRUE,SUBSTITUTE(SUBSTITUTE(PROPER(SUBSTITUTE(TRIM(_xlfn.TEXTSPLIT(us_core_reqs[[#This Row],[Page]],","))," -"," "))&amp;": "&amp;PROPER(SUBSTITUTE(TRIM(_xlfn.TEXTSPLIT(us_core_reqs[[#This Row],[Section]],","))," -"," ")),"Us ","US        
  "),"Uscdi","USCDI"))</f>
        <v>General-Guidance: Language-Support</v>
      </c>
      <c r="V194" t="s">
        <v>32</v>
      </c>
      <c r="W194" t="s">
        <v>1171</v>
      </c>
      <c r="X194" t="s">
        <v>229</v>
      </c>
      <c r="Y194" t="s">
        <v>1171</v>
      </c>
      <c r="Z194" t="s">
        <v>1171</v>
      </c>
      <c r="AA194" t="s">
        <v>1171</v>
      </c>
      <c r="AB194" t="s">
        <v>1171</v>
      </c>
      <c r="AC194" t="s">
        <v>1171</v>
      </c>
      <c r="AD194" t="s">
        <v>1171</v>
      </c>
      <c r="AE194" t="s">
        <v>1171</v>
      </c>
    </row>
    <row r="195" spans="1:31" ht="52" thickBot="1" x14ac:dyDescent="0.25">
      <c r="A195" t="s">
        <v>1171</v>
      </c>
      <c r="B195" t="s">
        <v>1367</v>
      </c>
      <c r="C195" t="str">
        <f>"CONF-"&amp;TEXT(us_core_reqs[[#This Row],[ID*]], "0000")</f>
        <v>CONF-0194</v>
      </c>
      <c r="D195" s="11" t="s">
        <v>837</v>
      </c>
      <c r="E195" s="73" t="str" cm="1">
        <f t="array" ref="E195">_xlfn.TEXTJOIN(", ", TRUE, _xlfn.TEXTAFTER(_xlfn.TEXTSPLIT(us_core_reqs[[#This Row],[URL*]], ", "), "/", -1))</f>
        <v>general-guidance.html#language-support</v>
      </c>
      <c r="F195" s="11" t="s">
        <v>2185</v>
      </c>
      <c r="G195" t="s">
        <v>35</v>
      </c>
      <c r="H195" cm="1">
        <f t="array" ref="H195">_xlfn.SWITCH(G195, "SHALL", 1, "SHOULD", 3, "MAY", 5, "SHOULD-NOT", 4, "SHALL-NOT", 2, "DEPRECATED", 6, 99)</f>
        <v>5</v>
      </c>
      <c r="I195" t="s">
        <v>1876</v>
      </c>
      <c r="J195" t="s">
        <v>58</v>
      </c>
      <c r="K195" t="s">
        <v>1171</v>
      </c>
      <c r="L195" t="s">
        <v>1171</v>
      </c>
      <c r="M195" t="s">
        <v>1176</v>
      </c>
      <c r="N195" t="s">
        <v>231</v>
      </c>
      <c r="O195" t="s">
        <v>1171</v>
      </c>
      <c r="P195" t="s">
        <v>1171</v>
      </c>
      <c r="Q195" t="s">
        <v>1171</v>
      </c>
      <c r="R195" t="s">
        <v>1171</v>
      </c>
      <c r="S195" s="70" t="str" cm="1">
        <f t="array" ref="S195">_xlfn.TEXTJOIN(",",TRUE,LEFT(TRIM(_xlfn.TEXTSPLIT(us_core_reqs[[#This Row],[reference]],",")),FIND(".html",TRIM(_xlfn.TEXTSPLIT(us_core_reqs[[#This Row],[reference]],",")))-1))</f>
        <v>general-guidance</v>
      </c>
      <c r="T195" s="70" t="str" cm="1">
        <f t="array" ref="T195">_xlfn.TEXTJOIN(",",TRUE,MID(TRIM(_xlfn.TEXTSPLIT(us_core_reqs[[#This Row],[reference]],",")),FIND("#",TRIM(_xlfn.TEXTSPLIT(us_core_reqs[[#This Row],[reference]],","))&amp;"#")+1,1000))</f>
        <v>language-support</v>
      </c>
      <c r="U195" t="str" cm="1">
        <f t="array" ref="U195">_xlfn.TEXTJOIN(", ",TRUE,SUBSTITUTE(SUBSTITUTE(PROPER(SUBSTITUTE(TRIM(_xlfn.TEXTSPLIT(us_core_reqs[[#This Row],[Page]],","))," -"," "))&amp;": "&amp;PROPER(SUBSTITUTE(TRIM(_xlfn.TEXTSPLIT(us_core_reqs[[#This Row],[Section]],","))," -"," ")),"Us ","US        
  "),"Uscdi","USCDI"))</f>
        <v>General-Guidance: Language-Support</v>
      </c>
      <c r="V195" t="s">
        <v>35</v>
      </c>
      <c r="W195" t="s">
        <v>58</v>
      </c>
      <c r="X195" t="s">
        <v>232</v>
      </c>
      <c r="Y195" t="s">
        <v>1171</v>
      </c>
      <c r="Z195" t="s">
        <v>1171</v>
      </c>
      <c r="AA195" t="s">
        <v>1171</v>
      </c>
      <c r="AB195" t="s">
        <v>1171</v>
      </c>
      <c r="AC195" t="s">
        <v>1171</v>
      </c>
      <c r="AD195" t="s">
        <v>1171</v>
      </c>
      <c r="AE195" t="s">
        <v>1171</v>
      </c>
    </row>
    <row r="196" spans="1:31" ht="52" thickBot="1" x14ac:dyDescent="0.25">
      <c r="A196" t="s">
        <v>1171</v>
      </c>
      <c r="B196" t="s">
        <v>1368</v>
      </c>
      <c r="C196" t="str">
        <f>"CONF-"&amp;TEXT(us_core_reqs[[#This Row],[ID*]], "0000")</f>
        <v>CONF-0195</v>
      </c>
      <c r="D196" s="11" t="s">
        <v>837</v>
      </c>
      <c r="E196" s="73" t="str" cm="1">
        <f t="array" ref="E196">_xlfn.TEXTJOIN(", ", TRUE, _xlfn.TEXTAFTER(_xlfn.TEXTSPLIT(us_core_reqs[[#This Row],[URL*]], ", "), "/", -1))</f>
        <v>general-guidance.html#language-support</v>
      </c>
      <c r="F196" s="11" t="s">
        <v>1926</v>
      </c>
      <c r="G196" t="s">
        <v>32</v>
      </c>
      <c r="H196" cm="1">
        <f t="array" ref="H196">_xlfn.SWITCH(G196, "SHALL", 1, "SHOULD", 3, "MAY", 5, "SHOULD-NOT", 4, "SHALL-NOT", 2, "DEPRECATED", 6, 99)</f>
        <v>3</v>
      </c>
      <c r="J196" t="s">
        <v>30</v>
      </c>
      <c r="K196" t="s">
        <v>1171</v>
      </c>
      <c r="L196" t="s">
        <v>1171</v>
      </c>
      <c r="M196" t="s">
        <v>1176</v>
      </c>
      <c r="N196" t="s">
        <v>231</v>
      </c>
      <c r="O196" t="s">
        <v>1171</v>
      </c>
      <c r="P196" t="s">
        <v>1171</v>
      </c>
      <c r="Q196" t="s">
        <v>1171</v>
      </c>
      <c r="R196" t="s">
        <v>1171</v>
      </c>
      <c r="S196" s="70" t="str" cm="1">
        <f t="array" ref="S196">_xlfn.TEXTJOIN(",",TRUE,LEFT(TRIM(_xlfn.TEXTSPLIT(us_core_reqs[[#This Row],[reference]],",")),FIND(".html",TRIM(_xlfn.TEXTSPLIT(us_core_reqs[[#This Row],[reference]],",")))-1))</f>
        <v>general-guidance</v>
      </c>
      <c r="T196" s="70" t="str" cm="1">
        <f t="array" ref="T196">_xlfn.TEXTJOIN(",",TRUE,MID(TRIM(_xlfn.TEXTSPLIT(us_core_reqs[[#This Row],[reference]],",")),FIND("#",TRIM(_xlfn.TEXTSPLIT(us_core_reqs[[#This Row],[reference]],","))&amp;"#")+1,1000))</f>
        <v>language-support</v>
      </c>
      <c r="U196" t="str" cm="1">
        <f t="array" ref="U196">_xlfn.TEXTJOIN(", ",TRUE,SUBSTITUTE(SUBSTITUTE(PROPER(SUBSTITUTE(TRIM(_xlfn.TEXTSPLIT(us_core_reqs[[#This Row],[Page]],","))," -"," "))&amp;": "&amp;PROPER(SUBSTITUTE(TRIM(_xlfn.TEXTSPLIT(us_core_reqs[[#This Row],[Section]],","))," -"," ")),"Us ","US        
  "),"Uscdi","USCDI"))</f>
        <v>General-Guidance: Language-Support</v>
      </c>
      <c r="V196" t="s">
        <v>32</v>
      </c>
      <c r="W196" t="s">
        <v>30</v>
      </c>
      <c r="X196" t="s">
        <v>232</v>
      </c>
      <c r="Y196" t="s">
        <v>1171</v>
      </c>
      <c r="Z196" t="s">
        <v>1171</v>
      </c>
      <c r="AA196" t="s">
        <v>1171</v>
      </c>
      <c r="AB196" t="s">
        <v>1171</v>
      </c>
      <c r="AC196" t="s">
        <v>1171</v>
      </c>
      <c r="AD196" t="s">
        <v>1171</v>
      </c>
      <c r="AE196" t="s">
        <v>1171</v>
      </c>
    </row>
    <row r="197" spans="1:31" ht="86" thickBot="1" x14ac:dyDescent="0.25">
      <c r="A197" t="s">
        <v>1171</v>
      </c>
      <c r="B197" t="s">
        <v>1369</v>
      </c>
      <c r="C197" t="str">
        <f>"CONF-"&amp;TEXT(us_core_reqs[[#This Row],[ID*]], "0000")</f>
        <v>CONF-0196</v>
      </c>
      <c r="D197" s="11" t="s">
        <v>837</v>
      </c>
      <c r="E197" s="73" t="str" cm="1">
        <f t="array" ref="E197">_xlfn.TEXTJOIN(", ", TRUE, _xlfn.TEXTAFTER(_xlfn.TEXTSPLIT(us_core_reqs[[#This Row],[URL*]], ", "), "/", -1))</f>
        <v>general-guidance.html#language-support</v>
      </c>
      <c r="F197" s="11" t="s">
        <v>1927</v>
      </c>
      <c r="G197" t="s">
        <v>32</v>
      </c>
      <c r="H197" cm="1">
        <f t="array" ref="H197">_xlfn.SWITCH(G197, "SHALL", 1, "SHOULD", 3, "MAY", 5, "SHOULD-NOT", 4, "SHALL-NOT", 2, "DEPRECATED", 6, 99)</f>
        <v>3</v>
      </c>
      <c r="J197" t="s">
        <v>30</v>
      </c>
      <c r="K197" t="s">
        <v>1171</v>
      </c>
      <c r="L197" t="s">
        <v>1171</v>
      </c>
      <c r="M197" t="s">
        <v>1176</v>
      </c>
      <c r="N197" t="s">
        <v>231</v>
      </c>
      <c r="O197" t="s">
        <v>1171</v>
      </c>
      <c r="P197" t="s">
        <v>1171</v>
      </c>
      <c r="Q197" t="s">
        <v>1171</v>
      </c>
      <c r="R197" t="s">
        <v>1171</v>
      </c>
      <c r="S197" s="70" t="str" cm="1">
        <f t="array" ref="S197">_xlfn.TEXTJOIN(",",TRUE,LEFT(TRIM(_xlfn.TEXTSPLIT(us_core_reqs[[#This Row],[reference]],",")),FIND(".html",TRIM(_xlfn.TEXTSPLIT(us_core_reqs[[#This Row],[reference]],",")))-1))</f>
        <v>general-guidance</v>
      </c>
      <c r="T197" s="70" t="str" cm="1">
        <f t="array" ref="T197">_xlfn.TEXTJOIN(",",TRUE,MID(TRIM(_xlfn.TEXTSPLIT(us_core_reqs[[#This Row],[reference]],",")),FIND("#",TRIM(_xlfn.TEXTSPLIT(us_core_reqs[[#This Row],[reference]],","))&amp;"#")+1,1000))</f>
        <v>language-support</v>
      </c>
      <c r="U197" t="str" cm="1">
        <f t="array" ref="U197">_xlfn.TEXTJOIN(", ",TRUE,SUBSTITUTE(SUBSTITUTE(PROPER(SUBSTITUTE(TRIM(_xlfn.TEXTSPLIT(us_core_reqs[[#This Row],[Page]],","))," -"," "))&amp;": "&amp;PROPER(SUBSTITUTE(TRIM(_xlfn.TEXTSPLIT(us_core_reqs[[#This Row],[Section]],","))," -"," ")),"Us ","US        
  "),"Uscdi","USCDI"))</f>
        <v>General-Guidance: Language-Support</v>
      </c>
      <c r="V197" t="s">
        <v>32</v>
      </c>
      <c r="W197" t="s">
        <v>30</v>
      </c>
      <c r="X197" t="s">
        <v>232</v>
      </c>
      <c r="Y197" t="s">
        <v>1171</v>
      </c>
      <c r="Z197" t="s">
        <v>1171</v>
      </c>
      <c r="AA197" t="s">
        <v>1171</v>
      </c>
      <c r="AB197" t="s">
        <v>1171</v>
      </c>
      <c r="AC197" t="s">
        <v>1171</v>
      </c>
      <c r="AD197" t="s">
        <v>1171</v>
      </c>
      <c r="AE197" t="s">
        <v>1171</v>
      </c>
    </row>
    <row r="198" spans="1:31" ht="86" thickBot="1" x14ac:dyDescent="0.25">
      <c r="A198" t="s">
        <v>1171</v>
      </c>
      <c r="B198" t="s">
        <v>1370</v>
      </c>
      <c r="C198" t="str">
        <f>"CONF-"&amp;TEXT(us_core_reqs[[#This Row],[ID*]], "0000")</f>
        <v>CONF-0197</v>
      </c>
      <c r="D198" s="11" t="s">
        <v>837</v>
      </c>
      <c r="E198" s="73" t="str" cm="1">
        <f t="array" ref="E198">_xlfn.TEXTJOIN(", ", TRUE, _xlfn.TEXTAFTER(_xlfn.TEXTSPLIT(us_core_reqs[[#This Row],[URL*]], ", "), "/", -1))</f>
        <v>general-guidance.html#language-support</v>
      </c>
      <c r="F198" s="11" t="s">
        <v>1928</v>
      </c>
      <c r="G198" t="s">
        <v>32</v>
      </c>
      <c r="H198" cm="1">
        <f t="array" ref="H198">_xlfn.SWITCH(G198, "SHALL", 1, "SHOULD", 3, "MAY", 5, "SHOULD-NOT", 4, "SHALL-NOT", 2, "DEPRECATED", 6, 99)</f>
        <v>3</v>
      </c>
      <c r="J198" t="s">
        <v>30</v>
      </c>
      <c r="K198" t="s">
        <v>1171</v>
      </c>
      <c r="L198" t="s">
        <v>1171</v>
      </c>
      <c r="M198" t="s">
        <v>1176</v>
      </c>
      <c r="N198" t="s">
        <v>231</v>
      </c>
      <c r="O198" t="s">
        <v>1171</v>
      </c>
      <c r="P198" t="s">
        <v>1171</v>
      </c>
      <c r="Q198" t="s">
        <v>1171</v>
      </c>
      <c r="R198" t="s">
        <v>1171</v>
      </c>
      <c r="S198" s="70" t="str" cm="1">
        <f t="array" ref="S198">_xlfn.TEXTJOIN(",",TRUE,LEFT(TRIM(_xlfn.TEXTSPLIT(us_core_reqs[[#This Row],[reference]],",")),FIND(".html",TRIM(_xlfn.TEXTSPLIT(us_core_reqs[[#This Row],[reference]],",")))-1))</f>
        <v>general-guidance</v>
      </c>
      <c r="T198" s="70" t="str" cm="1">
        <f t="array" ref="T198">_xlfn.TEXTJOIN(",",TRUE,MID(TRIM(_xlfn.TEXTSPLIT(us_core_reqs[[#This Row],[reference]],",")),FIND("#",TRIM(_xlfn.TEXTSPLIT(us_core_reqs[[#This Row],[reference]],","))&amp;"#")+1,1000))</f>
        <v>language-support</v>
      </c>
      <c r="U198" t="str" cm="1">
        <f t="array" ref="U198">_xlfn.TEXTJOIN(", ",TRUE,SUBSTITUTE(SUBSTITUTE(PROPER(SUBSTITUTE(TRIM(_xlfn.TEXTSPLIT(us_core_reqs[[#This Row],[Page]],","))," -"," "))&amp;": "&amp;PROPER(SUBSTITUTE(TRIM(_xlfn.TEXTSPLIT(us_core_reqs[[#This Row],[Section]],","))," -"," ")),"Us ","US        
  "),"Uscdi","USCDI"))</f>
        <v>General-Guidance: Language-Support</v>
      </c>
      <c r="V198" t="s">
        <v>32</v>
      </c>
      <c r="W198" t="s">
        <v>30</v>
      </c>
      <c r="X198" t="s">
        <v>232</v>
      </c>
      <c r="Y198" t="s">
        <v>1171</v>
      </c>
      <c r="Z198" t="s">
        <v>1171</v>
      </c>
      <c r="AA198" t="s">
        <v>1171</v>
      </c>
      <c r="AB198" t="s">
        <v>1171</v>
      </c>
      <c r="AC198" t="s">
        <v>1171</v>
      </c>
      <c r="AD198" t="s">
        <v>1171</v>
      </c>
      <c r="AE198" t="s">
        <v>1171</v>
      </c>
    </row>
    <row r="199" spans="1:31" ht="86" thickBot="1" x14ac:dyDescent="0.25">
      <c r="A199" t="s">
        <v>1171</v>
      </c>
      <c r="B199" t="s">
        <v>1371</v>
      </c>
      <c r="C199" t="str">
        <f>"CONF-"&amp;TEXT(us_core_reqs[[#This Row],[ID*]], "0000")</f>
        <v>CONF-0198</v>
      </c>
      <c r="D199" s="11" t="s">
        <v>837</v>
      </c>
      <c r="E199" s="73" t="str" cm="1">
        <f t="array" ref="E199">_xlfn.TEXTJOIN(", ", TRUE, _xlfn.TEXTAFTER(_xlfn.TEXTSPLIT(us_core_reqs[[#This Row],[URL*]], ", "), "/", -1))</f>
        <v>general-guidance.html#language-support</v>
      </c>
      <c r="F199" s="11" t="s">
        <v>1929</v>
      </c>
      <c r="G199" t="s">
        <v>32</v>
      </c>
      <c r="H199" cm="1">
        <f t="array" ref="H199">_xlfn.SWITCH(G199, "SHALL", 1, "SHOULD", 3, "MAY", 5, "SHOULD-NOT", 4, "SHALL-NOT", 2, "DEPRECATED", 6, 99)</f>
        <v>3</v>
      </c>
      <c r="J199" t="s">
        <v>30</v>
      </c>
      <c r="K199" t="s">
        <v>1171</v>
      </c>
      <c r="L199" t="s">
        <v>1171</v>
      </c>
      <c r="M199" t="s">
        <v>1176</v>
      </c>
      <c r="N199" t="s">
        <v>231</v>
      </c>
      <c r="O199" t="s">
        <v>1171</v>
      </c>
      <c r="P199" t="s">
        <v>1171</v>
      </c>
      <c r="Q199" t="s">
        <v>1171</v>
      </c>
      <c r="R199" t="s">
        <v>1171</v>
      </c>
      <c r="S199" s="70" t="str" cm="1">
        <f t="array" ref="S199">_xlfn.TEXTJOIN(",",TRUE,LEFT(TRIM(_xlfn.TEXTSPLIT(us_core_reqs[[#This Row],[reference]],",")),FIND(".html",TRIM(_xlfn.TEXTSPLIT(us_core_reqs[[#This Row],[reference]],",")))-1))</f>
        <v>general-guidance</v>
      </c>
      <c r="T199" s="70" t="str" cm="1">
        <f t="array" ref="T199">_xlfn.TEXTJOIN(",",TRUE,MID(TRIM(_xlfn.TEXTSPLIT(us_core_reqs[[#This Row],[reference]],",")),FIND("#",TRIM(_xlfn.TEXTSPLIT(us_core_reqs[[#This Row],[reference]],","))&amp;"#")+1,1000))</f>
        <v>language-support</v>
      </c>
      <c r="U199" t="str" cm="1">
        <f t="array" ref="U199">_xlfn.TEXTJOIN(", ",TRUE,SUBSTITUTE(SUBSTITUTE(PROPER(SUBSTITUTE(TRIM(_xlfn.TEXTSPLIT(us_core_reqs[[#This Row],[Page]],","))," -"," "))&amp;": "&amp;PROPER(SUBSTITUTE(TRIM(_xlfn.TEXTSPLIT(us_core_reqs[[#This Row],[Section]],","))," -"," ")),"Us ","US        
  "),"Uscdi","USCDI"))</f>
        <v>General-Guidance: Language-Support</v>
      </c>
      <c r="V199" t="s">
        <v>32</v>
      </c>
      <c r="W199" t="s">
        <v>30</v>
      </c>
      <c r="X199" t="s">
        <v>232</v>
      </c>
      <c r="Y199" t="s">
        <v>1171</v>
      </c>
      <c r="Z199" t="s">
        <v>1171</v>
      </c>
      <c r="AA199" t="s">
        <v>1171</v>
      </c>
      <c r="AB199" t="s">
        <v>1171</v>
      </c>
      <c r="AC199" t="s">
        <v>1171</v>
      </c>
      <c r="AD199" t="s">
        <v>1171</v>
      </c>
      <c r="AE199" t="s">
        <v>1171</v>
      </c>
    </row>
    <row r="200" spans="1:31" ht="120" thickBot="1" x14ac:dyDescent="0.25">
      <c r="A200" t="s">
        <v>1171</v>
      </c>
      <c r="B200" t="s">
        <v>1372</v>
      </c>
      <c r="C200" t="str">
        <f>"CONF-"&amp;TEXT(us_core_reqs[[#This Row],[ID*]], "0000")</f>
        <v>CONF-0199</v>
      </c>
      <c r="D200" s="11" t="s">
        <v>837</v>
      </c>
      <c r="E200" s="73" t="str" cm="1">
        <f t="array" ref="E200">_xlfn.TEXTJOIN(", ", TRUE, _xlfn.TEXTAFTER(_xlfn.TEXTSPLIT(us_core_reqs[[#This Row],[URL*]], ", "), "/", -1))</f>
        <v>general-guidance.html#language-support</v>
      </c>
      <c r="F200" s="11" t="s">
        <v>1930</v>
      </c>
      <c r="G200" t="s">
        <v>32</v>
      </c>
      <c r="H200" cm="1">
        <f t="array" ref="H200">_xlfn.SWITCH(G200, "SHALL", 1, "SHOULD", 3, "MAY", 5, "SHOULD-NOT", 4, "SHALL-NOT", 2, "DEPRECATED", 6, 99)</f>
        <v>3</v>
      </c>
      <c r="J200" t="s">
        <v>30</v>
      </c>
      <c r="K200" t="s">
        <v>1171</v>
      </c>
      <c r="L200" t="s">
        <v>1171</v>
      </c>
      <c r="M200" t="s">
        <v>1176</v>
      </c>
      <c r="N200" t="s">
        <v>231</v>
      </c>
      <c r="O200" t="s">
        <v>1171</v>
      </c>
      <c r="P200" t="s">
        <v>1171</v>
      </c>
      <c r="Q200" t="s">
        <v>1171</v>
      </c>
      <c r="R200" t="s">
        <v>1171</v>
      </c>
      <c r="S200" s="70" t="str" cm="1">
        <f t="array" ref="S200">_xlfn.TEXTJOIN(",",TRUE,LEFT(TRIM(_xlfn.TEXTSPLIT(us_core_reqs[[#This Row],[reference]],",")),FIND(".html",TRIM(_xlfn.TEXTSPLIT(us_core_reqs[[#This Row],[reference]],",")))-1))</f>
        <v>general-guidance</v>
      </c>
      <c r="T200" s="70" t="str" cm="1">
        <f t="array" ref="T200">_xlfn.TEXTJOIN(",",TRUE,MID(TRIM(_xlfn.TEXTSPLIT(us_core_reqs[[#This Row],[reference]],",")),FIND("#",TRIM(_xlfn.TEXTSPLIT(us_core_reqs[[#This Row],[reference]],","))&amp;"#")+1,1000))</f>
        <v>language-support</v>
      </c>
      <c r="U200" t="str" cm="1">
        <f t="array" ref="U200">_xlfn.TEXTJOIN(", ",TRUE,SUBSTITUTE(SUBSTITUTE(PROPER(SUBSTITUTE(TRIM(_xlfn.TEXTSPLIT(us_core_reqs[[#This Row],[Page]],","))," -"," "))&amp;": "&amp;PROPER(SUBSTITUTE(TRIM(_xlfn.TEXTSPLIT(us_core_reqs[[#This Row],[Section]],","))," -"," ")),"Us ","US        
  "),"Uscdi","USCDI"))</f>
        <v>General-Guidance: Language-Support</v>
      </c>
      <c r="V200" t="s">
        <v>32</v>
      </c>
      <c r="W200" t="s">
        <v>30</v>
      </c>
      <c r="X200" t="s">
        <v>232</v>
      </c>
      <c r="Y200" t="s">
        <v>1171</v>
      </c>
      <c r="Z200" t="s">
        <v>1171</v>
      </c>
      <c r="AA200" t="s">
        <v>1171</v>
      </c>
      <c r="AB200" t="s">
        <v>1171</v>
      </c>
      <c r="AC200" t="s">
        <v>1171</v>
      </c>
      <c r="AD200" t="s">
        <v>1171</v>
      </c>
      <c r="AE200" t="s">
        <v>1171</v>
      </c>
    </row>
    <row r="201" spans="1:31" ht="52" thickBot="1" x14ac:dyDescent="0.25">
      <c r="A201" t="s">
        <v>1171</v>
      </c>
      <c r="B201" t="s">
        <v>1373</v>
      </c>
      <c r="C201" t="str">
        <f>"CONF-"&amp;TEXT(us_core_reqs[[#This Row],[ID*]], "0000")</f>
        <v>CONF-0200</v>
      </c>
      <c r="D201" s="11" t="s">
        <v>626</v>
      </c>
      <c r="E201" s="73" t="str" cm="1">
        <f t="array" ref="E201">_xlfn.TEXTJOIN(", ", TRUE, _xlfn.TEXTAFTER(_xlfn.TEXTSPLIT(us_core_reqs[[#This Row],[URL*]], ", "), "/", -1))</f>
        <v>general-guidance.html#searching-using-lastupdated</v>
      </c>
      <c r="F201" s="11" t="s">
        <v>1931</v>
      </c>
      <c r="G201" t="s">
        <v>32</v>
      </c>
      <c r="H201" cm="1">
        <f t="array" ref="H201">_xlfn.SWITCH(G201, "SHALL", 1, "SHOULD", 3, "MAY", 5, "SHOULD-NOT", 4, "SHALL-NOT", 2, "DEPRECATED", 6, 99)</f>
        <v>3</v>
      </c>
      <c r="J201" t="s">
        <v>30</v>
      </c>
      <c r="K201" t="s">
        <v>1171</v>
      </c>
      <c r="L201" t="s">
        <v>1171</v>
      </c>
      <c r="M201" t="s">
        <v>1173</v>
      </c>
      <c r="N201" t="s">
        <v>1171</v>
      </c>
      <c r="O201" t="s">
        <v>1171</v>
      </c>
      <c r="P201" t="s">
        <v>1171</v>
      </c>
      <c r="Q201" t="s">
        <v>1171</v>
      </c>
      <c r="R201" t="s">
        <v>1171</v>
      </c>
      <c r="S201" s="70" t="str" cm="1">
        <f t="array" ref="S201">_xlfn.TEXTJOIN(",",TRUE,LEFT(TRIM(_xlfn.TEXTSPLIT(us_core_reqs[[#This Row],[reference]],",")),FIND(".html",TRIM(_xlfn.TEXTSPLIT(us_core_reqs[[#This Row],[reference]],",")))-1))</f>
        <v>general-guidance</v>
      </c>
      <c r="T201" s="70" t="str" cm="1">
        <f t="array" ref="T201">_xlfn.TEXTJOIN(",",TRUE,MID(TRIM(_xlfn.TEXTSPLIT(us_core_reqs[[#This Row],[reference]],",")),FIND("#",TRIM(_xlfn.TEXTSPLIT(us_core_reqs[[#This Row],[reference]],","))&amp;"#")+1,1000))</f>
        <v>searching-using-lastupdated</v>
      </c>
      <c r="U201" t="str" cm="1">
        <f t="array" ref="U201">_xlfn.TEXTJOIN(", ",TRUE,SUBSTITUTE(SUBSTITUTE(PROPER(SUBSTITUTE(TRIM(_xlfn.TEXTSPLIT(us_core_reqs[[#This Row],[Page]],","))," -"," "))&amp;": "&amp;PROPER(SUBSTITUTE(TRIM(_xlfn.TEXTSPLIT(us_core_reqs[[#This Row],[Section]],","))," -"," ")),"Us ","US        
  "),"Uscdi","USCDI"))</f>
        <v>General-Guidance: Searching-Using-Lastupdated</v>
      </c>
      <c r="V201" t="s">
        <v>32</v>
      </c>
      <c r="W201" t="s">
        <v>30</v>
      </c>
      <c r="X201" t="s">
        <v>234</v>
      </c>
      <c r="Y201" t="s">
        <v>1171</v>
      </c>
      <c r="Z201" t="s">
        <v>1171</v>
      </c>
      <c r="AA201" t="s">
        <v>1171</v>
      </c>
      <c r="AB201" t="s">
        <v>1171</v>
      </c>
      <c r="AC201" t="s">
        <v>1171</v>
      </c>
      <c r="AD201" t="s">
        <v>1171</v>
      </c>
      <c r="AE201" t="s">
        <v>1171</v>
      </c>
    </row>
    <row r="202" spans="1:31" ht="52" thickBot="1" x14ac:dyDescent="0.25">
      <c r="A202" t="s">
        <v>1171</v>
      </c>
      <c r="B202" t="s">
        <v>1374</v>
      </c>
      <c r="C202" t="str">
        <f>"CONF-"&amp;TEXT(us_core_reqs[[#This Row],[ID*]], "0000")</f>
        <v>CONF-0201</v>
      </c>
      <c r="D202" s="11" t="s">
        <v>626</v>
      </c>
      <c r="E202" s="73" t="str" cm="1">
        <f t="array" ref="E202">_xlfn.TEXTJOIN(", ", TRUE, _xlfn.TEXTAFTER(_xlfn.TEXTSPLIT(us_core_reqs[[#This Row],[URL*]], ", "), "/", -1))</f>
        <v>general-guidance.html#searching-using-lastupdated</v>
      </c>
      <c r="F202" s="11" t="s">
        <v>1932</v>
      </c>
      <c r="G202" t="s">
        <v>32</v>
      </c>
      <c r="H202" cm="1">
        <f t="array" ref="H202">_xlfn.SWITCH(G202, "SHALL", 1, "SHOULD", 3, "MAY", 5, "SHOULD-NOT", 4, "SHALL-NOT", 2, "DEPRECATED", 6, 99)</f>
        <v>3</v>
      </c>
      <c r="J202" t="s">
        <v>30</v>
      </c>
      <c r="K202" t="s">
        <v>1171</v>
      </c>
      <c r="L202" t="s">
        <v>1171</v>
      </c>
      <c r="M202" t="s">
        <v>1173</v>
      </c>
      <c r="N202" t="s">
        <v>1171</v>
      </c>
      <c r="O202" t="s">
        <v>1171</v>
      </c>
      <c r="P202" t="s">
        <v>1171</v>
      </c>
      <c r="Q202" t="s">
        <v>1171</v>
      </c>
      <c r="R202" t="s">
        <v>1171</v>
      </c>
      <c r="S202" s="70" t="str" cm="1">
        <f t="array" ref="S202">_xlfn.TEXTJOIN(",",TRUE,LEFT(TRIM(_xlfn.TEXTSPLIT(us_core_reqs[[#This Row],[reference]],",")),FIND(".html",TRIM(_xlfn.TEXTSPLIT(us_core_reqs[[#This Row],[reference]],",")))-1))</f>
        <v>general-guidance</v>
      </c>
      <c r="T202" s="70" t="str" cm="1">
        <f t="array" ref="T202">_xlfn.TEXTJOIN(",",TRUE,MID(TRIM(_xlfn.TEXTSPLIT(us_core_reqs[[#This Row],[reference]],",")),FIND("#",TRIM(_xlfn.TEXTSPLIT(us_core_reqs[[#This Row],[reference]],","))&amp;"#")+1,1000))</f>
        <v>searching-using-lastupdated</v>
      </c>
      <c r="U202" t="str" cm="1">
        <f t="array" ref="U202">_xlfn.TEXTJOIN(", ",TRUE,SUBSTITUTE(SUBSTITUTE(PROPER(SUBSTITUTE(TRIM(_xlfn.TEXTSPLIT(us_core_reqs[[#This Row],[Page]],","))," -"," "))&amp;": "&amp;PROPER(SUBSTITUTE(TRIM(_xlfn.TEXTSPLIT(us_core_reqs[[#This Row],[Section]],","))," -"," ")),"Us ","US        
  "),"Uscdi","USCDI"))</f>
        <v>General-Guidance: Searching-Using-Lastupdated</v>
      </c>
      <c r="V202" t="s">
        <v>32</v>
      </c>
      <c r="W202" t="s">
        <v>30</v>
      </c>
      <c r="X202" t="s">
        <v>235</v>
      </c>
      <c r="Y202" t="s">
        <v>1171</v>
      </c>
      <c r="Z202" t="s">
        <v>1171</v>
      </c>
      <c r="AA202" t="s">
        <v>1171</v>
      </c>
      <c r="AB202" t="s">
        <v>1171</v>
      </c>
      <c r="AC202" t="s">
        <v>712</v>
      </c>
      <c r="AD202" t="s">
        <v>1171</v>
      </c>
      <c r="AE202" t="s">
        <v>1171</v>
      </c>
    </row>
    <row r="203" spans="1:31" ht="69" thickBot="1" x14ac:dyDescent="0.25">
      <c r="A203" t="s">
        <v>1171</v>
      </c>
      <c r="B203" t="s">
        <v>1375</v>
      </c>
      <c r="C203" t="str">
        <f>"CONF-"&amp;TEXT(us_core_reqs[[#This Row],[ID*]], "0000")</f>
        <v>CONF-0202</v>
      </c>
      <c r="D203" s="11" t="s">
        <v>626</v>
      </c>
      <c r="E203" s="73" t="str" cm="1">
        <f t="array" ref="E203">_xlfn.TEXTJOIN(", ", TRUE, _xlfn.TEXTAFTER(_xlfn.TEXTSPLIT(us_core_reqs[[#This Row],[URL*]], ", "), "/", -1))</f>
        <v>general-guidance.html#searching-using-lastupdated</v>
      </c>
      <c r="F203" s="11" t="s">
        <v>2203</v>
      </c>
      <c r="G203" t="s">
        <v>29</v>
      </c>
      <c r="H203" cm="1">
        <f t="array" ref="H203">_xlfn.SWITCH(G203, "SHALL", 1, "SHOULD", 3, "MAY", 5, "SHOULD-NOT", 4, "SHALL-NOT", 2, "DEPRECATED", 6, 99)</f>
        <v>1</v>
      </c>
      <c r="J203" t="s">
        <v>30</v>
      </c>
      <c r="K203" t="s">
        <v>1171</v>
      </c>
      <c r="L203" t="s">
        <v>1171</v>
      </c>
      <c r="M203" t="s">
        <v>1173</v>
      </c>
      <c r="N203" t="s">
        <v>1171</v>
      </c>
      <c r="O203" t="s">
        <v>1171</v>
      </c>
      <c r="P203" t="s">
        <v>1171</v>
      </c>
      <c r="Q203" t="s">
        <v>1171</v>
      </c>
      <c r="R203" t="s">
        <v>1171</v>
      </c>
      <c r="S203" s="70" t="str" cm="1">
        <f t="array" ref="S203">_xlfn.TEXTJOIN(",",TRUE,LEFT(TRIM(_xlfn.TEXTSPLIT(us_core_reqs[[#This Row],[reference]],",")),FIND(".html",TRIM(_xlfn.TEXTSPLIT(us_core_reqs[[#This Row],[reference]],",")))-1))</f>
        <v>general-guidance</v>
      </c>
      <c r="T203" s="70" t="str" cm="1">
        <f t="array" ref="T203">_xlfn.TEXTJOIN(",",TRUE,MID(TRIM(_xlfn.TEXTSPLIT(us_core_reqs[[#This Row],[reference]],",")),FIND("#",TRIM(_xlfn.TEXTSPLIT(us_core_reqs[[#This Row],[reference]],","))&amp;"#")+1,1000))</f>
        <v>searching-using-lastupdated</v>
      </c>
      <c r="U203" t="str" cm="1">
        <f t="array" ref="U203">_xlfn.TEXTJOIN(", ",TRUE,SUBSTITUTE(SUBSTITUTE(PROPER(SUBSTITUTE(TRIM(_xlfn.TEXTSPLIT(us_core_reqs[[#This Row],[Page]],","))," -"," "))&amp;": "&amp;PROPER(SUBSTITUTE(TRIM(_xlfn.TEXTSPLIT(us_core_reqs[[#This Row],[Section]],","))," -"," ")),"Us ","US        
  "),"Uscdi","USCDI"))</f>
        <v>General-Guidance: Searching-Using-Lastupdated</v>
      </c>
      <c r="V203" t="s">
        <v>29</v>
      </c>
      <c r="W203" t="s">
        <v>30</v>
      </c>
      <c r="X203" t="s">
        <v>235</v>
      </c>
      <c r="Y203" t="s">
        <v>1171</v>
      </c>
      <c r="Z203" t="s">
        <v>1171</v>
      </c>
      <c r="AA203" t="s">
        <v>1171</v>
      </c>
      <c r="AB203" t="s">
        <v>1171</v>
      </c>
      <c r="AC203" t="s">
        <v>1171</v>
      </c>
      <c r="AD203" t="s">
        <v>1141</v>
      </c>
      <c r="AE203" t="s">
        <v>1171</v>
      </c>
    </row>
    <row r="204" spans="1:31" ht="69" thickBot="1" x14ac:dyDescent="0.25">
      <c r="A204" t="s">
        <v>1171</v>
      </c>
      <c r="B204" t="s">
        <v>1376</v>
      </c>
      <c r="C204" t="str">
        <f>"CONF-"&amp;TEXT(us_core_reqs[[#This Row],[ID*]], "0000")</f>
        <v>CONF-0203</v>
      </c>
      <c r="D204" s="11" t="s">
        <v>838</v>
      </c>
      <c r="E204" s="73" t="str" cm="1">
        <f t="array" ref="E204">_xlfn.TEXTJOIN(", ", TRUE, _xlfn.TEXTAFTER(_xlfn.TEXTSPLIT(us_core_reqs[[#This Row],[URL*]], ", "), "/", -1))</f>
        <v>general-guidance.html#compartment-based-search</v>
      </c>
      <c r="F204" s="11" t="s">
        <v>1004</v>
      </c>
      <c r="G204" t="s">
        <v>35</v>
      </c>
      <c r="H204" cm="1">
        <f t="array" ref="H204">_xlfn.SWITCH(G204, "SHALL", 1, "SHOULD", 3, "MAY", 5, "SHOULD-NOT", 4, "SHALL-NOT", 2, "DEPRECATED", 6, 99)</f>
        <v>5</v>
      </c>
      <c r="J204" t="s">
        <v>30</v>
      </c>
      <c r="K204" t="s">
        <v>1171</v>
      </c>
      <c r="L204" t="s">
        <v>1171</v>
      </c>
      <c r="M204" t="s">
        <v>1173</v>
      </c>
      <c r="N204" t="s">
        <v>1171</v>
      </c>
      <c r="O204" t="s">
        <v>1171</v>
      </c>
      <c r="P204" t="s">
        <v>1171</v>
      </c>
      <c r="Q204" t="s">
        <v>1171</v>
      </c>
      <c r="R204" t="s">
        <v>1171</v>
      </c>
      <c r="S204" s="70" t="str" cm="1">
        <f t="array" ref="S204">_xlfn.TEXTJOIN(",",TRUE,LEFT(TRIM(_xlfn.TEXTSPLIT(us_core_reqs[[#This Row],[reference]],",")),FIND(".html",TRIM(_xlfn.TEXTSPLIT(us_core_reqs[[#This Row],[reference]],",")))-1))</f>
        <v>general-guidance</v>
      </c>
      <c r="T204" s="70" t="str" cm="1">
        <f t="array" ref="T204">_xlfn.TEXTJOIN(",",TRUE,MID(TRIM(_xlfn.TEXTSPLIT(us_core_reqs[[#This Row],[reference]],",")),FIND("#",TRIM(_xlfn.TEXTSPLIT(us_core_reqs[[#This Row],[reference]],","))&amp;"#")+1,1000))</f>
        <v>compartment-based-search</v>
      </c>
      <c r="U204" t="str" cm="1">
        <f t="array" ref="U204">_xlfn.TEXTJOIN(", ",TRUE,SUBSTITUTE(SUBSTITUTE(PROPER(SUBSTITUTE(TRIM(_xlfn.TEXTSPLIT(us_core_reqs[[#This Row],[Page]],","))," -"," "))&amp;": "&amp;PROPER(SUBSTITUTE(TRIM(_xlfn.TEXTSPLIT(us_core_reqs[[#This Row],[Section]],","))," -"," ")),"Us ","US        
  "),"Uscdi","USCDI"))</f>
        <v>General-Guidance: Compartment-Based-Search</v>
      </c>
      <c r="V204" t="s">
        <v>35</v>
      </c>
      <c r="W204" t="s">
        <v>30</v>
      </c>
      <c r="X204" t="s">
        <v>237</v>
      </c>
      <c r="Y204" t="s">
        <v>1171</v>
      </c>
      <c r="Z204" t="s">
        <v>1171</v>
      </c>
      <c r="AA204" t="s">
        <v>1171</v>
      </c>
      <c r="AB204" t="s">
        <v>1171</v>
      </c>
      <c r="AC204" t="s">
        <v>1171</v>
      </c>
      <c r="AD204" t="s">
        <v>1171</v>
      </c>
      <c r="AE204" t="s">
        <v>1171</v>
      </c>
    </row>
    <row r="205" spans="1:31" ht="35" thickBot="1" x14ac:dyDescent="0.25">
      <c r="A205" t="s">
        <v>1171</v>
      </c>
      <c r="B205" t="s">
        <v>1377</v>
      </c>
      <c r="C205" t="str">
        <f>"CONF-"&amp;TEXT(us_core_reqs[[#This Row],[ID*]], "0000")</f>
        <v>CONF-0204</v>
      </c>
      <c r="D205" s="11" t="s">
        <v>839</v>
      </c>
      <c r="E205" s="73" t="str" cm="1">
        <f t="array" ref="E205">_xlfn.TEXTJOIN(", ", TRUE, _xlfn.TEXTAFTER(_xlfn.TEXTSPLIT(us_core_reqs[[#This Row],[URL*]], ", "), "/", -1))</f>
        <v>general-guidance.html#across-platform-searches</v>
      </c>
      <c r="F205" s="11" t="s">
        <v>1005</v>
      </c>
      <c r="G205" t="s">
        <v>35</v>
      </c>
      <c r="H205" cm="1">
        <f t="array" ref="H205">_xlfn.SWITCH(G205, "SHALL", 1, "SHOULD", 3, "MAY", 5, "SHOULD-NOT", 4, "SHALL-NOT", 2, "DEPRECATED", 6, 99)</f>
        <v>5</v>
      </c>
      <c r="J205" t="s">
        <v>30</v>
      </c>
      <c r="K205" t="s">
        <v>1171</v>
      </c>
      <c r="L205" t="s">
        <v>1171</v>
      </c>
      <c r="M205" t="s">
        <v>1173</v>
      </c>
      <c r="N205" t="s">
        <v>1171</v>
      </c>
      <c r="O205" t="s">
        <v>1171</v>
      </c>
      <c r="P205" t="s">
        <v>1171</v>
      </c>
      <c r="Q205" t="s">
        <v>1171</v>
      </c>
      <c r="R205" t="s">
        <v>1171</v>
      </c>
      <c r="S205" s="70" t="str" cm="1">
        <f t="array" ref="S205">_xlfn.TEXTJOIN(",",TRUE,LEFT(TRIM(_xlfn.TEXTSPLIT(us_core_reqs[[#This Row],[reference]],",")),FIND(".html",TRIM(_xlfn.TEXTSPLIT(us_core_reqs[[#This Row],[reference]],",")))-1))</f>
        <v>general-guidance</v>
      </c>
      <c r="T205" s="70" t="str" cm="1">
        <f t="array" ref="T205">_xlfn.TEXTJOIN(",",TRUE,MID(TRIM(_xlfn.TEXTSPLIT(us_core_reqs[[#This Row],[reference]],",")),FIND("#",TRIM(_xlfn.TEXTSPLIT(us_core_reqs[[#This Row],[reference]],","))&amp;"#")+1,1000))</f>
        <v>across-platform-searches</v>
      </c>
      <c r="U205" t="str" cm="1">
        <f t="array" ref="U205">_xlfn.TEXTJOIN(", ",TRUE,SUBSTITUTE(SUBSTITUTE(PROPER(SUBSTITUTE(TRIM(_xlfn.TEXTSPLIT(us_core_reqs[[#This Row],[Page]],","))," -"," "))&amp;": "&amp;PROPER(SUBSTITUTE(TRIM(_xlfn.TEXTSPLIT(us_core_reqs[[#This Row],[Section]],","))," -"," ")),"Us ","US        
  "),"Uscdi","USCDI"))</f>
        <v>General-Guidance: Across-Platform-Searches</v>
      </c>
      <c r="V205" t="s">
        <v>35</v>
      </c>
      <c r="W205" t="s">
        <v>30</v>
      </c>
      <c r="X205" t="s">
        <v>237</v>
      </c>
      <c r="Y205" t="s">
        <v>1171</v>
      </c>
      <c r="Z205" t="s">
        <v>1171</v>
      </c>
      <c r="AA205" t="s">
        <v>1171</v>
      </c>
      <c r="AB205" t="s">
        <v>1171</v>
      </c>
      <c r="AC205" t="s">
        <v>1171</v>
      </c>
      <c r="AD205" t="s">
        <v>1171</v>
      </c>
      <c r="AE205" t="s">
        <v>1171</v>
      </c>
    </row>
    <row r="206" spans="1:31" ht="35" thickBot="1" x14ac:dyDescent="0.25">
      <c r="A206" t="s">
        <v>1171</v>
      </c>
      <c r="B206" t="s">
        <v>1378</v>
      </c>
      <c r="C206" t="str">
        <f>"CONF-"&amp;TEXT(us_core_reqs[[#This Row],[ID*]], "0000")</f>
        <v>CONF-0205</v>
      </c>
      <c r="D206" s="11" t="s">
        <v>840</v>
      </c>
      <c r="E206" s="73" t="str" cm="1">
        <f t="array" ref="E206">_xlfn.TEXTJOIN(", ", TRUE, _xlfn.TEXTAFTER(_xlfn.TEXTSPLIT(us_core_reqs[[#This Row],[URL*]], ", "), "/", -1))</f>
        <v>general-guidance.html#limiting-the-number-of-search-results</v>
      </c>
      <c r="F206" s="11" t="s">
        <v>238</v>
      </c>
      <c r="G206" t="s">
        <v>35</v>
      </c>
      <c r="H206" cm="1">
        <f t="array" ref="H206">_xlfn.SWITCH(G206, "SHALL", 1, "SHOULD", 3, "MAY", 5, "SHOULD-NOT", 4, "SHALL-NOT", 2, "DEPRECATED", 6, 99)</f>
        <v>5</v>
      </c>
      <c r="J206" t="s">
        <v>30</v>
      </c>
      <c r="K206" t="s">
        <v>1171</v>
      </c>
      <c r="L206" t="s">
        <v>1171</v>
      </c>
      <c r="M206" t="s">
        <v>1173</v>
      </c>
      <c r="N206" t="s">
        <v>1171</v>
      </c>
      <c r="O206" t="s">
        <v>1171</v>
      </c>
      <c r="P206" t="s">
        <v>1171</v>
      </c>
      <c r="Q206" t="s">
        <v>1171</v>
      </c>
      <c r="R206" t="s">
        <v>1171</v>
      </c>
      <c r="S206" s="70" t="str" cm="1">
        <f t="array" ref="S206">_xlfn.TEXTJOIN(",",TRUE,LEFT(TRIM(_xlfn.TEXTSPLIT(us_core_reqs[[#This Row],[reference]],",")),FIND(".html",TRIM(_xlfn.TEXTSPLIT(us_core_reqs[[#This Row],[reference]],",")))-1))</f>
        <v>general-guidance</v>
      </c>
      <c r="T206" s="70" t="str" cm="1">
        <f t="array" ref="T206">_xlfn.TEXTJOIN(",",TRUE,MID(TRIM(_xlfn.TEXTSPLIT(us_core_reqs[[#This Row],[reference]],",")),FIND("#",TRIM(_xlfn.TEXTSPLIT(us_core_reqs[[#This Row],[reference]],","))&amp;"#")+1,1000))</f>
        <v>limiting-the-number-of-search-results</v>
      </c>
      <c r="U206" t="str" cm="1">
        <f t="array" ref="U206">_xlfn.TEXTJOIN(", ",TRUE,SUBSTITUTE(SUBSTITUTE(PROPER(SUBSTITUTE(TRIM(_xlfn.TEXTSPLIT(us_core_reqs[[#This Row],[Page]],","))," -"," "))&amp;": "&amp;PROPER(SUBSTITUTE(TRIM(_xlfn.TEXTSPLIT(us_core_reqs[[#This Row],[Section]],","))," -"," ")),"Us ","US        
  "),"Uscdi","USCDI"))</f>
        <v>General-Guidance: Limiting-The-Number-Of-Search-Results</v>
      </c>
      <c r="V206" t="s">
        <v>35</v>
      </c>
      <c r="W206" t="s">
        <v>30</v>
      </c>
      <c r="X206" t="s">
        <v>237</v>
      </c>
      <c r="Y206" t="s">
        <v>1171</v>
      </c>
      <c r="Z206" t="s">
        <v>1171</v>
      </c>
      <c r="AA206" t="s">
        <v>1171</v>
      </c>
      <c r="AB206" t="s">
        <v>1171</v>
      </c>
      <c r="AC206" t="s">
        <v>1171</v>
      </c>
      <c r="AD206" t="s">
        <v>1171</v>
      </c>
      <c r="AE206" t="s">
        <v>1171</v>
      </c>
    </row>
    <row r="207" spans="1:31" ht="102" customHeight="1" thickBot="1" x14ac:dyDescent="0.25">
      <c r="A207" t="s">
        <v>1171</v>
      </c>
      <c r="B207" t="s">
        <v>1379</v>
      </c>
      <c r="C207" t="str">
        <f>"CONF-"&amp;TEXT(us_core_reqs[[#This Row],[ID*]], "0000")</f>
        <v>CONF-0206</v>
      </c>
      <c r="D207" s="11" t="s">
        <v>841</v>
      </c>
      <c r="E207" s="73" t="str" cm="1">
        <f t="array" ref="E207">_xlfn.TEXTJOIN(", ", TRUE, _xlfn.TEXTAFTER(_xlfn.TEXTSPLIT(us_core_reqs[[#This Row],[URL*]], ", "), "/", -1))</f>
        <v>clinical-notes.html#clinical-notes, clinical-notes.html#support-requirements</v>
      </c>
      <c r="F207" s="11" t="s">
        <v>2077</v>
      </c>
      <c r="G207" t="s">
        <v>29</v>
      </c>
      <c r="H207" cm="1">
        <f t="array" ref="H207">_xlfn.SWITCH(G207, "SHALL", 1, "SHOULD", 3, "MAY", 5, "SHOULD-NOT", 4, "SHALL-NOT", 2, "DEPRECATED", 6, 99)</f>
        <v>1</v>
      </c>
      <c r="J207" t="s">
        <v>30</v>
      </c>
      <c r="K207" t="s">
        <v>1171</v>
      </c>
      <c r="L207" t="s">
        <v>1171</v>
      </c>
      <c r="M207" t="s">
        <v>1173</v>
      </c>
      <c r="N207" t="s">
        <v>1171</v>
      </c>
      <c r="O207" t="s">
        <v>1171</v>
      </c>
      <c r="P207" t="s">
        <v>1171</v>
      </c>
      <c r="Q207" t="s">
        <v>1171</v>
      </c>
      <c r="R207" t="s">
        <v>1171</v>
      </c>
      <c r="S207" s="70" t="str" cm="1">
        <f t="array" ref="S207">_xlfn.TEXTJOIN(",",TRUE,LEFT(TRIM(_xlfn.TEXTSPLIT(us_core_reqs[[#This Row],[reference]],",")),FIND(".html",TRIM(_xlfn.TEXTSPLIT(us_core_reqs[[#This Row],[reference]],",")))-1))</f>
        <v>clinical-notes,clinical-notes</v>
      </c>
      <c r="T207" s="70" t="str" cm="1">
        <f t="array" ref="T207">_xlfn.TEXTJOIN(",",TRUE,MID(TRIM(_xlfn.TEXTSPLIT(us_core_reqs[[#This Row],[reference]],",")),FIND("#",TRIM(_xlfn.TEXTSPLIT(us_core_reqs[[#This Row],[reference]],","))&amp;"#")+1,1000))</f>
        <v>clinical-notes,support-requirements</v>
      </c>
      <c r="U207"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t="s">
        <v>29</v>
      </c>
      <c r="W207" t="s">
        <v>30</v>
      </c>
      <c r="X207" t="s">
        <v>240</v>
      </c>
      <c r="Y207" t="s">
        <v>1171</v>
      </c>
      <c r="Z207" t="s">
        <v>1171</v>
      </c>
      <c r="AA207" t="s">
        <v>1171</v>
      </c>
      <c r="AB207" t="s">
        <v>1171</v>
      </c>
      <c r="AC207" t="s">
        <v>1171</v>
      </c>
      <c r="AD207" t="s">
        <v>1140</v>
      </c>
      <c r="AE207" t="s">
        <v>1171</v>
      </c>
    </row>
    <row r="208" spans="1:31" ht="52" thickBot="1" x14ac:dyDescent="0.25">
      <c r="A208" t="s">
        <v>1171</v>
      </c>
      <c r="B208" t="s">
        <v>1380</v>
      </c>
      <c r="C208" t="str">
        <f>"CONF-"&amp;TEXT(us_core_reqs[[#This Row],[ID*]], "0000")</f>
        <v>CONF-0207</v>
      </c>
      <c r="D208" s="11" t="s">
        <v>841</v>
      </c>
      <c r="E208" s="73" t="str" cm="1">
        <f t="array" ref="E208">_xlfn.TEXTJOIN(", ", TRUE, _xlfn.TEXTAFTER(_xlfn.TEXTSPLIT(us_core_reqs[[#This Row],[URL*]], ", "), "/", -1))</f>
        <v>clinical-notes.html#clinical-notes, clinical-notes.html#support-requirements</v>
      </c>
      <c r="F208" s="11" t="s">
        <v>2078</v>
      </c>
      <c r="G208" t="s">
        <v>29</v>
      </c>
      <c r="H208" cm="1">
        <f t="array" ref="H208">_xlfn.SWITCH(G208, "SHALL", 1, "SHOULD", 3, "MAY", 5, "SHOULD-NOT", 4, "SHALL-NOT", 2, "DEPRECATED", 6, 99)</f>
        <v>1</v>
      </c>
      <c r="J208" t="s">
        <v>30</v>
      </c>
      <c r="K208" t="s">
        <v>1171</v>
      </c>
      <c r="L208" t="s">
        <v>1171</v>
      </c>
      <c r="M208" t="s">
        <v>1173</v>
      </c>
      <c r="N208" t="s">
        <v>1171</v>
      </c>
      <c r="O208" t="s">
        <v>1171</v>
      </c>
      <c r="P208" t="s">
        <v>1171</v>
      </c>
      <c r="Q208" t="s">
        <v>1171</v>
      </c>
      <c r="R208" t="s">
        <v>1171</v>
      </c>
      <c r="S208" s="70" t="str" cm="1">
        <f t="array" ref="S208">_xlfn.TEXTJOIN(",",TRUE,LEFT(TRIM(_xlfn.TEXTSPLIT(us_core_reqs[[#This Row],[reference]],",")),FIND(".html",TRIM(_xlfn.TEXTSPLIT(us_core_reqs[[#This Row],[reference]],",")))-1))</f>
        <v>clinical-notes,clinical-notes</v>
      </c>
      <c r="T208" s="70" t="str" cm="1">
        <f t="array" ref="T208">_xlfn.TEXTJOIN(",",TRUE,MID(TRIM(_xlfn.TEXTSPLIT(us_core_reqs[[#This Row],[reference]],",")),FIND("#",TRIM(_xlfn.TEXTSPLIT(us_core_reqs[[#This Row],[reference]],","))&amp;"#")+1,1000))</f>
        <v>clinical-notes,support-requirements</v>
      </c>
      <c r="U208"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t="s">
        <v>29</v>
      </c>
      <c r="W208" t="s">
        <v>30</v>
      </c>
      <c r="X208" t="s">
        <v>240</v>
      </c>
      <c r="Y208" t="s">
        <v>1171</v>
      </c>
      <c r="Z208" t="s">
        <v>1171</v>
      </c>
      <c r="AA208" t="s">
        <v>1171</v>
      </c>
      <c r="AB208" t="s">
        <v>1171</v>
      </c>
      <c r="AC208" t="s">
        <v>1171</v>
      </c>
      <c r="AD208" t="s">
        <v>1140</v>
      </c>
      <c r="AE208" t="s">
        <v>1171</v>
      </c>
    </row>
    <row r="209" spans="1:31" ht="52" thickBot="1" x14ac:dyDescent="0.25">
      <c r="A209" t="s">
        <v>1171</v>
      </c>
      <c r="B209" t="s">
        <v>1381</v>
      </c>
      <c r="C209" t="str">
        <f>"CONF-"&amp;TEXT(us_core_reqs[[#This Row],[ID*]], "0000")</f>
        <v>CONF-0208</v>
      </c>
      <c r="D209" s="11" t="s">
        <v>841</v>
      </c>
      <c r="E209" s="73" t="str" cm="1">
        <f t="array" ref="E209">_xlfn.TEXTJOIN(", ", TRUE, _xlfn.TEXTAFTER(_xlfn.TEXTSPLIT(us_core_reqs[[#This Row],[URL*]], ", "), "/", -1))</f>
        <v>clinical-notes.html#clinical-notes, clinical-notes.html#support-requirements</v>
      </c>
      <c r="F209" s="11" t="s">
        <v>2079</v>
      </c>
      <c r="G209" t="s">
        <v>29</v>
      </c>
      <c r="H209" cm="1">
        <f t="array" ref="H209">_xlfn.SWITCH(G209, "SHALL", 1, "SHOULD", 3, "MAY", 5, "SHOULD-NOT", 4, "SHALL-NOT", 2, "DEPRECATED", 6, 99)</f>
        <v>1</v>
      </c>
      <c r="J209" t="s">
        <v>30</v>
      </c>
      <c r="K209" t="s">
        <v>1171</v>
      </c>
      <c r="L209" t="s">
        <v>1171</v>
      </c>
      <c r="M209" t="s">
        <v>1173</v>
      </c>
      <c r="N209" t="s">
        <v>1171</v>
      </c>
      <c r="O209" t="s">
        <v>1171</v>
      </c>
      <c r="P209" t="s">
        <v>1171</v>
      </c>
      <c r="Q209" t="s">
        <v>1171</v>
      </c>
      <c r="R209" t="s">
        <v>1171</v>
      </c>
      <c r="S209" s="70" t="str" cm="1">
        <f t="array" ref="S209">_xlfn.TEXTJOIN(",",TRUE,LEFT(TRIM(_xlfn.TEXTSPLIT(us_core_reqs[[#This Row],[reference]],",")),FIND(".html",TRIM(_xlfn.TEXTSPLIT(us_core_reqs[[#This Row],[reference]],",")))-1))</f>
        <v>clinical-notes,clinical-notes</v>
      </c>
      <c r="T209" s="70" t="str" cm="1">
        <f t="array" ref="T209">_xlfn.TEXTJOIN(",",TRUE,MID(TRIM(_xlfn.TEXTSPLIT(us_core_reqs[[#This Row],[reference]],",")),FIND("#",TRIM(_xlfn.TEXTSPLIT(us_core_reqs[[#This Row],[reference]],","))&amp;"#")+1,1000))</f>
        <v>clinical-notes,support-requirements</v>
      </c>
      <c r="U209"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t="s">
        <v>29</v>
      </c>
      <c r="W209" t="s">
        <v>30</v>
      </c>
      <c r="X209" t="s">
        <v>240</v>
      </c>
      <c r="Y209" t="s">
        <v>1171</v>
      </c>
      <c r="Z209" t="s">
        <v>1171</v>
      </c>
      <c r="AA209" t="s">
        <v>1171</v>
      </c>
      <c r="AB209" t="s">
        <v>1171</v>
      </c>
      <c r="AC209" t="s">
        <v>1171</v>
      </c>
      <c r="AD209" t="s">
        <v>1140</v>
      </c>
      <c r="AE209" t="s">
        <v>1171</v>
      </c>
    </row>
    <row r="210" spans="1:31" ht="52" thickBot="1" x14ac:dyDescent="0.25">
      <c r="A210" t="s">
        <v>1171</v>
      </c>
      <c r="B210" t="s">
        <v>1382</v>
      </c>
      <c r="C210" t="str">
        <f>"CONF-"&amp;TEXT(us_core_reqs[[#This Row],[ID*]], "0000")</f>
        <v>CONF-0209</v>
      </c>
      <c r="D210" s="11" t="s">
        <v>841</v>
      </c>
      <c r="E210" s="73" t="str" cm="1">
        <f t="array" ref="E210">_xlfn.TEXTJOIN(", ", TRUE, _xlfn.TEXTAFTER(_xlfn.TEXTSPLIT(us_core_reqs[[#This Row],[URL*]], ", "), "/", -1))</f>
        <v>clinical-notes.html#clinical-notes, clinical-notes.html#support-requirements</v>
      </c>
      <c r="F210" s="11" t="s">
        <v>2080</v>
      </c>
      <c r="G210" t="s">
        <v>29</v>
      </c>
      <c r="H210" cm="1">
        <f t="array" ref="H210">_xlfn.SWITCH(G210, "SHALL", 1, "SHOULD", 3, "MAY", 5, "SHOULD-NOT", 4, "SHALL-NOT", 2, "DEPRECATED", 6, 99)</f>
        <v>1</v>
      </c>
      <c r="J210" t="s">
        <v>30</v>
      </c>
      <c r="K210" t="s">
        <v>1171</v>
      </c>
      <c r="L210" t="s">
        <v>1171</v>
      </c>
      <c r="M210" t="s">
        <v>1173</v>
      </c>
      <c r="N210" t="s">
        <v>1171</v>
      </c>
      <c r="O210" t="s">
        <v>1171</v>
      </c>
      <c r="P210" t="s">
        <v>1171</v>
      </c>
      <c r="Q210" t="s">
        <v>1171</v>
      </c>
      <c r="R210" t="s">
        <v>1171</v>
      </c>
      <c r="S210" s="70" t="str" cm="1">
        <f t="array" ref="S210">_xlfn.TEXTJOIN(",",TRUE,LEFT(TRIM(_xlfn.TEXTSPLIT(us_core_reqs[[#This Row],[reference]],",")),FIND(".html",TRIM(_xlfn.TEXTSPLIT(us_core_reqs[[#This Row],[reference]],",")))-1))</f>
        <v>clinical-notes,clinical-notes</v>
      </c>
      <c r="T210" s="70" t="str" cm="1">
        <f t="array" ref="T210">_xlfn.TEXTJOIN(",",TRUE,MID(TRIM(_xlfn.TEXTSPLIT(us_core_reqs[[#This Row],[reference]],",")),FIND("#",TRIM(_xlfn.TEXTSPLIT(us_core_reqs[[#This Row],[reference]],","))&amp;"#")+1,1000))</f>
        <v>clinical-notes,support-requirements</v>
      </c>
      <c r="U210"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t="s">
        <v>29</v>
      </c>
      <c r="W210" t="s">
        <v>30</v>
      </c>
      <c r="X210" t="s">
        <v>244</v>
      </c>
      <c r="Y210" t="s">
        <v>1171</v>
      </c>
      <c r="Z210" t="s">
        <v>1171</v>
      </c>
      <c r="AA210" t="s">
        <v>1171</v>
      </c>
      <c r="AB210" t="s">
        <v>1171</v>
      </c>
      <c r="AC210" t="s">
        <v>1171</v>
      </c>
      <c r="AD210" t="s">
        <v>1140</v>
      </c>
      <c r="AE210" t="s">
        <v>1171</v>
      </c>
    </row>
    <row r="211" spans="1:31" ht="52" thickBot="1" x14ac:dyDescent="0.25">
      <c r="A211" t="s">
        <v>1171</v>
      </c>
      <c r="B211" t="s">
        <v>1383</v>
      </c>
      <c r="C211" t="str">
        <f>"CONF-"&amp;TEXT(us_core_reqs[[#This Row],[ID*]], "0000")</f>
        <v>CONF-0210</v>
      </c>
      <c r="D211" s="11" t="s">
        <v>841</v>
      </c>
      <c r="E211" s="73" t="str" cm="1">
        <f t="array" ref="E211">_xlfn.TEXTJOIN(", ", TRUE, _xlfn.TEXTAFTER(_xlfn.TEXTSPLIT(us_core_reqs[[#This Row],[URL*]], ", "), "/", -1))</f>
        <v>clinical-notes.html#clinical-notes, clinical-notes.html#support-requirements</v>
      </c>
      <c r="F211" s="11" t="s">
        <v>2081</v>
      </c>
      <c r="G211" t="s">
        <v>29</v>
      </c>
      <c r="H211" cm="1">
        <f t="array" ref="H211">_xlfn.SWITCH(G211, "SHALL", 1, "SHOULD", 3, "MAY", 5, "SHOULD-NOT", 4, "SHALL-NOT", 2, "DEPRECATED", 6, 99)</f>
        <v>1</v>
      </c>
      <c r="J211" t="s">
        <v>30</v>
      </c>
      <c r="K211" t="s">
        <v>1171</v>
      </c>
      <c r="L211" t="s">
        <v>1171</v>
      </c>
      <c r="M211" t="s">
        <v>1173</v>
      </c>
      <c r="N211" t="s">
        <v>1171</v>
      </c>
      <c r="O211" t="s">
        <v>1171</v>
      </c>
      <c r="P211" t="s">
        <v>1171</v>
      </c>
      <c r="Q211" t="s">
        <v>1171</v>
      </c>
      <c r="R211" t="s">
        <v>1171</v>
      </c>
      <c r="S211" s="70" t="str" cm="1">
        <f t="array" ref="S211">_xlfn.TEXTJOIN(",",TRUE,LEFT(TRIM(_xlfn.TEXTSPLIT(us_core_reqs[[#This Row],[reference]],",")),FIND(".html",TRIM(_xlfn.TEXTSPLIT(us_core_reqs[[#This Row],[reference]],",")))-1))</f>
        <v>clinical-notes,clinical-notes</v>
      </c>
      <c r="T211" s="70" t="str" cm="1">
        <f t="array" ref="T211">_xlfn.TEXTJOIN(",",TRUE,MID(TRIM(_xlfn.TEXTSPLIT(us_core_reqs[[#This Row],[reference]],",")),FIND("#",TRIM(_xlfn.TEXTSPLIT(us_core_reqs[[#This Row],[reference]],","))&amp;"#")+1,1000))</f>
        <v>clinical-notes,support-requirements</v>
      </c>
      <c r="U211"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t="s">
        <v>29</v>
      </c>
      <c r="W211" t="s">
        <v>30</v>
      </c>
      <c r="X211" t="s">
        <v>246</v>
      </c>
      <c r="Y211" t="s">
        <v>1171</v>
      </c>
      <c r="Z211" t="s">
        <v>1171</v>
      </c>
      <c r="AA211" t="s">
        <v>1171</v>
      </c>
      <c r="AB211" t="s">
        <v>1171</v>
      </c>
      <c r="AC211" t="s">
        <v>1171</v>
      </c>
      <c r="AD211" t="s">
        <v>1140</v>
      </c>
      <c r="AE211" t="s">
        <v>1171</v>
      </c>
    </row>
    <row r="212" spans="1:31" ht="52" thickBot="1" x14ac:dyDescent="0.25">
      <c r="A212" t="s">
        <v>1171</v>
      </c>
      <c r="B212" t="s">
        <v>1384</v>
      </c>
      <c r="C212" t="str">
        <f>"CONF-"&amp;TEXT(us_core_reqs[[#This Row],[ID*]], "0000")</f>
        <v>CONF-0211</v>
      </c>
      <c r="D212" s="11" t="s">
        <v>841</v>
      </c>
      <c r="E212" s="73" t="str" cm="1">
        <f t="array" ref="E212">_xlfn.TEXTJOIN(", ", TRUE, _xlfn.TEXTAFTER(_xlfn.TEXTSPLIT(us_core_reqs[[#This Row],[URL*]], ", "), "/", -1))</f>
        <v>clinical-notes.html#clinical-notes, clinical-notes.html#support-requirements</v>
      </c>
      <c r="F212" s="11" t="s">
        <v>2082</v>
      </c>
      <c r="G212" t="s">
        <v>29</v>
      </c>
      <c r="H212" cm="1">
        <f t="array" ref="H212">_xlfn.SWITCH(G212, "SHALL", 1, "SHOULD", 3, "MAY", 5, "SHOULD-NOT", 4, "SHALL-NOT", 2, "DEPRECATED", 6, 99)</f>
        <v>1</v>
      </c>
      <c r="J212" t="s">
        <v>30</v>
      </c>
      <c r="K212" t="s">
        <v>1171</v>
      </c>
      <c r="L212" t="s">
        <v>1171</v>
      </c>
      <c r="M212" t="s">
        <v>1173</v>
      </c>
      <c r="N212" t="s">
        <v>1171</v>
      </c>
      <c r="O212" t="s">
        <v>1171</v>
      </c>
      <c r="P212" t="s">
        <v>1171</v>
      </c>
      <c r="Q212" t="s">
        <v>1171</v>
      </c>
      <c r="R212" t="s">
        <v>1171</v>
      </c>
      <c r="S212" s="70" t="str" cm="1">
        <f t="array" ref="S212">_xlfn.TEXTJOIN(",",TRUE,LEFT(TRIM(_xlfn.TEXTSPLIT(us_core_reqs[[#This Row],[reference]],",")),FIND(".html",TRIM(_xlfn.TEXTSPLIT(us_core_reqs[[#This Row],[reference]],",")))-1))</f>
        <v>clinical-notes,clinical-notes</v>
      </c>
      <c r="T212" s="70" t="str" cm="1">
        <f t="array" ref="T212">_xlfn.TEXTJOIN(",",TRUE,MID(TRIM(_xlfn.TEXTSPLIT(us_core_reqs[[#This Row],[reference]],",")),FIND("#",TRIM(_xlfn.TEXTSPLIT(us_core_reqs[[#This Row],[reference]],","))&amp;"#")+1,1000))</f>
        <v>clinical-notes,support-requirements</v>
      </c>
      <c r="U212"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t="s">
        <v>29</v>
      </c>
      <c r="W212" t="s">
        <v>30</v>
      </c>
      <c r="X212" t="s">
        <v>246</v>
      </c>
      <c r="Y212" t="s">
        <v>1171</v>
      </c>
      <c r="Z212" t="s">
        <v>1171</v>
      </c>
      <c r="AA212" t="s">
        <v>1171</v>
      </c>
      <c r="AB212" t="s">
        <v>1171</v>
      </c>
      <c r="AC212" t="s">
        <v>1171</v>
      </c>
      <c r="AD212" t="s">
        <v>1140</v>
      </c>
      <c r="AE212" t="s">
        <v>1171</v>
      </c>
    </row>
    <row r="213" spans="1:31" ht="69" thickBot="1" x14ac:dyDescent="0.25">
      <c r="A213" t="s">
        <v>1171</v>
      </c>
      <c r="B213" t="s">
        <v>1385</v>
      </c>
      <c r="C213" t="str">
        <f>"CONF-"&amp;TEXT(us_core_reqs[[#This Row],[ID*]], "0000")</f>
        <v>CONF-0212</v>
      </c>
      <c r="D213" s="11" t="s">
        <v>841</v>
      </c>
      <c r="E213" s="73" t="str" cm="1">
        <f t="array" ref="E213">_xlfn.TEXTJOIN(", ", TRUE, _xlfn.TEXTAFTER(_xlfn.TEXTSPLIT(us_core_reqs[[#This Row],[URL*]], ", "), "/", -1))</f>
        <v>clinical-notes.html#clinical-notes, clinical-notes.html#support-requirements</v>
      </c>
      <c r="F213" s="11" t="s">
        <v>2083</v>
      </c>
      <c r="G213" t="s">
        <v>29</v>
      </c>
      <c r="H213" cm="1">
        <f t="array" ref="H213">_xlfn.SWITCH(G213, "SHALL", 1, "SHOULD", 3, "MAY", 5, "SHOULD-NOT", 4, "SHALL-NOT", 2, "DEPRECATED", 6, 99)</f>
        <v>1</v>
      </c>
      <c r="J213" t="s">
        <v>30</v>
      </c>
      <c r="K213" t="s">
        <v>1171</v>
      </c>
      <c r="L213" t="s">
        <v>1171</v>
      </c>
      <c r="M213" t="s">
        <v>1173</v>
      </c>
      <c r="N213" t="s">
        <v>1171</v>
      </c>
      <c r="O213" t="s">
        <v>1171</v>
      </c>
      <c r="P213" t="s">
        <v>1171</v>
      </c>
      <c r="Q213" t="s">
        <v>1171</v>
      </c>
      <c r="R213" t="s">
        <v>1171</v>
      </c>
      <c r="S213" s="70" t="str" cm="1">
        <f t="array" ref="S213">_xlfn.TEXTJOIN(",",TRUE,LEFT(TRIM(_xlfn.TEXTSPLIT(us_core_reqs[[#This Row],[reference]],",")),FIND(".html",TRIM(_xlfn.TEXTSPLIT(us_core_reqs[[#This Row],[reference]],",")))-1))</f>
        <v>clinical-notes,clinical-notes</v>
      </c>
      <c r="T213" s="70" t="str" cm="1">
        <f t="array" ref="T213">_xlfn.TEXTJOIN(",",TRUE,MID(TRIM(_xlfn.TEXTSPLIT(us_core_reqs[[#This Row],[reference]],",")),FIND("#",TRIM(_xlfn.TEXTSPLIT(us_core_reqs[[#This Row],[reference]],","))&amp;"#")+1,1000))</f>
        <v>clinical-notes,support-requirements</v>
      </c>
      <c r="U213"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t="s">
        <v>29</v>
      </c>
      <c r="W213" t="s">
        <v>30</v>
      </c>
      <c r="X213" t="s">
        <v>249</v>
      </c>
      <c r="Y213" t="s">
        <v>1171</v>
      </c>
      <c r="Z213" t="s">
        <v>1171</v>
      </c>
      <c r="AA213" t="s">
        <v>1171</v>
      </c>
      <c r="AB213" t="s">
        <v>1171</v>
      </c>
      <c r="AC213" t="s">
        <v>1171</v>
      </c>
      <c r="AD213" t="s">
        <v>1140</v>
      </c>
      <c r="AE213" t="s">
        <v>1171</v>
      </c>
    </row>
    <row r="214" spans="1:31" ht="69" thickBot="1" x14ac:dyDescent="0.25">
      <c r="A214" t="s">
        <v>1171</v>
      </c>
      <c r="B214" t="s">
        <v>1386</v>
      </c>
      <c r="C214" t="str">
        <f>"CONF-"&amp;TEXT(us_core_reqs[[#This Row],[ID*]], "0000")</f>
        <v>CONF-0213</v>
      </c>
      <c r="D214" s="11" t="s">
        <v>841</v>
      </c>
      <c r="E214" s="73" t="str" cm="1">
        <f t="array" ref="E214">_xlfn.TEXTJOIN(", ", TRUE, _xlfn.TEXTAFTER(_xlfn.TEXTSPLIT(us_core_reqs[[#This Row],[URL*]], ", "), "/", -1))</f>
        <v>clinical-notes.html#clinical-notes, clinical-notes.html#support-requirements</v>
      </c>
      <c r="F214" s="11" t="s">
        <v>2084</v>
      </c>
      <c r="G214" t="s">
        <v>29</v>
      </c>
      <c r="H214" cm="1">
        <f t="array" ref="H214">_xlfn.SWITCH(G214, "SHALL", 1, "SHOULD", 3, "MAY", 5, "SHOULD-NOT", 4, "SHALL-NOT", 2, "DEPRECATED", 6, 99)</f>
        <v>1</v>
      </c>
      <c r="J214" t="s">
        <v>30</v>
      </c>
      <c r="K214" t="s">
        <v>1171</v>
      </c>
      <c r="L214" t="s">
        <v>1171</v>
      </c>
      <c r="M214" t="s">
        <v>1173</v>
      </c>
      <c r="N214" t="s">
        <v>1171</v>
      </c>
      <c r="O214" t="s">
        <v>1171</v>
      </c>
      <c r="P214" t="s">
        <v>1171</v>
      </c>
      <c r="Q214" t="s">
        <v>1171</v>
      </c>
      <c r="R214" t="s">
        <v>1171</v>
      </c>
      <c r="S214" s="70" t="str" cm="1">
        <f t="array" ref="S214">_xlfn.TEXTJOIN(",",TRUE,LEFT(TRIM(_xlfn.TEXTSPLIT(us_core_reqs[[#This Row],[reference]],",")),FIND(".html",TRIM(_xlfn.TEXTSPLIT(us_core_reqs[[#This Row],[reference]],",")))-1))</f>
        <v>clinical-notes,clinical-notes</v>
      </c>
      <c r="T214" s="70" t="str" cm="1">
        <f t="array" ref="T214">_xlfn.TEXTJOIN(",",TRUE,MID(TRIM(_xlfn.TEXTSPLIT(us_core_reqs[[#This Row],[reference]],",")),FIND("#",TRIM(_xlfn.TEXTSPLIT(us_core_reqs[[#This Row],[reference]],","))&amp;"#")+1,1000))</f>
        <v>clinical-notes,support-requirements</v>
      </c>
      <c r="U214"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t="s">
        <v>29</v>
      </c>
      <c r="W214" t="s">
        <v>30</v>
      </c>
      <c r="X214" t="s">
        <v>249</v>
      </c>
      <c r="Y214" t="s">
        <v>1171</v>
      </c>
      <c r="Z214" t="s">
        <v>1171</v>
      </c>
      <c r="AA214" t="s">
        <v>1171</v>
      </c>
      <c r="AB214" t="s">
        <v>1171</v>
      </c>
      <c r="AC214" t="s">
        <v>1171</v>
      </c>
      <c r="AD214" t="s">
        <v>1140</v>
      </c>
      <c r="AE214" t="s">
        <v>1171</v>
      </c>
    </row>
    <row r="215" spans="1:31" ht="52" thickBot="1" x14ac:dyDescent="0.25">
      <c r="A215" t="s">
        <v>1171</v>
      </c>
      <c r="B215" t="s">
        <v>1387</v>
      </c>
      <c r="C215" t="str">
        <f>"CONF-"&amp;TEXT(us_core_reqs[[#This Row],[ID*]], "0000")</f>
        <v>CONF-0214</v>
      </c>
      <c r="D215" s="11" t="s">
        <v>841</v>
      </c>
      <c r="E215" s="73" t="str" cm="1">
        <f t="array" ref="E215">_xlfn.TEXTJOIN(", ", TRUE, _xlfn.TEXTAFTER(_xlfn.TEXTSPLIT(us_core_reqs[[#This Row],[URL*]], ", "), "/", -1))</f>
        <v>clinical-notes.html#clinical-notes, clinical-notes.html#support-requirements</v>
      </c>
      <c r="F215" s="11" t="s">
        <v>2085</v>
      </c>
      <c r="G215" t="s">
        <v>29</v>
      </c>
      <c r="H215" cm="1">
        <f t="array" ref="H215">_xlfn.SWITCH(G215, "SHALL", 1, "SHOULD", 3, "MAY", 5, "SHOULD-NOT", 4, "SHALL-NOT", 2, "DEPRECATED", 6, 99)</f>
        <v>1</v>
      </c>
      <c r="J215" t="s">
        <v>30</v>
      </c>
      <c r="K215" t="s">
        <v>1171</v>
      </c>
      <c r="L215" t="s">
        <v>1171</v>
      </c>
      <c r="M215" t="s">
        <v>1173</v>
      </c>
      <c r="N215" t="s">
        <v>1171</v>
      </c>
      <c r="O215" t="s">
        <v>1171</v>
      </c>
      <c r="P215" t="s">
        <v>1171</v>
      </c>
      <c r="Q215" t="s">
        <v>1171</v>
      </c>
      <c r="R215" t="s">
        <v>1171</v>
      </c>
      <c r="S215" s="70" t="str" cm="1">
        <f t="array" ref="S215">_xlfn.TEXTJOIN(",",TRUE,LEFT(TRIM(_xlfn.TEXTSPLIT(us_core_reqs[[#This Row],[reference]],",")),FIND(".html",TRIM(_xlfn.TEXTSPLIT(us_core_reqs[[#This Row],[reference]],",")))-1))</f>
        <v>clinical-notes,clinical-notes</v>
      </c>
      <c r="T215" s="70" t="str" cm="1">
        <f t="array" ref="T215">_xlfn.TEXTJOIN(",",TRUE,MID(TRIM(_xlfn.TEXTSPLIT(us_core_reqs[[#This Row],[reference]],",")),FIND("#",TRIM(_xlfn.TEXTSPLIT(us_core_reqs[[#This Row],[reference]],","))&amp;"#")+1,1000))</f>
        <v>clinical-notes,support-requirements</v>
      </c>
      <c r="U215"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t="s">
        <v>29</v>
      </c>
      <c r="W215" t="s">
        <v>30</v>
      </c>
      <c r="X215" t="s">
        <v>252</v>
      </c>
      <c r="Y215" t="s">
        <v>1171</v>
      </c>
      <c r="Z215" t="s">
        <v>1171</v>
      </c>
      <c r="AA215" t="s">
        <v>1171</v>
      </c>
      <c r="AB215" t="s">
        <v>1171</v>
      </c>
      <c r="AC215" t="s">
        <v>1171</v>
      </c>
      <c r="AD215" t="s">
        <v>1140</v>
      </c>
      <c r="AE215" t="s">
        <v>1171</v>
      </c>
    </row>
    <row r="216" spans="1:31" ht="52" thickBot="1" x14ac:dyDescent="0.25">
      <c r="A216" t="s">
        <v>1171</v>
      </c>
      <c r="B216" t="s">
        <v>1388</v>
      </c>
      <c r="C216" t="str">
        <f>"CONF-"&amp;TEXT(us_core_reqs[[#This Row],[ID*]], "0000")</f>
        <v>CONF-0215</v>
      </c>
      <c r="D216" s="11" t="s">
        <v>841</v>
      </c>
      <c r="E216" s="73" t="str" cm="1">
        <f t="array" ref="E216">_xlfn.TEXTJOIN(", ", TRUE, _xlfn.TEXTAFTER(_xlfn.TEXTSPLIT(us_core_reqs[[#This Row],[URL*]], ", "), "/", -1))</f>
        <v>clinical-notes.html#clinical-notes, clinical-notes.html#support-requirements</v>
      </c>
      <c r="F216" s="11" t="s">
        <v>2086</v>
      </c>
      <c r="G216" t="s">
        <v>29</v>
      </c>
      <c r="H216" cm="1">
        <f t="array" ref="H216">_xlfn.SWITCH(G216, "SHALL", 1, "SHOULD", 3, "MAY", 5, "SHOULD-NOT", 4, "SHALL-NOT", 2, "DEPRECATED", 6, 99)</f>
        <v>1</v>
      </c>
      <c r="J216" t="s">
        <v>30</v>
      </c>
      <c r="K216" t="s">
        <v>1171</v>
      </c>
      <c r="L216" t="s">
        <v>1171</v>
      </c>
      <c r="M216" t="s">
        <v>1173</v>
      </c>
      <c r="N216" t="s">
        <v>1171</v>
      </c>
      <c r="O216" t="s">
        <v>1171</v>
      </c>
      <c r="P216" t="s">
        <v>1171</v>
      </c>
      <c r="Q216" t="s">
        <v>1171</v>
      </c>
      <c r="R216" t="s">
        <v>1171</v>
      </c>
      <c r="S216" s="70" t="str" cm="1">
        <f t="array" ref="S216">_xlfn.TEXTJOIN(",",TRUE,LEFT(TRIM(_xlfn.TEXTSPLIT(us_core_reqs[[#This Row],[reference]],",")),FIND(".html",TRIM(_xlfn.TEXTSPLIT(us_core_reqs[[#This Row],[reference]],",")))-1))</f>
        <v>clinical-notes,clinical-notes</v>
      </c>
      <c r="T216" s="70" t="str" cm="1">
        <f t="array" ref="T216">_xlfn.TEXTJOIN(",",TRUE,MID(TRIM(_xlfn.TEXTSPLIT(us_core_reqs[[#This Row],[reference]],",")),FIND("#",TRIM(_xlfn.TEXTSPLIT(us_core_reqs[[#This Row],[reference]],","))&amp;"#")+1,1000))</f>
        <v>clinical-notes,support-requirements</v>
      </c>
      <c r="U216"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t="s">
        <v>29</v>
      </c>
      <c r="W216" t="s">
        <v>30</v>
      </c>
      <c r="X216" t="s">
        <v>252</v>
      </c>
      <c r="Y216" t="s">
        <v>1171</v>
      </c>
      <c r="Z216" t="s">
        <v>1171</v>
      </c>
      <c r="AA216" t="s">
        <v>1171</v>
      </c>
      <c r="AB216" t="s">
        <v>1171</v>
      </c>
      <c r="AC216" t="s">
        <v>1171</v>
      </c>
      <c r="AD216" t="s">
        <v>1140</v>
      </c>
      <c r="AE216" t="s">
        <v>1171</v>
      </c>
    </row>
    <row r="217" spans="1:31" ht="52" thickBot="1" x14ac:dyDescent="0.25">
      <c r="A217" t="s">
        <v>1171</v>
      </c>
      <c r="B217" t="s">
        <v>1389</v>
      </c>
      <c r="C217" t="str">
        <f>"CONF-"&amp;TEXT(us_core_reqs[[#This Row],[ID*]], "0000")</f>
        <v>CONF-0216</v>
      </c>
      <c r="D217" s="11" t="s">
        <v>841</v>
      </c>
      <c r="E217" s="73" t="str" cm="1">
        <f t="array" ref="E217">_xlfn.TEXTJOIN(", ", TRUE, _xlfn.TEXTAFTER(_xlfn.TEXTSPLIT(us_core_reqs[[#This Row],[URL*]], ", "), "/", -1))</f>
        <v>clinical-notes.html#clinical-notes, clinical-notes.html#support-requirements</v>
      </c>
      <c r="F217" s="11" t="s">
        <v>2087</v>
      </c>
      <c r="G217" t="s">
        <v>29</v>
      </c>
      <c r="H217" cm="1">
        <f t="array" ref="H217">_xlfn.SWITCH(G217, "SHALL", 1, "SHOULD", 3, "MAY", 5, "SHOULD-NOT", 4, "SHALL-NOT", 2, "DEPRECATED", 6, 99)</f>
        <v>1</v>
      </c>
      <c r="J217" t="s">
        <v>30</v>
      </c>
      <c r="K217" t="s">
        <v>1171</v>
      </c>
      <c r="L217" t="s">
        <v>1171</v>
      </c>
      <c r="M217" t="s">
        <v>1173</v>
      </c>
      <c r="N217" t="s">
        <v>1171</v>
      </c>
      <c r="O217" t="s">
        <v>1171</v>
      </c>
      <c r="P217" t="s">
        <v>1171</v>
      </c>
      <c r="Q217" t="s">
        <v>1171</v>
      </c>
      <c r="R217" t="s">
        <v>1171</v>
      </c>
      <c r="S217" s="70" t="str" cm="1">
        <f t="array" ref="S217">_xlfn.TEXTJOIN(",",TRUE,LEFT(TRIM(_xlfn.TEXTSPLIT(us_core_reqs[[#This Row],[reference]],",")),FIND(".html",TRIM(_xlfn.TEXTSPLIT(us_core_reqs[[#This Row],[reference]],",")))-1))</f>
        <v>clinical-notes,clinical-notes</v>
      </c>
      <c r="T217" s="70" t="str" cm="1">
        <f t="array" ref="T217">_xlfn.TEXTJOIN(",",TRUE,MID(TRIM(_xlfn.TEXTSPLIT(us_core_reqs[[#This Row],[reference]],",")),FIND("#",TRIM(_xlfn.TEXTSPLIT(us_core_reqs[[#This Row],[reference]],","))&amp;"#")+1,1000))</f>
        <v>clinical-notes,support-requirements</v>
      </c>
      <c r="U217"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t="s">
        <v>29</v>
      </c>
      <c r="W217" t="s">
        <v>30</v>
      </c>
      <c r="X217" t="s">
        <v>255</v>
      </c>
      <c r="Y217" t="s">
        <v>1171</v>
      </c>
      <c r="Z217" t="s">
        <v>1171</v>
      </c>
      <c r="AA217" t="s">
        <v>1171</v>
      </c>
      <c r="AB217" t="s">
        <v>1171</v>
      </c>
      <c r="AC217" t="s">
        <v>1171</v>
      </c>
      <c r="AD217" t="s">
        <v>1140</v>
      </c>
      <c r="AE217" t="s">
        <v>1171</v>
      </c>
    </row>
    <row r="218" spans="1:31" ht="52" thickBot="1" x14ac:dyDescent="0.25">
      <c r="A218" t="s">
        <v>1171</v>
      </c>
      <c r="B218" t="s">
        <v>1390</v>
      </c>
      <c r="C218" t="str">
        <f>"CONF-"&amp;TEXT(us_core_reqs[[#This Row],[ID*]], "0000")</f>
        <v>CONF-0217</v>
      </c>
      <c r="D218" s="11" t="s">
        <v>627</v>
      </c>
      <c r="E218" s="73" t="str" cm="1">
        <f t="array" ref="E218">_xlfn.TEXTJOIN(", ", TRUE, _xlfn.TEXTAFTER(_xlfn.TEXTSPLIT(us_core_reqs[[#This Row],[URL*]], ", "), "/", -1))</f>
        <v>clinical-notes.html#clinical-notes</v>
      </c>
      <c r="F218" s="11" t="s">
        <v>256</v>
      </c>
      <c r="G218" t="s">
        <v>32</v>
      </c>
      <c r="H218" cm="1">
        <f t="array" ref="H218">_xlfn.SWITCH(G218, "SHALL", 1, "SHOULD", 3, "MAY", 5, "SHOULD-NOT", 4, "SHALL-NOT", 2, "DEPRECATED", 6, 99)</f>
        <v>3</v>
      </c>
      <c r="J218" t="s">
        <v>30</v>
      </c>
      <c r="K218" t="s">
        <v>1171</v>
      </c>
      <c r="L218" t="s">
        <v>1171</v>
      </c>
      <c r="M218" t="s">
        <v>1173</v>
      </c>
      <c r="N218" t="s">
        <v>1171</v>
      </c>
      <c r="O218" t="s">
        <v>1171</v>
      </c>
      <c r="P218" t="s">
        <v>1171</v>
      </c>
      <c r="Q218" t="s">
        <v>1171</v>
      </c>
      <c r="R218" t="s">
        <v>1171</v>
      </c>
      <c r="S218" s="70" t="str" cm="1">
        <f t="array" ref="S218">_xlfn.TEXTJOIN(",",TRUE,LEFT(TRIM(_xlfn.TEXTSPLIT(us_core_reqs[[#This Row],[reference]],",")),FIND(".html",TRIM(_xlfn.TEXTSPLIT(us_core_reqs[[#This Row],[reference]],",")))-1))</f>
        <v>clinical-notes</v>
      </c>
      <c r="T218" s="70" t="str" cm="1">
        <f t="array" ref="T218">_xlfn.TEXTJOIN(",",TRUE,MID(TRIM(_xlfn.TEXTSPLIT(us_core_reqs[[#This Row],[reference]],",")),FIND("#",TRIM(_xlfn.TEXTSPLIT(us_core_reqs[[#This Row],[reference]],","))&amp;"#")+1,1000))</f>
        <v>clinical-notes</v>
      </c>
      <c r="U218" t="str" cm="1">
        <f t="array" ref="U218">_xlfn.TEXTJOIN(", ",TRUE,SUBSTITUTE(SUBSTITUTE(PROPER(SUBSTITUTE(TRIM(_xlfn.TEXTSPLIT(us_core_reqs[[#This Row],[Page]],","))," -"," "))&amp;": "&amp;PROPER(SUBSTITUTE(TRIM(_xlfn.TEXTSPLIT(us_core_reqs[[#This Row],[Section]],","))," -"," ")),"Us ","US        
  "),"Uscdi","USCDI"))</f>
        <v>Clinical-Notes: Clinical-Notes</v>
      </c>
      <c r="V218" t="s">
        <v>1171</v>
      </c>
      <c r="W218" t="s">
        <v>1171</v>
      </c>
      <c r="X218" t="s">
        <v>257</v>
      </c>
      <c r="Y218" t="s">
        <v>1171</v>
      </c>
      <c r="Z218" t="s">
        <v>1171</v>
      </c>
      <c r="AA218" t="s">
        <v>1171</v>
      </c>
      <c r="AB218" t="s">
        <v>1171</v>
      </c>
      <c r="AC218" t="s">
        <v>1171</v>
      </c>
      <c r="AD218" t="s">
        <v>1171</v>
      </c>
      <c r="AE218" t="s">
        <v>1171</v>
      </c>
    </row>
    <row r="219" spans="1:31" ht="52" thickBot="1" x14ac:dyDescent="0.25">
      <c r="A219" t="s">
        <v>1171</v>
      </c>
      <c r="B219" t="s">
        <v>1391</v>
      </c>
      <c r="C219" t="str">
        <f>"CONF-"&amp;TEXT(us_core_reqs[[#This Row],[ID*]], "0000")</f>
        <v>CONF-0218</v>
      </c>
      <c r="D219" s="11" t="s">
        <v>627</v>
      </c>
      <c r="E219" s="73" t="str" cm="1">
        <f t="array" ref="E219">_xlfn.TEXTJOIN(", ", TRUE, _xlfn.TEXTAFTER(_xlfn.TEXTSPLIT(us_core_reqs[[#This Row],[URL*]], ", "), "/", -1))</f>
        <v>clinical-notes.html#clinical-notes</v>
      </c>
      <c r="F219" s="11" t="s">
        <v>258</v>
      </c>
      <c r="G219" t="s">
        <v>64</v>
      </c>
      <c r="H219" cm="1">
        <f t="array" ref="H219">_xlfn.SWITCH(G219, "SHALL", 1, "SHOULD", 3, "MAY", 5, "SHOULD-NOT", 4, "SHALL-NOT", 2, "DEPRECATED", 6, 99)</f>
        <v>6</v>
      </c>
      <c r="J219" t="s">
        <v>30</v>
      </c>
      <c r="K219" t="s">
        <v>1171</v>
      </c>
      <c r="L219" t="s">
        <v>1171</v>
      </c>
      <c r="M219" t="s">
        <v>1173</v>
      </c>
      <c r="N219" t="s">
        <v>1171</v>
      </c>
      <c r="O219" t="s">
        <v>1171</v>
      </c>
      <c r="P219" t="s">
        <v>1171</v>
      </c>
      <c r="Q219" t="s">
        <v>1171</v>
      </c>
      <c r="R219" t="s">
        <v>1171</v>
      </c>
      <c r="S219" s="70" t="str" cm="1">
        <f t="array" ref="S219">_xlfn.TEXTJOIN(",",TRUE,LEFT(TRIM(_xlfn.TEXTSPLIT(us_core_reqs[[#This Row],[reference]],",")),FIND(".html",TRIM(_xlfn.TEXTSPLIT(us_core_reqs[[#This Row],[reference]],",")))-1))</f>
        <v>clinical-notes</v>
      </c>
      <c r="T219" s="70" t="str" cm="1">
        <f t="array" ref="T219">_xlfn.TEXTJOIN(",",TRUE,MID(TRIM(_xlfn.TEXTSPLIT(us_core_reqs[[#This Row],[reference]],",")),FIND("#",TRIM(_xlfn.TEXTSPLIT(us_core_reqs[[#This Row],[reference]],","))&amp;"#")+1,1000))</f>
        <v>clinical-notes</v>
      </c>
      <c r="U219" t="str" cm="1">
        <f t="array" ref="U219">_xlfn.TEXTJOIN(", ",TRUE,SUBSTITUTE(SUBSTITUTE(PROPER(SUBSTITUTE(TRIM(_xlfn.TEXTSPLIT(us_core_reqs[[#This Row],[Page]],","))," -"," "))&amp;": "&amp;PROPER(SUBSTITUTE(TRIM(_xlfn.TEXTSPLIT(us_core_reqs[[#This Row],[Section]],","))," -"," ")),"Us ","US        
  "),"Uscdi","USCDI"))</f>
        <v>Clinical-Notes: Clinical-Notes</v>
      </c>
      <c r="V219" t="s">
        <v>1171</v>
      </c>
      <c r="W219" t="s">
        <v>1171</v>
      </c>
      <c r="X219" t="s">
        <v>257</v>
      </c>
      <c r="Y219" t="s">
        <v>1171</v>
      </c>
      <c r="Z219" t="s">
        <v>1171</v>
      </c>
      <c r="AA219" t="s">
        <v>1171</v>
      </c>
      <c r="AB219" t="s">
        <v>1171</v>
      </c>
      <c r="AC219" t="s">
        <v>1171</v>
      </c>
      <c r="AD219" t="s">
        <v>1171</v>
      </c>
      <c r="AE219" t="s">
        <v>1171</v>
      </c>
    </row>
    <row r="220" spans="1:31" ht="52" thickBot="1" x14ac:dyDescent="0.25">
      <c r="A220" t="s">
        <v>1171</v>
      </c>
      <c r="B220" t="s">
        <v>1392</v>
      </c>
      <c r="C220" t="str">
        <f>"CONF-"&amp;TEXT(us_core_reqs[[#This Row],[ID*]], "0000")</f>
        <v>CONF-0219</v>
      </c>
      <c r="D220" s="11" t="s">
        <v>627</v>
      </c>
      <c r="E220" s="73" t="str" cm="1">
        <f t="array" ref="E220">_xlfn.TEXTJOIN(", ", TRUE, _xlfn.TEXTAFTER(_xlfn.TEXTSPLIT(us_core_reqs[[#This Row],[URL*]], ", "), "/", -1))</f>
        <v>clinical-notes.html#clinical-notes</v>
      </c>
      <c r="F220" s="11" t="s">
        <v>259</v>
      </c>
      <c r="G220" t="s">
        <v>32</v>
      </c>
      <c r="H220" cm="1">
        <f t="array" ref="H220">_xlfn.SWITCH(G220, "SHALL", 1, "SHOULD", 3, "MAY", 5, "SHOULD-NOT", 4, "SHALL-NOT", 2, "DEPRECATED", 6, 99)</f>
        <v>3</v>
      </c>
      <c r="J220" t="s">
        <v>30</v>
      </c>
      <c r="K220" t="s">
        <v>1171</v>
      </c>
      <c r="L220" t="s">
        <v>1171</v>
      </c>
      <c r="M220" t="s">
        <v>1173</v>
      </c>
      <c r="N220" t="s">
        <v>1171</v>
      </c>
      <c r="O220" t="s">
        <v>1171</v>
      </c>
      <c r="P220" t="s">
        <v>1171</v>
      </c>
      <c r="Q220" t="s">
        <v>1171</v>
      </c>
      <c r="R220" t="s">
        <v>1171</v>
      </c>
      <c r="S220" s="70" t="str" cm="1">
        <f t="array" ref="S220">_xlfn.TEXTJOIN(",",TRUE,LEFT(TRIM(_xlfn.TEXTSPLIT(us_core_reqs[[#This Row],[reference]],",")),FIND(".html",TRIM(_xlfn.TEXTSPLIT(us_core_reqs[[#This Row],[reference]],",")))-1))</f>
        <v>clinical-notes</v>
      </c>
      <c r="T220" s="70" t="str" cm="1">
        <f t="array" ref="T220">_xlfn.TEXTJOIN(",",TRUE,MID(TRIM(_xlfn.TEXTSPLIT(us_core_reqs[[#This Row],[reference]],",")),FIND("#",TRIM(_xlfn.TEXTSPLIT(us_core_reqs[[#This Row],[reference]],","))&amp;"#")+1,1000))</f>
        <v>clinical-notes</v>
      </c>
      <c r="U220" t="str" cm="1">
        <f t="array" ref="U220">_xlfn.TEXTJOIN(", ",TRUE,SUBSTITUTE(SUBSTITUTE(PROPER(SUBSTITUTE(TRIM(_xlfn.TEXTSPLIT(us_core_reqs[[#This Row],[Page]],","))," -"," "))&amp;": "&amp;PROPER(SUBSTITUTE(TRIM(_xlfn.TEXTSPLIT(us_core_reqs[[#This Row],[Section]],","))," -"," ")),"Us ","US        
  "),"Uscdi","USCDI"))</f>
        <v>Clinical-Notes: Clinical-Notes</v>
      </c>
      <c r="V220" t="s">
        <v>1171</v>
      </c>
      <c r="W220" t="s">
        <v>1171</v>
      </c>
      <c r="X220" t="s">
        <v>260</v>
      </c>
      <c r="Y220" t="s">
        <v>1171</v>
      </c>
      <c r="Z220" t="s">
        <v>1171</v>
      </c>
      <c r="AA220" t="s">
        <v>1171</v>
      </c>
      <c r="AB220" t="s">
        <v>1171</v>
      </c>
      <c r="AC220" t="s">
        <v>1171</v>
      </c>
      <c r="AD220" t="s">
        <v>1171</v>
      </c>
      <c r="AE220" t="s">
        <v>1171</v>
      </c>
    </row>
    <row r="221" spans="1:31" ht="103" thickBot="1" x14ac:dyDescent="0.25">
      <c r="A221" t="s">
        <v>1171</v>
      </c>
      <c r="B221" t="s">
        <v>1393</v>
      </c>
      <c r="C221" t="str">
        <f>"CONF-"&amp;TEXT(us_core_reqs[[#This Row],[ID*]], "0000")</f>
        <v>CONF-0220</v>
      </c>
      <c r="D221" s="11" t="s">
        <v>842</v>
      </c>
      <c r="E221" s="73" t="str" cm="1">
        <f t="array" ref="E221">_xlfn.TEXTJOIN(", ", TRUE, _xlfn.TEXTAFTER(_xlfn.TEXTSPLIT(us_core_reqs[[#This Row],[URL*]], ", "), "/", -1))</f>
        <v>clinical-notes.html#fhir-resources-to-exchange-clinical-notes</v>
      </c>
      <c r="F221" s="11" t="s">
        <v>2204</v>
      </c>
      <c r="G221" t="s">
        <v>29</v>
      </c>
      <c r="H221" cm="1">
        <f t="array" ref="H221">_xlfn.SWITCH(G221, "SHALL", 1, "SHOULD", 3, "MAY", 5, "SHOULD-NOT", 4, "SHALL-NOT", 2, "DEPRECATED", 6, 99)</f>
        <v>1</v>
      </c>
      <c r="J221" t="s">
        <v>30</v>
      </c>
      <c r="K221" t="s">
        <v>1171</v>
      </c>
      <c r="L221" t="s">
        <v>1171</v>
      </c>
      <c r="M221" t="s">
        <v>1173</v>
      </c>
      <c r="N221" t="s">
        <v>1171</v>
      </c>
      <c r="O221" t="s">
        <v>1171</v>
      </c>
      <c r="P221" t="s">
        <v>1171</v>
      </c>
      <c r="Q221" t="s">
        <v>1171</v>
      </c>
      <c r="R221" t="s">
        <v>1171</v>
      </c>
      <c r="S221" s="70" t="str" cm="1">
        <f t="array" ref="S221">_xlfn.TEXTJOIN(",",TRUE,LEFT(TRIM(_xlfn.TEXTSPLIT(us_core_reqs[[#This Row],[reference]],",")),FIND(".html",TRIM(_xlfn.TEXTSPLIT(us_core_reqs[[#This Row],[reference]],",")))-1))</f>
        <v>clinical-notes</v>
      </c>
      <c r="T221" s="70" t="str" cm="1">
        <f t="array" ref="T221">_xlfn.TEXTJOIN(",",TRUE,MID(TRIM(_xlfn.TEXTSPLIT(us_core_reqs[[#This Row],[reference]],",")),FIND("#",TRIM(_xlfn.TEXTSPLIT(us_core_reqs[[#This Row],[reference]],","))&amp;"#")+1,1000))</f>
        <v>fhir-resources-to-exchange-clinical-notes</v>
      </c>
      <c r="U221" t="str" cm="1">
        <f t="array" ref="U221">_xlfn.TEXTJOIN(", ",TRUE,SUBSTITUTE(SUBSTITUTE(PROPER(SUBSTITUTE(TRIM(_xlfn.TEXTSPLIT(us_core_reqs[[#This Row],[Page]],","))," -"," "))&amp;": "&amp;PROPER(SUBSTITUTE(TRIM(_xlfn.TEXTSPLIT(us_core_reqs[[#This Row],[Section]],","))," -"," ")),"Us ","US        
  "),"Uscdi","USCDI"))</f>
        <v>Clinical-Notes: Fhir-Resources-To-Exchange-Clinical-Notes</v>
      </c>
      <c r="V221" t="s">
        <v>29</v>
      </c>
      <c r="W221" t="s">
        <v>30</v>
      </c>
      <c r="X221" t="s">
        <v>260</v>
      </c>
      <c r="Y221" t="s">
        <v>1171</v>
      </c>
      <c r="Z221" t="s">
        <v>1171</v>
      </c>
      <c r="AA221" t="s">
        <v>1171</v>
      </c>
      <c r="AB221" t="s">
        <v>1171</v>
      </c>
      <c r="AC221" t="s">
        <v>1171</v>
      </c>
      <c r="AD221" t="s">
        <v>1140</v>
      </c>
      <c r="AE221" t="s">
        <v>1171</v>
      </c>
    </row>
    <row r="222" spans="1:31" ht="52" thickBot="1" x14ac:dyDescent="0.25">
      <c r="A222" t="s">
        <v>1171</v>
      </c>
      <c r="B222" t="s">
        <v>1394</v>
      </c>
      <c r="C222" t="str">
        <f>"CONF-"&amp;TEXT(us_core_reqs[[#This Row],[ID*]], "0000")</f>
        <v>CONF-0221</v>
      </c>
      <c r="D222" s="11" t="s">
        <v>842</v>
      </c>
      <c r="E222" s="73" t="str" cm="1">
        <f t="array" ref="E222">_xlfn.TEXTJOIN(", ", TRUE, _xlfn.TEXTAFTER(_xlfn.TEXTSPLIT(us_core_reqs[[#This Row],[URL*]], ", "), "/", -1))</f>
        <v>clinical-notes.html#fhir-resources-to-exchange-clinical-notes</v>
      </c>
      <c r="F222" s="11" t="s">
        <v>2198</v>
      </c>
      <c r="G222" t="s">
        <v>29</v>
      </c>
      <c r="H222" cm="1">
        <f t="array" ref="H222">_xlfn.SWITCH(G222, "SHALL", 1, "SHOULD", 3, "MAY", 5, "SHOULD-NOT", 4, "SHALL-NOT", 2, "DEPRECATED", 6, 99)</f>
        <v>1</v>
      </c>
      <c r="J222" t="s">
        <v>30</v>
      </c>
      <c r="K222" t="s">
        <v>1171</v>
      </c>
      <c r="L222" t="s">
        <v>1171</v>
      </c>
      <c r="M222" t="s">
        <v>1173</v>
      </c>
      <c r="N222" t="s">
        <v>1171</v>
      </c>
      <c r="O222" t="s">
        <v>1171</v>
      </c>
      <c r="P222" t="s">
        <v>1171</v>
      </c>
      <c r="Q222" t="s">
        <v>1171</v>
      </c>
      <c r="R222" t="s">
        <v>1171</v>
      </c>
      <c r="S222" s="70" t="str" cm="1">
        <f t="array" ref="S222">_xlfn.TEXTJOIN(",",TRUE,LEFT(TRIM(_xlfn.TEXTSPLIT(us_core_reqs[[#This Row],[reference]],",")),FIND(".html",TRIM(_xlfn.TEXTSPLIT(us_core_reqs[[#This Row],[reference]],",")))-1))</f>
        <v>clinical-notes</v>
      </c>
      <c r="T222" s="70" t="str" cm="1">
        <f t="array" ref="T222">_xlfn.TEXTJOIN(",",TRUE,MID(TRIM(_xlfn.TEXTSPLIT(us_core_reqs[[#This Row],[reference]],",")),FIND("#",TRIM(_xlfn.TEXTSPLIT(us_core_reqs[[#This Row],[reference]],","))&amp;"#")+1,1000))</f>
        <v>fhir-resources-to-exchange-clinical-notes</v>
      </c>
      <c r="U222" t="str" cm="1">
        <f t="array" ref="U222">_xlfn.TEXTJOIN(", ",TRUE,SUBSTITUTE(SUBSTITUTE(PROPER(SUBSTITUTE(TRIM(_xlfn.TEXTSPLIT(us_core_reqs[[#This Row],[Page]],","))," -"," "))&amp;": "&amp;PROPER(SUBSTITUTE(TRIM(_xlfn.TEXTSPLIT(us_core_reqs[[#This Row],[Section]],","))," -"," ")),"Us ","US        
  "),"Uscdi","USCDI"))</f>
        <v>Clinical-Notes: Fhir-Resources-To-Exchange-Clinical-Notes</v>
      </c>
      <c r="V222" t="s">
        <v>29</v>
      </c>
      <c r="W222" t="s">
        <v>1171</v>
      </c>
      <c r="X222" t="s">
        <v>263</v>
      </c>
      <c r="Y222" t="s">
        <v>1171</v>
      </c>
      <c r="Z222" t="s">
        <v>1171</v>
      </c>
      <c r="AA222" t="s">
        <v>1171</v>
      </c>
      <c r="AB222" t="s">
        <v>1171</v>
      </c>
      <c r="AC222" t="s">
        <v>1171</v>
      </c>
      <c r="AD222" t="s">
        <v>1140</v>
      </c>
      <c r="AE222" t="s">
        <v>1171</v>
      </c>
    </row>
    <row r="223" spans="1:31" ht="52" thickBot="1" x14ac:dyDescent="0.25">
      <c r="A223" t="s">
        <v>1171</v>
      </c>
      <c r="B223" t="s">
        <v>1395</v>
      </c>
      <c r="C223" t="str">
        <f>"CONF-"&amp;TEXT(us_core_reqs[[#This Row],[ID*]], "0000")</f>
        <v>CONF-0222</v>
      </c>
      <c r="D223" s="11" t="s">
        <v>628</v>
      </c>
      <c r="E223" s="73" t="str" cm="1">
        <f t="array" ref="E223">_xlfn.TEXTJOIN(", ", TRUE, _xlfn.TEXTAFTER(_xlfn.TEXTSPLIT(us_core_reqs[[#This Row],[URL*]], ", "), "/", -1))</f>
        <v>clinical-notes.html#support-requirements</v>
      </c>
      <c r="F223" s="11" t="s">
        <v>1006</v>
      </c>
      <c r="G223" t="s">
        <v>35</v>
      </c>
      <c r="H223" cm="1">
        <f t="array" ref="H223">_xlfn.SWITCH(G223, "SHALL", 1, "SHOULD", 3, "MAY", 5, "SHOULD-NOT", 4, "SHALL-NOT", 2, "DEPRECATED", 6, 99)</f>
        <v>5</v>
      </c>
      <c r="I223" t="s">
        <v>1878</v>
      </c>
      <c r="J223" t="s">
        <v>30</v>
      </c>
      <c r="K223" t="s">
        <v>1171</v>
      </c>
      <c r="L223" t="s">
        <v>1171</v>
      </c>
      <c r="M223" t="s">
        <v>1173</v>
      </c>
      <c r="N223" t="s">
        <v>1171</v>
      </c>
      <c r="O223" t="s">
        <v>1171</v>
      </c>
      <c r="P223" t="s">
        <v>1171</v>
      </c>
      <c r="Q223" t="s">
        <v>1171</v>
      </c>
      <c r="R223" t="s">
        <v>1171</v>
      </c>
      <c r="S223" s="70" t="str" cm="1">
        <f t="array" ref="S223">_xlfn.TEXTJOIN(",",TRUE,LEFT(TRIM(_xlfn.TEXTSPLIT(us_core_reqs[[#This Row],[reference]],",")),FIND(".html",TRIM(_xlfn.TEXTSPLIT(us_core_reqs[[#This Row],[reference]],",")))-1))</f>
        <v>clinical-notes</v>
      </c>
      <c r="T223" s="70" t="str" cm="1">
        <f t="array" ref="T223">_xlfn.TEXTJOIN(",",TRUE,MID(TRIM(_xlfn.TEXTSPLIT(us_core_reqs[[#This Row],[reference]],",")),FIND("#",TRIM(_xlfn.TEXTSPLIT(us_core_reqs[[#This Row],[reference]],","))&amp;"#")+1,1000))</f>
        <v>support-requirements</v>
      </c>
      <c r="U223" t="str" cm="1">
        <f t="array" ref="U223">_xlfn.TEXTJOIN(", ",TRUE,SUBSTITUTE(SUBSTITUTE(PROPER(SUBSTITUTE(TRIM(_xlfn.TEXTSPLIT(us_core_reqs[[#This Row],[Page]],","))," -"," "))&amp;": "&amp;PROPER(SUBSTITUTE(TRIM(_xlfn.TEXTSPLIT(us_core_reqs[[#This Row],[Section]],","))," -"," ")),"Us ","US        
  "),"Uscdi","USCDI"))</f>
        <v>Clinical-Notes: Support-Requirements</v>
      </c>
      <c r="V223" t="s">
        <v>35</v>
      </c>
      <c r="W223" t="s">
        <v>30</v>
      </c>
      <c r="X223" t="s">
        <v>263</v>
      </c>
      <c r="Y223" t="s">
        <v>1171</v>
      </c>
      <c r="Z223" t="s">
        <v>1171</v>
      </c>
      <c r="AA223" t="s">
        <v>1171</v>
      </c>
      <c r="AB223" t="s">
        <v>1171</v>
      </c>
      <c r="AC223" t="s">
        <v>1171</v>
      </c>
      <c r="AD223" t="s">
        <v>1171</v>
      </c>
      <c r="AE223" t="s">
        <v>1171</v>
      </c>
    </row>
    <row r="224" spans="1:31" ht="48" customHeight="1" thickBot="1" x14ac:dyDescent="0.25">
      <c r="A224" t="s">
        <v>1171</v>
      </c>
      <c r="B224" t="s">
        <v>1396</v>
      </c>
      <c r="C224" t="str">
        <f>"CONF-"&amp;TEXT(us_core_reqs[[#This Row],[ID*]], "0000")</f>
        <v>CONF-0223</v>
      </c>
      <c r="D224" s="11" t="s">
        <v>628</v>
      </c>
      <c r="E224" s="73" t="str" cm="1">
        <f t="array" ref="E224">_xlfn.TEXTJOIN(", ", TRUE, _xlfn.TEXTAFTER(_xlfn.TEXTSPLIT(us_core_reqs[[#This Row],[URL*]], ", "), "/", -1))</f>
        <v>clinical-notes.html#support-requirements</v>
      </c>
      <c r="F224" s="11" t="s">
        <v>1007</v>
      </c>
      <c r="G224" t="s">
        <v>29</v>
      </c>
      <c r="H224" cm="1">
        <f t="array" ref="H224">_xlfn.SWITCH(G224, "SHALL", 1, "SHOULD", 3, "MAY", 5, "SHOULD-NOT", 4, "SHALL-NOT", 2, "DEPRECATED", 6, 99)</f>
        <v>1</v>
      </c>
      <c r="I224" t="s">
        <v>1879</v>
      </c>
      <c r="J224" t="s">
        <v>30</v>
      </c>
      <c r="K224" t="s">
        <v>1171</v>
      </c>
      <c r="L224" t="s">
        <v>1171</v>
      </c>
      <c r="M224" t="s">
        <v>1173</v>
      </c>
      <c r="N224" t="s">
        <v>1171</v>
      </c>
      <c r="O224" t="s">
        <v>1171</v>
      </c>
      <c r="P224" t="s">
        <v>1171</v>
      </c>
      <c r="Q224" t="s">
        <v>1171</v>
      </c>
      <c r="R224" t="s">
        <v>1171</v>
      </c>
      <c r="S224" s="70" t="str" cm="1">
        <f t="array" ref="S224">_xlfn.TEXTJOIN(",",TRUE,LEFT(TRIM(_xlfn.TEXTSPLIT(us_core_reqs[[#This Row],[reference]],",")),FIND(".html",TRIM(_xlfn.TEXTSPLIT(us_core_reqs[[#This Row],[reference]],",")))-1))</f>
        <v>clinical-notes</v>
      </c>
      <c r="T224" s="70" t="str" cm="1">
        <f t="array" ref="T224">_xlfn.TEXTJOIN(",",TRUE,MID(TRIM(_xlfn.TEXTSPLIT(us_core_reqs[[#This Row],[reference]],",")),FIND("#",TRIM(_xlfn.TEXTSPLIT(us_core_reqs[[#This Row],[reference]],","))&amp;"#")+1,1000))</f>
        <v>support-requirements</v>
      </c>
      <c r="U224" t="str" cm="1">
        <f t="array" ref="U224">_xlfn.TEXTJOIN(", ",TRUE,SUBSTITUTE(SUBSTITUTE(PROPER(SUBSTITUTE(TRIM(_xlfn.TEXTSPLIT(us_core_reqs[[#This Row],[Page]],","))," -"," "))&amp;": "&amp;PROPER(SUBSTITUTE(TRIM(_xlfn.TEXTSPLIT(us_core_reqs[[#This Row],[Section]],","))," -"," ")),"Us ","US        
  "),"Uscdi","USCDI"))</f>
        <v>Clinical-Notes: Support-Requirements</v>
      </c>
      <c r="V224" t="s">
        <v>1171</v>
      </c>
      <c r="W224" t="s">
        <v>30</v>
      </c>
      <c r="X224" t="s">
        <v>264</v>
      </c>
      <c r="Y224" t="s">
        <v>1171</v>
      </c>
      <c r="Z224" t="s">
        <v>1171</v>
      </c>
      <c r="AA224" t="s">
        <v>1171</v>
      </c>
      <c r="AB224" t="s">
        <v>1171</v>
      </c>
      <c r="AC224" t="s">
        <v>1171</v>
      </c>
      <c r="AD224" t="s">
        <v>1140</v>
      </c>
      <c r="AE224" t="s">
        <v>1171</v>
      </c>
    </row>
    <row r="225" spans="1:31" ht="69" thickBot="1" x14ac:dyDescent="0.25">
      <c r="A225" t="s">
        <v>1171</v>
      </c>
      <c r="B225" t="s">
        <v>1397</v>
      </c>
      <c r="C225" t="str">
        <f>"CONF-"&amp;TEXT(us_core_reqs[[#This Row],[ID*]], "0000")</f>
        <v>CONF-0224</v>
      </c>
      <c r="D225" s="11" t="s">
        <v>628</v>
      </c>
      <c r="E225" s="73" t="str" cm="1">
        <f t="array" ref="E225">_xlfn.TEXTJOIN(", ", TRUE, _xlfn.TEXTAFTER(_xlfn.TEXTSPLIT(us_core_reqs[[#This Row],[URL*]], ", "), "/", -1))</f>
        <v>clinical-notes.html#support-requirements</v>
      </c>
      <c r="F225" s="11" t="s">
        <v>1008</v>
      </c>
      <c r="G225" t="s">
        <v>29</v>
      </c>
      <c r="H225" cm="1">
        <f t="array" ref="H225">_xlfn.SWITCH(G225, "SHALL", 1, "SHOULD", 3, "MAY", 5, "SHOULD-NOT", 4, "SHALL-NOT", 2, "DEPRECATED", 6, 99)</f>
        <v>1</v>
      </c>
      <c r="I225" t="s">
        <v>1879</v>
      </c>
      <c r="J225" t="s">
        <v>30</v>
      </c>
      <c r="K225" t="s">
        <v>1171</v>
      </c>
      <c r="L225" t="s">
        <v>1171</v>
      </c>
      <c r="M225" t="s">
        <v>1173</v>
      </c>
      <c r="N225" t="s">
        <v>1171</v>
      </c>
      <c r="O225" t="s">
        <v>1171</v>
      </c>
      <c r="P225" t="s">
        <v>1171</v>
      </c>
      <c r="Q225" t="s">
        <v>1171</v>
      </c>
      <c r="R225" t="s">
        <v>1171</v>
      </c>
      <c r="S225" s="70" t="str" cm="1">
        <f t="array" ref="S225">_xlfn.TEXTJOIN(",",TRUE,LEFT(TRIM(_xlfn.TEXTSPLIT(us_core_reqs[[#This Row],[reference]],",")),FIND(".html",TRIM(_xlfn.TEXTSPLIT(us_core_reqs[[#This Row],[reference]],",")))-1))</f>
        <v>clinical-notes</v>
      </c>
      <c r="T225" s="70" t="str" cm="1">
        <f t="array" ref="T225">_xlfn.TEXTJOIN(",",TRUE,MID(TRIM(_xlfn.TEXTSPLIT(us_core_reqs[[#This Row],[reference]],",")),FIND("#",TRIM(_xlfn.TEXTSPLIT(us_core_reqs[[#This Row],[reference]],","))&amp;"#")+1,1000))</f>
        <v>support-requirements</v>
      </c>
      <c r="U225" t="str" cm="1">
        <f t="array" ref="U225">_xlfn.TEXTJOIN(", ",TRUE,SUBSTITUTE(SUBSTITUTE(PROPER(SUBSTITUTE(TRIM(_xlfn.TEXTSPLIT(us_core_reqs[[#This Row],[Page]],","))," -"," "))&amp;": "&amp;PROPER(SUBSTITUTE(TRIM(_xlfn.TEXTSPLIT(us_core_reqs[[#This Row],[Section]],","))," -"," ")),"Us ","US        
  "),"Uscdi","USCDI"))</f>
        <v>Clinical-Notes: Support-Requirements</v>
      </c>
      <c r="V225" t="s">
        <v>1171</v>
      </c>
      <c r="W225" t="s">
        <v>30</v>
      </c>
      <c r="X225" t="s">
        <v>265</v>
      </c>
      <c r="Y225" t="s">
        <v>1171</v>
      </c>
      <c r="Z225" t="s">
        <v>1171</v>
      </c>
      <c r="AA225" t="s">
        <v>1171</v>
      </c>
      <c r="AB225" t="s">
        <v>1171</v>
      </c>
      <c r="AC225" t="s">
        <v>1171</v>
      </c>
      <c r="AD225" t="s">
        <v>1140</v>
      </c>
      <c r="AE225" t="s">
        <v>1171</v>
      </c>
    </row>
    <row r="226" spans="1:31" ht="35" thickBot="1" x14ac:dyDescent="0.25">
      <c r="A226" t="s">
        <v>1171</v>
      </c>
      <c r="B226" t="s">
        <v>1398</v>
      </c>
      <c r="C226" t="str">
        <f>"CONF-"&amp;TEXT(us_core_reqs[[#This Row],[ID*]], "0000")</f>
        <v>CONF-0225</v>
      </c>
      <c r="D226" s="11" t="s">
        <v>628</v>
      </c>
      <c r="E226" s="73" t="str" cm="1">
        <f t="array" ref="E226">_xlfn.TEXTJOIN(", ", TRUE, _xlfn.TEXTAFTER(_xlfn.TEXTSPLIT(us_core_reqs[[#This Row],[URL*]], ", "), "/", -1))</f>
        <v>clinical-notes.html#support-requirements</v>
      </c>
      <c r="F226" s="11" t="s">
        <v>1009</v>
      </c>
      <c r="G226" t="s">
        <v>35</v>
      </c>
      <c r="H226" cm="1">
        <f t="array" ref="H226">_xlfn.SWITCH(G226, "SHALL", 1, "SHOULD", 3, "MAY", 5, "SHOULD-NOT", 4, "SHALL-NOT", 2, "DEPRECATED", 6, 99)</f>
        <v>5</v>
      </c>
      <c r="I226" t="s">
        <v>1878</v>
      </c>
      <c r="J226" t="s">
        <v>30</v>
      </c>
      <c r="K226" t="s">
        <v>1171</v>
      </c>
      <c r="L226" t="s">
        <v>1171</v>
      </c>
      <c r="M226" t="s">
        <v>1173</v>
      </c>
      <c r="N226" t="s">
        <v>1171</v>
      </c>
      <c r="O226" t="s">
        <v>1171</v>
      </c>
      <c r="P226" t="s">
        <v>1171</v>
      </c>
      <c r="Q226" t="s">
        <v>1171</v>
      </c>
      <c r="R226" t="s">
        <v>1171</v>
      </c>
      <c r="S226" s="70" t="str" cm="1">
        <f t="array" ref="S226">_xlfn.TEXTJOIN(",",TRUE,LEFT(TRIM(_xlfn.TEXTSPLIT(us_core_reqs[[#This Row],[reference]],",")),FIND(".html",TRIM(_xlfn.TEXTSPLIT(us_core_reqs[[#This Row],[reference]],",")))-1))</f>
        <v>clinical-notes</v>
      </c>
      <c r="T226" s="70" t="str" cm="1">
        <f t="array" ref="T226">_xlfn.TEXTJOIN(",",TRUE,MID(TRIM(_xlfn.TEXTSPLIT(us_core_reqs[[#This Row],[reference]],",")),FIND("#",TRIM(_xlfn.TEXTSPLIT(us_core_reqs[[#This Row],[reference]],","))&amp;"#")+1,1000))</f>
        <v>support-requirements</v>
      </c>
      <c r="U226" t="str" cm="1">
        <f t="array" ref="U226">_xlfn.TEXTJOIN(", ",TRUE,SUBSTITUTE(SUBSTITUTE(PROPER(SUBSTITUTE(TRIM(_xlfn.TEXTSPLIT(us_core_reqs[[#This Row],[Page]],","))," -"," "))&amp;": "&amp;PROPER(SUBSTITUTE(TRIM(_xlfn.TEXTSPLIT(us_core_reqs[[#This Row],[Section]],","))," -"," ")),"Us ","US        
  "),"Uscdi","USCDI"))</f>
        <v>Clinical-Notes: Support-Requirements</v>
      </c>
      <c r="V226" t="s">
        <v>35</v>
      </c>
      <c r="W226" t="s">
        <v>30</v>
      </c>
      <c r="X226" t="s">
        <v>266</v>
      </c>
      <c r="Y226" t="s">
        <v>1171</v>
      </c>
      <c r="Z226" t="s">
        <v>1171</v>
      </c>
      <c r="AA226" t="s">
        <v>1171</v>
      </c>
      <c r="AB226" t="s">
        <v>1171</v>
      </c>
      <c r="AC226" t="s">
        <v>1171</v>
      </c>
      <c r="AD226" t="s">
        <v>1171</v>
      </c>
      <c r="AE226" t="s">
        <v>1171</v>
      </c>
    </row>
    <row r="227" spans="1:31" ht="35" thickBot="1" x14ac:dyDescent="0.25">
      <c r="A227" t="s">
        <v>1171</v>
      </c>
      <c r="B227" t="s">
        <v>1399</v>
      </c>
      <c r="C227" t="str">
        <f>"CONF-"&amp;TEXT(us_core_reqs[[#This Row],[ID*]], "0000")</f>
        <v>CONF-0226</v>
      </c>
      <c r="D227" s="11" t="s">
        <v>628</v>
      </c>
      <c r="E227" s="73" t="str" cm="1">
        <f t="array" ref="E227">_xlfn.TEXTJOIN(", ", TRUE, _xlfn.TEXTAFTER(_xlfn.TEXTSPLIT(us_core_reqs[[#This Row],[URL*]], ", "), "/", -1))</f>
        <v>clinical-notes.html#support-requirements</v>
      </c>
      <c r="F227" s="11" t="s">
        <v>929</v>
      </c>
      <c r="G227" t="s">
        <v>35</v>
      </c>
      <c r="H227" cm="1">
        <f t="array" ref="H227">_xlfn.SWITCH(G227, "SHALL", 1, "SHOULD", 3, "MAY", 5, "SHOULD-NOT", 4, "SHALL-NOT", 2, "DEPRECATED", 6, 99)</f>
        <v>5</v>
      </c>
      <c r="I227" t="s">
        <v>1878</v>
      </c>
      <c r="J227" t="s">
        <v>58</v>
      </c>
      <c r="K227" t="s">
        <v>1171</v>
      </c>
      <c r="L227" t="s">
        <v>1171</v>
      </c>
      <c r="M227" t="s">
        <v>1173</v>
      </c>
      <c r="N227" t="s">
        <v>1171</v>
      </c>
      <c r="O227" t="s">
        <v>1171</v>
      </c>
      <c r="P227" t="s">
        <v>1171</v>
      </c>
      <c r="Q227" t="s">
        <v>1171</v>
      </c>
      <c r="R227" t="s">
        <v>1171</v>
      </c>
      <c r="S227" s="70" t="str" cm="1">
        <f t="array" ref="S227">_xlfn.TEXTJOIN(",",TRUE,LEFT(TRIM(_xlfn.TEXTSPLIT(us_core_reqs[[#This Row],[reference]],",")),FIND(".html",TRIM(_xlfn.TEXTSPLIT(us_core_reqs[[#This Row],[reference]],",")))-1))</f>
        <v>clinical-notes</v>
      </c>
      <c r="T227" s="70" t="str" cm="1">
        <f t="array" ref="T227">_xlfn.TEXTJOIN(",",TRUE,MID(TRIM(_xlfn.TEXTSPLIT(us_core_reqs[[#This Row],[reference]],",")),FIND("#",TRIM(_xlfn.TEXTSPLIT(us_core_reqs[[#This Row],[reference]],","))&amp;"#")+1,1000))</f>
        <v>support-requirements</v>
      </c>
      <c r="U227" t="str" cm="1">
        <f t="array" ref="U227">_xlfn.TEXTJOIN(", ",TRUE,SUBSTITUTE(SUBSTITUTE(PROPER(SUBSTITUTE(TRIM(_xlfn.TEXTSPLIT(us_core_reqs[[#This Row],[Page]],","))," -"," "))&amp;": "&amp;PROPER(SUBSTITUTE(TRIM(_xlfn.TEXTSPLIT(us_core_reqs[[#This Row],[Section]],","))," -"," ")),"Us ","US        
  "),"Uscdi","USCDI"))</f>
        <v>Clinical-Notes: Support-Requirements</v>
      </c>
      <c r="V227" t="s">
        <v>35</v>
      </c>
      <c r="W227" t="s">
        <v>58</v>
      </c>
      <c r="X227" t="s">
        <v>266</v>
      </c>
      <c r="Y227" t="s">
        <v>1171</v>
      </c>
      <c r="Z227" t="s">
        <v>1171</v>
      </c>
      <c r="AA227" t="s">
        <v>1171</v>
      </c>
      <c r="AB227" t="s">
        <v>1171</v>
      </c>
      <c r="AC227" t="s">
        <v>1171</v>
      </c>
      <c r="AD227" t="s">
        <v>1171</v>
      </c>
      <c r="AE227" t="s">
        <v>1171</v>
      </c>
    </row>
    <row r="228" spans="1:31" ht="52" thickBot="1" x14ac:dyDescent="0.25">
      <c r="A228" t="s">
        <v>1171</v>
      </c>
      <c r="B228" t="s">
        <v>1400</v>
      </c>
      <c r="C228" t="str">
        <f>"CONF-"&amp;TEXT(us_core_reqs[[#This Row],[ID*]], "0000")</f>
        <v>CONF-0227</v>
      </c>
      <c r="D228" s="11" t="s">
        <v>628</v>
      </c>
      <c r="E228" s="73" t="str" cm="1">
        <f t="array" ref="E228">_xlfn.TEXTJOIN(", ", TRUE, _xlfn.TEXTAFTER(_xlfn.TEXTSPLIT(us_core_reqs[[#This Row],[URL*]], ", "), "/", -1))</f>
        <v>clinical-notes.html#support-requirements</v>
      </c>
      <c r="F228" s="11" t="s">
        <v>1933</v>
      </c>
      <c r="G228" t="s">
        <v>32</v>
      </c>
      <c r="H228" cm="1">
        <f t="array" ref="H228">_xlfn.SWITCH(G228, "SHALL", 1, "SHOULD", 3, "MAY", 5, "SHOULD-NOT", 4, "SHALL-NOT", 2, "DEPRECATED", 6, 99)</f>
        <v>3</v>
      </c>
      <c r="J228" t="s">
        <v>30</v>
      </c>
      <c r="K228" t="s">
        <v>1171</v>
      </c>
      <c r="L228" t="s">
        <v>1171</v>
      </c>
      <c r="M228" t="s">
        <v>1173</v>
      </c>
      <c r="N228" t="s">
        <v>1171</v>
      </c>
      <c r="O228" t="s">
        <v>1171</v>
      </c>
      <c r="P228" t="s">
        <v>1171</v>
      </c>
      <c r="Q228" t="s">
        <v>1171</v>
      </c>
      <c r="R228" t="s">
        <v>1171</v>
      </c>
      <c r="S228" s="70" t="str" cm="1">
        <f t="array" ref="S228">_xlfn.TEXTJOIN(",",TRUE,LEFT(TRIM(_xlfn.TEXTSPLIT(us_core_reqs[[#This Row],[reference]],",")),FIND(".html",TRIM(_xlfn.TEXTSPLIT(us_core_reqs[[#This Row],[reference]],",")))-1))</f>
        <v>clinical-notes</v>
      </c>
      <c r="T228" s="70" t="str" cm="1">
        <f t="array" ref="T228">_xlfn.TEXTJOIN(",",TRUE,MID(TRIM(_xlfn.TEXTSPLIT(us_core_reqs[[#This Row],[reference]],",")),FIND("#",TRIM(_xlfn.TEXTSPLIT(us_core_reqs[[#This Row],[reference]],","))&amp;"#")+1,1000))</f>
        <v>support-requirements</v>
      </c>
      <c r="U228" t="str" cm="1">
        <f t="array" ref="U228">_xlfn.TEXTJOIN(", ",TRUE,SUBSTITUTE(SUBSTITUTE(PROPER(SUBSTITUTE(TRIM(_xlfn.TEXTSPLIT(us_core_reqs[[#This Row],[Page]],","))," -"," "))&amp;": "&amp;PROPER(SUBSTITUTE(TRIM(_xlfn.TEXTSPLIT(us_core_reqs[[#This Row],[Section]],","))," -"," ")),"Us ","US        
  "),"Uscdi","USCDI"))</f>
        <v>Clinical-Notes: Support-Requirements</v>
      </c>
      <c r="V228" t="s">
        <v>32</v>
      </c>
      <c r="W228" t="s">
        <v>1171</v>
      </c>
      <c r="X228" t="s">
        <v>268</v>
      </c>
      <c r="Y228" t="s">
        <v>1171</v>
      </c>
      <c r="Z228" t="s">
        <v>1171</v>
      </c>
      <c r="AA228" t="s">
        <v>1171</v>
      </c>
      <c r="AB228" t="s">
        <v>1171</v>
      </c>
      <c r="AC228" t="s">
        <v>1171</v>
      </c>
      <c r="AD228" t="s">
        <v>1171</v>
      </c>
      <c r="AE228" t="s">
        <v>1171</v>
      </c>
    </row>
    <row r="229" spans="1:31" ht="52" thickBot="1" x14ac:dyDescent="0.25">
      <c r="A229" t="s">
        <v>1171</v>
      </c>
      <c r="B229" t="s">
        <v>1401</v>
      </c>
      <c r="C229" t="str">
        <f>"CONF-"&amp;TEXT(us_core_reqs[[#This Row],[ID*]], "0000")</f>
        <v>CONF-0228</v>
      </c>
      <c r="D229" s="11" t="s">
        <v>628</v>
      </c>
      <c r="E229" s="73" t="str" cm="1">
        <f t="array" ref="E229">_xlfn.TEXTJOIN(", ", TRUE, _xlfn.TEXTAFTER(_xlfn.TEXTSPLIT(us_core_reqs[[#This Row],[URL*]], ", "), "/", -1))</f>
        <v>clinical-notes.html#support-requirements</v>
      </c>
      <c r="F229" s="11" t="s">
        <v>1934</v>
      </c>
      <c r="G229" t="s">
        <v>32</v>
      </c>
      <c r="H229" cm="1">
        <f t="array" ref="H229">_xlfn.SWITCH(G229, "SHALL", 1, "SHOULD", 3, "MAY", 5, "SHOULD-NOT", 4, "SHALL-NOT", 2, "DEPRECATED", 6, 99)</f>
        <v>3</v>
      </c>
      <c r="J229" t="s">
        <v>30</v>
      </c>
      <c r="K229" t="s">
        <v>1171</v>
      </c>
      <c r="L229" t="s">
        <v>1171</v>
      </c>
      <c r="M229" t="s">
        <v>1173</v>
      </c>
      <c r="N229" t="s">
        <v>1171</v>
      </c>
      <c r="O229" t="s">
        <v>1171</v>
      </c>
      <c r="P229" t="s">
        <v>1171</v>
      </c>
      <c r="Q229" t="s">
        <v>1171</v>
      </c>
      <c r="R229" t="s">
        <v>1171</v>
      </c>
      <c r="S229" s="70" t="str" cm="1">
        <f t="array" ref="S229">_xlfn.TEXTJOIN(",",TRUE,LEFT(TRIM(_xlfn.TEXTSPLIT(us_core_reqs[[#This Row],[reference]],",")),FIND(".html",TRIM(_xlfn.TEXTSPLIT(us_core_reqs[[#This Row],[reference]],",")))-1))</f>
        <v>clinical-notes</v>
      </c>
      <c r="T229" s="70" t="str" cm="1">
        <f t="array" ref="T229">_xlfn.TEXTJOIN(",",TRUE,MID(TRIM(_xlfn.TEXTSPLIT(us_core_reqs[[#This Row],[reference]],",")),FIND("#",TRIM(_xlfn.TEXTSPLIT(us_core_reqs[[#This Row],[reference]],","))&amp;"#")+1,1000))</f>
        <v>support-requirements</v>
      </c>
      <c r="U229" t="str" cm="1">
        <f t="array" ref="U229">_xlfn.TEXTJOIN(", ",TRUE,SUBSTITUTE(SUBSTITUTE(PROPER(SUBSTITUTE(TRIM(_xlfn.TEXTSPLIT(us_core_reqs[[#This Row],[Page]],","))," -"," "))&amp;": "&amp;PROPER(SUBSTITUTE(TRIM(_xlfn.TEXTSPLIT(us_core_reqs[[#This Row],[Section]],","))," -"," ")),"Us ","US        
  "),"Uscdi","USCDI"))</f>
        <v>Clinical-Notes: Support-Requirements</v>
      </c>
      <c r="V229" t="s">
        <v>1171</v>
      </c>
      <c r="W229" t="s">
        <v>1171</v>
      </c>
      <c r="X229" t="s">
        <v>1171</v>
      </c>
      <c r="Y229" t="s">
        <v>1171</v>
      </c>
      <c r="Z229" t="s">
        <v>1171</v>
      </c>
      <c r="AA229" t="s">
        <v>1171</v>
      </c>
      <c r="AB229" t="s">
        <v>1171</v>
      </c>
      <c r="AC229" t="s">
        <v>1171</v>
      </c>
      <c r="AD229" t="s">
        <v>1171</v>
      </c>
      <c r="AE229" t="s">
        <v>1171</v>
      </c>
    </row>
    <row r="230" spans="1:31" ht="52" thickBot="1" x14ac:dyDescent="0.25">
      <c r="A230" t="s">
        <v>1171</v>
      </c>
      <c r="B230" t="s">
        <v>1402</v>
      </c>
      <c r="C230" t="str">
        <f>"CONF-"&amp;TEXT(us_core_reqs[[#This Row],[ID*]], "0000")</f>
        <v>CONF-0229</v>
      </c>
      <c r="D230" s="11" t="s">
        <v>628</v>
      </c>
      <c r="E230" s="73" t="str" cm="1">
        <f t="array" ref="E230">_xlfn.TEXTJOIN(", ", TRUE, _xlfn.TEXTAFTER(_xlfn.TEXTSPLIT(us_core_reqs[[#This Row],[URL*]], ", "), "/", -1))</f>
        <v>clinical-notes.html#support-requirements</v>
      </c>
      <c r="F230" s="11" t="s">
        <v>1935</v>
      </c>
      <c r="G230" t="s">
        <v>32</v>
      </c>
      <c r="H230" cm="1">
        <f t="array" ref="H230">_xlfn.SWITCH(G230, "SHALL", 1, "SHOULD", 3, "MAY", 5, "SHOULD-NOT", 4, "SHALL-NOT", 2, "DEPRECATED", 6, 99)</f>
        <v>3</v>
      </c>
      <c r="J230" t="s">
        <v>30</v>
      </c>
      <c r="K230" t="s">
        <v>1171</v>
      </c>
      <c r="L230" t="s">
        <v>1171</v>
      </c>
      <c r="M230" t="s">
        <v>1173</v>
      </c>
      <c r="N230" t="s">
        <v>1171</v>
      </c>
      <c r="O230" t="s">
        <v>1171</v>
      </c>
      <c r="P230" t="s">
        <v>1171</v>
      </c>
      <c r="Q230" t="s">
        <v>1171</v>
      </c>
      <c r="R230" t="s">
        <v>1171</v>
      </c>
      <c r="S230" s="70" t="str" cm="1">
        <f t="array" ref="S230">_xlfn.TEXTJOIN(",",TRUE,LEFT(TRIM(_xlfn.TEXTSPLIT(us_core_reqs[[#This Row],[reference]],",")),FIND(".html",TRIM(_xlfn.TEXTSPLIT(us_core_reqs[[#This Row],[reference]],",")))-1))</f>
        <v>clinical-notes</v>
      </c>
      <c r="T230" s="70" t="str" cm="1">
        <f t="array" ref="T230">_xlfn.TEXTJOIN(",",TRUE,MID(TRIM(_xlfn.TEXTSPLIT(us_core_reqs[[#This Row],[reference]],",")),FIND("#",TRIM(_xlfn.TEXTSPLIT(us_core_reqs[[#This Row],[reference]],","))&amp;"#")+1,1000))</f>
        <v>support-requirements</v>
      </c>
      <c r="U230" t="str" cm="1">
        <f t="array" ref="U230">_xlfn.TEXTJOIN(", ",TRUE,SUBSTITUTE(SUBSTITUTE(PROPER(SUBSTITUTE(TRIM(_xlfn.TEXTSPLIT(us_core_reqs[[#This Row],[Page]],","))," -"," "))&amp;": "&amp;PROPER(SUBSTITUTE(TRIM(_xlfn.TEXTSPLIT(us_core_reqs[[#This Row],[Section]],","))," -"," ")),"Us ","US        
  "),"Uscdi","USCDI"))</f>
        <v>Clinical-Notes: Support-Requirements</v>
      </c>
      <c r="V230" t="s">
        <v>1171</v>
      </c>
      <c r="W230" t="s">
        <v>1171</v>
      </c>
      <c r="X230" t="s">
        <v>1171</v>
      </c>
      <c r="Y230" t="s">
        <v>1171</v>
      </c>
      <c r="Z230" t="s">
        <v>1171</v>
      </c>
      <c r="AA230" t="s">
        <v>1171</v>
      </c>
      <c r="AB230" t="s">
        <v>1171</v>
      </c>
      <c r="AC230" t="s">
        <v>1171</v>
      </c>
      <c r="AD230" t="s">
        <v>1171</v>
      </c>
      <c r="AE230" t="s">
        <v>1171</v>
      </c>
    </row>
    <row r="231" spans="1:31" ht="35" thickBot="1" x14ac:dyDescent="0.25">
      <c r="A231" t="s">
        <v>1171</v>
      </c>
      <c r="B231" t="s">
        <v>1403</v>
      </c>
      <c r="C231" t="str">
        <f>"CONF-"&amp;TEXT(us_core_reqs[[#This Row],[ID*]], "0000")</f>
        <v>CONF-0230</v>
      </c>
      <c r="D231" s="11" t="s">
        <v>628</v>
      </c>
      <c r="E231" s="73" t="str" cm="1">
        <f t="array" ref="E231">_xlfn.TEXTJOIN(", ", TRUE, _xlfn.TEXTAFTER(_xlfn.TEXTSPLIT(us_core_reqs[[#This Row],[URL*]], ", "), "/", -1))</f>
        <v>clinical-notes.html#support-requirements</v>
      </c>
      <c r="F231" s="11" t="s">
        <v>1936</v>
      </c>
      <c r="G231" t="s">
        <v>32</v>
      </c>
      <c r="H231" cm="1">
        <f t="array" ref="H231">_xlfn.SWITCH(G231, "SHALL", 1, "SHOULD", 3, "MAY", 5, "SHOULD-NOT", 4, "SHALL-NOT", 2, "DEPRECATED", 6, 99)</f>
        <v>3</v>
      </c>
      <c r="J231" t="s">
        <v>30</v>
      </c>
      <c r="K231" t="s">
        <v>1171</v>
      </c>
      <c r="L231" t="s">
        <v>1171</v>
      </c>
      <c r="M231" t="s">
        <v>1173</v>
      </c>
      <c r="N231" t="s">
        <v>1171</v>
      </c>
      <c r="O231" t="s">
        <v>1171</v>
      </c>
      <c r="P231" t="s">
        <v>1171</v>
      </c>
      <c r="Q231" t="s">
        <v>1171</v>
      </c>
      <c r="R231" t="s">
        <v>1171</v>
      </c>
      <c r="S231" s="70" t="str" cm="1">
        <f t="array" ref="S231">_xlfn.TEXTJOIN(",",TRUE,LEFT(TRIM(_xlfn.TEXTSPLIT(us_core_reqs[[#This Row],[reference]],",")),FIND(".html",TRIM(_xlfn.TEXTSPLIT(us_core_reqs[[#This Row],[reference]],",")))-1))</f>
        <v>clinical-notes</v>
      </c>
      <c r="T231" s="70" t="str" cm="1">
        <f t="array" ref="T231">_xlfn.TEXTJOIN(",",TRUE,MID(TRIM(_xlfn.TEXTSPLIT(us_core_reqs[[#This Row],[reference]],",")),FIND("#",TRIM(_xlfn.TEXTSPLIT(us_core_reqs[[#This Row],[reference]],","))&amp;"#")+1,1000))</f>
        <v>support-requirements</v>
      </c>
      <c r="U231" t="str" cm="1">
        <f t="array" ref="U231">_xlfn.TEXTJOIN(", ",TRUE,SUBSTITUTE(SUBSTITUTE(PROPER(SUBSTITUTE(TRIM(_xlfn.TEXTSPLIT(us_core_reqs[[#This Row],[Page]],","))," -"," "))&amp;": "&amp;PROPER(SUBSTITUTE(TRIM(_xlfn.TEXTSPLIT(us_core_reqs[[#This Row],[Section]],","))," -"," ")),"Us ","US        
  "),"Uscdi","USCDI"))</f>
        <v>Clinical-Notes: Support-Requirements</v>
      </c>
      <c r="V231" t="s">
        <v>1171</v>
      </c>
      <c r="W231" t="s">
        <v>1171</v>
      </c>
      <c r="X231" t="s">
        <v>1171</v>
      </c>
      <c r="Y231" t="s">
        <v>1171</v>
      </c>
      <c r="Z231" t="s">
        <v>1171</v>
      </c>
      <c r="AA231" t="s">
        <v>1171</v>
      </c>
      <c r="AB231" t="s">
        <v>1171</v>
      </c>
      <c r="AC231" t="s">
        <v>1171</v>
      </c>
      <c r="AD231" t="s">
        <v>1171</v>
      </c>
      <c r="AE231" t="s">
        <v>1171</v>
      </c>
    </row>
    <row r="232" spans="1:31" ht="35" thickBot="1" x14ac:dyDescent="0.25">
      <c r="A232" t="s">
        <v>1171</v>
      </c>
      <c r="B232" t="s">
        <v>1404</v>
      </c>
      <c r="C232" t="str">
        <f>"CONF-"&amp;TEXT(us_core_reqs[[#This Row],[ID*]], "0000")</f>
        <v>CONF-0231</v>
      </c>
      <c r="D232" s="11" t="s">
        <v>628</v>
      </c>
      <c r="E232" s="73" t="str" cm="1">
        <f t="array" ref="E232">_xlfn.TEXTJOIN(", ", TRUE, _xlfn.TEXTAFTER(_xlfn.TEXTSPLIT(us_core_reqs[[#This Row],[URL*]], ", "), "/", -1))</f>
        <v>clinical-notes.html#support-requirements</v>
      </c>
      <c r="F232" s="11" t="s">
        <v>1881</v>
      </c>
      <c r="G232" t="s">
        <v>29</v>
      </c>
      <c r="H232" cm="1">
        <f t="array" ref="H232">_xlfn.SWITCH(G232, "SHALL", 1, "SHOULD", 3, "MAY", 5, "SHOULD-NOT", 4, "SHALL-NOT", 2, "DEPRECATED", 6, 99)</f>
        <v>1</v>
      </c>
      <c r="I232" t="s">
        <v>1880</v>
      </c>
      <c r="J232" t="s">
        <v>30</v>
      </c>
      <c r="K232" t="s">
        <v>1171</v>
      </c>
      <c r="L232" t="s">
        <v>1171</v>
      </c>
      <c r="M232" t="s">
        <v>1173</v>
      </c>
      <c r="N232" t="s">
        <v>1171</v>
      </c>
      <c r="O232" t="s">
        <v>1171</v>
      </c>
      <c r="P232" t="s">
        <v>1171</v>
      </c>
      <c r="Q232" t="s">
        <v>1171</v>
      </c>
      <c r="R232" t="s">
        <v>1171</v>
      </c>
      <c r="S232" s="70" t="str" cm="1">
        <f t="array" ref="S232">_xlfn.TEXTJOIN(",",TRUE,LEFT(TRIM(_xlfn.TEXTSPLIT(us_core_reqs[[#This Row],[reference]],",")),FIND(".html",TRIM(_xlfn.TEXTSPLIT(us_core_reqs[[#This Row],[reference]],",")))-1))</f>
        <v>clinical-notes</v>
      </c>
      <c r="T232" s="70" t="str" cm="1">
        <f t="array" ref="T232">_xlfn.TEXTJOIN(",",TRUE,MID(TRIM(_xlfn.TEXTSPLIT(us_core_reqs[[#This Row],[reference]],",")),FIND("#",TRIM(_xlfn.TEXTSPLIT(us_core_reqs[[#This Row],[reference]],","))&amp;"#")+1,1000))</f>
        <v>support-requirements</v>
      </c>
      <c r="U232" t="str" cm="1">
        <f t="array" ref="U232">_xlfn.TEXTJOIN(", ",TRUE,SUBSTITUTE(SUBSTITUTE(PROPER(SUBSTITUTE(TRIM(_xlfn.TEXTSPLIT(us_core_reqs[[#This Row],[Page]],","))," -"," "))&amp;": "&amp;PROPER(SUBSTITUTE(TRIM(_xlfn.TEXTSPLIT(us_core_reqs[[#This Row],[Section]],","))," -"," ")),"Us ","US        
  "),"Uscdi","USCDI"))</f>
        <v>Clinical-Notes: Support-Requirements</v>
      </c>
      <c r="V232" t="s">
        <v>1171</v>
      </c>
      <c r="W232" t="s">
        <v>30</v>
      </c>
      <c r="X232" t="s">
        <v>268</v>
      </c>
      <c r="Y232" t="s">
        <v>1171</v>
      </c>
      <c r="Z232" t="s">
        <v>1171</v>
      </c>
      <c r="AA232" t="s">
        <v>1171</v>
      </c>
      <c r="AB232" t="s">
        <v>1171</v>
      </c>
      <c r="AC232" t="s">
        <v>1171</v>
      </c>
      <c r="AD232" t="s">
        <v>1140</v>
      </c>
      <c r="AE232" t="s">
        <v>1171</v>
      </c>
    </row>
    <row r="233" spans="1:31" ht="69" thickBot="1" x14ac:dyDescent="0.25">
      <c r="A233" t="s">
        <v>1171</v>
      </c>
      <c r="B233" t="s">
        <v>1405</v>
      </c>
      <c r="C233" t="str">
        <f>"CONF-"&amp;TEXT(us_core_reqs[[#This Row],[ID*]], "0000")</f>
        <v>CONF-0232</v>
      </c>
      <c r="D233" s="11" t="s">
        <v>628</v>
      </c>
      <c r="E233" s="73" t="str" cm="1">
        <f t="array" ref="E233">_xlfn.TEXTJOIN(", ", TRUE, _xlfn.TEXTAFTER(_xlfn.TEXTSPLIT(us_core_reqs[[#This Row],[URL*]], ", "), "/", -1))</f>
        <v>clinical-notes.html#support-requirements</v>
      </c>
      <c r="F233" s="11" t="s">
        <v>1010</v>
      </c>
      <c r="G233" t="s">
        <v>35</v>
      </c>
      <c r="H233" cm="1">
        <f t="array" ref="H233">_xlfn.SWITCH(G233, "SHALL", 1, "SHOULD", 3, "MAY", 5, "SHOULD-NOT", 4, "SHALL-NOT", 2, "DEPRECATED", 6, 99)</f>
        <v>5</v>
      </c>
      <c r="I233" t="s">
        <v>1882</v>
      </c>
      <c r="J233" t="s">
        <v>58</v>
      </c>
      <c r="K233" t="s">
        <v>1171</v>
      </c>
      <c r="L233" t="s">
        <v>1171</v>
      </c>
      <c r="M233" t="s">
        <v>1173</v>
      </c>
      <c r="N233" t="s">
        <v>1171</v>
      </c>
      <c r="O233" t="s">
        <v>1171</v>
      </c>
      <c r="P233" t="s">
        <v>1171</v>
      </c>
      <c r="Q233" t="s">
        <v>1171</v>
      </c>
      <c r="R233" t="s">
        <v>1171</v>
      </c>
      <c r="S233" s="70" t="str" cm="1">
        <f t="array" ref="S233">_xlfn.TEXTJOIN(",",TRUE,LEFT(TRIM(_xlfn.TEXTSPLIT(us_core_reqs[[#This Row],[reference]],",")),FIND(".html",TRIM(_xlfn.TEXTSPLIT(us_core_reqs[[#This Row],[reference]],",")))-1))</f>
        <v>clinical-notes</v>
      </c>
      <c r="T233" s="70" t="str" cm="1">
        <f t="array" ref="T233">_xlfn.TEXTJOIN(",",TRUE,MID(TRIM(_xlfn.TEXTSPLIT(us_core_reqs[[#This Row],[reference]],",")),FIND("#",TRIM(_xlfn.TEXTSPLIT(us_core_reqs[[#This Row],[reference]],","))&amp;"#")+1,1000))</f>
        <v>support-requirements</v>
      </c>
      <c r="U233" t="str" cm="1">
        <f t="array" ref="U233">_xlfn.TEXTJOIN(", ",TRUE,SUBSTITUTE(SUBSTITUTE(PROPER(SUBSTITUTE(TRIM(_xlfn.TEXTSPLIT(us_core_reqs[[#This Row],[Page]],","))," -"," "))&amp;": "&amp;PROPER(SUBSTITUTE(TRIM(_xlfn.TEXTSPLIT(us_core_reqs[[#This Row],[Section]],","))," -"," ")),"Us ","US        
  "),"Uscdi","USCDI"))</f>
        <v>Clinical-Notes: Support-Requirements</v>
      </c>
      <c r="V233" t="s">
        <v>1171</v>
      </c>
      <c r="W233" t="s">
        <v>30</v>
      </c>
      <c r="X233" t="s">
        <v>273</v>
      </c>
      <c r="Y233" t="s">
        <v>1171</v>
      </c>
      <c r="Z233" t="s">
        <v>1171</v>
      </c>
      <c r="AA233" t="s">
        <v>1171</v>
      </c>
      <c r="AB233" t="s">
        <v>1171</v>
      </c>
      <c r="AC233" t="s">
        <v>1171</v>
      </c>
      <c r="AD233" t="s">
        <v>1171</v>
      </c>
      <c r="AE233" t="s">
        <v>1171</v>
      </c>
    </row>
    <row r="234" spans="1:31" ht="69" thickBot="1" x14ac:dyDescent="0.25">
      <c r="A234" t="s">
        <v>1171</v>
      </c>
      <c r="B234" t="s">
        <v>1406</v>
      </c>
      <c r="C234" t="str">
        <f>"CONF-"&amp;TEXT(us_core_reqs[[#This Row],[ID*]], "0000")</f>
        <v>CONF-0233</v>
      </c>
      <c r="D234" s="11" t="s">
        <v>1883</v>
      </c>
      <c r="E234" s="73" t="str" cm="1">
        <f t="array" ref="E234">_xlfn.TEXTJOIN(", ", TRUE, _xlfn.TEXTAFTER(_xlfn.TEXTSPLIT(us_core_reqs[[#This Row],[URL*]], ", "), "/", -1))</f>
        <v>clinical-notes.html#using-expand</v>
      </c>
      <c r="F234" s="11" t="s">
        <v>1937</v>
      </c>
      <c r="G234" t="s">
        <v>32</v>
      </c>
      <c r="H234" cm="1">
        <f t="array" ref="H234">_xlfn.SWITCH(G234, "SHALL", 1, "SHOULD", 3, "MAY", 5, "SHOULD-NOT", 4, "SHALL-NOT", 2, "DEPRECATED", 6, 99)</f>
        <v>3</v>
      </c>
      <c r="J234" t="s">
        <v>30</v>
      </c>
      <c r="K234" t="s">
        <v>1171</v>
      </c>
      <c r="L234" t="s">
        <v>1171</v>
      </c>
      <c r="M234" t="s">
        <v>1173</v>
      </c>
      <c r="N234" t="s">
        <v>1171</v>
      </c>
      <c r="O234" t="s">
        <v>1171</v>
      </c>
      <c r="P234" t="s">
        <v>1171</v>
      </c>
      <c r="Q234" t="s">
        <v>1171</v>
      </c>
      <c r="R234" t="s">
        <v>1171</v>
      </c>
      <c r="S234" s="70" t="str" cm="1">
        <f t="array" ref="S234">_xlfn.TEXTJOIN(",",TRUE,LEFT(TRIM(_xlfn.TEXTSPLIT(us_core_reqs[[#This Row],[reference]],",")),FIND(".html",TRIM(_xlfn.TEXTSPLIT(us_core_reqs[[#This Row],[reference]],",")))-1))</f>
        <v>clinical-notes</v>
      </c>
      <c r="T234" s="70" t="str" cm="1">
        <f t="array" ref="T234">_xlfn.TEXTJOIN(",",TRUE,MID(TRIM(_xlfn.TEXTSPLIT(us_core_reqs[[#This Row],[reference]],",")),FIND("#",TRIM(_xlfn.TEXTSPLIT(us_core_reqs[[#This Row],[reference]],","))&amp;"#")+1,1000))</f>
        <v>using-expand</v>
      </c>
      <c r="U234" t="str" cm="1">
        <f t="array" ref="U234">_xlfn.TEXTJOIN(", ",TRUE,SUBSTITUTE(SUBSTITUTE(PROPER(SUBSTITUTE(TRIM(_xlfn.TEXTSPLIT(us_core_reqs[[#This Row],[Page]],","))," -"," "))&amp;": "&amp;PROPER(SUBSTITUTE(TRIM(_xlfn.TEXTSPLIT(us_core_reqs[[#This Row],[Section]],","))," -"," ")),"Us ","US        
  "),"Uscdi","USCDI"))</f>
        <v>Clinical-Notes: Using-Expand</v>
      </c>
      <c r="V234" t="s">
        <v>32</v>
      </c>
      <c r="W234" t="s">
        <v>30</v>
      </c>
      <c r="X234" t="s">
        <v>274</v>
      </c>
      <c r="Y234" t="s">
        <v>1171</v>
      </c>
      <c r="Z234" t="s">
        <v>1171</v>
      </c>
      <c r="AA234" t="s">
        <v>1171</v>
      </c>
      <c r="AB234" t="s">
        <v>1171</v>
      </c>
      <c r="AC234" t="s">
        <v>1171</v>
      </c>
      <c r="AD234" t="s">
        <v>1171</v>
      </c>
      <c r="AE234" t="s">
        <v>1171</v>
      </c>
    </row>
    <row r="235" spans="1:31" ht="140" customHeight="1" thickBot="1" x14ac:dyDescent="0.25">
      <c r="A235" t="s">
        <v>1171</v>
      </c>
      <c r="B235" t="s">
        <v>1407</v>
      </c>
      <c r="C235" t="str">
        <f>"CONF-"&amp;TEXT(us_core_reqs[[#This Row],[ID*]], "0000")</f>
        <v>CONF-0234</v>
      </c>
      <c r="D235" s="11" t="s">
        <v>1883</v>
      </c>
      <c r="E235" s="73" t="str" cm="1">
        <f t="array" ref="E235">_xlfn.TEXTJOIN(", ", TRUE, _xlfn.TEXTAFTER(_xlfn.TEXTSPLIT(us_core_reqs[[#This Row],[URL*]], ", "), "/", -1))</f>
        <v>clinical-notes.html#using-expand</v>
      </c>
      <c r="F235" s="11" t="s">
        <v>2277</v>
      </c>
      <c r="G235" t="s">
        <v>32</v>
      </c>
      <c r="H235" cm="1">
        <f t="array" ref="H235">_xlfn.SWITCH(G235, "SHALL", 1, "SHOULD", 3, "MAY", 5, "SHOULD-NOT", 4, "SHALL-NOT", 2, "DEPRECATED", 6, 99)</f>
        <v>3</v>
      </c>
      <c r="J235" t="s">
        <v>30</v>
      </c>
      <c r="K235" t="s">
        <v>1171</v>
      </c>
      <c r="L235" t="s">
        <v>1171</v>
      </c>
      <c r="M235" t="s">
        <v>1176</v>
      </c>
      <c r="N235" t="s">
        <v>1013</v>
      </c>
      <c r="O235" t="s">
        <v>1171</v>
      </c>
      <c r="P235" t="s">
        <v>1171</v>
      </c>
      <c r="Q235" t="s">
        <v>1171</v>
      </c>
      <c r="R235" t="s">
        <v>1171</v>
      </c>
      <c r="S235" s="70" t="str" cm="1">
        <f t="array" ref="S235">_xlfn.TEXTJOIN(",",TRUE,LEFT(TRIM(_xlfn.TEXTSPLIT(us_core_reqs[[#This Row],[reference]],",")),FIND(".html",TRIM(_xlfn.TEXTSPLIT(us_core_reqs[[#This Row],[reference]],",")))-1))</f>
        <v>clinical-notes</v>
      </c>
      <c r="T235" s="70" t="str" cm="1">
        <f t="array" ref="T235">_xlfn.TEXTJOIN(",",TRUE,MID(TRIM(_xlfn.TEXTSPLIT(us_core_reqs[[#This Row],[reference]],",")),FIND("#",TRIM(_xlfn.TEXTSPLIT(us_core_reqs[[#This Row],[reference]],","))&amp;"#")+1,1000))</f>
        <v>using-expand</v>
      </c>
      <c r="U235" t="str" cm="1">
        <f t="array" ref="U235">_xlfn.TEXTJOIN(", ",TRUE,SUBSTITUTE(SUBSTITUTE(PROPER(SUBSTITUTE(TRIM(_xlfn.TEXTSPLIT(us_core_reqs[[#This Row],[Page]],","))," -"," "))&amp;": "&amp;PROPER(SUBSTITUTE(TRIM(_xlfn.TEXTSPLIT(us_core_reqs[[#This Row],[Section]],","))," -"," ")),"Us ","US        
  "),"Uscdi","USCDI"))</f>
        <v>Clinical-Notes: Using-Expand</v>
      </c>
      <c r="V235" t="s">
        <v>29</v>
      </c>
      <c r="W235" t="s">
        <v>30</v>
      </c>
      <c r="X235" t="s">
        <v>275</v>
      </c>
      <c r="Y235" t="s">
        <v>1171</v>
      </c>
      <c r="Z235" t="s">
        <v>1171</v>
      </c>
      <c r="AA235" t="s">
        <v>1171</v>
      </c>
      <c r="AB235" t="s">
        <v>1171</v>
      </c>
      <c r="AC235" t="s">
        <v>276</v>
      </c>
      <c r="AD235" t="s">
        <v>1141</v>
      </c>
      <c r="AE235" t="s">
        <v>1171</v>
      </c>
    </row>
    <row r="236" spans="1:31" ht="158" customHeight="1" thickBot="1" x14ac:dyDescent="0.25">
      <c r="A236" t="s">
        <v>1171</v>
      </c>
      <c r="B236" t="s">
        <v>1408</v>
      </c>
      <c r="C236" t="str">
        <f>"CONF-"&amp;TEXT(us_core_reqs[[#This Row],[ID*]], "0000")</f>
        <v>CONF-0235</v>
      </c>
      <c r="D236" s="11" t="s">
        <v>1883</v>
      </c>
      <c r="E236" s="73" t="str" cm="1">
        <f t="array" ref="E236">_xlfn.TEXTJOIN(", ", TRUE, _xlfn.TEXTAFTER(_xlfn.TEXTSPLIT(us_core_reqs[[#This Row],[URL*]], ", "), "/", -1))</f>
        <v>clinical-notes.html#using-expand</v>
      </c>
      <c r="F236" s="11" t="s">
        <v>2278</v>
      </c>
      <c r="G236" t="s">
        <v>32</v>
      </c>
      <c r="H236" cm="1">
        <f t="array" ref="H236">_xlfn.SWITCH(G236, "SHALL", 1, "SHOULD", 3, "MAY", 5, "SHOULD-NOT", 4, "SHALL-NOT", 2, "DEPRECATED", 6, 99)</f>
        <v>3</v>
      </c>
      <c r="J236" t="s">
        <v>30</v>
      </c>
      <c r="K236" t="s">
        <v>1171</v>
      </c>
      <c r="L236" t="s">
        <v>1171</v>
      </c>
      <c r="M236" t="s">
        <v>1176</v>
      </c>
      <c r="N236" t="s">
        <v>1015</v>
      </c>
      <c r="O236" t="s">
        <v>1171</v>
      </c>
      <c r="P236" t="s">
        <v>1171</v>
      </c>
      <c r="Q236" t="s">
        <v>1171</v>
      </c>
      <c r="R236" t="s">
        <v>1171</v>
      </c>
      <c r="S236" s="70" t="str" cm="1">
        <f t="array" ref="S236">_xlfn.TEXTJOIN(",",TRUE,LEFT(TRIM(_xlfn.TEXTSPLIT(us_core_reqs[[#This Row],[reference]],",")),FIND(".html",TRIM(_xlfn.TEXTSPLIT(us_core_reqs[[#This Row],[reference]],",")))-1))</f>
        <v>clinical-notes</v>
      </c>
      <c r="T236" s="70" t="str" cm="1">
        <f t="array" ref="T236">_xlfn.TEXTJOIN(",",TRUE,MID(TRIM(_xlfn.TEXTSPLIT(us_core_reqs[[#This Row],[reference]],",")),FIND("#",TRIM(_xlfn.TEXTSPLIT(us_core_reqs[[#This Row],[reference]],","))&amp;"#")+1,1000))</f>
        <v>using-expand</v>
      </c>
      <c r="U236" t="str" cm="1">
        <f t="array" ref="U236">_xlfn.TEXTJOIN(", ",TRUE,SUBSTITUTE(SUBSTITUTE(PROPER(SUBSTITUTE(TRIM(_xlfn.TEXTSPLIT(us_core_reqs[[#This Row],[Page]],","))," -"," "))&amp;": "&amp;PROPER(SUBSTITUTE(TRIM(_xlfn.TEXTSPLIT(us_core_reqs[[#This Row],[Section]],","))," -"," ")),"Us ","US        
  "),"Uscdi","USCDI"))</f>
        <v>Clinical-Notes: Using-Expand</v>
      </c>
      <c r="V236" t="s">
        <v>29</v>
      </c>
      <c r="W236" t="s">
        <v>30</v>
      </c>
      <c r="X236" t="s">
        <v>277</v>
      </c>
      <c r="Y236" t="s">
        <v>1171</v>
      </c>
      <c r="Z236" t="s">
        <v>1171</v>
      </c>
      <c r="AA236" t="s">
        <v>1171</v>
      </c>
      <c r="AB236" t="s">
        <v>1171</v>
      </c>
      <c r="AC236" t="s">
        <v>1171</v>
      </c>
      <c r="AD236" t="s">
        <v>1141</v>
      </c>
      <c r="AE236" t="s">
        <v>1171</v>
      </c>
    </row>
    <row r="237" spans="1:31" ht="140" customHeight="1" thickBot="1" x14ac:dyDescent="0.25">
      <c r="A237" t="s">
        <v>1171</v>
      </c>
      <c r="B237" t="s">
        <v>1409</v>
      </c>
      <c r="C237" t="str">
        <f>"CONF-"&amp;TEXT(us_core_reqs[[#This Row],[ID*]], "0000")</f>
        <v>CONF-0236</v>
      </c>
      <c r="D237" s="11" t="s">
        <v>1883</v>
      </c>
      <c r="E237" s="73" t="str" cm="1">
        <f t="array" ref="E237">_xlfn.TEXTJOIN(", ", TRUE, _xlfn.TEXTAFTER(_xlfn.TEXTSPLIT(us_core_reqs[[#This Row],[URL*]], ", "), "/", -1))</f>
        <v>clinical-notes.html#using-expand</v>
      </c>
      <c r="F237" s="11" t="s">
        <v>2279</v>
      </c>
      <c r="G237" t="s">
        <v>32</v>
      </c>
      <c r="H237" cm="1">
        <f t="array" ref="H237">_xlfn.SWITCH(G237, "SHALL", 1, "SHOULD", 3, "MAY", 5, "SHOULD-NOT", 4, "SHALL-NOT", 2, "DEPRECATED", 6, 99)</f>
        <v>3</v>
      </c>
      <c r="J237" t="s">
        <v>30</v>
      </c>
      <c r="K237" t="s">
        <v>1171</v>
      </c>
      <c r="L237" t="s">
        <v>1171</v>
      </c>
      <c r="M237" t="s">
        <v>1176</v>
      </c>
      <c r="N237" t="s">
        <v>1013</v>
      </c>
      <c r="O237" t="s">
        <v>1171</v>
      </c>
      <c r="P237" t="s">
        <v>1171</v>
      </c>
      <c r="Q237" t="s">
        <v>1171</v>
      </c>
      <c r="R237" t="s">
        <v>1171</v>
      </c>
      <c r="S237" s="70" t="str" cm="1">
        <f t="array" ref="S237">_xlfn.TEXTJOIN(",",TRUE,LEFT(TRIM(_xlfn.TEXTSPLIT(us_core_reqs[[#This Row],[reference]],",")),FIND(".html",TRIM(_xlfn.TEXTSPLIT(us_core_reqs[[#This Row],[reference]],",")))-1))</f>
        <v>clinical-notes</v>
      </c>
      <c r="T237" s="70" t="str" cm="1">
        <f t="array" ref="T237">_xlfn.TEXTJOIN(",",TRUE,MID(TRIM(_xlfn.TEXTSPLIT(us_core_reqs[[#This Row],[reference]],",")),FIND("#",TRIM(_xlfn.TEXTSPLIT(us_core_reqs[[#This Row],[reference]],","))&amp;"#")+1,1000))</f>
        <v>using-expand</v>
      </c>
      <c r="U237" t="str" cm="1">
        <f t="array" ref="U237">_xlfn.TEXTJOIN(", ",TRUE,SUBSTITUTE(SUBSTITUTE(PROPER(SUBSTITUTE(TRIM(_xlfn.TEXTSPLIT(us_core_reqs[[#This Row],[Page]],","))," -"," "))&amp;": "&amp;PROPER(SUBSTITUTE(TRIM(_xlfn.TEXTSPLIT(us_core_reqs[[#This Row],[Section]],","))," -"," ")),"Us ","US        
  "),"Uscdi","USCDI"))</f>
        <v>Clinical-Notes: Using-Expand</v>
      </c>
      <c r="V237" t="s">
        <v>29</v>
      </c>
      <c r="W237" t="s">
        <v>30</v>
      </c>
      <c r="X237" t="s">
        <v>1171</v>
      </c>
      <c r="Y237" t="s">
        <v>1171</v>
      </c>
      <c r="Z237" t="s">
        <v>1171</v>
      </c>
      <c r="AA237" t="s">
        <v>1171</v>
      </c>
      <c r="AB237" t="s">
        <v>1171</v>
      </c>
      <c r="AC237" t="s">
        <v>1171</v>
      </c>
      <c r="AD237" t="s">
        <v>1141</v>
      </c>
      <c r="AE237" t="s">
        <v>1171</v>
      </c>
    </row>
    <row r="238" spans="1:31" ht="137" customHeight="1" thickBot="1" x14ac:dyDescent="0.25">
      <c r="A238" t="s">
        <v>1171</v>
      </c>
      <c r="B238" t="s">
        <v>1410</v>
      </c>
      <c r="C238" t="str">
        <f>"CONF-"&amp;TEXT(us_core_reqs[[#This Row],[ID*]], "0000")</f>
        <v>CONF-0237</v>
      </c>
      <c r="D238" s="11" t="s">
        <v>1883</v>
      </c>
      <c r="E238" s="73" t="str" cm="1">
        <f t="array" ref="E238">_xlfn.TEXTJOIN(", ", TRUE, _xlfn.TEXTAFTER(_xlfn.TEXTSPLIT(us_core_reqs[[#This Row],[URL*]], ", "), "/", -1))</f>
        <v>clinical-notes.html#using-expand</v>
      </c>
      <c r="F238" s="11" t="s">
        <v>2280</v>
      </c>
      <c r="G238" t="s">
        <v>32</v>
      </c>
      <c r="H238" cm="1">
        <f t="array" ref="H238">_xlfn.SWITCH(G238, "SHALL", 1, "SHOULD", 3, "MAY", 5, "SHOULD-NOT", 4, "SHALL-NOT", 2, "DEPRECATED", 6, 99)</f>
        <v>3</v>
      </c>
      <c r="J238" t="s">
        <v>30</v>
      </c>
      <c r="K238" t="s">
        <v>1171</v>
      </c>
      <c r="L238" t="s">
        <v>1171</v>
      </c>
      <c r="M238" t="s">
        <v>1176</v>
      </c>
      <c r="N238" t="s">
        <v>1015</v>
      </c>
      <c r="O238" t="s">
        <v>1171</v>
      </c>
      <c r="P238" t="s">
        <v>1171</v>
      </c>
      <c r="Q238" t="s">
        <v>1171</v>
      </c>
      <c r="R238" t="s">
        <v>1171</v>
      </c>
      <c r="S238" s="70" t="str" cm="1">
        <f t="array" ref="S238">_xlfn.TEXTJOIN(",",TRUE,LEFT(TRIM(_xlfn.TEXTSPLIT(us_core_reqs[[#This Row],[reference]],",")),FIND(".html",TRIM(_xlfn.TEXTSPLIT(us_core_reqs[[#This Row],[reference]],",")))-1))</f>
        <v>clinical-notes</v>
      </c>
      <c r="T238" s="70" t="str" cm="1">
        <f t="array" ref="T238">_xlfn.TEXTJOIN(",",TRUE,MID(TRIM(_xlfn.TEXTSPLIT(us_core_reqs[[#This Row],[reference]],",")),FIND("#",TRIM(_xlfn.TEXTSPLIT(us_core_reqs[[#This Row],[reference]],","))&amp;"#")+1,1000))</f>
        <v>using-expand</v>
      </c>
      <c r="U238" t="str" cm="1">
        <f t="array" ref="U238">_xlfn.TEXTJOIN(", ",TRUE,SUBSTITUTE(SUBSTITUTE(PROPER(SUBSTITUTE(TRIM(_xlfn.TEXTSPLIT(us_core_reqs[[#This Row],[Page]],","))," -"," "))&amp;": "&amp;PROPER(SUBSTITUTE(TRIM(_xlfn.TEXTSPLIT(us_core_reqs[[#This Row],[Section]],","))," -"," ")),"Us ","US        
  "),"Uscdi","USCDI"))</f>
        <v>Clinical-Notes: Using-Expand</v>
      </c>
      <c r="V238" t="s">
        <v>29</v>
      </c>
      <c r="W238" t="s">
        <v>30</v>
      </c>
      <c r="X238" t="s">
        <v>1171</v>
      </c>
      <c r="Y238" t="s">
        <v>1171</v>
      </c>
      <c r="Z238" t="s">
        <v>1171</v>
      </c>
      <c r="AA238" t="s">
        <v>1171</v>
      </c>
      <c r="AB238" t="s">
        <v>1171</v>
      </c>
      <c r="AC238" t="s">
        <v>1171</v>
      </c>
      <c r="AD238" t="s">
        <v>1141</v>
      </c>
      <c r="AE238" t="s">
        <v>1171</v>
      </c>
    </row>
    <row r="239" spans="1:31" ht="171" thickBot="1" x14ac:dyDescent="0.25">
      <c r="A239" t="s">
        <v>1171</v>
      </c>
      <c r="B239" t="s">
        <v>1411</v>
      </c>
      <c r="C239" t="str">
        <f>"CONF-"&amp;TEXT(us_core_reqs[[#This Row],[ID*]], "0000")</f>
        <v>CONF-0238</v>
      </c>
      <c r="D239" s="11" t="s">
        <v>1883</v>
      </c>
      <c r="E239" s="73" t="str" cm="1">
        <f t="array" ref="E239">_xlfn.TEXTJOIN(", ", TRUE, _xlfn.TEXTAFTER(_xlfn.TEXTSPLIT(us_core_reqs[[#This Row],[URL*]], ", "), "/", -1))</f>
        <v>clinical-notes.html#using-expand</v>
      </c>
      <c r="F239" s="11" t="s">
        <v>2281</v>
      </c>
      <c r="G239" t="s">
        <v>32</v>
      </c>
      <c r="H239" cm="1">
        <f t="array" ref="H239">_xlfn.SWITCH(G239, "SHALL", 1, "SHOULD", 3, "MAY", 5, "SHOULD-NOT", 4, "SHALL-NOT", 2, "DEPRECATED", 6, 99)</f>
        <v>3</v>
      </c>
      <c r="J239" t="s">
        <v>30</v>
      </c>
      <c r="K239" t="s">
        <v>1171</v>
      </c>
      <c r="L239" t="s">
        <v>1171</v>
      </c>
      <c r="M239" t="s">
        <v>1176</v>
      </c>
      <c r="N239" t="s">
        <v>1013</v>
      </c>
      <c r="O239" t="s">
        <v>1171</v>
      </c>
      <c r="P239" t="s">
        <v>1171</v>
      </c>
      <c r="Q239" t="s">
        <v>1171</v>
      </c>
      <c r="R239" t="s">
        <v>1171</v>
      </c>
      <c r="S239" s="70" t="str" cm="1">
        <f t="array" ref="S239">_xlfn.TEXTJOIN(",",TRUE,LEFT(TRIM(_xlfn.TEXTSPLIT(us_core_reqs[[#This Row],[reference]],",")),FIND(".html",TRIM(_xlfn.TEXTSPLIT(us_core_reqs[[#This Row],[reference]],",")))-1))</f>
        <v>clinical-notes</v>
      </c>
      <c r="T239" s="70" t="str" cm="1">
        <f t="array" ref="T239">_xlfn.TEXTJOIN(",",TRUE,MID(TRIM(_xlfn.TEXTSPLIT(us_core_reqs[[#This Row],[reference]],",")),FIND("#",TRIM(_xlfn.TEXTSPLIT(us_core_reqs[[#This Row],[reference]],","))&amp;"#")+1,1000))</f>
        <v>using-expand</v>
      </c>
      <c r="U239" t="str" cm="1">
        <f t="array" ref="U239">_xlfn.TEXTJOIN(", ",TRUE,SUBSTITUTE(SUBSTITUTE(PROPER(SUBSTITUTE(TRIM(_xlfn.TEXTSPLIT(us_core_reqs[[#This Row],[Page]],","))," -"," "))&amp;": "&amp;PROPER(SUBSTITUTE(TRIM(_xlfn.TEXTSPLIT(us_core_reqs[[#This Row],[Section]],","))," -"," ")),"Us ","US        
  "),"Uscdi","USCDI"))</f>
        <v>Clinical-Notes: Using-Expand</v>
      </c>
      <c r="V239" t="s">
        <v>1171</v>
      </c>
      <c r="W239" t="s">
        <v>1171</v>
      </c>
      <c r="X239" t="s">
        <v>1171</v>
      </c>
      <c r="Y239" t="s">
        <v>1171</v>
      </c>
      <c r="Z239" t="s">
        <v>1171</v>
      </c>
      <c r="AA239" t="s">
        <v>1171</v>
      </c>
      <c r="AB239" t="s">
        <v>1171</v>
      </c>
      <c r="AC239" t="s">
        <v>1171</v>
      </c>
      <c r="AD239" t="s">
        <v>1141</v>
      </c>
      <c r="AE239" t="s">
        <v>1171</v>
      </c>
    </row>
    <row r="240" spans="1:31" ht="171" thickBot="1" x14ac:dyDescent="0.25">
      <c r="A240" t="s">
        <v>1171</v>
      </c>
      <c r="B240" t="s">
        <v>1412</v>
      </c>
      <c r="C240" t="str">
        <f>"CONF-"&amp;TEXT(us_core_reqs[[#This Row],[ID*]], "0000")</f>
        <v>CONF-0239</v>
      </c>
      <c r="D240" s="11" t="s">
        <v>1883</v>
      </c>
      <c r="E240" s="73" t="str" cm="1">
        <f t="array" ref="E240">_xlfn.TEXTJOIN(", ", TRUE, _xlfn.TEXTAFTER(_xlfn.TEXTSPLIT(us_core_reqs[[#This Row],[URL*]], ", "), "/", -1))</f>
        <v>clinical-notes.html#using-expand</v>
      </c>
      <c r="F240" s="11" t="s">
        <v>2282</v>
      </c>
      <c r="G240" t="s">
        <v>32</v>
      </c>
      <c r="H240" cm="1">
        <f t="array" ref="H240">_xlfn.SWITCH(G240, "SHALL", 1, "SHOULD", 3, "MAY", 5, "SHOULD-NOT", 4, "SHALL-NOT", 2, "DEPRECATED", 6, 99)</f>
        <v>3</v>
      </c>
      <c r="J240" t="s">
        <v>30</v>
      </c>
      <c r="K240" t="s">
        <v>1171</v>
      </c>
      <c r="L240" t="s">
        <v>1171</v>
      </c>
      <c r="M240" t="s">
        <v>1176</v>
      </c>
      <c r="N240" t="s">
        <v>1015</v>
      </c>
      <c r="O240" t="s">
        <v>1171</v>
      </c>
      <c r="P240" t="s">
        <v>1171</v>
      </c>
      <c r="Q240" t="s">
        <v>1171</v>
      </c>
      <c r="R240" t="s">
        <v>1171</v>
      </c>
      <c r="S240" s="70" t="str" cm="1">
        <f t="array" ref="S240">_xlfn.TEXTJOIN(",",TRUE,LEFT(TRIM(_xlfn.TEXTSPLIT(us_core_reqs[[#This Row],[reference]],",")),FIND(".html",TRIM(_xlfn.TEXTSPLIT(us_core_reqs[[#This Row],[reference]],",")))-1))</f>
        <v>clinical-notes</v>
      </c>
      <c r="T240" s="70" t="str" cm="1">
        <f t="array" ref="T240">_xlfn.TEXTJOIN(",",TRUE,MID(TRIM(_xlfn.TEXTSPLIT(us_core_reqs[[#This Row],[reference]],",")),FIND("#",TRIM(_xlfn.TEXTSPLIT(us_core_reqs[[#This Row],[reference]],","))&amp;"#")+1,1000))</f>
        <v>using-expand</v>
      </c>
      <c r="U240" t="str" cm="1">
        <f t="array" ref="U240">_xlfn.TEXTJOIN(", ",TRUE,SUBSTITUTE(SUBSTITUTE(PROPER(SUBSTITUTE(TRIM(_xlfn.TEXTSPLIT(us_core_reqs[[#This Row],[Page]],","))," -"," "))&amp;": "&amp;PROPER(SUBSTITUTE(TRIM(_xlfn.TEXTSPLIT(us_core_reqs[[#This Row],[Section]],","))," -"," ")),"Us ","US        
  "),"Uscdi","USCDI"))</f>
        <v>Clinical-Notes: Using-Expand</v>
      </c>
      <c r="V240" t="s">
        <v>1171</v>
      </c>
      <c r="W240" t="s">
        <v>1171</v>
      </c>
      <c r="X240" t="s">
        <v>1171</v>
      </c>
      <c r="Y240" t="s">
        <v>1171</v>
      </c>
      <c r="Z240" t="s">
        <v>1171</v>
      </c>
      <c r="AA240" t="s">
        <v>1171</v>
      </c>
      <c r="AB240" t="s">
        <v>1171</v>
      </c>
      <c r="AC240" t="s">
        <v>1171</v>
      </c>
      <c r="AD240" t="s">
        <v>1141</v>
      </c>
      <c r="AE240" t="s">
        <v>1171</v>
      </c>
    </row>
    <row r="241" spans="1:31" ht="171" thickBot="1" x14ac:dyDescent="0.25">
      <c r="A241" t="s">
        <v>1171</v>
      </c>
      <c r="B241" t="s">
        <v>1413</v>
      </c>
      <c r="C241" t="str">
        <f>"CONF-"&amp;TEXT(us_core_reqs[[#This Row],[ID*]], "0000")</f>
        <v>CONF-0240</v>
      </c>
      <c r="D241" s="11" t="s">
        <v>1883</v>
      </c>
      <c r="E241" s="73" t="str" cm="1">
        <f t="array" ref="E241">_xlfn.TEXTJOIN(", ", TRUE, _xlfn.TEXTAFTER(_xlfn.TEXTSPLIT(us_core_reqs[[#This Row],[URL*]], ", "), "/", -1))</f>
        <v>clinical-notes.html#using-expand</v>
      </c>
      <c r="F241" s="11" t="s">
        <v>2283</v>
      </c>
      <c r="G241" t="s">
        <v>32</v>
      </c>
      <c r="H241" cm="1">
        <f t="array" ref="H241">_xlfn.SWITCH(G241, "SHALL", 1, "SHOULD", 3, "MAY", 5, "SHOULD-NOT", 4, "SHALL-NOT", 2, "DEPRECATED", 6, 99)</f>
        <v>3</v>
      </c>
      <c r="J241" t="s">
        <v>30</v>
      </c>
      <c r="K241" t="s">
        <v>1171</v>
      </c>
      <c r="L241" t="s">
        <v>1171</v>
      </c>
      <c r="M241" t="s">
        <v>1176</v>
      </c>
      <c r="N241" t="s">
        <v>1013</v>
      </c>
      <c r="O241" t="s">
        <v>1171</v>
      </c>
      <c r="P241" t="s">
        <v>1171</v>
      </c>
      <c r="Q241" t="s">
        <v>1171</v>
      </c>
      <c r="R241" t="s">
        <v>1171</v>
      </c>
      <c r="S241" s="70" t="str" cm="1">
        <f t="array" ref="S241">_xlfn.TEXTJOIN(",",TRUE,LEFT(TRIM(_xlfn.TEXTSPLIT(us_core_reqs[[#This Row],[reference]],",")),FIND(".html",TRIM(_xlfn.TEXTSPLIT(us_core_reqs[[#This Row],[reference]],",")))-1))</f>
        <v>clinical-notes</v>
      </c>
      <c r="T241" s="70" t="str" cm="1">
        <f t="array" ref="T241">_xlfn.TEXTJOIN(",",TRUE,MID(TRIM(_xlfn.TEXTSPLIT(us_core_reqs[[#This Row],[reference]],",")),FIND("#",TRIM(_xlfn.TEXTSPLIT(us_core_reqs[[#This Row],[reference]],","))&amp;"#")+1,1000))</f>
        <v>using-expand</v>
      </c>
      <c r="U241" t="str" cm="1">
        <f t="array" ref="U241">_xlfn.TEXTJOIN(", ",TRUE,SUBSTITUTE(SUBSTITUTE(PROPER(SUBSTITUTE(TRIM(_xlfn.TEXTSPLIT(us_core_reqs[[#This Row],[Page]],","))," -"," "))&amp;": "&amp;PROPER(SUBSTITUTE(TRIM(_xlfn.TEXTSPLIT(us_core_reqs[[#This Row],[Section]],","))," -"," ")),"Us ","US        
  "),"Uscdi","USCDI"))</f>
        <v>Clinical-Notes: Using-Expand</v>
      </c>
      <c r="V241" t="s">
        <v>1171</v>
      </c>
      <c r="W241" t="s">
        <v>1171</v>
      </c>
      <c r="X241" t="s">
        <v>1171</v>
      </c>
      <c r="Y241" t="s">
        <v>1171</v>
      </c>
      <c r="Z241" t="s">
        <v>1171</v>
      </c>
      <c r="AA241" t="s">
        <v>1171</v>
      </c>
      <c r="AB241" t="s">
        <v>1171</v>
      </c>
      <c r="AC241" t="s">
        <v>1171</v>
      </c>
      <c r="AD241" t="s">
        <v>1141</v>
      </c>
      <c r="AE241" t="s">
        <v>1171</v>
      </c>
    </row>
    <row r="242" spans="1:31" ht="139" customHeight="1" thickBot="1" x14ac:dyDescent="0.25">
      <c r="A242" t="s">
        <v>1171</v>
      </c>
      <c r="B242" t="s">
        <v>1414</v>
      </c>
      <c r="C242" t="str">
        <f>"CONF-"&amp;TEXT(us_core_reqs[[#This Row],[ID*]], "0000")</f>
        <v>CONF-0241</v>
      </c>
      <c r="D242" s="11" t="s">
        <v>1883</v>
      </c>
      <c r="E242" s="73" t="str" cm="1">
        <f t="array" ref="E242">_xlfn.TEXTJOIN(", ", TRUE, _xlfn.TEXTAFTER(_xlfn.TEXTSPLIT(us_core_reqs[[#This Row],[URL*]], ", "), "/", -1))</f>
        <v>clinical-notes.html#using-expand</v>
      </c>
      <c r="F242" s="11" t="s">
        <v>2284</v>
      </c>
      <c r="G242" t="s">
        <v>32</v>
      </c>
      <c r="H242" cm="1">
        <f t="array" ref="H242">_xlfn.SWITCH(G242, "SHALL", 1, "SHOULD", 3, "MAY", 5, "SHOULD-NOT", 4, "SHALL-NOT", 2, "DEPRECATED", 6, 99)</f>
        <v>3</v>
      </c>
      <c r="J242" t="s">
        <v>30</v>
      </c>
      <c r="K242" t="s">
        <v>1171</v>
      </c>
      <c r="L242" t="s">
        <v>1171</v>
      </c>
      <c r="M242" t="s">
        <v>1176</v>
      </c>
      <c r="N242" t="s">
        <v>1015</v>
      </c>
      <c r="O242" t="s">
        <v>1171</v>
      </c>
      <c r="P242" t="s">
        <v>1171</v>
      </c>
      <c r="Q242" t="s">
        <v>1171</v>
      </c>
      <c r="R242" t="s">
        <v>1171</v>
      </c>
      <c r="S242" s="70" t="str" cm="1">
        <f t="array" ref="S242">_xlfn.TEXTJOIN(",",TRUE,LEFT(TRIM(_xlfn.TEXTSPLIT(us_core_reqs[[#This Row],[reference]],",")),FIND(".html",TRIM(_xlfn.TEXTSPLIT(us_core_reqs[[#This Row],[reference]],",")))-1))</f>
        <v>clinical-notes</v>
      </c>
      <c r="T242" s="70" t="str" cm="1">
        <f t="array" ref="T242">_xlfn.TEXTJOIN(",",TRUE,MID(TRIM(_xlfn.TEXTSPLIT(us_core_reqs[[#This Row],[reference]],",")),FIND("#",TRIM(_xlfn.TEXTSPLIT(us_core_reqs[[#This Row],[reference]],","))&amp;"#")+1,1000))</f>
        <v>using-expand</v>
      </c>
      <c r="U242" t="str" cm="1">
        <f t="array" ref="U242">_xlfn.TEXTJOIN(", ",TRUE,SUBSTITUTE(SUBSTITUTE(PROPER(SUBSTITUTE(TRIM(_xlfn.TEXTSPLIT(us_core_reqs[[#This Row],[Page]],","))," -"," "))&amp;": "&amp;PROPER(SUBSTITUTE(TRIM(_xlfn.TEXTSPLIT(us_core_reqs[[#This Row],[Section]],","))," -"," ")),"Us ","US        
  "),"Uscdi","USCDI"))</f>
        <v>Clinical-Notes: Using-Expand</v>
      </c>
      <c r="V242" t="s">
        <v>1171</v>
      </c>
      <c r="W242" t="s">
        <v>1171</v>
      </c>
      <c r="X242" t="s">
        <v>1171</v>
      </c>
      <c r="Y242" t="s">
        <v>1171</v>
      </c>
      <c r="Z242" t="s">
        <v>1171</v>
      </c>
      <c r="AA242" t="s">
        <v>1171</v>
      </c>
      <c r="AB242" t="s">
        <v>1171</v>
      </c>
      <c r="AC242" t="s">
        <v>1171</v>
      </c>
      <c r="AD242" t="s">
        <v>1141</v>
      </c>
      <c r="AE242" t="s">
        <v>1171</v>
      </c>
    </row>
    <row r="243" spans="1:31" ht="164" customHeight="1" thickBot="1" x14ac:dyDescent="0.25">
      <c r="A243" t="s">
        <v>1171</v>
      </c>
      <c r="B243" t="s">
        <v>1415</v>
      </c>
      <c r="C243" t="str">
        <f>"CONF-"&amp;TEXT(us_core_reqs[[#This Row],[ID*]], "0000")</f>
        <v>CONF-0242</v>
      </c>
      <c r="D243" s="11" t="s">
        <v>1022</v>
      </c>
      <c r="E243" s="73" t="str" cm="1">
        <f t="array" ref="E243">_xlfn.TEXTJOIN(", ", TRUE, _xlfn.TEXTAFTER(_xlfn.TEXTSPLIT(us_core_reqs[[#This Row],[URL*]], ", "), "/", -1))</f>
        <v>clinical-notes.html#discovering-Server-read-and-write-formats</v>
      </c>
      <c r="F243" s="11" t="s">
        <v>2285</v>
      </c>
      <c r="G243" t="s">
        <v>32</v>
      </c>
      <c r="H243" cm="1">
        <f t="array" ref="H243">_xlfn.SWITCH(G243, "SHALL", 1, "SHOULD", 3, "MAY", 5, "SHOULD-NOT", 4, "SHALL-NOT", 2, "DEPRECATED", 6, 99)</f>
        <v>3</v>
      </c>
      <c r="J243" t="s">
        <v>30</v>
      </c>
      <c r="K243" t="s">
        <v>1171</v>
      </c>
      <c r="L243" t="s">
        <v>1171</v>
      </c>
      <c r="M243" t="s">
        <v>1176</v>
      </c>
      <c r="N243" t="s">
        <v>1024</v>
      </c>
      <c r="O243" t="s">
        <v>1171</v>
      </c>
      <c r="P243" t="s">
        <v>1171</v>
      </c>
      <c r="Q243" t="s">
        <v>1171</v>
      </c>
      <c r="R243" t="s">
        <v>1171</v>
      </c>
      <c r="S243" s="70" t="str" cm="1">
        <f t="array" ref="S243">_xlfn.TEXTJOIN(",",TRUE,LEFT(TRIM(_xlfn.TEXTSPLIT(us_core_reqs[[#This Row],[reference]],",")),FIND(".html",TRIM(_xlfn.TEXTSPLIT(us_core_reqs[[#This Row],[reference]],",")))-1))</f>
        <v>clinical-notes</v>
      </c>
      <c r="T243" s="70" t="str" cm="1">
        <f t="array" ref="T243">_xlfn.TEXTJOIN(",",TRUE,MID(TRIM(_xlfn.TEXTSPLIT(us_core_reqs[[#This Row],[reference]],",")),FIND("#",TRIM(_xlfn.TEXTSPLIT(us_core_reqs[[#This Row],[reference]],","))&amp;"#")+1,1000))</f>
        <v>discovering-Server-read-and-write-formats</v>
      </c>
      <c r="U243" t="str" cm="1">
        <f t="array" ref="U243">_xlfn.TEXTJOIN(", ",TRUE,SUBSTITUTE(SUBSTITUTE(PROPER(SUBSTITUTE(TRIM(_xlfn.TEXTSPLIT(us_core_reqs[[#This Row],[Page]],","))," -"," "))&amp;": "&amp;PROPER(SUBSTITUTE(TRIM(_xlfn.TEXTSPLIT(us_core_reqs[[#This Row],[Section]],","))," -"," ")),"Us ","US        
  "),"Uscdi","USCDI"))</f>
        <v>Clinical-Notes: Discovering-Server-Read-And-Write-Formats</v>
      </c>
      <c r="V243" t="s">
        <v>1171</v>
      </c>
      <c r="W243" t="s">
        <v>1171</v>
      </c>
      <c r="X243" t="s">
        <v>1171</v>
      </c>
      <c r="Y243" t="s">
        <v>1171</v>
      </c>
      <c r="Z243" t="s">
        <v>1171</v>
      </c>
      <c r="AA243" t="s">
        <v>1171</v>
      </c>
      <c r="AB243" t="s">
        <v>1171</v>
      </c>
      <c r="AC243" t="s">
        <v>1171</v>
      </c>
      <c r="AD243" t="s">
        <v>1171</v>
      </c>
      <c r="AE243" t="s">
        <v>1171</v>
      </c>
    </row>
    <row r="244" spans="1:31" ht="165" customHeight="1" thickBot="1" x14ac:dyDescent="0.25">
      <c r="A244" t="s">
        <v>1171</v>
      </c>
      <c r="B244" t="s">
        <v>1416</v>
      </c>
      <c r="C244" t="str">
        <f>"CONF-"&amp;TEXT(us_core_reqs[[#This Row],[ID*]], "0000")</f>
        <v>CONF-0243</v>
      </c>
      <c r="D244" s="11" t="s">
        <v>1022</v>
      </c>
      <c r="E244" s="73" t="str" cm="1">
        <f t="array" ref="E244">_xlfn.TEXTJOIN(", ", TRUE, _xlfn.TEXTAFTER(_xlfn.TEXTSPLIT(us_core_reqs[[#This Row],[URL*]], ", "), "/", -1))</f>
        <v>clinical-notes.html#discovering-Server-read-and-write-formats</v>
      </c>
      <c r="F244" s="11" t="s">
        <v>2286</v>
      </c>
      <c r="G244" t="s">
        <v>32</v>
      </c>
      <c r="H244" cm="1">
        <f t="array" ref="H244">_xlfn.SWITCH(G244, "SHALL", 1, "SHOULD", 3, "MAY", 5, "SHOULD-NOT", 4, "SHALL-NOT", 2, "DEPRECATED", 6, 99)</f>
        <v>3</v>
      </c>
      <c r="J244" t="s">
        <v>30</v>
      </c>
      <c r="K244" t="s">
        <v>1171</v>
      </c>
      <c r="L244" t="s">
        <v>1171</v>
      </c>
      <c r="M244" t="s">
        <v>1176</v>
      </c>
      <c r="N244" t="s">
        <v>1026</v>
      </c>
      <c r="O244" t="s">
        <v>1171</v>
      </c>
      <c r="P244" t="s">
        <v>1171</v>
      </c>
      <c r="Q244" t="s">
        <v>1171</v>
      </c>
      <c r="R244" t="s">
        <v>1171</v>
      </c>
      <c r="S244" s="70" t="str" cm="1">
        <f t="array" ref="S244">_xlfn.TEXTJOIN(",",TRUE,LEFT(TRIM(_xlfn.TEXTSPLIT(us_core_reqs[[#This Row],[reference]],",")),FIND(".html",TRIM(_xlfn.TEXTSPLIT(us_core_reqs[[#This Row],[reference]],",")))-1))</f>
        <v>clinical-notes</v>
      </c>
      <c r="T244" s="70" t="str" cm="1">
        <f t="array" ref="T244">_xlfn.TEXTJOIN(",",TRUE,MID(TRIM(_xlfn.TEXTSPLIT(us_core_reqs[[#This Row],[reference]],",")),FIND("#",TRIM(_xlfn.TEXTSPLIT(us_core_reqs[[#This Row],[reference]],","))&amp;"#")+1,1000))</f>
        <v>discovering-Server-read-and-write-formats</v>
      </c>
      <c r="U244" t="str" cm="1">
        <f t="array" ref="U244">_xlfn.TEXTJOIN(", ",TRUE,SUBSTITUTE(SUBSTITUTE(PROPER(SUBSTITUTE(TRIM(_xlfn.TEXTSPLIT(us_core_reqs[[#This Row],[Page]],","))," -"," "))&amp;": "&amp;PROPER(SUBSTITUTE(TRIM(_xlfn.TEXTSPLIT(us_core_reqs[[#This Row],[Section]],","))," -"," ")),"Us ","US        
  "),"Uscdi","USCDI"))</f>
        <v>Clinical-Notes: Discovering-Server-Read-And-Write-Formats</v>
      </c>
      <c r="V244" t="s">
        <v>1171</v>
      </c>
      <c r="W244" t="s">
        <v>1171</v>
      </c>
      <c r="X244" t="s">
        <v>1171</v>
      </c>
      <c r="Y244" t="s">
        <v>1171</v>
      </c>
      <c r="Z244" t="s">
        <v>1171</v>
      </c>
      <c r="AA244" t="s">
        <v>1171</v>
      </c>
      <c r="AB244" t="s">
        <v>1171</v>
      </c>
      <c r="AC244" t="s">
        <v>1171</v>
      </c>
      <c r="AD244" t="s">
        <v>1171</v>
      </c>
      <c r="AE244" t="s">
        <v>1171</v>
      </c>
    </row>
    <row r="245" spans="1:31" ht="171" thickBot="1" x14ac:dyDescent="0.25">
      <c r="A245" t="s">
        <v>1171</v>
      </c>
      <c r="B245" t="s">
        <v>1417</v>
      </c>
      <c r="C245" t="str">
        <f>"CONF-"&amp;TEXT(us_core_reqs[[#This Row],[ID*]], "0000")</f>
        <v>CONF-0244</v>
      </c>
      <c r="D245" s="11" t="s">
        <v>1022</v>
      </c>
      <c r="E245" s="73" t="str" cm="1">
        <f t="array" ref="E245">_xlfn.TEXTJOIN(", ", TRUE, _xlfn.TEXTAFTER(_xlfn.TEXTSPLIT(us_core_reqs[[#This Row],[URL*]], ", "), "/", -1))</f>
        <v>clinical-notes.html#discovering-Server-read-and-write-formats</v>
      </c>
      <c r="F245" s="11" t="s">
        <v>2287</v>
      </c>
      <c r="G245" t="s">
        <v>32</v>
      </c>
      <c r="H245" cm="1">
        <f t="array" ref="H245">_xlfn.SWITCH(G245, "SHALL", 1, "SHOULD", 3, "MAY", 5, "SHOULD-NOT", 4, "SHALL-NOT", 2, "DEPRECATED", 6, 99)</f>
        <v>3</v>
      </c>
      <c r="J245" t="s">
        <v>30</v>
      </c>
      <c r="K245" t="s">
        <v>1171</v>
      </c>
      <c r="L245" t="s">
        <v>1171</v>
      </c>
      <c r="M245" t="s">
        <v>1176</v>
      </c>
      <c r="N245" t="s">
        <v>1024</v>
      </c>
      <c r="O245" t="s">
        <v>1171</v>
      </c>
      <c r="P245" t="s">
        <v>1171</v>
      </c>
      <c r="Q245" t="s">
        <v>1171</v>
      </c>
      <c r="R245" t="s">
        <v>1171</v>
      </c>
      <c r="S245" s="70" t="str" cm="1">
        <f t="array" ref="S245">_xlfn.TEXTJOIN(",",TRUE,LEFT(TRIM(_xlfn.TEXTSPLIT(us_core_reqs[[#This Row],[reference]],",")),FIND(".html",TRIM(_xlfn.TEXTSPLIT(us_core_reqs[[#This Row],[reference]],",")))-1))</f>
        <v>clinical-notes</v>
      </c>
      <c r="T245" s="70" t="str" cm="1">
        <f t="array" ref="T245">_xlfn.TEXTJOIN(",",TRUE,MID(TRIM(_xlfn.TEXTSPLIT(us_core_reqs[[#This Row],[reference]],",")),FIND("#",TRIM(_xlfn.TEXTSPLIT(us_core_reqs[[#This Row],[reference]],","))&amp;"#")+1,1000))</f>
        <v>discovering-Server-read-and-write-formats</v>
      </c>
      <c r="U245" t="str" cm="1">
        <f t="array" ref="U245">_xlfn.TEXTJOIN(", ",TRUE,SUBSTITUTE(SUBSTITUTE(PROPER(SUBSTITUTE(TRIM(_xlfn.TEXTSPLIT(us_core_reqs[[#This Row],[Page]],","))," -"," "))&amp;": "&amp;PROPER(SUBSTITUTE(TRIM(_xlfn.TEXTSPLIT(us_core_reqs[[#This Row],[Section]],","))," -"," ")),"Us ","US        
  "),"Uscdi","USCDI"))</f>
        <v>Clinical-Notes: Discovering-Server-Read-And-Write-Formats</v>
      </c>
      <c r="V245" t="s">
        <v>1171</v>
      </c>
      <c r="W245" t="s">
        <v>1171</v>
      </c>
      <c r="X245" t="s">
        <v>1171</v>
      </c>
      <c r="Y245" t="s">
        <v>1171</v>
      </c>
      <c r="Z245" t="s">
        <v>1171</v>
      </c>
      <c r="AA245" t="s">
        <v>1171</v>
      </c>
      <c r="AB245" t="s">
        <v>1171</v>
      </c>
      <c r="AC245" t="s">
        <v>1171</v>
      </c>
      <c r="AD245" t="s">
        <v>1171</v>
      </c>
      <c r="AE245" t="s">
        <v>1171</v>
      </c>
    </row>
    <row r="246" spans="1:31" ht="171" thickBot="1" x14ac:dyDescent="0.25">
      <c r="A246" t="s">
        <v>1171</v>
      </c>
      <c r="B246" t="s">
        <v>1418</v>
      </c>
      <c r="C246" t="str">
        <f>"CONF-"&amp;TEXT(us_core_reqs[[#This Row],[ID*]], "0000")</f>
        <v>CONF-0245</v>
      </c>
      <c r="D246" s="11" t="s">
        <v>1022</v>
      </c>
      <c r="E246" s="73" t="str" cm="1">
        <f t="array" ref="E246">_xlfn.TEXTJOIN(", ", TRUE, _xlfn.TEXTAFTER(_xlfn.TEXTSPLIT(us_core_reqs[[#This Row],[URL*]], ", "), "/", -1))</f>
        <v>clinical-notes.html#discovering-Server-read-and-write-formats</v>
      </c>
      <c r="F246" s="11" t="s">
        <v>2288</v>
      </c>
      <c r="G246" t="s">
        <v>32</v>
      </c>
      <c r="H246" cm="1">
        <f t="array" ref="H246">_xlfn.SWITCH(G246, "SHALL", 1, "SHOULD", 3, "MAY", 5, "SHOULD-NOT", 4, "SHALL-NOT", 2, "DEPRECATED", 6, 99)</f>
        <v>3</v>
      </c>
      <c r="J246" t="s">
        <v>30</v>
      </c>
      <c r="K246" t="s">
        <v>1171</v>
      </c>
      <c r="L246" t="s">
        <v>1171</v>
      </c>
      <c r="M246" t="s">
        <v>1176</v>
      </c>
      <c r="N246" t="s">
        <v>1026</v>
      </c>
      <c r="O246" t="s">
        <v>1171</v>
      </c>
      <c r="P246" t="s">
        <v>1171</v>
      </c>
      <c r="Q246" t="s">
        <v>1171</v>
      </c>
      <c r="R246" t="s">
        <v>1171</v>
      </c>
      <c r="S246" s="70" t="str" cm="1">
        <f t="array" ref="S246">_xlfn.TEXTJOIN(",",TRUE,LEFT(TRIM(_xlfn.TEXTSPLIT(us_core_reqs[[#This Row],[reference]],",")),FIND(".html",TRIM(_xlfn.TEXTSPLIT(us_core_reqs[[#This Row],[reference]],",")))-1))</f>
        <v>clinical-notes</v>
      </c>
      <c r="T246" s="70" t="str" cm="1">
        <f t="array" ref="T246">_xlfn.TEXTJOIN(",",TRUE,MID(TRIM(_xlfn.TEXTSPLIT(us_core_reqs[[#This Row],[reference]],",")),FIND("#",TRIM(_xlfn.TEXTSPLIT(us_core_reqs[[#This Row],[reference]],","))&amp;"#")+1,1000))</f>
        <v>discovering-Server-read-and-write-formats</v>
      </c>
      <c r="U246" t="str" cm="1">
        <f t="array" ref="U246">_xlfn.TEXTJOIN(", ",TRUE,SUBSTITUTE(SUBSTITUTE(PROPER(SUBSTITUTE(TRIM(_xlfn.TEXTSPLIT(us_core_reqs[[#This Row],[Page]],","))," -"," "))&amp;": "&amp;PROPER(SUBSTITUTE(TRIM(_xlfn.TEXTSPLIT(us_core_reqs[[#This Row],[Section]],","))," -"," ")),"Us ","US        
  "),"Uscdi","USCDI"))</f>
        <v>Clinical-Notes: Discovering-Server-Read-And-Write-Formats</v>
      </c>
      <c r="V246" t="s">
        <v>1171</v>
      </c>
      <c r="W246" t="s">
        <v>1171</v>
      </c>
      <c r="X246" t="s">
        <v>1171</v>
      </c>
      <c r="Y246" t="s">
        <v>1171</v>
      </c>
      <c r="Z246" t="s">
        <v>1171</v>
      </c>
      <c r="AA246" t="s">
        <v>1171</v>
      </c>
      <c r="AB246" t="s">
        <v>1171</v>
      </c>
      <c r="AC246" t="s">
        <v>1171</v>
      </c>
      <c r="AD246" t="s">
        <v>1171</v>
      </c>
      <c r="AE246" t="s">
        <v>1171</v>
      </c>
    </row>
    <row r="247" spans="1:31" ht="103" thickBot="1" x14ac:dyDescent="0.25">
      <c r="A247" t="s">
        <v>1171</v>
      </c>
      <c r="B247" t="s">
        <v>1419</v>
      </c>
      <c r="C247" t="str">
        <f>"CONF-"&amp;TEXT(us_core_reqs[[#This Row],[ID*]], "0000")</f>
        <v>CONF-0246</v>
      </c>
      <c r="D247" s="11" t="s">
        <v>843</v>
      </c>
      <c r="E247" s="73" t="str" cm="1">
        <f t="array" ref="E247">_xlfn.TEXTJOIN(", ", TRUE, _xlfn.TEXTAFTER(_xlfn.TEXTSPLIT(us_core_reqs[[#This Row],[URL*]], ", "), "/", -1))</f>
        <v>medication-list.html#background-on-the-fhir-medications-resources</v>
      </c>
      <c r="F247" s="11" t="s">
        <v>278</v>
      </c>
      <c r="G247" t="s">
        <v>35</v>
      </c>
      <c r="H247" cm="1">
        <f t="array" ref="H247">_xlfn.SWITCH(G247, "SHALL", 1, "SHOULD", 3, "MAY", 5, "SHOULD-NOT", 4, "SHALL-NOT", 2, "DEPRECATED", 6, 99)</f>
        <v>5</v>
      </c>
      <c r="I247" t="s">
        <v>1885</v>
      </c>
      <c r="J247" t="s">
        <v>30</v>
      </c>
      <c r="K247" t="s">
        <v>1171</v>
      </c>
      <c r="L247" t="s">
        <v>1171</v>
      </c>
      <c r="M247" t="s">
        <v>1173</v>
      </c>
      <c r="N247" t="s">
        <v>1171</v>
      </c>
      <c r="O247" t="s">
        <v>1171</v>
      </c>
      <c r="P247" t="s">
        <v>1171</v>
      </c>
      <c r="Q247" t="s">
        <v>1171</v>
      </c>
      <c r="R247" t="s">
        <v>1171</v>
      </c>
      <c r="S247" s="70" t="str" cm="1">
        <f t="array" ref="S247">_xlfn.TEXTJOIN(",",TRUE,LEFT(TRIM(_xlfn.TEXTSPLIT(us_core_reqs[[#This Row],[reference]],",")),FIND(".html",TRIM(_xlfn.TEXTSPLIT(us_core_reqs[[#This Row],[reference]],",")))-1))</f>
        <v>medication-list</v>
      </c>
      <c r="T247" s="70" t="str" cm="1">
        <f t="array" ref="T247">_xlfn.TEXTJOIN(",",TRUE,MID(TRIM(_xlfn.TEXTSPLIT(us_core_reqs[[#This Row],[reference]],",")),FIND("#",TRIM(_xlfn.TEXTSPLIT(us_core_reqs[[#This Row],[reference]],","))&amp;"#")+1,1000))</f>
        <v>background-on-the-fhir-medications-resources</v>
      </c>
      <c r="U247" t="str" cm="1">
        <f t="array" ref="U247">_xlfn.TEXTJOIN(", ",TRUE,SUBSTITUTE(SUBSTITUTE(PROPER(SUBSTITUTE(TRIM(_xlfn.TEXTSPLIT(us_core_reqs[[#This Row],[Page]],","))," -"," "))&amp;": "&amp;PROPER(SUBSTITUTE(TRIM(_xlfn.TEXTSPLIT(us_core_reqs[[#This Row],[Section]],","))," -"," ")),"Us ","US        
  "),"Uscdi","USCDI"))</f>
        <v>Medication-List: Background-On-The-Fhir-Medications-Resources</v>
      </c>
      <c r="V247" t="s">
        <v>1171</v>
      </c>
      <c r="W247" t="s">
        <v>1171</v>
      </c>
      <c r="X247" t="s">
        <v>274</v>
      </c>
      <c r="Y247" t="s">
        <v>1171</v>
      </c>
      <c r="Z247" t="s">
        <v>1171</v>
      </c>
      <c r="AA247" t="s">
        <v>1171</v>
      </c>
      <c r="AB247" t="s">
        <v>1171</v>
      </c>
      <c r="AC247" t="s">
        <v>1171</v>
      </c>
      <c r="AD247" t="s">
        <v>1171</v>
      </c>
      <c r="AE247" t="s">
        <v>1171</v>
      </c>
    </row>
    <row r="248" spans="1:31" ht="120" thickBot="1" x14ac:dyDescent="0.25">
      <c r="A248" t="s">
        <v>1171</v>
      </c>
      <c r="B248" t="s">
        <v>1420</v>
      </c>
      <c r="C248" t="str">
        <f>"CONF-"&amp;TEXT(us_core_reqs[[#This Row],[ID*]], "0000")</f>
        <v>CONF-0247</v>
      </c>
      <c r="D248" s="11" t="s">
        <v>844</v>
      </c>
      <c r="E248" s="73" t="str" cm="1">
        <f t="array" ref="E248">_xlfn.TEXTJOIN(", ", TRUE, _xlfn.TEXTAFTER(_xlfn.TEXTSPLIT(us_core_reqs[[#This Row],[URL*]], ", "), "/", -1))</f>
        <v>medication-list.html#options-for-representing-medication</v>
      </c>
      <c r="F248" s="11" t="s">
        <v>2206</v>
      </c>
      <c r="G248" t="s">
        <v>29</v>
      </c>
      <c r="H248" cm="1">
        <f t="array" ref="H248">_xlfn.SWITCH(G248, "SHALL", 1, "SHOULD", 3, "MAY", 5, "SHOULD-NOT", 4, "SHALL-NOT", 2, "DEPRECATED", 6, 99)</f>
        <v>1</v>
      </c>
      <c r="J248" t="s">
        <v>30</v>
      </c>
      <c r="K248" t="s">
        <v>1171</v>
      </c>
      <c r="L248" t="s">
        <v>1171</v>
      </c>
      <c r="M248" t="s">
        <v>1176</v>
      </c>
      <c r="N248" t="s">
        <v>280</v>
      </c>
      <c r="O248" t="s">
        <v>1171</v>
      </c>
      <c r="P248" t="s">
        <v>1171</v>
      </c>
      <c r="Q248" t="s">
        <v>1171</v>
      </c>
      <c r="R248" t="s">
        <v>1171</v>
      </c>
      <c r="S248" s="70" t="str" cm="1">
        <f t="array" ref="S248">_xlfn.TEXTJOIN(",",TRUE,LEFT(TRIM(_xlfn.TEXTSPLIT(us_core_reqs[[#This Row],[reference]],",")),FIND(".html",TRIM(_xlfn.TEXTSPLIT(us_core_reqs[[#This Row],[reference]],",")))-1))</f>
        <v>medication-list</v>
      </c>
      <c r="T248" s="70" t="str" cm="1">
        <f t="array" ref="T248">_xlfn.TEXTJOIN(",",TRUE,MID(TRIM(_xlfn.TEXTSPLIT(us_core_reqs[[#This Row],[reference]],",")),FIND("#",TRIM(_xlfn.TEXTSPLIT(us_core_reqs[[#This Row],[reference]],","))&amp;"#")+1,1000))</f>
        <v>options-for-representing-medication</v>
      </c>
      <c r="U248" t="str" cm="1">
        <f t="array" ref="U248">_xlfn.TEXTJOIN(", ",TRUE,SUBSTITUTE(SUBSTITUTE(PROPER(SUBSTITUTE(TRIM(_xlfn.TEXTSPLIT(us_core_reqs[[#This Row],[Page]],","))," -"," "))&amp;": "&amp;PROPER(SUBSTITUTE(TRIM(_xlfn.TEXTSPLIT(us_core_reqs[[#This Row],[Section]],","))," -"," ")),"Us ","US        
  "),"Uscdi","USCDI"))</f>
        <v>Medication-List: Options-For-Representing-Medication</v>
      </c>
      <c r="V248" t="s">
        <v>29</v>
      </c>
      <c r="W248" t="s">
        <v>1171</v>
      </c>
      <c r="X248" t="s">
        <v>281</v>
      </c>
      <c r="Y248" t="s">
        <v>1171</v>
      </c>
      <c r="Z248" t="s">
        <v>1171</v>
      </c>
      <c r="AA248" t="s">
        <v>1171</v>
      </c>
      <c r="AB248" t="s">
        <v>1171</v>
      </c>
      <c r="AC248" t="s">
        <v>1171</v>
      </c>
      <c r="AD248" t="s">
        <v>1171</v>
      </c>
      <c r="AE248" t="s">
        <v>1171</v>
      </c>
    </row>
    <row r="249" spans="1:31" ht="86" thickBot="1" x14ac:dyDescent="0.25">
      <c r="A249" t="s">
        <v>1171</v>
      </c>
      <c r="B249" t="s">
        <v>1421</v>
      </c>
      <c r="C249" t="str">
        <f>"CONF-"&amp;TEXT(us_core_reqs[[#This Row],[ID*]], "0000")</f>
        <v>CONF-0248</v>
      </c>
      <c r="D249" s="11" t="s">
        <v>844</v>
      </c>
      <c r="E249" s="73" t="str" cm="1">
        <f t="array" ref="E249">_xlfn.TEXTJOIN(", ", TRUE, _xlfn.TEXTAFTER(_xlfn.TEXTSPLIT(us_core_reqs[[#This Row],[URL*]], ", "), "/", -1))</f>
        <v>medication-list.html#options-for-representing-medication</v>
      </c>
      <c r="F249" s="11" t="s">
        <v>282</v>
      </c>
      <c r="G249" t="s">
        <v>35</v>
      </c>
      <c r="H249" cm="1">
        <f t="array" ref="H249">_xlfn.SWITCH(G249, "SHALL", 1, "SHOULD", 3, "MAY", 5, "SHOULD-NOT", 4, "SHALL-NOT", 2, "DEPRECATED", 6, 99)</f>
        <v>5</v>
      </c>
      <c r="J249" t="s">
        <v>30</v>
      </c>
      <c r="K249" t="s">
        <v>1171</v>
      </c>
      <c r="L249" t="s">
        <v>1171</v>
      </c>
      <c r="M249" t="s">
        <v>1173</v>
      </c>
      <c r="N249" t="s">
        <v>1171</v>
      </c>
      <c r="O249" t="s">
        <v>1171</v>
      </c>
      <c r="P249" t="s">
        <v>1171</v>
      </c>
      <c r="Q249" t="s">
        <v>1171</v>
      </c>
      <c r="R249" t="s">
        <v>1171</v>
      </c>
      <c r="S249" s="70" t="str" cm="1">
        <f t="array" ref="S249">_xlfn.TEXTJOIN(",",TRUE,LEFT(TRIM(_xlfn.TEXTSPLIT(us_core_reqs[[#This Row],[reference]],",")),FIND(".html",TRIM(_xlfn.TEXTSPLIT(us_core_reqs[[#This Row],[reference]],",")))-1))</f>
        <v>medication-list</v>
      </c>
      <c r="T249" s="70" t="str" cm="1">
        <f t="array" ref="T249">_xlfn.TEXTJOIN(",",TRUE,MID(TRIM(_xlfn.TEXTSPLIT(us_core_reqs[[#This Row],[reference]],",")),FIND("#",TRIM(_xlfn.TEXTSPLIT(us_core_reqs[[#This Row],[reference]],","))&amp;"#")+1,1000))</f>
        <v>options-for-representing-medication</v>
      </c>
      <c r="U249" t="str" cm="1">
        <f t="array" ref="U249">_xlfn.TEXTJOIN(", ",TRUE,SUBSTITUTE(SUBSTITUTE(PROPER(SUBSTITUTE(TRIM(_xlfn.TEXTSPLIT(us_core_reqs[[#This Row],[Page]],","))," -"," "))&amp;": "&amp;PROPER(SUBSTITUTE(TRIM(_xlfn.TEXTSPLIT(us_core_reqs[[#This Row],[Section]],","))," -"," ")),"Us ","US        
  "),"Uscdi","USCDI"))</f>
        <v>Medication-List: Options-For-Representing-Medication</v>
      </c>
      <c r="V249" t="s">
        <v>1171</v>
      </c>
      <c r="W249" t="s">
        <v>1171</v>
      </c>
      <c r="X249" t="s">
        <v>283</v>
      </c>
      <c r="Y249" t="s">
        <v>1171</v>
      </c>
      <c r="Z249" t="s">
        <v>1171</v>
      </c>
      <c r="AA249" t="s">
        <v>1171</v>
      </c>
      <c r="AB249" t="s">
        <v>1171</v>
      </c>
      <c r="AC249" t="s">
        <v>1171</v>
      </c>
      <c r="AD249" t="s">
        <v>1171</v>
      </c>
      <c r="AE249" t="s">
        <v>1171</v>
      </c>
    </row>
    <row r="250" spans="1:31" ht="86" thickBot="1" x14ac:dyDescent="0.25">
      <c r="A250" t="s">
        <v>1171</v>
      </c>
      <c r="B250" t="s">
        <v>1422</v>
      </c>
      <c r="C250" t="str">
        <f>"CONF-"&amp;TEXT(us_core_reqs[[#This Row],[ID*]], "0000")</f>
        <v>CONF-0249</v>
      </c>
      <c r="D250" s="11" t="s">
        <v>844</v>
      </c>
      <c r="E250" s="73" t="str" cm="1">
        <f t="array" ref="E250">_xlfn.TEXTJOIN(", ", TRUE, _xlfn.TEXTAFTER(_xlfn.TEXTSPLIT(us_core_reqs[[#This Row],[URL*]], ", "), "/", -1))</f>
        <v>medication-list.html#options-for-representing-medication</v>
      </c>
      <c r="F250" s="11" t="s">
        <v>2193</v>
      </c>
      <c r="G250" t="s">
        <v>35</v>
      </c>
      <c r="H250" cm="1">
        <f t="array" ref="H250">_xlfn.SWITCH(G250, "SHALL", 1, "SHOULD", 3, "MAY", 5, "SHOULD-NOT", 4, "SHALL-NOT", 2, "DEPRECATED", 6, 99)</f>
        <v>5</v>
      </c>
      <c r="J250" t="s">
        <v>30</v>
      </c>
      <c r="K250" t="s">
        <v>1171</v>
      </c>
      <c r="L250" t="s">
        <v>1171</v>
      </c>
      <c r="M250" t="s">
        <v>1176</v>
      </c>
      <c r="N250" t="s">
        <v>284</v>
      </c>
      <c r="O250" t="s">
        <v>1171</v>
      </c>
      <c r="P250" t="s">
        <v>1171</v>
      </c>
      <c r="Q250" t="s">
        <v>1171</v>
      </c>
      <c r="R250" t="s">
        <v>1171</v>
      </c>
      <c r="S250" s="70" t="str" cm="1">
        <f t="array" ref="S250">_xlfn.TEXTJOIN(",",TRUE,LEFT(TRIM(_xlfn.TEXTSPLIT(us_core_reqs[[#This Row],[reference]],",")),FIND(".html",TRIM(_xlfn.TEXTSPLIT(us_core_reqs[[#This Row],[reference]],",")))-1))</f>
        <v>medication-list</v>
      </c>
      <c r="T250" s="70" t="str" cm="1">
        <f t="array" ref="T250">_xlfn.TEXTJOIN(",",TRUE,MID(TRIM(_xlfn.TEXTSPLIT(us_core_reqs[[#This Row],[reference]],",")),FIND("#",TRIM(_xlfn.TEXTSPLIT(us_core_reqs[[#This Row],[reference]],","))&amp;"#")+1,1000))</f>
        <v>options-for-representing-medication</v>
      </c>
      <c r="U250" t="str" cm="1">
        <f t="array" ref="U250">_xlfn.TEXTJOIN(", ",TRUE,SUBSTITUTE(SUBSTITUTE(PROPER(SUBSTITUTE(TRIM(_xlfn.TEXTSPLIT(us_core_reqs[[#This Row],[Page]],","))," -"," "))&amp;": "&amp;PROPER(SUBSTITUTE(TRIM(_xlfn.TEXTSPLIT(us_core_reqs[[#This Row],[Section]],","))," -"," ")),"Us ","US        
  "),"Uscdi","USCDI"))</f>
        <v>Medication-List: Options-For-Representing-Medication</v>
      </c>
      <c r="V250" t="s">
        <v>35</v>
      </c>
      <c r="W250" t="s">
        <v>30</v>
      </c>
      <c r="X250" t="s">
        <v>283</v>
      </c>
      <c r="Y250" t="s">
        <v>1171</v>
      </c>
      <c r="Z250" t="s">
        <v>1171</v>
      </c>
      <c r="AA250" t="s">
        <v>1171</v>
      </c>
      <c r="AB250" t="s">
        <v>1171</v>
      </c>
      <c r="AC250" t="s">
        <v>1171</v>
      </c>
      <c r="AD250" t="s">
        <v>1171</v>
      </c>
      <c r="AE250" t="s">
        <v>1171</v>
      </c>
    </row>
    <row r="251" spans="1:31" ht="52" thickBot="1" x14ac:dyDescent="0.25">
      <c r="A251" t="s">
        <v>1171</v>
      </c>
      <c r="B251" t="s">
        <v>1423</v>
      </c>
      <c r="C251" t="str">
        <f>"CONF-"&amp;TEXT(us_core_reqs[[#This Row],[ID*]], "0000")</f>
        <v>CONF-0250</v>
      </c>
      <c r="D251" s="11" t="s">
        <v>844</v>
      </c>
      <c r="E251" s="73" t="str" cm="1">
        <f t="array" ref="E251">_xlfn.TEXTJOIN(", ", TRUE, _xlfn.TEXTAFTER(_xlfn.TEXTSPLIT(us_core_reqs[[#This Row],[URL*]], ", "), "/", -1))</f>
        <v>medication-list.html#options-for-representing-medication</v>
      </c>
      <c r="F251" s="11" t="s">
        <v>2088</v>
      </c>
      <c r="G251" t="s">
        <v>29</v>
      </c>
      <c r="H251" cm="1">
        <f t="array" ref="H251">_xlfn.SWITCH(G251, "SHALL", 1, "SHOULD", 3, "MAY", 5, "SHOULD-NOT", 4, "SHALL-NOT", 2, "DEPRECATED", 6, 99)</f>
        <v>1</v>
      </c>
      <c r="J251" t="s">
        <v>30</v>
      </c>
      <c r="K251" t="s">
        <v>1171</v>
      </c>
      <c r="L251" t="s">
        <v>1171</v>
      </c>
      <c r="M251" t="s">
        <v>1176</v>
      </c>
      <c r="N251" t="s">
        <v>285</v>
      </c>
      <c r="O251" t="s">
        <v>1171</v>
      </c>
      <c r="P251" t="s">
        <v>1171</v>
      </c>
      <c r="Q251" t="s">
        <v>1171</v>
      </c>
      <c r="R251" t="s">
        <v>1171</v>
      </c>
      <c r="S251" s="70" t="str" cm="1">
        <f t="array" ref="S251">_xlfn.TEXTJOIN(",",TRUE,LEFT(TRIM(_xlfn.TEXTSPLIT(us_core_reqs[[#This Row],[reference]],",")),FIND(".html",TRIM(_xlfn.TEXTSPLIT(us_core_reqs[[#This Row],[reference]],",")))-1))</f>
        <v>medication-list</v>
      </c>
      <c r="T251" s="70" t="str" cm="1">
        <f t="array" ref="T251">_xlfn.TEXTJOIN(",",TRUE,MID(TRIM(_xlfn.TEXTSPLIT(us_core_reqs[[#This Row],[reference]],",")),FIND("#",TRIM(_xlfn.TEXTSPLIT(us_core_reqs[[#This Row],[reference]],","))&amp;"#")+1,1000))</f>
        <v>options-for-representing-medication</v>
      </c>
      <c r="U251" t="str" cm="1">
        <f t="array" ref="U251">_xlfn.TEXTJOIN(", ",TRUE,SUBSTITUTE(SUBSTITUTE(PROPER(SUBSTITUTE(TRIM(_xlfn.TEXTSPLIT(us_core_reqs[[#This Row],[Page]],","))," -"," "))&amp;": "&amp;PROPER(SUBSTITUTE(TRIM(_xlfn.TEXTSPLIT(us_core_reqs[[#This Row],[Section]],","))," -"," ")),"Us ","US        
  "),"Uscdi","USCDI"))</f>
        <v>Medication-List: Options-For-Representing-Medication</v>
      </c>
      <c r="V251" t="s">
        <v>29</v>
      </c>
      <c r="W251" t="s">
        <v>30</v>
      </c>
      <c r="X251" t="s">
        <v>283</v>
      </c>
      <c r="Y251" t="s">
        <v>1171</v>
      </c>
      <c r="Z251" t="s">
        <v>1171</v>
      </c>
      <c r="AA251" t="s">
        <v>1171</v>
      </c>
      <c r="AB251" t="s">
        <v>1171</v>
      </c>
      <c r="AC251" t="s">
        <v>1171</v>
      </c>
      <c r="AD251" t="s">
        <v>1171</v>
      </c>
      <c r="AE251" t="s">
        <v>1171</v>
      </c>
    </row>
    <row r="252" spans="1:31" ht="69" thickBot="1" x14ac:dyDescent="0.25">
      <c r="A252" t="s">
        <v>1171</v>
      </c>
      <c r="B252" t="s">
        <v>1424</v>
      </c>
      <c r="C252" t="str">
        <f>"CONF-"&amp;TEXT(us_core_reqs[[#This Row],[ID*]], "0000")</f>
        <v>CONF-0251</v>
      </c>
      <c r="D252" s="11" t="s">
        <v>844</v>
      </c>
      <c r="E252" s="73" t="str" cm="1">
        <f t="array" ref="E252">_xlfn.TEXTJOIN(", ", TRUE, _xlfn.TEXTAFTER(_xlfn.TEXTSPLIT(us_core_reqs[[#This Row],[URL*]], ", "), "/", -1))</f>
        <v>medication-list.html#options-for-representing-medication</v>
      </c>
      <c r="F252" s="11" t="s">
        <v>930</v>
      </c>
      <c r="G252" t="s">
        <v>29</v>
      </c>
      <c r="H252" cm="1">
        <f t="array" ref="H252">_xlfn.SWITCH(G252, "SHALL", 1, "SHOULD", 3, "MAY", 5, "SHOULD-NOT", 4, "SHALL-NOT", 2, "DEPRECATED", 6, 99)</f>
        <v>1</v>
      </c>
      <c r="I252" t="s">
        <v>1886</v>
      </c>
      <c r="J252" t="s">
        <v>58</v>
      </c>
      <c r="K252" t="s">
        <v>1171</v>
      </c>
      <c r="L252" t="s">
        <v>1171</v>
      </c>
      <c r="M252" t="s">
        <v>1176</v>
      </c>
      <c r="N252" t="s">
        <v>286</v>
      </c>
      <c r="O252" t="s">
        <v>1171</v>
      </c>
      <c r="P252" t="s">
        <v>1171</v>
      </c>
      <c r="Q252" t="s">
        <v>1171</v>
      </c>
      <c r="R252" t="s">
        <v>1171</v>
      </c>
      <c r="S252" s="70" t="str" cm="1">
        <f t="array" ref="S252">_xlfn.TEXTJOIN(",",TRUE,LEFT(TRIM(_xlfn.TEXTSPLIT(us_core_reqs[[#This Row],[reference]],",")),FIND(".html",TRIM(_xlfn.TEXTSPLIT(us_core_reqs[[#This Row],[reference]],",")))-1))</f>
        <v>medication-list</v>
      </c>
      <c r="T252" s="70" t="str" cm="1">
        <f t="array" ref="T252">_xlfn.TEXTJOIN(",",TRUE,MID(TRIM(_xlfn.TEXTSPLIT(us_core_reqs[[#This Row],[reference]],",")),FIND("#",TRIM(_xlfn.TEXTSPLIT(us_core_reqs[[#This Row],[reference]],","))&amp;"#")+1,1000))</f>
        <v>options-for-representing-medication</v>
      </c>
      <c r="U252" t="str" cm="1">
        <f t="array" ref="U252">_xlfn.TEXTJOIN(", ",TRUE,SUBSTITUTE(SUBSTITUTE(PROPER(SUBSTITUTE(TRIM(_xlfn.TEXTSPLIT(us_core_reqs[[#This Row],[Page]],","))," -"," "))&amp;": "&amp;PROPER(SUBSTITUTE(TRIM(_xlfn.TEXTSPLIT(us_core_reqs[[#This Row],[Section]],","))," -"," ")),"Us ","US        
  "),"Uscdi","USCDI"))</f>
        <v>Medication-List: Options-For-Representing-Medication</v>
      </c>
      <c r="V252" t="s">
        <v>1171</v>
      </c>
      <c r="W252" t="s">
        <v>58</v>
      </c>
      <c r="X252" t="s">
        <v>283</v>
      </c>
      <c r="Y252" t="s">
        <v>1171</v>
      </c>
      <c r="Z252" t="s">
        <v>1171</v>
      </c>
      <c r="AA252" t="s">
        <v>1171</v>
      </c>
      <c r="AB252" t="s">
        <v>1171</v>
      </c>
      <c r="AC252" t="s">
        <v>1171</v>
      </c>
      <c r="AD252" t="s">
        <v>1171</v>
      </c>
      <c r="AE252" t="s">
        <v>1171</v>
      </c>
    </row>
    <row r="253" spans="1:31" ht="171" thickBot="1" x14ac:dyDescent="0.25">
      <c r="A253" t="s">
        <v>1171</v>
      </c>
      <c r="B253" t="s">
        <v>1425</v>
      </c>
      <c r="C253" t="str">
        <f>"CONF-"&amp;TEXT(us_core_reqs[[#This Row],[ID*]], "0000")</f>
        <v>CONF-0252</v>
      </c>
      <c r="D253" s="11" t="s">
        <v>629</v>
      </c>
      <c r="E253" s="73" t="str" cm="1">
        <f t="array" ref="E253">_xlfn.TEXTJOIN(", ", TRUE, _xlfn.TEXTAFTER(_xlfn.TEXTSPLIT(us_core_reqs[[#This Row],[URL*]], ", "), "/", -1))</f>
        <v>medication-list.html#fetching-all-medications-active-medications-and-all-medications-for-an-encounter</v>
      </c>
      <c r="F253" s="11" t="s">
        <v>720</v>
      </c>
      <c r="G253" t="s">
        <v>29</v>
      </c>
      <c r="H253" cm="1">
        <f t="array" ref="H253">_xlfn.SWITCH(G253, "SHALL", 1, "SHOULD", 3, "MAY", 5, "SHOULD-NOT", 4, "SHALL-NOT", 2, "DEPRECATED", 6, 99)</f>
        <v>1</v>
      </c>
      <c r="J253" t="s">
        <v>30</v>
      </c>
      <c r="K253" t="s">
        <v>1171</v>
      </c>
      <c r="L253" t="s">
        <v>1171</v>
      </c>
      <c r="M253" t="s">
        <v>1173</v>
      </c>
      <c r="N253" t="s">
        <v>1171</v>
      </c>
      <c r="O253" t="s">
        <v>1171</v>
      </c>
      <c r="P253" t="s">
        <v>1171</v>
      </c>
      <c r="Q253" t="s">
        <v>1171</v>
      </c>
      <c r="R253" t="s">
        <v>1171</v>
      </c>
      <c r="S253" s="70" t="str" cm="1">
        <f t="array" ref="S253">_xlfn.TEXTJOIN(",",TRUE,LEFT(TRIM(_xlfn.TEXTSPLIT(us_core_reqs[[#This Row],[reference]],",")),FIND(".html",TRIM(_xlfn.TEXTSPLIT(us_core_reqs[[#This Row],[reference]],",")))-1))</f>
        <v>medication-list</v>
      </c>
      <c r="T253" s="70" t="str" cm="1">
        <f t="array" ref="T253">_xlfn.TEXTJOIN(",",TRUE,MID(TRIM(_xlfn.TEXTSPLIT(us_core_reqs[[#This Row],[reference]],",")),FIND("#",TRIM(_xlfn.TEXTSPLIT(us_core_reqs[[#This Row],[reference]],","))&amp;"#")+1,1000))</f>
        <v>fetching-all-medications-active-medications-and-all-medications-for-an-encounter</v>
      </c>
      <c r="U253"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t="s">
        <v>29</v>
      </c>
      <c r="W253" t="s">
        <v>1171</v>
      </c>
      <c r="X253" t="s">
        <v>283</v>
      </c>
      <c r="Y253" t="s">
        <v>1171</v>
      </c>
      <c r="Z253" t="s">
        <v>1171</v>
      </c>
      <c r="AA253" t="s">
        <v>1171</v>
      </c>
      <c r="AB253" t="s">
        <v>1171</v>
      </c>
      <c r="AC253" t="s">
        <v>717</v>
      </c>
      <c r="AD253" t="s">
        <v>1140</v>
      </c>
      <c r="AE253" t="s">
        <v>1171</v>
      </c>
    </row>
    <row r="254" spans="1:31" ht="171" thickBot="1" x14ac:dyDescent="0.25">
      <c r="A254" t="s">
        <v>1171</v>
      </c>
      <c r="B254" t="s">
        <v>1426</v>
      </c>
      <c r="C254" t="str">
        <f>"CONF-"&amp;TEXT(us_core_reqs[[#This Row],[ID*]], "0000")</f>
        <v>CONF-0253</v>
      </c>
      <c r="D254" s="11" t="s">
        <v>629</v>
      </c>
      <c r="E254" s="73" t="str" cm="1">
        <f t="array" ref="E254">_xlfn.TEXTJOIN(", ", TRUE, _xlfn.TEXTAFTER(_xlfn.TEXTSPLIT(us_core_reqs[[#This Row],[URL*]], ", "), "/", -1))</f>
        <v>medication-list.html#fetching-all-medications-active-medications-and-all-medications-for-an-encounter</v>
      </c>
      <c r="F254" s="11" t="s">
        <v>721</v>
      </c>
      <c r="G254" t="s">
        <v>29</v>
      </c>
      <c r="H254" cm="1">
        <f t="array" ref="H254">_xlfn.SWITCH(G254, "SHALL", 1, "SHOULD", 3, "MAY", 5, "SHOULD-NOT", 4, "SHALL-NOT", 2, "DEPRECATED", 6, 99)</f>
        <v>1</v>
      </c>
      <c r="J254" t="s">
        <v>30</v>
      </c>
      <c r="K254" t="s">
        <v>1171</v>
      </c>
      <c r="L254" t="s">
        <v>1171</v>
      </c>
      <c r="M254" t="s">
        <v>1173</v>
      </c>
      <c r="N254" t="s">
        <v>1171</v>
      </c>
      <c r="O254" t="s">
        <v>1171</v>
      </c>
      <c r="P254" t="s">
        <v>1171</v>
      </c>
      <c r="Q254" t="s">
        <v>1171</v>
      </c>
      <c r="R254" t="s">
        <v>1171</v>
      </c>
      <c r="S254" s="70" t="str" cm="1">
        <f t="array" ref="S254">_xlfn.TEXTJOIN(",",TRUE,LEFT(TRIM(_xlfn.TEXTSPLIT(us_core_reqs[[#This Row],[reference]],",")),FIND(".html",TRIM(_xlfn.TEXTSPLIT(us_core_reqs[[#This Row],[reference]],",")))-1))</f>
        <v>medication-list</v>
      </c>
      <c r="T254" s="70" t="str" cm="1">
        <f t="array" ref="T254">_xlfn.TEXTJOIN(",",TRUE,MID(TRIM(_xlfn.TEXTSPLIT(us_core_reqs[[#This Row],[reference]],",")),FIND("#",TRIM(_xlfn.TEXTSPLIT(us_core_reqs[[#This Row],[reference]],","))&amp;"#")+1,1000))</f>
        <v>fetching-all-medications-active-medications-and-all-medications-for-an-encounter</v>
      </c>
      <c r="U254"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t="s">
        <v>29</v>
      </c>
      <c r="W254" t="s">
        <v>1171</v>
      </c>
      <c r="X254" t="s">
        <v>283</v>
      </c>
      <c r="Y254" t="s">
        <v>1171</v>
      </c>
      <c r="Z254" t="s">
        <v>1171</v>
      </c>
      <c r="AA254" t="s">
        <v>1171</v>
      </c>
      <c r="AB254" t="s">
        <v>1171</v>
      </c>
      <c r="AC254" t="s">
        <v>718</v>
      </c>
      <c r="AD254" t="s">
        <v>1140</v>
      </c>
      <c r="AE254" t="s">
        <v>1171</v>
      </c>
    </row>
    <row r="255" spans="1:31" ht="171" thickBot="1" x14ac:dyDescent="0.25">
      <c r="A255" t="s">
        <v>1171</v>
      </c>
      <c r="B255" t="s">
        <v>1427</v>
      </c>
      <c r="C255" t="str">
        <f>"CONF-"&amp;TEXT(us_core_reqs[[#This Row],[ID*]], "0000")</f>
        <v>CONF-0254</v>
      </c>
      <c r="D255" s="11" t="s">
        <v>629</v>
      </c>
      <c r="E255" s="73" t="str" cm="1">
        <f t="array" ref="E255">_xlfn.TEXTJOIN(", ", TRUE, _xlfn.TEXTAFTER(_xlfn.TEXTSPLIT(us_core_reqs[[#This Row],[URL*]], ", "), "/", -1))</f>
        <v>medication-list.html#fetching-all-medications-active-medications-and-all-medications-for-an-encounter</v>
      </c>
      <c r="F255" s="11" t="s">
        <v>722</v>
      </c>
      <c r="G255" t="s">
        <v>29</v>
      </c>
      <c r="H255" cm="1">
        <f t="array" ref="H255">_xlfn.SWITCH(G255, "SHALL", 1, "SHOULD", 3, "MAY", 5, "SHOULD-NOT", 4, "SHALL-NOT", 2, "DEPRECATED", 6, 99)</f>
        <v>1</v>
      </c>
      <c r="J255" t="s">
        <v>30</v>
      </c>
      <c r="K255" t="s">
        <v>1171</v>
      </c>
      <c r="L255" t="s">
        <v>1171</v>
      </c>
      <c r="M255" t="s">
        <v>1173</v>
      </c>
      <c r="N255" t="s">
        <v>1171</v>
      </c>
      <c r="O255" t="s">
        <v>1171</v>
      </c>
      <c r="P255" t="s">
        <v>1171</v>
      </c>
      <c r="Q255" t="s">
        <v>1171</v>
      </c>
      <c r="R255" t="s">
        <v>1171</v>
      </c>
      <c r="S255" s="70" t="str" cm="1">
        <f t="array" ref="S255">_xlfn.TEXTJOIN(",",TRUE,LEFT(TRIM(_xlfn.TEXTSPLIT(us_core_reqs[[#This Row],[reference]],",")),FIND(".html",TRIM(_xlfn.TEXTSPLIT(us_core_reqs[[#This Row],[reference]],",")))-1))</f>
        <v>medication-list</v>
      </c>
      <c r="T255" s="70" t="str" cm="1">
        <f t="array" ref="T255">_xlfn.TEXTJOIN(",",TRUE,MID(TRIM(_xlfn.TEXTSPLIT(us_core_reqs[[#This Row],[reference]],",")),FIND("#",TRIM(_xlfn.TEXTSPLIT(us_core_reqs[[#This Row],[reference]],","))&amp;"#")+1,1000))</f>
        <v>fetching-all-medications-active-medications-and-all-medications-for-an-encounter</v>
      </c>
      <c r="U255"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t="s">
        <v>29</v>
      </c>
      <c r="W255" t="s">
        <v>1171</v>
      </c>
      <c r="X255" t="s">
        <v>288</v>
      </c>
      <c r="Y255" t="s">
        <v>1171</v>
      </c>
      <c r="Z255" t="s">
        <v>1171</v>
      </c>
      <c r="AA255" t="s">
        <v>1171</v>
      </c>
      <c r="AB255" t="s">
        <v>1171</v>
      </c>
      <c r="AC255" t="s">
        <v>719</v>
      </c>
      <c r="AD255" t="s">
        <v>1140</v>
      </c>
      <c r="AE255" t="s">
        <v>1171</v>
      </c>
    </row>
    <row r="256" spans="1:31" ht="171" thickBot="1" x14ac:dyDescent="0.25">
      <c r="A256" t="s">
        <v>1171</v>
      </c>
      <c r="B256" t="s">
        <v>1428</v>
      </c>
      <c r="C256" t="str">
        <f>"CONF-"&amp;TEXT(us_core_reqs[[#This Row],[ID*]], "0000")</f>
        <v>CONF-0255</v>
      </c>
      <c r="D256" s="11" t="s">
        <v>629</v>
      </c>
      <c r="E256" s="73" t="str" cm="1">
        <f t="array" ref="E256">_xlfn.TEXTJOIN(", ", TRUE, _xlfn.TEXTAFTER(_xlfn.TEXTSPLIT(us_core_reqs[[#This Row],[URL*]], ", "), "/", -1))</f>
        <v>medication-list.html#fetching-all-medications-active-medications-and-all-medications-for-an-encounter</v>
      </c>
      <c r="F256" s="11" t="s">
        <v>287</v>
      </c>
      <c r="G256" t="s">
        <v>64</v>
      </c>
      <c r="H256" cm="1">
        <f t="array" ref="H256">_xlfn.SWITCH(G256, "SHALL", 1, "SHOULD", 3, "MAY", 5, "SHOULD-NOT", 4, "SHALL-NOT", 2, "DEPRECATED", 6, 99)</f>
        <v>6</v>
      </c>
      <c r="J256" t="s">
        <v>30</v>
      </c>
      <c r="K256" t="s">
        <v>1171</v>
      </c>
      <c r="L256" t="s">
        <v>1171</v>
      </c>
      <c r="M256" t="s">
        <v>1173</v>
      </c>
      <c r="N256" t="s">
        <v>1171</v>
      </c>
      <c r="O256" t="s">
        <v>1171</v>
      </c>
      <c r="P256" t="s">
        <v>1171</v>
      </c>
      <c r="Q256" t="s">
        <v>1171</v>
      </c>
      <c r="R256" t="s">
        <v>1171</v>
      </c>
      <c r="S256" s="70" t="str" cm="1">
        <f t="array" ref="S256">_xlfn.TEXTJOIN(",",TRUE,LEFT(TRIM(_xlfn.TEXTSPLIT(us_core_reqs[[#This Row],[reference]],",")),FIND(".html",TRIM(_xlfn.TEXTSPLIT(us_core_reqs[[#This Row],[reference]],",")))-1))</f>
        <v>medication-list</v>
      </c>
      <c r="T256" s="70" t="str" cm="1">
        <f t="array" ref="T256">_xlfn.TEXTJOIN(",",TRUE,MID(TRIM(_xlfn.TEXTSPLIT(us_core_reqs[[#This Row],[reference]],",")),FIND("#",TRIM(_xlfn.TEXTSPLIT(us_core_reqs[[#This Row],[reference]],","))&amp;"#")+1,1000))</f>
        <v>fetching-all-medications-active-medications-and-all-medications-for-an-encounter</v>
      </c>
      <c r="U256"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t="s">
        <v>29</v>
      </c>
      <c r="W256" t="s">
        <v>1171</v>
      </c>
      <c r="X256" t="s">
        <v>288</v>
      </c>
      <c r="Y256" t="s">
        <v>1171</v>
      </c>
      <c r="Z256" t="s">
        <v>1171</v>
      </c>
      <c r="AA256" t="s">
        <v>1171</v>
      </c>
      <c r="AB256" t="s">
        <v>1171</v>
      </c>
      <c r="AC256" t="s">
        <v>723</v>
      </c>
      <c r="AD256" t="s">
        <v>1171</v>
      </c>
      <c r="AE256" t="s">
        <v>1171</v>
      </c>
    </row>
    <row r="257" spans="1:31" ht="171" thickBot="1" x14ac:dyDescent="0.25">
      <c r="A257" t="s">
        <v>1171</v>
      </c>
      <c r="B257" t="s">
        <v>1429</v>
      </c>
      <c r="C257" t="str">
        <f>"CONF-"&amp;TEXT(us_core_reqs[[#This Row],[ID*]], "0000")</f>
        <v>CONF-0256</v>
      </c>
      <c r="D257" s="11" t="s">
        <v>629</v>
      </c>
      <c r="E257" s="73" t="str" cm="1">
        <f t="array" ref="E257">_xlfn.TEXTJOIN(", ", TRUE, _xlfn.TEXTAFTER(_xlfn.TEXTSPLIT(us_core_reqs[[#This Row],[URL*]], ", "), "/", -1))</f>
        <v>medication-list.html#fetching-all-medications-active-medications-and-all-medications-for-an-encounter</v>
      </c>
      <c r="F257" s="11" t="s">
        <v>726</v>
      </c>
      <c r="G257" t="s">
        <v>29</v>
      </c>
      <c r="H257" cm="1">
        <f t="array" ref="H257">_xlfn.SWITCH(G257, "SHALL", 1, "SHOULD", 3, "MAY", 5, "SHOULD-NOT", 4, "SHALL-NOT", 2, "DEPRECATED", 6, 99)</f>
        <v>1</v>
      </c>
      <c r="J257" t="s">
        <v>30</v>
      </c>
      <c r="K257" t="s">
        <v>1171</v>
      </c>
      <c r="L257" t="s">
        <v>1171</v>
      </c>
      <c r="M257" t="s">
        <v>1173</v>
      </c>
      <c r="N257" t="s">
        <v>1171</v>
      </c>
      <c r="O257" t="s">
        <v>1171</v>
      </c>
      <c r="P257" t="s">
        <v>1171</v>
      </c>
      <c r="Q257" t="s">
        <v>1171</v>
      </c>
      <c r="R257" t="s">
        <v>1171</v>
      </c>
      <c r="S257" s="70" t="str" cm="1">
        <f t="array" ref="S257">_xlfn.TEXTJOIN(",",TRUE,LEFT(TRIM(_xlfn.TEXTSPLIT(us_core_reqs[[#This Row],[reference]],",")),FIND(".html",TRIM(_xlfn.TEXTSPLIT(us_core_reqs[[#This Row],[reference]],",")))-1))</f>
        <v>medication-list</v>
      </c>
      <c r="T257" s="70" t="str" cm="1">
        <f t="array" ref="T257">_xlfn.TEXTJOIN(",",TRUE,MID(TRIM(_xlfn.TEXTSPLIT(us_core_reqs[[#This Row],[reference]],",")),FIND("#",TRIM(_xlfn.TEXTSPLIT(us_core_reqs[[#This Row],[reference]],","))&amp;"#")+1,1000))</f>
        <v>fetching-all-medications-active-medications-and-all-medications-for-an-encounter</v>
      </c>
      <c r="U257"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t="s">
        <v>29</v>
      </c>
      <c r="W257" t="s">
        <v>30</v>
      </c>
      <c r="X257" t="s">
        <v>289</v>
      </c>
      <c r="Y257" t="s">
        <v>1171</v>
      </c>
      <c r="Z257" t="s">
        <v>1171</v>
      </c>
      <c r="AA257" t="s">
        <v>1171</v>
      </c>
      <c r="AB257" t="s">
        <v>1171</v>
      </c>
      <c r="AC257" t="s">
        <v>724</v>
      </c>
      <c r="AD257" t="s">
        <v>1140</v>
      </c>
      <c r="AE257" t="s">
        <v>1171</v>
      </c>
    </row>
    <row r="258" spans="1:31" ht="137" thickBot="1" x14ac:dyDescent="0.25">
      <c r="A258" t="s">
        <v>1171</v>
      </c>
      <c r="B258" t="s">
        <v>1430</v>
      </c>
      <c r="C258" t="str">
        <f>"CONF-"&amp;TEXT(us_core_reqs[[#This Row],[ID*]], "0000")</f>
        <v>CONF-0257</v>
      </c>
      <c r="D258" s="11" t="s">
        <v>629</v>
      </c>
      <c r="E258" s="73" t="str" cm="1">
        <f t="array" ref="E258">_xlfn.TEXTJOIN(", ", TRUE, _xlfn.TEXTAFTER(_xlfn.TEXTSPLIT(us_core_reqs[[#This Row],[URL*]], ", "), "/", -1))</f>
        <v>medication-list.html#fetching-all-medications-active-medications-and-all-medications-for-an-encounter</v>
      </c>
      <c r="F258" s="11" t="s">
        <v>725</v>
      </c>
      <c r="G258" t="s">
        <v>35</v>
      </c>
      <c r="H258" cm="1">
        <f t="array" ref="H258">_xlfn.SWITCH(G258, "SHALL", 1, "SHOULD", 3, "MAY", 5, "SHOULD-NOT", 4, "SHALL-NOT", 2, "DEPRECATED", 6, 99)</f>
        <v>5</v>
      </c>
      <c r="I258" t="s">
        <v>1878</v>
      </c>
      <c r="J258" t="s">
        <v>30</v>
      </c>
      <c r="K258" t="s">
        <v>1171</v>
      </c>
      <c r="L258" t="s">
        <v>1171</v>
      </c>
      <c r="M258" t="s">
        <v>1173</v>
      </c>
      <c r="N258" t="s">
        <v>1171</v>
      </c>
      <c r="O258" t="s">
        <v>1171</v>
      </c>
      <c r="P258" t="s">
        <v>1171</v>
      </c>
      <c r="Q258" t="s">
        <v>1171</v>
      </c>
      <c r="R258" t="s">
        <v>1171</v>
      </c>
      <c r="S258" s="70" t="str" cm="1">
        <f t="array" ref="S258">_xlfn.TEXTJOIN(",",TRUE,LEFT(TRIM(_xlfn.TEXTSPLIT(us_core_reqs[[#This Row],[reference]],",")),FIND(".html",TRIM(_xlfn.TEXTSPLIT(us_core_reqs[[#This Row],[reference]],",")))-1))</f>
        <v>medication-list</v>
      </c>
      <c r="T258" s="70" t="str" cm="1">
        <f t="array" ref="T258">_xlfn.TEXTJOIN(",",TRUE,MID(TRIM(_xlfn.TEXTSPLIT(us_core_reqs[[#This Row],[reference]],",")),FIND("#",TRIM(_xlfn.TEXTSPLIT(us_core_reqs[[#This Row],[reference]],","))&amp;"#")+1,1000))</f>
        <v>fetching-all-medications-active-medications-and-all-medications-for-an-encounter</v>
      </c>
      <c r="U258"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t="s">
        <v>35</v>
      </c>
      <c r="W258" t="s">
        <v>30</v>
      </c>
      <c r="X258" t="s">
        <v>1171</v>
      </c>
      <c r="Y258" t="s">
        <v>1171</v>
      </c>
      <c r="Z258" t="s">
        <v>1171</v>
      </c>
      <c r="AA258" t="s">
        <v>1171</v>
      </c>
      <c r="AB258" t="s">
        <v>1171</v>
      </c>
      <c r="AC258" t="s">
        <v>724</v>
      </c>
      <c r="AD258" t="s">
        <v>1171</v>
      </c>
      <c r="AE258" t="s">
        <v>1171</v>
      </c>
    </row>
    <row r="259" spans="1:31" ht="154" thickBot="1" x14ac:dyDescent="0.25">
      <c r="A259" t="s">
        <v>1171</v>
      </c>
      <c r="B259" t="s">
        <v>1431</v>
      </c>
      <c r="C259" t="str">
        <f>"CONF-"&amp;TEXT(us_core_reqs[[#This Row],[ID*]], "0000")</f>
        <v>CONF-0258</v>
      </c>
      <c r="D259" s="11" t="s">
        <v>629</v>
      </c>
      <c r="E259" s="73" t="str" cm="1">
        <f t="array" ref="E259">_xlfn.TEXTJOIN(", ", TRUE, _xlfn.TEXTAFTER(_xlfn.TEXTSPLIT(us_core_reqs[[#This Row],[URL*]], ", "), "/", -1))</f>
        <v>medication-list.html#fetching-all-medications-active-medications-and-all-medications-for-an-encounter</v>
      </c>
      <c r="F259" s="11" t="s">
        <v>727</v>
      </c>
      <c r="G259" t="s">
        <v>32</v>
      </c>
      <c r="H259" cm="1">
        <f t="array" ref="H259">_xlfn.SWITCH(G259, "SHALL", 1, "SHOULD", 3, "MAY", 5, "SHOULD-NOT", 4, "SHALL-NOT", 2, "DEPRECATED", 6, 99)</f>
        <v>3</v>
      </c>
      <c r="J259" t="s">
        <v>30</v>
      </c>
      <c r="K259" t="s">
        <v>1171</v>
      </c>
      <c r="L259" t="s">
        <v>1171</v>
      </c>
      <c r="M259" t="s">
        <v>1173</v>
      </c>
      <c r="N259" t="s">
        <v>1171</v>
      </c>
      <c r="O259" t="s">
        <v>1171</v>
      </c>
      <c r="P259" t="s">
        <v>1171</v>
      </c>
      <c r="Q259" t="s">
        <v>1171</v>
      </c>
      <c r="R259" t="s">
        <v>1171</v>
      </c>
      <c r="S259" s="70" t="str" cm="1">
        <f t="array" ref="S259">_xlfn.TEXTJOIN(",",TRUE,LEFT(TRIM(_xlfn.TEXTSPLIT(us_core_reqs[[#This Row],[reference]],",")),FIND(".html",TRIM(_xlfn.TEXTSPLIT(us_core_reqs[[#This Row],[reference]],",")))-1))</f>
        <v>medication-list</v>
      </c>
      <c r="T259" s="70" t="str" cm="1">
        <f t="array" ref="T259">_xlfn.TEXTJOIN(",",TRUE,MID(TRIM(_xlfn.TEXTSPLIT(us_core_reqs[[#This Row],[reference]],",")),FIND("#",TRIM(_xlfn.TEXTSPLIT(us_core_reqs[[#This Row],[reference]],","))&amp;"#")+1,1000))</f>
        <v>fetching-all-medications-active-medications-and-all-medications-for-an-encounter</v>
      </c>
      <c r="U259"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t="s">
        <v>32</v>
      </c>
      <c r="W259" t="s">
        <v>30</v>
      </c>
      <c r="X259" t="s">
        <v>290</v>
      </c>
      <c r="Y259" t="s">
        <v>1171</v>
      </c>
      <c r="Z259" t="s">
        <v>1171</v>
      </c>
      <c r="AA259" t="s">
        <v>1171</v>
      </c>
      <c r="AB259" t="s">
        <v>1171</v>
      </c>
      <c r="AC259" t="s">
        <v>724</v>
      </c>
      <c r="AD259" t="s">
        <v>1171</v>
      </c>
      <c r="AE259" t="s">
        <v>1171</v>
      </c>
    </row>
    <row r="260" spans="1:31" ht="120" thickBot="1" x14ac:dyDescent="0.25">
      <c r="A260" t="s">
        <v>1171</v>
      </c>
      <c r="B260" t="s">
        <v>1432</v>
      </c>
      <c r="C260" t="str">
        <f>"CONF-"&amp;TEXT(us_core_reqs[[#This Row],[ID*]], "0000")</f>
        <v>CONF-0259</v>
      </c>
      <c r="D260" s="11" t="s">
        <v>629</v>
      </c>
      <c r="E260" s="73" t="str" cm="1">
        <f t="array" ref="E260">_xlfn.TEXTJOIN(", ", TRUE, _xlfn.TEXTAFTER(_xlfn.TEXTSPLIT(us_core_reqs[[#This Row],[URL*]], ", "), "/", -1))</f>
        <v>medication-list.html#fetching-all-medications-active-medications-and-all-medications-for-an-encounter</v>
      </c>
      <c r="F260" s="11" t="s">
        <v>729</v>
      </c>
      <c r="G260" t="s">
        <v>32</v>
      </c>
      <c r="H260" cm="1">
        <f t="array" ref="H260">_xlfn.SWITCH(G260, "SHALL", 1, "SHOULD", 3, "MAY", 5, "SHOULD-NOT", 4, "SHALL-NOT", 2, "DEPRECATED", 6, 99)</f>
        <v>3</v>
      </c>
      <c r="J260" t="s">
        <v>30</v>
      </c>
      <c r="K260" t="s">
        <v>1171</v>
      </c>
      <c r="L260" t="s">
        <v>1171</v>
      </c>
      <c r="M260" t="s">
        <v>1173</v>
      </c>
      <c r="N260" t="s">
        <v>1171</v>
      </c>
      <c r="O260" t="s">
        <v>1171</v>
      </c>
      <c r="P260" t="s">
        <v>1171</v>
      </c>
      <c r="Q260" t="s">
        <v>1171</v>
      </c>
      <c r="R260" t="s">
        <v>1171</v>
      </c>
      <c r="S260" s="70" t="str" cm="1">
        <f t="array" ref="S260">_xlfn.TEXTJOIN(",",TRUE,LEFT(TRIM(_xlfn.TEXTSPLIT(us_core_reqs[[#This Row],[reference]],",")),FIND(".html",TRIM(_xlfn.TEXTSPLIT(us_core_reqs[[#This Row],[reference]],",")))-1))</f>
        <v>medication-list</v>
      </c>
      <c r="T260" s="70" t="str" cm="1">
        <f t="array" ref="T260">_xlfn.TEXTJOIN(",",TRUE,MID(TRIM(_xlfn.TEXTSPLIT(us_core_reqs[[#This Row],[reference]],",")),FIND("#",TRIM(_xlfn.TEXTSPLIT(us_core_reqs[[#This Row],[reference]],","))&amp;"#")+1,1000))</f>
        <v>fetching-all-medications-active-medications-and-all-medications-for-an-encounter</v>
      </c>
      <c r="U260"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t="s">
        <v>32</v>
      </c>
      <c r="W260" t="s">
        <v>30</v>
      </c>
      <c r="X260" t="s">
        <v>290</v>
      </c>
      <c r="Y260" t="s">
        <v>1171</v>
      </c>
      <c r="Z260" t="s">
        <v>1171</v>
      </c>
      <c r="AA260" t="s">
        <v>1171</v>
      </c>
      <c r="AB260" t="s">
        <v>1171</v>
      </c>
      <c r="AC260" t="s">
        <v>728</v>
      </c>
      <c r="AD260" t="s">
        <v>1171</v>
      </c>
      <c r="AE260" t="s">
        <v>1171</v>
      </c>
    </row>
    <row r="261" spans="1:31" ht="171" thickBot="1" x14ac:dyDescent="0.25">
      <c r="A261" t="s">
        <v>1171</v>
      </c>
      <c r="B261" t="s">
        <v>1433</v>
      </c>
      <c r="C261" t="str">
        <f>"CONF-"&amp;TEXT(us_core_reqs[[#This Row],[ID*]], "0000")</f>
        <v>CONF-0260</v>
      </c>
      <c r="D261" s="11" t="s">
        <v>629</v>
      </c>
      <c r="E261" s="73" t="str" cm="1">
        <f t="array" ref="E261">_xlfn.TEXTJOIN(", ", TRUE, _xlfn.TEXTAFTER(_xlfn.TEXTSPLIT(us_core_reqs[[#This Row],[URL*]], ", "), "/", -1))</f>
        <v>medication-list.html#fetching-all-medications-active-medications-and-all-medications-for-an-encounter</v>
      </c>
      <c r="F261" s="11" t="s">
        <v>730</v>
      </c>
      <c r="G261" t="s">
        <v>32</v>
      </c>
      <c r="H261" cm="1">
        <f t="array" ref="H261">_xlfn.SWITCH(G261, "SHALL", 1, "SHOULD", 3, "MAY", 5, "SHOULD-NOT", 4, "SHALL-NOT", 2, "DEPRECATED", 6, 99)</f>
        <v>3</v>
      </c>
      <c r="J261" t="s">
        <v>30</v>
      </c>
      <c r="K261" t="s">
        <v>1171</v>
      </c>
      <c r="L261" t="s">
        <v>1171</v>
      </c>
      <c r="M261" t="s">
        <v>1176</v>
      </c>
      <c r="N261" t="s">
        <v>1171</v>
      </c>
      <c r="O261" t="s">
        <v>1171</v>
      </c>
      <c r="P261" t="s">
        <v>1171</v>
      </c>
      <c r="Q261" t="s">
        <v>1171</v>
      </c>
      <c r="R261" t="s">
        <v>1171</v>
      </c>
      <c r="S261" s="70" t="str" cm="1">
        <f t="array" ref="S261">_xlfn.TEXTJOIN(",",TRUE,LEFT(TRIM(_xlfn.TEXTSPLIT(us_core_reqs[[#This Row],[reference]],",")),FIND(".html",TRIM(_xlfn.TEXTSPLIT(us_core_reqs[[#This Row],[reference]],",")))-1))</f>
        <v>medication-list</v>
      </c>
      <c r="T261" s="70" t="str" cm="1">
        <f t="array" ref="T261">_xlfn.TEXTJOIN(",",TRUE,MID(TRIM(_xlfn.TEXTSPLIT(us_core_reqs[[#This Row],[reference]],",")),FIND("#",TRIM(_xlfn.TEXTSPLIT(us_core_reqs[[#This Row],[reference]],","))&amp;"#")+1,1000))</f>
        <v>fetching-all-medications-active-medications-and-all-medications-for-an-encounter</v>
      </c>
      <c r="U261"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t="s">
        <v>1171</v>
      </c>
      <c r="W261" t="s">
        <v>30</v>
      </c>
      <c r="X261" t="s">
        <v>290</v>
      </c>
      <c r="Y261" t="s">
        <v>1171</v>
      </c>
      <c r="Z261" t="s">
        <v>1171</v>
      </c>
      <c r="AA261" t="s">
        <v>1171</v>
      </c>
      <c r="AB261" t="s">
        <v>1171</v>
      </c>
      <c r="AC261" t="s">
        <v>728</v>
      </c>
      <c r="AD261" t="s">
        <v>1140</v>
      </c>
      <c r="AE261" t="s">
        <v>1171</v>
      </c>
    </row>
    <row r="262" spans="1:31" ht="205" thickBot="1" x14ac:dyDescent="0.25">
      <c r="A262" t="s">
        <v>1171</v>
      </c>
      <c r="B262" t="s">
        <v>1434</v>
      </c>
      <c r="C262" t="str">
        <f>"CONF-"&amp;TEXT(us_core_reqs[[#This Row],[ID*]], "0000")</f>
        <v>CONF-0261</v>
      </c>
      <c r="D262" s="11" t="s">
        <v>629</v>
      </c>
      <c r="E262" s="73" t="str" cm="1">
        <f t="array" ref="E262">_xlfn.TEXTJOIN(", ", TRUE, _xlfn.TEXTAFTER(_xlfn.TEXTSPLIT(us_core_reqs[[#This Row],[URL*]], ", "), "/", -1))</f>
        <v>medication-list.html#fetching-all-medications-active-medications-and-all-medications-for-an-encounter</v>
      </c>
      <c r="F262" s="11" t="s">
        <v>291</v>
      </c>
      <c r="G262" t="s">
        <v>64</v>
      </c>
      <c r="H262" cm="1">
        <f t="array" ref="H262">_xlfn.SWITCH(G262, "SHALL", 1, "SHOULD", 3, "MAY", 5, "SHOULD-NOT", 4, "SHALL-NOT", 2, "DEPRECATED", 6, 99)</f>
        <v>6</v>
      </c>
      <c r="J262" t="s">
        <v>30</v>
      </c>
      <c r="K262" t="s">
        <v>1171</v>
      </c>
      <c r="L262" t="s">
        <v>1171</v>
      </c>
      <c r="M262" t="s">
        <v>1173</v>
      </c>
      <c r="N262" t="s">
        <v>1171</v>
      </c>
      <c r="O262" t="s">
        <v>1171</v>
      </c>
      <c r="P262" t="s">
        <v>1171</v>
      </c>
      <c r="Q262" t="s">
        <v>1171</v>
      </c>
      <c r="R262" t="s">
        <v>1171</v>
      </c>
      <c r="S262" s="70" t="str" cm="1">
        <f t="array" ref="S262">_xlfn.TEXTJOIN(",",TRUE,LEFT(TRIM(_xlfn.TEXTSPLIT(us_core_reqs[[#This Row],[reference]],",")),FIND(".html",TRIM(_xlfn.TEXTSPLIT(us_core_reqs[[#This Row],[reference]],",")))-1))</f>
        <v>medication-list</v>
      </c>
      <c r="T262" s="70" t="str" cm="1">
        <f t="array" ref="T262">_xlfn.TEXTJOIN(",",TRUE,MID(TRIM(_xlfn.TEXTSPLIT(us_core_reqs[[#This Row],[reference]],",")),FIND("#",TRIM(_xlfn.TEXTSPLIT(us_core_reqs[[#This Row],[reference]],","))&amp;"#")+1,1000))</f>
        <v>fetching-all-medications-active-medications-and-all-medications-for-an-encounter</v>
      </c>
      <c r="U262"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t="s">
        <v>1171</v>
      </c>
      <c r="W262" t="s">
        <v>30</v>
      </c>
      <c r="X262" t="s">
        <v>292</v>
      </c>
      <c r="Y262" t="s">
        <v>1171</v>
      </c>
      <c r="Z262" t="s">
        <v>1171</v>
      </c>
      <c r="AA262" t="s">
        <v>1171</v>
      </c>
      <c r="AB262" t="s">
        <v>1171</v>
      </c>
      <c r="AC262" t="s">
        <v>731</v>
      </c>
      <c r="AD262" t="s">
        <v>1171</v>
      </c>
      <c r="AE262" t="s">
        <v>1171</v>
      </c>
    </row>
    <row r="263" spans="1:31" ht="171" thickBot="1" x14ac:dyDescent="0.25">
      <c r="A263" t="s">
        <v>1171</v>
      </c>
      <c r="B263" t="s">
        <v>1435</v>
      </c>
      <c r="C263" t="str">
        <f>"CONF-"&amp;TEXT(us_core_reqs[[#This Row],[ID*]], "0000")</f>
        <v>CONF-0262</v>
      </c>
      <c r="D263" s="11" t="s">
        <v>629</v>
      </c>
      <c r="E263" s="73" t="str" cm="1">
        <f t="array" ref="E263">_xlfn.TEXTJOIN(", ", TRUE, _xlfn.TEXTAFTER(_xlfn.TEXTSPLIT(us_core_reqs[[#This Row],[URL*]], ", "), "/", -1))</f>
        <v>medication-list.html#fetching-all-medications-active-medications-and-all-medications-for-an-encounter</v>
      </c>
      <c r="F263" s="11" t="s">
        <v>732</v>
      </c>
      <c r="G263" t="s">
        <v>35</v>
      </c>
      <c r="H263" cm="1">
        <f t="array" ref="H263">_xlfn.SWITCH(G263, "SHALL", 1, "SHOULD", 3, "MAY", 5, "SHOULD-NOT", 4, "SHALL-NOT", 2, "DEPRECATED", 6, 99)</f>
        <v>5</v>
      </c>
      <c r="J263" t="s">
        <v>30</v>
      </c>
      <c r="K263" t="s">
        <v>1171</v>
      </c>
      <c r="L263" t="s">
        <v>1171</v>
      </c>
      <c r="M263" t="s">
        <v>1173</v>
      </c>
      <c r="N263" t="s">
        <v>1171</v>
      </c>
      <c r="O263" t="s">
        <v>1171</v>
      </c>
      <c r="P263" t="s">
        <v>1171</v>
      </c>
      <c r="Q263" t="s">
        <v>1171</v>
      </c>
      <c r="R263" t="s">
        <v>1171</v>
      </c>
      <c r="S263" s="70" t="str" cm="1">
        <f t="array" ref="S263">_xlfn.TEXTJOIN(",",TRUE,LEFT(TRIM(_xlfn.TEXTSPLIT(us_core_reqs[[#This Row],[reference]],",")),FIND(".html",TRIM(_xlfn.TEXTSPLIT(us_core_reqs[[#This Row],[reference]],",")))-1))</f>
        <v>medication-list</v>
      </c>
      <c r="T263" s="70" t="str" cm="1">
        <f t="array" ref="T263">_xlfn.TEXTJOIN(",",TRUE,MID(TRIM(_xlfn.TEXTSPLIT(us_core_reqs[[#This Row],[reference]],",")),FIND("#",TRIM(_xlfn.TEXTSPLIT(us_core_reqs[[#This Row],[reference]],","))&amp;"#")+1,1000))</f>
        <v>fetching-all-medications-active-medications-and-all-medications-for-an-encounter</v>
      </c>
      <c r="U263"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t="s">
        <v>35</v>
      </c>
      <c r="W263" t="s">
        <v>30</v>
      </c>
      <c r="X263" t="s">
        <v>292</v>
      </c>
      <c r="Y263" t="s">
        <v>1171</v>
      </c>
      <c r="Z263" t="s">
        <v>1171</v>
      </c>
      <c r="AA263" t="s">
        <v>1171</v>
      </c>
      <c r="AB263" t="s">
        <v>1171</v>
      </c>
      <c r="AC263" t="s">
        <v>733</v>
      </c>
      <c r="AD263" t="s">
        <v>1171</v>
      </c>
      <c r="AE263" t="s">
        <v>1171</v>
      </c>
    </row>
    <row r="264" spans="1:31" ht="52" thickBot="1" x14ac:dyDescent="0.25">
      <c r="A264" t="s">
        <v>1171</v>
      </c>
      <c r="B264" t="s">
        <v>1436</v>
      </c>
      <c r="C264" t="str">
        <f>"CONF-"&amp;TEXT(us_core_reqs[[#This Row],[ID*]], "0000")</f>
        <v>CONF-0263</v>
      </c>
      <c r="D264" s="11" t="s">
        <v>845</v>
      </c>
      <c r="E264" s="73" t="str" cm="1">
        <f t="array" ref="E264">_xlfn.TEXTJOIN(", ", TRUE, _xlfn.TEXTAFTER(_xlfn.TEXTSPLIT(us_core_reqs[[#This Row],[URL*]], ", "), "/", -1))</f>
        <v>medication-list.html#de-duplication-of-data</v>
      </c>
      <c r="F264" s="11" t="s">
        <v>2031</v>
      </c>
      <c r="G264" t="s">
        <v>35</v>
      </c>
      <c r="H264" cm="1">
        <f t="array" ref="H264">_xlfn.SWITCH(G264, "SHALL", 1, "SHOULD", 3, "MAY", 5, "SHOULD-NOT", 4, "SHALL-NOT", 2, "DEPRECATED", 6, 99)</f>
        <v>5</v>
      </c>
      <c r="J264" t="s">
        <v>30</v>
      </c>
      <c r="K264" t="s">
        <v>1171</v>
      </c>
      <c r="L264" t="s">
        <v>1171</v>
      </c>
      <c r="M264" t="s">
        <v>1173</v>
      </c>
      <c r="N264" t="s">
        <v>1171</v>
      </c>
      <c r="O264" t="s">
        <v>1171</v>
      </c>
      <c r="P264" t="s">
        <v>1171</v>
      </c>
      <c r="Q264" t="s">
        <v>1171</v>
      </c>
      <c r="R264" t="s">
        <v>1171</v>
      </c>
      <c r="S264" s="70" t="str" cm="1">
        <f t="array" ref="S264">_xlfn.TEXTJOIN(",",TRUE,LEFT(TRIM(_xlfn.TEXTSPLIT(us_core_reqs[[#This Row],[reference]],",")),FIND(".html",TRIM(_xlfn.TEXTSPLIT(us_core_reqs[[#This Row],[reference]],",")))-1))</f>
        <v>medication-list</v>
      </c>
      <c r="T264" s="70" t="str" cm="1">
        <f t="array" ref="T264">_xlfn.TEXTJOIN(",",TRUE,MID(TRIM(_xlfn.TEXTSPLIT(us_core_reqs[[#This Row],[reference]],",")),FIND("#",TRIM(_xlfn.TEXTSPLIT(us_core_reqs[[#This Row],[reference]],","))&amp;"#")+1,1000))</f>
        <v>de-duplication-of-data</v>
      </c>
      <c r="U264" t="str" cm="1">
        <f t="array" ref="U264">_xlfn.TEXTJOIN(", ",TRUE,SUBSTITUTE(SUBSTITUTE(PROPER(SUBSTITUTE(TRIM(_xlfn.TEXTSPLIT(us_core_reqs[[#This Row],[Page]],","))," -"," "))&amp;": "&amp;PROPER(SUBSTITUTE(TRIM(_xlfn.TEXTSPLIT(us_core_reqs[[#This Row],[Section]],","))," -"," ")),"Us ","US        
  "),"Uscdi","USCDI"))</f>
        <v>Medication-List: De-Duplication-Of-Data</v>
      </c>
      <c r="V264" t="s">
        <v>35</v>
      </c>
      <c r="W264" t="s">
        <v>30</v>
      </c>
      <c r="X264" t="s">
        <v>293</v>
      </c>
      <c r="Y264" t="s">
        <v>1171</v>
      </c>
      <c r="Z264" t="s">
        <v>1171</v>
      </c>
      <c r="AA264" t="s">
        <v>1171</v>
      </c>
      <c r="AB264" t="s">
        <v>1171</v>
      </c>
      <c r="AC264" t="s">
        <v>1171</v>
      </c>
      <c r="AD264" t="s">
        <v>1171</v>
      </c>
      <c r="AE264" t="s">
        <v>1171</v>
      </c>
    </row>
    <row r="265" spans="1:31" ht="52" thickBot="1" x14ac:dyDescent="0.25">
      <c r="A265" t="s">
        <v>1171</v>
      </c>
      <c r="B265" t="s">
        <v>1437</v>
      </c>
      <c r="C265" t="str">
        <f>"CONF-"&amp;TEXT(us_core_reqs[[#This Row],[ID*]], "0000")</f>
        <v>CONF-0264</v>
      </c>
      <c r="D265" s="11" t="s">
        <v>845</v>
      </c>
      <c r="E265" s="73" t="str" cm="1">
        <f t="array" ref="E265">_xlfn.TEXTJOIN(", ", TRUE, _xlfn.TEXTAFTER(_xlfn.TEXTSPLIT(us_core_reqs[[#This Row],[URL*]], ", "), "/", -1))</f>
        <v>medication-list.html#de-duplication-of-data</v>
      </c>
      <c r="F265" s="11" t="s">
        <v>1938</v>
      </c>
      <c r="G265" t="s">
        <v>32</v>
      </c>
      <c r="H265" cm="1">
        <f t="array" ref="H265">_xlfn.SWITCH(G265, "SHALL", 1, "SHOULD", 3, "MAY", 5, "SHOULD-NOT", 4, "SHALL-NOT", 2, "DEPRECATED", 6, 99)</f>
        <v>3</v>
      </c>
      <c r="J265" t="s">
        <v>58</v>
      </c>
      <c r="K265" t="s">
        <v>1171</v>
      </c>
      <c r="L265" t="s">
        <v>1171</v>
      </c>
      <c r="M265" t="s">
        <v>1173</v>
      </c>
      <c r="N265" t="s">
        <v>1171</v>
      </c>
      <c r="O265" t="s">
        <v>1171</v>
      </c>
      <c r="P265" t="s">
        <v>1171</v>
      </c>
      <c r="Q265" t="s">
        <v>1171</v>
      </c>
      <c r="R265" t="s">
        <v>1171</v>
      </c>
      <c r="S265" s="70" t="str" cm="1">
        <f t="array" ref="S265">_xlfn.TEXTJOIN(",",TRUE,LEFT(TRIM(_xlfn.TEXTSPLIT(us_core_reqs[[#This Row],[reference]],",")),FIND(".html",TRIM(_xlfn.TEXTSPLIT(us_core_reqs[[#This Row],[reference]],",")))-1))</f>
        <v>medication-list</v>
      </c>
      <c r="T265" s="70" t="str" cm="1">
        <f t="array" ref="T265">_xlfn.TEXTJOIN(",",TRUE,MID(TRIM(_xlfn.TEXTSPLIT(us_core_reqs[[#This Row],[reference]],",")),FIND("#",TRIM(_xlfn.TEXTSPLIT(us_core_reqs[[#This Row],[reference]],","))&amp;"#")+1,1000))</f>
        <v>de-duplication-of-data</v>
      </c>
      <c r="U265" t="str" cm="1">
        <f t="array" ref="U265">_xlfn.TEXTJOIN(", ",TRUE,SUBSTITUTE(SUBSTITUTE(PROPER(SUBSTITUTE(TRIM(_xlfn.TEXTSPLIT(us_core_reqs[[#This Row],[Page]],","))," -"," "))&amp;": "&amp;PROPER(SUBSTITUTE(TRIM(_xlfn.TEXTSPLIT(us_core_reqs[[#This Row],[Section]],","))," -"," ")),"Us ","US        
  "),"Uscdi","USCDI"))</f>
        <v>Medication-List: De-Duplication-Of-Data</v>
      </c>
      <c r="V265" t="s">
        <v>35</v>
      </c>
      <c r="W265" t="s">
        <v>58</v>
      </c>
      <c r="X265" t="s">
        <v>293</v>
      </c>
      <c r="Y265" t="s">
        <v>1171</v>
      </c>
      <c r="Z265" t="s">
        <v>1171</v>
      </c>
      <c r="AA265" t="s">
        <v>1171</v>
      </c>
      <c r="AB265" t="s">
        <v>1171</v>
      </c>
      <c r="AC265" t="s">
        <v>1171</v>
      </c>
      <c r="AD265" t="s">
        <v>1171</v>
      </c>
      <c r="AE265" t="s">
        <v>1171</v>
      </c>
    </row>
    <row r="266" spans="1:31" ht="52" thickBot="1" x14ac:dyDescent="0.25">
      <c r="A266" t="s">
        <v>1171</v>
      </c>
      <c r="B266" t="s">
        <v>1438</v>
      </c>
      <c r="C266" t="str">
        <f>"CONF-"&amp;TEXT(us_core_reqs[[#This Row],[ID*]], "0000")</f>
        <v>CONF-0265</v>
      </c>
      <c r="D266" s="11" t="s">
        <v>846</v>
      </c>
      <c r="E266" s="73" t="str" cm="1">
        <f t="array" ref="E266">_xlfn.TEXTJOIN(", ", TRUE, _xlfn.TEXTAFTER(_xlfn.TEXTSPLIT(us_core_reqs[[#This Row],[URL*]], ", "), "/", -1))</f>
        <v>basic-provenance.html#hie-transformation</v>
      </c>
      <c r="F266" s="11" t="s">
        <v>2194</v>
      </c>
      <c r="G266" t="s">
        <v>64</v>
      </c>
      <c r="H266" cm="1">
        <f t="array" ref="H266">_xlfn.SWITCH(G266, "SHALL", 1, "SHOULD", 3, "MAY", 5, "SHOULD-NOT", 4, "SHALL-NOT", 2, "DEPRECATED", 6, 99)</f>
        <v>6</v>
      </c>
      <c r="I266" t="s">
        <v>1868</v>
      </c>
      <c r="J266" t="s">
        <v>30</v>
      </c>
      <c r="K266" t="s">
        <v>1171</v>
      </c>
      <c r="L266" t="s">
        <v>1171</v>
      </c>
      <c r="M266" t="s">
        <v>1173</v>
      </c>
      <c r="N266" t="s">
        <v>1171</v>
      </c>
      <c r="O266" t="s">
        <v>1171</v>
      </c>
      <c r="P266" t="s">
        <v>1171</v>
      </c>
      <c r="Q266" t="s">
        <v>1171</v>
      </c>
      <c r="R266" t="s">
        <v>1171</v>
      </c>
      <c r="S266" s="70" t="str" cm="1">
        <f t="array" ref="S266">_xlfn.TEXTJOIN(",",TRUE,LEFT(TRIM(_xlfn.TEXTSPLIT(us_core_reqs[[#This Row],[reference]],",")),FIND(".html",TRIM(_xlfn.TEXTSPLIT(us_core_reqs[[#This Row],[reference]],",")))-1))</f>
        <v>basic-provenance</v>
      </c>
      <c r="T266" s="70" t="str" cm="1">
        <f t="array" ref="T266">_xlfn.TEXTJOIN(",",TRUE,MID(TRIM(_xlfn.TEXTSPLIT(us_core_reqs[[#This Row],[reference]],",")),FIND("#",TRIM(_xlfn.TEXTSPLIT(us_core_reqs[[#This Row],[reference]],","))&amp;"#")+1,1000))</f>
        <v>hie-transformation</v>
      </c>
      <c r="U266" t="str" cm="1">
        <f t="array" ref="U266">_xlfn.TEXTJOIN(", ",TRUE,SUBSTITUTE(SUBSTITUTE(PROPER(SUBSTITUTE(TRIM(_xlfn.TEXTSPLIT(us_core_reqs[[#This Row],[Page]],","))," -"," "))&amp;": "&amp;PROPER(SUBSTITUTE(TRIM(_xlfn.TEXTSPLIT(us_core_reqs[[#This Row],[Section]],","))," -"," ")),"Us ","US        
  "),"Uscdi","USCDI"))</f>
        <v>Basic-Provenance: Hie-Transformation</v>
      </c>
      <c r="V266" t="s">
        <v>35</v>
      </c>
      <c r="W266" t="s">
        <v>1171</v>
      </c>
      <c r="X266" t="s">
        <v>293</v>
      </c>
      <c r="Y266" t="s">
        <v>1171</v>
      </c>
      <c r="Z266" t="s">
        <v>1171</v>
      </c>
      <c r="AA266" t="s">
        <v>1171</v>
      </c>
      <c r="AB266" t="s">
        <v>1171</v>
      </c>
      <c r="AC266" t="s">
        <v>295</v>
      </c>
      <c r="AD266" t="s">
        <v>1171</v>
      </c>
      <c r="AE266" t="s">
        <v>1171</v>
      </c>
    </row>
    <row r="267" spans="1:31" ht="35" thickBot="1" x14ac:dyDescent="0.25">
      <c r="A267" t="s">
        <v>1171</v>
      </c>
      <c r="B267" t="s">
        <v>1439</v>
      </c>
      <c r="C267" t="str">
        <f>"CONF-"&amp;TEXT(us_core_reqs[[#This Row],[ID*]], "0000")</f>
        <v>CONF-0266</v>
      </c>
      <c r="D267" s="11" t="s">
        <v>846</v>
      </c>
      <c r="E267" s="73" t="str" cm="1">
        <f t="array" ref="E267">_xlfn.TEXTJOIN(", ", TRUE, _xlfn.TEXTAFTER(_xlfn.TEXTSPLIT(us_core_reqs[[#This Row],[URL*]], ", "), "/", -1))</f>
        <v>basic-provenance.html#hie-transformation</v>
      </c>
      <c r="F267" s="11" t="s">
        <v>296</v>
      </c>
      <c r="G267" t="s">
        <v>64</v>
      </c>
      <c r="H267" cm="1">
        <f t="array" ref="H267">_xlfn.SWITCH(G267, "SHALL", 1, "SHOULD", 3, "MAY", 5, "SHOULD-NOT", 4, "SHALL-NOT", 2, "DEPRECATED", 6, 99)</f>
        <v>6</v>
      </c>
      <c r="I267" t="s">
        <v>1894</v>
      </c>
      <c r="J267" t="s">
        <v>30</v>
      </c>
      <c r="K267" t="s">
        <v>1171</v>
      </c>
      <c r="L267" t="s">
        <v>1171</v>
      </c>
      <c r="M267" t="s">
        <v>1173</v>
      </c>
      <c r="N267" t="s">
        <v>1171</v>
      </c>
      <c r="O267" t="s">
        <v>1171</v>
      </c>
      <c r="P267" t="s">
        <v>1171</v>
      </c>
      <c r="Q267" t="s">
        <v>1171</v>
      </c>
      <c r="R267" t="s">
        <v>1171</v>
      </c>
      <c r="S267" s="70" t="str" cm="1">
        <f t="array" ref="S267">_xlfn.TEXTJOIN(",",TRUE,LEFT(TRIM(_xlfn.TEXTSPLIT(us_core_reqs[[#This Row],[reference]],",")),FIND(".html",TRIM(_xlfn.TEXTSPLIT(us_core_reqs[[#This Row],[reference]],",")))-1))</f>
        <v>basic-provenance</v>
      </c>
      <c r="T267" s="70" t="str" cm="1">
        <f t="array" ref="T267">_xlfn.TEXTJOIN(",",TRUE,MID(TRIM(_xlfn.TEXTSPLIT(us_core_reqs[[#This Row],[reference]],",")),FIND("#",TRIM(_xlfn.TEXTSPLIT(us_core_reqs[[#This Row],[reference]],","))&amp;"#")+1,1000))</f>
        <v>hie-transformation</v>
      </c>
      <c r="U267" t="str" cm="1">
        <f t="array" ref="U267">_xlfn.TEXTJOIN(", ",TRUE,SUBSTITUTE(SUBSTITUTE(PROPER(SUBSTITUTE(TRIM(_xlfn.TEXTSPLIT(us_core_reqs[[#This Row],[Page]],","))," -"," "))&amp;": "&amp;PROPER(SUBSTITUTE(TRIM(_xlfn.TEXTSPLIT(us_core_reqs[[#This Row],[Section]],","))," -"," ")),"Us ","US        
  "),"Uscdi","USCDI"))</f>
        <v>Basic-Provenance: Hie-Transformation</v>
      </c>
      <c r="V267" t="s">
        <v>1171</v>
      </c>
      <c r="W267" t="s">
        <v>1171</v>
      </c>
      <c r="X267" t="s">
        <v>297</v>
      </c>
      <c r="Y267" t="s">
        <v>1171</v>
      </c>
      <c r="Z267" t="s">
        <v>1171</v>
      </c>
      <c r="AA267" t="s">
        <v>1171</v>
      </c>
      <c r="AB267" t="s">
        <v>1171</v>
      </c>
      <c r="AC267" t="s">
        <v>1171</v>
      </c>
      <c r="AD267" t="s">
        <v>1141</v>
      </c>
      <c r="AE267" t="s">
        <v>1171</v>
      </c>
    </row>
    <row r="268" spans="1:31" ht="86" thickBot="1" x14ac:dyDescent="0.25">
      <c r="A268" t="s">
        <v>1171</v>
      </c>
      <c r="B268" t="s">
        <v>1440</v>
      </c>
      <c r="C268" t="str">
        <f>"CONF-"&amp;TEXT(us_core_reqs[[#This Row],[ID*]], "0000")</f>
        <v>CONF-0267</v>
      </c>
      <c r="D268" s="11" t="s">
        <v>846</v>
      </c>
      <c r="E268" s="73" t="str" cm="1">
        <f t="array" ref="E268">_xlfn.TEXTJOIN(", ", TRUE, _xlfn.TEXTAFTER(_xlfn.TEXTSPLIT(us_core_reqs[[#This Row],[URL*]], ", "), "/", -1))</f>
        <v>basic-provenance.html#hie-transformation</v>
      </c>
      <c r="F268" s="11" t="s">
        <v>1887</v>
      </c>
      <c r="G268" t="s">
        <v>35</v>
      </c>
      <c r="H268" cm="1">
        <f t="array" ref="H268">_xlfn.SWITCH(G268, "SHALL", 1, "SHOULD", 3, "MAY", 5, "SHOULD-NOT", 4, "SHALL-NOT", 2, "DEPRECATED", 6, 99)</f>
        <v>5</v>
      </c>
      <c r="J268" t="s">
        <v>30</v>
      </c>
      <c r="K268" t="s">
        <v>1171</v>
      </c>
      <c r="L268" t="s">
        <v>1171</v>
      </c>
      <c r="M268" t="s">
        <v>1173</v>
      </c>
      <c r="N268" t="s">
        <v>1171</v>
      </c>
      <c r="O268" t="s">
        <v>1171</v>
      </c>
      <c r="P268" t="s">
        <v>1171</v>
      </c>
      <c r="Q268" t="s">
        <v>1171</v>
      </c>
      <c r="R268" t="s">
        <v>1171</v>
      </c>
      <c r="S268" s="70" t="str" cm="1">
        <f t="array" ref="S268">_xlfn.TEXTJOIN(",",TRUE,LEFT(TRIM(_xlfn.TEXTSPLIT(us_core_reqs[[#This Row],[reference]],",")),FIND(".html",TRIM(_xlfn.TEXTSPLIT(us_core_reqs[[#This Row],[reference]],",")))-1))</f>
        <v>basic-provenance</v>
      </c>
      <c r="T268" s="70" t="str" cm="1">
        <f t="array" ref="T268">_xlfn.TEXTJOIN(",",TRUE,MID(TRIM(_xlfn.TEXTSPLIT(us_core_reqs[[#This Row],[reference]],",")),FIND("#",TRIM(_xlfn.TEXTSPLIT(us_core_reqs[[#This Row],[reference]],","))&amp;"#")+1,1000))</f>
        <v>hie-transformation</v>
      </c>
      <c r="U268" t="str" cm="1">
        <f t="array" ref="U268">_xlfn.TEXTJOIN(", ",TRUE,SUBSTITUTE(SUBSTITUTE(PROPER(SUBSTITUTE(TRIM(_xlfn.TEXTSPLIT(us_core_reqs[[#This Row],[Page]],","))," -"," "))&amp;": "&amp;PROPER(SUBSTITUTE(TRIM(_xlfn.TEXTSPLIT(us_core_reqs[[#This Row],[Section]],","))," -"," ")),"Us ","US        
  "),"Uscdi","USCDI"))</f>
        <v>Basic-Provenance: Hie-Transformation</v>
      </c>
      <c r="V268" t="s">
        <v>35</v>
      </c>
      <c r="W268" t="s">
        <v>1171</v>
      </c>
      <c r="X268" t="s">
        <v>298</v>
      </c>
      <c r="Y268" t="s">
        <v>1171</v>
      </c>
      <c r="Z268" t="s">
        <v>1171</v>
      </c>
      <c r="AA268" t="s">
        <v>1171</v>
      </c>
      <c r="AB268" t="s">
        <v>1171</v>
      </c>
      <c r="AC268" t="s">
        <v>1171</v>
      </c>
      <c r="AD268" t="s">
        <v>1171</v>
      </c>
      <c r="AE268" t="s">
        <v>1171</v>
      </c>
    </row>
    <row r="269" spans="1:31" ht="69" thickBot="1" x14ac:dyDescent="0.25">
      <c r="A269" t="s">
        <v>1171</v>
      </c>
      <c r="B269" t="s">
        <v>1441</v>
      </c>
      <c r="C269" t="str">
        <f>"CONF-"&amp;TEXT(us_core_reqs[[#This Row],[ID*]], "0000")</f>
        <v>CONF-0268</v>
      </c>
      <c r="D269" s="11" t="s">
        <v>848</v>
      </c>
      <c r="E269" s="73" t="str" cm="1">
        <f t="array" ref="E269">_xlfn.TEXTJOIN(", ", TRUE, _xlfn.TEXTAFTER(_xlfn.TEXTSPLIT(us_core_reqs[[#This Row],[URL*]], ", "), "/", -1))</f>
        <v>screening-and-assessments.html#introduction</v>
      </c>
      <c r="F269" s="11" t="s">
        <v>1890</v>
      </c>
      <c r="G269" t="s">
        <v>32</v>
      </c>
      <c r="H269" cm="1">
        <f t="array" ref="H269">_xlfn.SWITCH(G269, "SHALL", 1, "SHOULD", 3, "MAY", 5, "SHOULD-NOT", 4, "SHALL-NOT", 2, "DEPRECATED", 6, 99)</f>
        <v>3</v>
      </c>
      <c r="J269" t="s">
        <v>30</v>
      </c>
      <c r="K269" t="s">
        <v>1171</v>
      </c>
      <c r="L269" t="s">
        <v>1171</v>
      </c>
      <c r="M269" t="s">
        <v>1173</v>
      </c>
      <c r="N269" t="s">
        <v>1171</v>
      </c>
      <c r="O269" t="s">
        <v>1171</v>
      </c>
      <c r="P269" t="s">
        <v>1171</v>
      </c>
      <c r="Q269" t="s">
        <v>1171</v>
      </c>
      <c r="R269" t="s">
        <v>1171</v>
      </c>
      <c r="S269" s="70" t="str" cm="1">
        <f t="array" ref="S269">_xlfn.TEXTJOIN(",",TRUE,LEFT(TRIM(_xlfn.TEXTSPLIT(us_core_reqs[[#This Row],[reference]],",")),FIND(".html",TRIM(_xlfn.TEXTSPLIT(us_core_reqs[[#This Row],[reference]],",")))-1))</f>
        <v>screening-and-assessments</v>
      </c>
      <c r="T269" s="70" t="str" cm="1">
        <f t="array" ref="T269">_xlfn.TEXTJOIN(",",TRUE,MID(TRIM(_xlfn.TEXTSPLIT(us_core_reqs[[#This Row],[reference]],",")),FIND("#",TRIM(_xlfn.TEXTSPLIT(us_core_reqs[[#This Row],[reference]],","))&amp;"#")+1,1000))</f>
        <v>introduction</v>
      </c>
      <c r="U269" t="str" cm="1">
        <f t="array" ref="U269">_xlfn.TEXTJOIN(", ",TRUE,SUBSTITUTE(SUBSTITUTE(PROPER(SUBSTITUTE(TRIM(_xlfn.TEXTSPLIT(us_core_reqs[[#This Row],[Page]],","))," -"," "))&amp;": "&amp;PROPER(SUBSTITUTE(TRIM(_xlfn.TEXTSPLIT(us_core_reqs[[#This Row],[Section]],","))," -"," ")),"Us ","US        
  "),"Uscdi","USCDI"))</f>
        <v>Screening-And-Assessments: Introduction</v>
      </c>
      <c r="V269" t="s">
        <v>32</v>
      </c>
      <c r="W269" t="s">
        <v>1171</v>
      </c>
      <c r="X269" t="s">
        <v>298</v>
      </c>
      <c r="Y269" t="s">
        <v>1171</v>
      </c>
      <c r="Z269" t="s">
        <v>1171</v>
      </c>
      <c r="AA269" t="s">
        <v>1171</v>
      </c>
      <c r="AB269" t="s">
        <v>1171</v>
      </c>
      <c r="AC269" t="s">
        <v>1171</v>
      </c>
      <c r="AD269" t="s">
        <v>1171</v>
      </c>
      <c r="AE269" t="s">
        <v>1171</v>
      </c>
    </row>
    <row r="270" spans="1:31" ht="259" customHeight="1" thickBot="1" x14ac:dyDescent="0.25">
      <c r="A270" t="s">
        <v>1171</v>
      </c>
      <c r="B270" t="s">
        <v>1442</v>
      </c>
      <c r="C270" t="str">
        <f>"CONF-"&amp;TEXT(us_core_reqs[[#This Row],[ID*]], "0000")</f>
        <v>CONF-0269</v>
      </c>
      <c r="D270" s="11" t="s">
        <v>630</v>
      </c>
      <c r="E270" s="73" t="str" cm="1">
        <f t="array" ref="E270">_xlfn.TEXTJOIN(", ", TRUE, _xlfn.TEXTAFTER(_xlfn.TEXTSPLIT(us_core_reqs[[#This Row],[URL*]], ", "), "/", -1))</f>
        <v>screening-and-assessments.html#clinical-judgments</v>
      </c>
      <c r="F270" s="11" t="s">
        <v>1891</v>
      </c>
      <c r="G270" t="s">
        <v>29</v>
      </c>
      <c r="H270" cm="1">
        <f t="array" ref="H270">_xlfn.SWITCH(G270, "SHALL", 1, "SHOULD", 3, "MAY", 5, "SHOULD-NOT", 4, "SHALL-NOT", 2, "DEPRECATED", 6, 99)</f>
        <v>1</v>
      </c>
      <c r="J270" t="s">
        <v>30</v>
      </c>
      <c r="K270" t="s">
        <v>1171</v>
      </c>
      <c r="L270" t="s">
        <v>1171</v>
      </c>
      <c r="M270" t="s">
        <v>1173</v>
      </c>
      <c r="N270" t="s">
        <v>1171</v>
      </c>
      <c r="O270" t="s">
        <v>1171</v>
      </c>
      <c r="P270" t="s">
        <v>1171</v>
      </c>
      <c r="Q270" t="s">
        <v>1171</v>
      </c>
      <c r="R270" t="s">
        <v>1171</v>
      </c>
      <c r="S270" s="70" t="str" cm="1">
        <f t="array" ref="S270">_xlfn.TEXTJOIN(",",TRUE,LEFT(TRIM(_xlfn.TEXTSPLIT(us_core_reqs[[#This Row],[reference]],",")),FIND(".html",TRIM(_xlfn.TEXTSPLIT(us_core_reqs[[#This Row],[reference]],",")))-1))</f>
        <v>screening-and-assessments</v>
      </c>
      <c r="T270" s="70" t="str" cm="1">
        <f t="array" ref="T270">_xlfn.TEXTJOIN(",",TRUE,MID(TRIM(_xlfn.TEXTSPLIT(us_core_reqs[[#This Row],[reference]],",")),FIND("#",TRIM(_xlfn.TEXTSPLIT(us_core_reqs[[#This Row],[reference]],","))&amp;"#")+1,1000))</f>
        <v>clinical-judgments</v>
      </c>
      <c r="U270" t="str" cm="1">
        <f t="array" ref="U270">_xlfn.TEXTJOIN(", ",TRUE,SUBSTITUTE(SUBSTITUTE(PROPER(SUBSTITUTE(TRIM(_xlfn.TEXTSPLIT(us_core_reqs[[#This Row],[Page]],","))," -"," "))&amp;": "&amp;PROPER(SUBSTITUTE(TRIM(_xlfn.TEXTSPLIT(us_core_reqs[[#This Row],[Section]],","))," -"," ")),"Us ","US        
  "),"Uscdi","USCDI"))</f>
        <v>Screening-And-Assessments: Clinical-Judgments</v>
      </c>
      <c r="V270" t="s">
        <v>29</v>
      </c>
      <c r="W270" t="s">
        <v>30</v>
      </c>
      <c r="X270" t="s">
        <v>298</v>
      </c>
      <c r="Y270" t="s">
        <v>1171</v>
      </c>
      <c r="Z270" t="s">
        <v>1171</v>
      </c>
      <c r="AA270" t="s">
        <v>1171</v>
      </c>
      <c r="AB270" t="s">
        <v>1171</v>
      </c>
      <c r="AC270" t="s">
        <v>1171</v>
      </c>
      <c r="AD270" t="s">
        <v>1140</v>
      </c>
      <c r="AE270" t="s">
        <v>1171</v>
      </c>
    </row>
    <row r="271" spans="1:31" ht="137" thickBot="1" x14ac:dyDescent="0.25">
      <c r="A271" t="s">
        <v>1171</v>
      </c>
      <c r="B271" t="s">
        <v>1443</v>
      </c>
      <c r="C271" t="str">
        <f>"CONF-"&amp;TEXT(us_core_reqs[[#This Row],[ID*]], "0000")</f>
        <v>CONF-0270</v>
      </c>
      <c r="D271" s="11" t="s">
        <v>630</v>
      </c>
      <c r="E271" s="73" t="str" cm="1">
        <f t="array" ref="E271">_xlfn.TEXTJOIN(", ", TRUE, _xlfn.TEXTAFTER(_xlfn.TEXTSPLIT(us_core_reqs[[#This Row],[URL*]], ", "), "/", -1))</f>
        <v>screening-and-assessments.html#clinical-judgments</v>
      </c>
      <c r="F271" s="11" t="s">
        <v>1033</v>
      </c>
      <c r="G271" t="s">
        <v>32</v>
      </c>
      <c r="H271" cm="1">
        <f t="array" ref="H271">_xlfn.SWITCH(G271, "SHALL", 1, "SHOULD", 3, "MAY", 5, "SHOULD-NOT", 4, "SHALL-NOT", 2, "DEPRECATED", 6, 99)</f>
        <v>3</v>
      </c>
      <c r="J271" t="s">
        <v>30</v>
      </c>
      <c r="K271" t="s">
        <v>1171</v>
      </c>
      <c r="L271" t="s">
        <v>1171</v>
      </c>
      <c r="M271" t="s">
        <v>1173</v>
      </c>
      <c r="N271" t="s">
        <v>1171</v>
      </c>
      <c r="O271" t="s">
        <v>1171</v>
      </c>
      <c r="P271" t="s">
        <v>1171</v>
      </c>
      <c r="Q271" t="s">
        <v>1171</v>
      </c>
      <c r="R271" t="s">
        <v>1171</v>
      </c>
      <c r="S271" s="70" t="str" cm="1">
        <f t="array" ref="S271">_xlfn.TEXTJOIN(",",TRUE,LEFT(TRIM(_xlfn.TEXTSPLIT(us_core_reqs[[#This Row],[reference]],",")),FIND(".html",TRIM(_xlfn.TEXTSPLIT(us_core_reqs[[#This Row],[reference]],",")))-1))</f>
        <v>screening-and-assessments</v>
      </c>
      <c r="T271" s="70" t="str" cm="1">
        <f t="array" ref="T271">_xlfn.TEXTJOIN(",",TRUE,MID(TRIM(_xlfn.TEXTSPLIT(us_core_reqs[[#This Row],[reference]],",")),FIND("#",TRIM(_xlfn.TEXTSPLIT(us_core_reqs[[#This Row],[reference]],","))&amp;"#")+1,1000))</f>
        <v>clinical-judgments</v>
      </c>
      <c r="U271" t="str" cm="1">
        <f t="array" ref="U271">_xlfn.TEXTJOIN(", ",TRUE,SUBSTITUTE(SUBSTITUTE(PROPER(SUBSTITUTE(TRIM(_xlfn.TEXTSPLIT(us_core_reqs[[#This Row],[Page]],","))," -"," "))&amp;": "&amp;PROPER(SUBSTITUTE(TRIM(_xlfn.TEXTSPLIT(us_core_reqs[[#This Row],[Section]],","))," -"," ")),"Us ","US        
  "),"Uscdi","USCDI"))</f>
        <v>Screening-And-Assessments: Clinical-Judgments</v>
      </c>
      <c r="V271" t="s">
        <v>32</v>
      </c>
      <c r="W271" t="s">
        <v>30</v>
      </c>
      <c r="X271" t="s">
        <v>298</v>
      </c>
      <c r="Y271" t="s">
        <v>1171</v>
      </c>
      <c r="Z271" t="s">
        <v>1171</v>
      </c>
      <c r="AA271" t="s">
        <v>1171</v>
      </c>
      <c r="AB271" t="s">
        <v>1171</v>
      </c>
      <c r="AC271" t="s">
        <v>734</v>
      </c>
      <c r="AD271" t="s">
        <v>1171</v>
      </c>
      <c r="AE271" t="s">
        <v>1171</v>
      </c>
    </row>
    <row r="272" spans="1:31" ht="137" thickBot="1" x14ac:dyDescent="0.25">
      <c r="A272" t="s">
        <v>1171</v>
      </c>
      <c r="B272" t="s">
        <v>1444</v>
      </c>
      <c r="C272" t="str">
        <f>"CONF-"&amp;TEXT(us_core_reqs[[#This Row],[ID*]], "0000")</f>
        <v>CONF-0271</v>
      </c>
      <c r="D272" s="11" t="s">
        <v>630</v>
      </c>
      <c r="E272" s="73" t="str" cm="1">
        <f t="array" ref="E272">_xlfn.TEXTJOIN(", ", TRUE, _xlfn.TEXTAFTER(_xlfn.TEXTSPLIT(us_core_reqs[[#This Row],[URL*]], ", "), "/", -1))</f>
        <v>screening-and-assessments.html#clinical-judgments</v>
      </c>
      <c r="F272" s="11" t="s">
        <v>1034</v>
      </c>
      <c r="G272" t="s">
        <v>32</v>
      </c>
      <c r="H272" cm="1">
        <f t="array" ref="H272">_xlfn.SWITCH(G272, "SHALL", 1, "SHOULD", 3, "MAY", 5, "SHOULD-NOT", 4, "SHALL-NOT", 2, "DEPRECATED", 6, 99)</f>
        <v>3</v>
      </c>
      <c r="J272" t="s">
        <v>30</v>
      </c>
      <c r="K272" t="s">
        <v>1171</v>
      </c>
      <c r="L272" t="s">
        <v>1171</v>
      </c>
      <c r="M272" t="s">
        <v>1173</v>
      </c>
      <c r="N272" t="s">
        <v>1171</v>
      </c>
      <c r="O272" t="s">
        <v>1171</v>
      </c>
      <c r="P272" t="s">
        <v>1171</v>
      </c>
      <c r="Q272" t="s">
        <v>1171</v>
      </c>
      <c r="R272" t="s">
        <v>1171</v>
      </c>
      <c r="S272" s="70" t="str" cm="1">
        <f t="array" ref="S272">_xlfn.TEXTJOIN(",",TRUE,LEFT(TRIM(_xlfn.TEXTSPLIT(us_core_reqs[[#This Row],[reference]],",")),FIND(".html",TRIM(_xlfn.TEXTSPLIT(us_core_reqs[[#This Row],[reference]],",")))-1))</f>
        <v>screening-and-assessments</v>
      </c>
      <c r="T272" s="70" t="str" cm="1">
        <f t="array" ref="T272">_xlfn.TEXTJOIN(",",TRUE,MID(TRIM(_xlfn.TEXTSPLIT(us_core_reqs[[#This Row],[reference]],",")),FIND("#",TRIM(_xlfn.TEXTSPLIT(us_core_reqs[[#This Row],[reference]],","))&amp;"#")+1,1000))</f>
        <v>clinical-judgments</v>
      </c>
      <c r="U272" t="str" cm="1">
        <f t="array" ref="U272">_xlfn.TEXTJOIN(", ",TRUE,SUBSTITUTE(SUBSTITUTE(PROPER(SUBSTITUTE(TRIM(_xlfn.TEXTSPLIT(us_core_reqs[[#This Row],[Page]],","))," -"," "))&amp;": "&amp;PROPER(SUBSTITUTE(TRIM(_xlfn.TEXTSPLIT(us_core_reqs[[#This Row],[Section]],","))," -"," ")),"Us ","US        
  "),"Uscdi","USCDI"))</f>
        <v>Screening-And-Assessments: Clinical-Judgments</v>
      </c>
      <c r="V272" t="s">
        <v>32</v>
      </c>
      <c r="W272" t="s">
        <v>30</v>
      </c>
      <c r="X272" t="s">
        <v>298</v>
      </c>
      <c r="Y272" t="s">
        <v>1171</v>
      </c>
      <c r="Z272" t="s">
        <v>1171</v>
      </c>
      <c r="AA272" t="s">
        <v>1171</v>
      </c>
      <c r="AB272" t="s">
        <v>1171</v>
      </c>
      <c r="AC272" t="s">
        <v>734</v>
      </c>
      <c r="AD272" t="s">
        <v>1171</v>
      </c>
      <c r="AE272" t="s">
        <v>1171</v>
      </c>
    </row>
    <row r="273" spans="1:31" ht="196" customHeight="1" thickBot="1" x14ac:dyDescent="0.25">
      <c r="A273" t="s">
        <v>1171</v>
      </c>
      <c r="B273" t="s">
        <v>1445</v>
      </c>
      <c r="C273" t="str">
        <f>"CONF-"&amp;TEXT(us_core_reqs[[#This Row],[ID*]], "0000")</f>
        <v>CONF-0272</v>
      </c>
      <c r="D273" s="11" t="s">
        <v>849</v>
      </c>
      <c r="E273" s="73" t="str" cm="1">
        <f t="array" ref="E273">_xlfn.TEXTJOIN(", ", TRUE, _xlfn.TEXTAFTER(_xlfn.TEXTSPLIT(us_core_reqs[[#This Row],[URL*]], ", "), "/", -1))</f>
        <v>screening-and-assessments.html#choosing-between-questionnaireresponse-and-observation</v>
      </c>
      <c r="F273" s="11" t="s">
        <v>300</v>
      </c>
      <c r="G273" t="s">
        <v>32</v>
      </c>
      <c r="H273" cm="1">
        <f t="array" ref="H273">_xlfn.SWITCH(G273, "SHALL", 1, "SHOULD", 3, "MAY", 5, "SHOULD-NOT", 4, "SHALL-NOT", 2, "DEPRECATED", 6, 99)</f>
        <v>3</v>
      </c>
      <c r="I273" t="s">
        <v>1892</v>
      </c>
      <c r="J273" t="s">
        <v>30</v>
      </c>
      <c r="K273" t="s">
        <v>1171</v>
      </c>
      <c r="L273" t="s">
        <v>1171</v>
      </c>
      <c r="M273" t="s">
        <v>1173</v>
      </c>
      <c r="N273" t="s">
        <v>1171</v>
      </c>
      <c r="O273" t="s">
        <v>1171</v>
      </c>
      <c r="P273" t="s">
        <v>1171</v>
      </c>
      <c r="Q273" t="s">
        <v>1171</v>
      </c>
      <c r="R273" t="s">
        <v>1171</v>
      </c>
      <c r="S273" s="70" t="str" cm="1">
        <f t="array" ref="S273">_xlfn.TEXTJOIN(",",TRUE,LEFT(TRIM(_xlfn.TEXTSPLIT(us_core_reqs[[#This Row],[reference]],",")),FIND(".html",TRIM(_xlfn.TEXTSPLIT(us_core_reqs[[#This Row],[reference]],",")))-1))</f>
        <v>screening-and-assessments</v>
      </c>
      <c r="T273" s="70" t="str" cm="1">
        <f t="array" ref="T273">_xlfn.TEXTJOIN(",",TRUE,MID(TRIM(_xlfn.TEXTSPLIT(us_core_reqs[[#This Row],[reference]],",")),FIND("#",TRIM(_xlfn.TEXTSPLIT(us_core_reqs[[#This Row],[reference]],","))&amp;"#")+1,1000))</f>
        <v>choosing-between-questionnaireresponse-and-observation</v>
      </c>
      <c r="U273"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t="s">
        <v>1171</v>
      </c>
      <c r="W273" t="s">
        <v>1171</v>
      </c>
      <c r="X273" t="s">
        <v>298</v>
      </c>
      <c r="Y273" t="s">
        <v>1171</v>
      </c>
      <c r="Z273" t="s">
        <v>1171</v>
      </c>
      <c r="AA273" t="s">
        <v>1171</v>
      </c>
      <c r="AB273" t="s">
        <v>1171</v>
      </c>
      <c r="AC273" t="s">
        <v>301</v>
      </c>
      <c r="AD273" t="s">
        <v>1141</v>
      </c>
      <c r="AE273" t="s">
        <v>1171</v>
      </c>
    </row>
    <row r="274" spans="1:31" ht="137" thickBot="1" x14ac:dyDescent="0.25">
      <c r="A274" t="s">
        <v>1171</v>
      </c>
      <c r="B274" t="s">
        <v>1446</v>
      </c>
      <c r="C274" t="str">
        <f>"CONF-"&amp;TEXT(us_core_reqs[[#This Row],[ID*]], "0000")</f>
        <v>CONF-0273</v>
      </c>
      <c r="D274" s="11" t="s">
        <v>849</v>
      </c>
      <c r="E274" s="73" t="str" cm="1">
        <f t="array" ref="E274">_xlfn.TEXTJOIN(", ", TRUE, _xlfn.TEXTAFTER(_xlfn.TEXTSPLIT(us_core_reqs[[#This Row],[URL*]], ", "), "/", -1))</f>
        <v>screening-and-assessments.html#choosing-between-questionnaireresponse-and-observation</v>
      </c>
      <c r="F274" s="11" t="s">
        <v>300</v>
      </c>
      <c r="G274" t="s">
        <v>64</v>
      </c>
      <c r="H274" cm="1">
        <f t="array" ref="H274">_xlfn.SWITCH(G274, "SHALL", 1, "SHOULD", 3, "MAY", 5, "SHOULD-NOT", 4, "SHALL-NOT", 2, "DEPRECATED", 6, 99)</f>
        <v>6</v>
      </c>
      <c r="I274" t="s">
        <v>1893</v>
      </c>
      <c r="J274" t="s">
        <v>30</v>
      </c>
      <c r="K274" t="s">
        <v>1171</v>
      </c>
      <c r="L274" t="s">
        <v>1171</v>
      </c>
      <c r="M274" t="s">
        <v>1173</v>
      </c>
      <c r="N274" t="s">
        <v>1171</v>
      </c>
      <c r="O274" t="s">
        <v>1171</v>
      </c>
      <c r="P274" t="s">
        <v>1171</v>
      </c>
      <c r="Q274" t="s">
        <v>1171</v>
      </c>
      <c r="R274" t="s">
        <v>1171</v>
      </c>
      <c r="S274" s="70" t="str" cm="1">
        <f t="array" ref="S274">_xlfn.TEXTJOIN(",",TRUE,LEFT(TRIM(_xlfn.TEXTSPLIT(us_core_reqs[[#This Row],[reference]],",")),FIND(".html",TRIM(_xlfn.TEXTSPLIT(us_core_reqs[[#This Row],[reference]],",")))-1))</f>
        <v>screening-and-assessments</v>
      </c>
      <c r="T274" s="70" t="str" cm="1">
        <f t="array" ref="T274">_xlfn.TEXTJOIN(",",TRUE,MID(TRIM(_xlfn.TEXTSPLIT(us_core_reqs[[#This Row],[reference]],",")),FIND("#",TRIM(_xlfn.TEXTSPLIT(us_core_reqs[[#This Row],[reference]],","))&amp;"#")+1,1000))</f>
        <v>choosing-between-questionnaireresponse-and-observation</v>
      </c>
      <c r="U274"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t="s">
        <v>1171</v>
      </c>
      <c r="W274" t="s">
        <v>1171</v>
      </c>
      <c r="X274" t="s">
        <v>302</v>
      </c>
      <c r="Y274" t="s">
        <v>1171</v>
      </c>
      <c r="Z274" t="s">
        <v>1171</v>
      </c>
      <c r="AA274" t="s">
        <v>1171</v>
      </c>
      <c r="AB274" t="s">
        <v>1171</v>
      </c>
      <c r="AC274" t="s">
        <v>1171</v>
      </c>
      <c r="AD274" t="s">
        <v>1141</v>
      </c>
      <c r="AE274" t="s">
        <v>1171</v>
      </c>
    </row>
    <row r="275" spans="1:31" ht="180" customHeight="1" thickBot="1" x14ac:dyDescent="0.25">
      <c r="A275" t="s">
        <v>1171</v>
      </c>
      <c r="B275" t="s">
        <v>1447</v>
      </c>
      <c r="C275" t="str">
        <f>"CONF-"&amp;TEXT(us_core_reqs[[#This Row],[ID*]], "0000")</f>
        <v>CONF-0274</v>
      </c>
      <c r="D275" s="11" t="s">
        <v>849</v>
      </c>
      <c r="E275" s="73" t="str" cm="1">
        <f t="array" ref="E275">_xlfn.TEXTJOIN(", ", TRUE, _xlfn.TEXTAFTER(_xlfn.TEXTSPLIT(us_core_reqs[[#This Row],[URL*]], ", "), "/", -1))</f>
        <v>screening-and-assessments.html#choosing-between-questionnaireresponse-and-observation</v>
      </c>
      <c r="F275" s="11" t="s">
        <v>303</v>
      </c>
      <c r="G275" t="s">
        <v>64</v>
      </c>
      <c r="H275" cm="1">
        <f t="array" ref="H275">_xlfn.SWITCH(G275, "SHALL", 1, "SHOULD", 3, "MAY", 5, "SHOULD-NOT", 4, "SHALL-NOT", 2, "DEPRECATED", 6, 99)</f>
        <v>6</v>
      </c>
      <c r="I275" t="s">
        <v>1893</v>
      </c>
      <c r="J275" t="s">
        <v>30</v>
      </c>
      <c r="K275" t="s">
        <v>1171</v>
      </c>
      <c r="L275" t="s">
        <v>1171</v>
      </c>
      <c r="M275" t="s">
        <v>1173</v>
      </c>
      <c r="N275" t="s">
        <v>1171</v>
      </c>
      <c r="O275" t="s">
        <v>1171</v>
      </c>
      <c r="P275" t="s">
        <v>1171</v>
      </c>
      <c r="Q275" t="s">
        <v>1171</v>
      </c>
      <c r="R275" t="s">
        <v>1171</v>
      </c>
      <c r="S275" s="70" t="str" cm="1">
        <f t="array" ref="S275">_xlfn.TEXTJOIN(",",TRUE,LEFT(TRIM(_xlfn.TEXTSPLIT(us_core_reqs[[#This Row],[reference]],",")),FIND(".html",TRIM(_xlfn.TEXTSPLIT(us_core_reqs[[#This Row],[reference]],",")))-1))</f>
        <v>screening-and-assessments</v>
      </c>
      <c r="T275" s="70" t="str" cm="1">
        <f t="array" ref="T275">_xlfn.TEXTJOIN(",",TRUE,MID(TRIM(_xlfn.TEXTSPLIT(us_core_reqs[[#This Row],[reference]],",")),FIND("#",TRIM(_xlfn.TEXTSPLIT(us_core_reqs[[#This Row],[reference]],","))&amp;"#")+1,1000))</f>
        <v>choosing-between-questionnaireresponse-and-observation</v>
      </c>
      <c r="U275"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t="s">
        <v>29</v>
      </c>
      <c r="W275" t="s">
        <v>1171</v>
      </c>
      <c r="X275" t="s">
        <v>302</v>
      </c>
      <c r="Y275" t="s">
        <v>1171</v>
      </c>
      <c r="Z275" t="s">
        <v>1171</v>
      </c>
      <c r="AA275" t="s">
        <v>1171</v>
      </c>
      <c r="AB275" t="s">
        <v>1171</v>
      </c>
      <c r="AC275" t="s">
        <v>1171</v>
      </c>
      <c r="AD275" t="s">
        <v>1141</v>
      </c>
      <c r="AE275" t="s">
        <v>1171</v>
      </c>
    </row>
    <row r="276" spans="1:31" ht="35" thickBot="1" x14ac:dyDescent="0.25">
      <c r="A276" t="s">
        <v>1171</v>
      </c>
      <c r="B276" t="s">
        <v>1448</v>
      </c>
      <c r="C276" t="str">
        <f>"CONF-"&amp;TEXT(us_core_reqs[[#This Row],[ID*]], "0000")</f>
        <v>CONF-0275</v>
      </c>
      <c r="D276" s="11" t="s">
        <v>632</v>
      </c>
      <c r="E276" s="73" t="str" cm="1">
        <f t="array" ref="E276">_xlfn.TEXTJOIN(", ", TRUE, _xlfn.TEXTAFTER(_xlfn.TEXTSPLIT(us_core_reqs[[#This Row],[URL*]], ", "), "/", -1))</f>
        <v>screening-and-assessments.html#category-codes</v>
      </c>
      <c r="F276" s="11" t="s">
        <v>737</v>
      </c>
      <c r="G276" t="s">
        <v>35</v>
      </c>
      <c r="H276" cm="1">
        <f t="array" ref="H276">_xlfn.SWITCH(G276, "SHALL", 1, "SHOULD", 3, "MAY", 5, "SHOULD-NOT", 4, "SHALL-NOT", 2, "DEPRECATED", 6, 99)</f>
        <v>5</v>
      </c>
      <c r="I276" t="s">
        <v>1882</v>
      </c>
      <c r="J276" t="s">
        <v>58</v>
      </c>
      <c r="K276" t="s">
        <v>1171</v>
      </c>
      <c r="L276" t="s">
        <v>1171</v>
      </c>
      <c r="M276" t="s">
        <v>1173</v>
      </c>
      <c r="N276" t="s">
        <v>1171</v>
      </c>
      <c r="O276" t="s">
        <v>1171</v>
      </c>
      <c r="P276" t="s">
        <v>1171</v>
      </c>
      <c r="Q276" t="s">
        <v>1171</v>
      </c>
      <c r="R276" t="s">
        <v>1171</v>
      </c>
      <c r="S276" s="70" t="str" cm="1">
        <f t="array" ref="S276">_xlfn.TEXTJOIN(",",TRUE,LEFT(TRIM(_xlfn.TEXTSPLIT(us_core_reqs[[#This Row],[reference]],",")),FIND(".html",TRIM(_xlfn.TEXTSPLIT(us_core_reqs[[#This Row],[reference]],",")))-1))</f>
        <v>screening-and-assessments</v>
      </c>
      <c r="T276" s="70" t="str" cm="1">
        <f t="array" ref="T276">_xlfn.TEXTJOIN(",",TRUE,MID(TRIM(_xlfn.TEXTSPLIT(us_core_reqs[[#This Row],[reference]],",")),FIND("#",TRIM(_xlfn.TEXTSPLIT(us_core_reqs[[#This Row],[reference]],","))&amp;"#")+1,1000))</f>
        <v>category-codes</v>
      </c>
      <c r="U276" t="str" cm="1">
        <f t="array" ref="U276">_xlfn.TEXTJOIN(", ",TRUE,SUBSTITUTE(SUBSTITUTE(PROPER(SUBSTITUTE(TRIM(_xlfn.TEXTSPLIT(us_core_reqs[[#This Row],[Page]],","))," -"," "))&amp;": "&amp;PROPER(SUBSTITUTE(TRIM(_xlfn.TEXTSPLIT(us_core_reqs[[#This Row],[Section]],","))," -"," ")),"Us ","US        
  "),"Uscdi","USCDI"))</f>
        <v>Screening-And-Assessments: Category-Codes</v>
      </c>
      <c r="V276" t="s">
        <v>1171</v>
      </c>
      <c r="W276" t="s">
        <v>1171</v>
      </c>
      <c r="X276" t="s">
        <v>1171</v>
      </c>
      <c r="Y276" t="s">
        <v>1171</v>
      </c>
      <c r="Z276" t="s">
        <v>1171</v>
      </c>
      <c r="AA276" t="s">
        <v>1171</v>
      </c>
      <c r="AB276" t="s">
        <v>1171</v>
      </c>
      <c r="AC276" t="s">
        <v>738</v>
      </c>
      <c r="AD276" t="s">
        <v>1171</v>
      </c>
      <c r="AE276" t="s">
        <v>1171</v>
      </c>
    </row>
    <row r="277" spans="1:31" ht="103" thickBot="1" x14ac:dyDescent="0.25">
      <c r="A277" t="s">
        <v>1171</v>
      </c>
      <c r="B277" t="s">
        <v>1449</v>
      </c>
      <c r="C277" t="str">
        <f>"CONF-"&amp;TEXT(us_core_reqs[[#This Row],[ID*]], "0000")</f>
        <v>CONF-0276</v>
      </c>
      <c r="D277" s="11" t="s">
        <v>632</v>
      </c>
      <c r="E277" s="73" t="str" cm="1">
        <f t="array" ref="E277">_xlfn.TEXTJOIN(", ", TRUE, _xlfn.TEXTAFTER(_xlfn.TEXTSPLIT(us_core_reqs[[#This Row],[URL*]], ", "), "/", -1))</f>
        <v>screening-and-assessments.html#category-codes</v>
      </c>
      <c r="F277" s="11" t="s">
        <v>1939</v>
      </c>
      <c r="G277" t="s">
        <v>64</v>
      </c>
      <c r="H277" cm="1">
        <f t="array" ref="H277">_xlfn.SWITCH(G277, "SHALL", 1, "SHOULD", 3, "MAY", 5, "SHOULD-NOT", 4, "SHALL-NOT", 2, "DEPRECATED", 6, 99)</f>
        <v>6</v>
      </c>
      <c r="J277" t="s">
        <v>30</v>
      </c>
      <c r="K277" t="s">
        <v>1171</v>
      </c>
      <c r="L277" t="s">
        <v>1171</v>
      </c>
      <c r="M277" t="s">
        <v>1173</v>
      </c>
      <c r="N277" t="s">
        <v>1171</v>
      </c>
      <c r="O277" t="s">
        <v>1171</v>
      </c>
      <c r="P277" t="s">
        <v>1171</v>
      </c>
      <c r="Q277" t="s">
        <v>1171</v>
      </c>
      <c r="R277" t="s">
        <v>1171</v>
      </c>
      <c r="S277" s="70" t="str" cm="1">
        <f t="array" ref="S277">_xlfn.TEXTJOIN(",",TRUE,LEFT(TRIM(_xlfn.TEXTSPLIT(us_core_reqs[[#This Row],[reference]],",")),FIND(".html",TRIM(_xlfn.TEXTSPLIT(us_core_reqs[[#This Row],[reference]],",")))-1))</f>
        <v>screening-and-assessments</v>
      </c>
      <c r="T277" s="70" t="str" cm="1">
        <f t="array" ref="T277">_xlfn.TEXTJOIN(",",TRUE,MID(TRIM(_xlfn.TEXTSPLIT(us_core_reqs[[#This Row],[reference]],",")),FIND("#",TRIM(_xlfn.TEXTSPLIT(us_core_reqs[[#This Row],[reference]],","))&amp;"#")+1,1000))</f>
        <v>category-codes</v>
      </c>
      <c r="U277" t="str" cm="1">
        <f t="array" ref="U277">_xlfn.TEXTJOIN(", ",TRUE,SUBSTITUTE(SUBSTITUTE(PROPER(SUBSTITUTE(TRIM(_xlfn.TEXTSPLIT(us_core_reqs[[#This Row],[Page]],","))," -"," "))&amp;": "&amp;PROPER(SUBSTITUTE(TRIM(_xlfn.TEXTSPLIT(us_core_reqs[[#This Row],[Section]],","))," -"," ")),"Us ","US        
  "),"Uscdi","USCDI"))</f>
        <v>Screening-And-Assessments: Category-Codes</v>
      </c>
      <c r="V277" t="s">
        <v>32</v>
      </c>
      <c r="W277" t="s">
        <v>1171</v>
      </c>
      <c r="X277" t="s">
        <v>302</v>
      </c>
      <c r="Y277" t="s">
        <v>1171</v>
      </c>
      <c r="Z277" t="s">
        <v>1171</v>
      </c>
      <c r="AA277" t="s">
        <v>1171</v>
      </c>
      <c r="AB277" t="s">
        <v>1171</v>
      </c>
      <c r="AC277" t="s">
        <v>646</v>
      </c>
      <c r="AD277" t="s">
        <v>1171</v>
      </c>
      <c r="AE277" t="s">
        <v>1171</v>
      </c>
    </row>
    <row r="278" spans="1:31" ht="86" thickBot="1" x14ac:dyDescent="0.25">
      <c r="A278" t="s">
        <v>1171</v>
      </c>
      <c r="B278" t="s">
        <v>1450</v>
      </c>
      <c r="C278" t="str">
        <f>"CONF-"&amp;TEXT(us_core_reqs[[#This Row],[ID*]], "0000")</f>
        <v>CONF-0277</v>
      </c>
      <c r="D278" s="11" t="s">
        <v>632</v>
      </c>
      <c r="E278" s="73" t="str" cm="1">
        <f t="array" ref="E278">_xlfn.TEXTJOIN(", ", TRUE, _xlfn.TEXTAFTER(_xlfn.TEXTSPLIT(us_core_reqs[[#This Row],[URL*]], ", "), "/", -1))</f>
        <v>screening-and-assessments.html#category-codes</v>
      </c>
      <c r="F278" s="11" t="s">
        <v>1940</v>
      </c>
      <c r="G278" t="s">
        <v>64</v>
      </c>
      <c r="H278" cm="1">
        <f t="array" ref="H278">_xlfn.SWITCH(G278, "SHALL", 1, "SHOULD", 3, "MAY", 5, "SHOULD-NOT", 4, "SHALL-NOT", 2, "DEPRECATED", 6, 99)</f>
        <v>6</v>
      </c>
      <c r="J278" t="s">
        <v>30</v>
      </c>
      <c r="K278" t="s">
        <v>1171</v>
      </c>
      <c r="L278" t="s">
        <v>1171</v>
      </c>
      <c r="M278" t="s">
        <v>1173</v>
      </c>
      <c r="N278" t="s">
        <v>1171</v>
      </c>
      <c r="O278" t="s">
        <v>1171</v>
      </c>
      <c r="P278" t="s">
        <v>1171</v>
      </c>
      <c r="Q278" t="s">
        <v>1171</v>
      </c>
      <c r="R278" t="s">
        <v>1171</v>
      </c>
      <c r="S278" s="70" t="str" cm="1">
        <f t="array" ref="S278">_xlfn.TEXTJOIN(",",TRUE,LEFT(TRIM(_xlfn.TEXTSPLIT(us_core_reqs[[#This Row],[reference]],",")),FIND(".html",TRIM(_xlfn.TEXTSPLIT(us_core_reqs[[#This Row],[reference]],",")))-1))</f>
        <v>screening-and-assessments</v>
      </c>
      <c r="T278" s="70" t="str" cm="1">
        <f t="array" ref="T278">_xlfn.TEXTJOIN(",",TRUE,MID(TRIM(_xlfn.TEXTSPLIT(us_core_reqs[[#This Row],[reference]],",")),FIND("#",TRIM(_xlfn.TEXTSPLIT(us_core_reqs[[#This Row],[reference]],","))&amp;"#")+1,1000))</f>
        <v>category-codes</v>
      </c>
      <c r="U278" t="str" cm="1">
        <f t="array" ref="U278">_xlfn.TEXTJOIN(", ",TRUE,SUBSTITUTE(SUBSTITUTE(PROPER(SUBSTITUTE(TRIM(_xlfn.TEXTSPLIT(us_core_reqs[[#This Row],[Page]],","))," -"," "))&amp;": "&amp;PROPER(SUBSTITUTE(TRIM(_xlfn.TEXTSPLIT(us_core_reqs[[#This Row],[Section]],","))," -"," ")),"Us ","US        
  "),"Uscdi","USCDI"))</f>
        <v>Screening-And-Assessments: Category-Codes</v>
      </c>
      <c r="V278" t="s">
        <v>32</v>
      </c>
      <c r="W278" t="s">
        <v>1171</v>
      </c>
      <c r="X278" t="s">
        <v>302</v>
      </c>
      <c r="Y278" t="s">
        <v>1171</v>
      </c>
      <c r="Z278" t="s">
        <v>1171</v>
      </c>
      <c r="AA278" t="s">
        <v>1171</v>
      </c>
      <c r="AB278" t="s">
        <v>1171</v>
      </c>
      <c r="AC278" t="s">
        <v>646</v>
      </c>
      <c r="AD278" t="s">
        <v>1171</v>
      </c>
      <c r="AE278" t="s">
        <v>1171</v>
      </c>
    </row>
    <row r="279" spans="1:31" ht="69" thickBot="1" x14ac:dyDescent="0.25">
      <c r="A279" t="s">
        <v>1171</v>
      </c>
      <c r="B279" t="s">
        <v>1451</v>
      </c>
      <c r="C279" t="str">
        <f>"CONF-"&amp;TEXT(us_core_reqs[[#This Row],[ID*]], "0000")</f>
        <v>CONF-0278</v>
      </c>
      <c r="D279" s="11" t="s">
        <v>632</v>
      </c>
      <c r="E279" s="73" t="str" cm="1">
        <f t="array" ref="E279">_xlfn.TEXTJOIN(", ", TRUE, _xlfn.TEXTAFTER(_xlfn.TEXTSPLIT(us_core_reqs[[#This Row],[URL*]], ", "), "/", -1))</f>
        <v>screening-and-assessments.html#category-codes</v>
      </c>
      <c r="F279" s="11" t="s">
        <v>1941</v>
      </c>
      <c r="G279" t="s">
        <v>64</v>
      </c>
      <c r="H279" cm="1">
        <f t="array" ref="H279">_xlfn.SWITCH(G279, "SHALL", 1, "SHOULD", 3, "MAY", 5, "SHOULD-NOT", 4, "SHALL-NOT", 2, "DEPRECATED", 6, 99)</f>
        <v>6</v>
      </c>
      <c r="J279" t="s">
        <v>30</v>
      </c>
      <c r="K279" t="s">
        <v>1171</v>
      </c>
      <c r="L279" t="s">
        <v>1171</v>
      </c>
      <c r="M279" t="s">
        <v>1173</v>
      </c>
      <c r="N279" t="s">
        <v>1171</v>
      </c>
      <c r="O279" t="s">
        <v>1171</v>
      </c>
      <c r="P279" t="s">
        <v>1171</v>
      </c>
      <c r="Q279" t="s">
        <v>1171</v>
      </c>
      <c r="R279" t="s">
        <v>1171</v>
      </c>
      <c r="S279" s="70" t="str" cm="1">
        <f t="array" ref="S279">_xlfn.TEXTJOIN(",",TRUE,LEFT(TRIM(_xlfn.TEXTSPLIT(us_core_reqs[[#This Row],[reference]],",")),FIND(".html",TRIM(_xlfn.TEXTSPLIT(us_core_reqs[[#This Row],[reference]],",")))-1))</f>
        <v>screening-and-assessments</v>
      </c>
      <c r="T279" s="70" t="str" cm="1">
        <f t="array" ref="T279">_xlfn.TEXTJOIN(",",TRUE,MID(TRIM(_xlfn.TEXTSPLIT(us_core_reqs[[#This Row],[reference]],",")),FIND("#",TRIM(_xlfn.TEXTSPLIT(us_core_reqs[[#This Row],[reference]],","))&amp;"#")+1,1000))</f>
        <v>category-codes</v>
      </c>
      <c r="U279" t="str" cm="1">
        <f t="array" ref="U279">_xlfn.TEXTJOIN(", ",TRUE,SUBSTITUTE(SUBSTITUTE(PROPER(SUBSTITUTE(TRIM(_xlfn.TEXTSPLIT(us_core_reqs[[#This Row],[Page]],","))," -"," "))&amp;": "&amp;PROPER(SUBSTITUTE(TRIM(_xlfn.TEXTSPLIT(us_core_reqs[[#This Row],[Section]],","))," -"," ")),"Us ","US        
  "),"Uscdi","USCDI"))</f>
        <v>Screening-And-Assessments: Category-Codes</v>
      </c>
      <c r="V279" t="s">
        <v>32</v>
      </c>
      <c r="W279" t="s">
        <v>1171</v>
      </c>
      <c r="X279" t="s">
        <v>302</v>
      </c>
      <c r="Y279" t="s">
        <v>1171</v>
      </c>
      <c r="Z279" t="s">
        <v>1171</v>
      </c>
      <c r="AA279" t="s">
        <v>1171</v>
      </c>
      <c r="AB279" t="s">
        <v>1171</v>
      </c>
      <c r="AC279" t="s">
        <v>646</v>
      </c>
      <c r="AD279" t="s">
        <v>1171</v>
      </c>
      <c r="AE279" t="s">
        <v>1171</v>
      </c>
    </row>
    <row r="280" spans="1:31" ht="103" thickBot="1" x14ac:dyDescent="0.25">
      <c r="A280" t="s">
        <v>1171</v>
      </c>
      <c r="B280" t="s">
        <v>1452</v>
      </c>
      <c r="C280" t="str">
        <f>"CONF-"&amp;TEXT(us_core_reqs[[#This Row],[ID*]], "0000")</f>
        <v>CONF-0279</v>
      </c>
      <c r="D280" s="11" t="s">
        <v>632</v>
      </c>
      <c r="E280" s="73" t="str" cm="1">
        <f t="array" ref="E280">_xlfn.TEXTJOIN(", ", TRUE, _xlfn.TEXTAFTER(_xlfn.TEXTSPLIT(us_core_reqs[[#This Row],[URL*]], ", "), "/", -1))</f>
        <v>screening-and-assessments.html#category-codes</v>
      </c>
      <c r="F280" s="11" t="s">
        <v>1942</v>
      </c>
      <c r="G280" t="s">
        <v>64</v>
      </c>
      <c r="H280" cm="1">
        <f t="array" ref="H280">_xlfn.SWITCH(G280, "SHALL", 1, "SHOULD", 3, "MAY", 5, "SHOULD-NOT", 4, "SHALL-NOT", 2, "DEPRECATED", 6, 99)</f>
        <v>6</v>
      </c>
      <c r="J280" t="s">
        <v>30</v>
      </c>
      <c r="K280" t="s">
        <v>1171</v>
      </c>
      <c r="L280" t="s">
        <v>1171</v>
      </c>
      <c r="M280" t="s">
        <v>1173</v>
      </c>
      <c r="N280" t="s">
        <v>1171</v>
      </c>
      <c r="O280" t="s">
        <v>1171</v>
      </c>
      <c r="P280" t="s">
        <v>1171</v>
      </c>
      <c r="Q280" t="s">
        <v>1171</v>
      </c>
      <c r="R280" t="s">
        <v>1171</v>
      </c>
      <c r="S280" s="70" t="str" cm="1">
        <f t="array" ref="S280">_xlfn.TEXTJOIN(",",TRUE,LEFT(TRIM(_xlfn.TEXTSPLIT(us_core_reqs[[#This Row],[reference]],",")),FIND(".html",TRIM(_xlfn.TEXTSPLIT(us_core_reqs[[#This Row],[reference]],",")))-1))</f>
        <v>screening-and-assessments</v>
      </c>
      <c r="T280" s="70" t="str" cm="1">
        <f t="array" ref="T280">_xlfn.TEXTJOIN(",",TRUE,MID(TRIM(_xlfn.TEXTSPLIT(us_core_reqs[[#This Row],[reference]],",")),FIND("#",TRIM(_xlfn.TEXTSPLIT(us_core_reqs[[#This Row],[reference]],","))&amp;"#")+1,1000))</f>
        <v>category-codes</v>
      </c>
      <c r="U280" t="str" cm="1">
        <f t="array" ref="U280">_xlfn.TEXTJOIN(", ",TRUE,SUBSTITUTE(SUBSTITUTE(PROPER(SUBSTITUTE(TRIM(_xlfn.TEXTSPLIT(us_core_reqs[[#This Row],[Page]],","))," -"," "))&amp;": "&amp;PROPER(SUBSTITUTE(TRIM(_xlfn.TEXTSPLIT(us_core_reqs[[#This Row],[Section]],","))," -"," ")),"Us ","US        
  "),"Uscdi","USCDI"))</f>
        <v>Screening-And-Assessments: Category-Codes</v>
      </c>
      <c r="V280" t="s">
        <v>32</v>
      </c>
      <c r="W280" t="s">
        <v>1171</v>
      </c>
      <c r="X280" t="s">
        <v>302</v>
      </c>
      <c r="Y280" t="s">
        <v>1171</v>
      </c>
      <c r="Z280" t="s">
        <v>1171</v>
      </c>
      <c r="AA280" t="s">
        <v>1171</v>
      </c>
      <c r="AB280" t="s">
        <v>1171</v>
      </c>
      <c r="AC280" t="s">
        <v>646</v>
      </c>
      <c r="AD280" t="s">
        <v>1171</v>
      </c>
      <c r="AE280" t="s">
        <v>1171</v>
      </c>
    </row>
    <row r="281" spans="1:31" ht="69" thickBot="1" x14ac:dyDescent="0.25">
      <c r="A281" t="s">
        <v>1171</v>
      </c>
      <c r="B281" t="s">
        <v>1453</v>
      </c>
      <c r="C281" t="str">
        <f>"CONF-"&amp;TEXT(us_core_reqs[[#This Row],[ID*]], "0000")</f>
        <v>CONF-0280</v>
      </c>
      <c r="D281" s="11" t="s">
        <v>850</v>
      </c>
      <c r="E281" s="73" t="str" cm="1">
        <f t="array" ref="E281">_xlfn.TEXTJOIN(", ", TRUE, _xlfn.TEXTAFTER(_xlfn.TEXTSPLIT(us_core_reqs[[#This Row],[URL*]], ", "), "/", -1))</f>
        <v>screening-and-assessments.html#uscdi-health-assessments-data-element-value-sets</v>
      </c>
      <c r="F281" s="11" t="s">
        <v>1943</v>
      </c>
      <c r="G281" t="s">
        <v>32</v>
      </c>
      <c r="H281" cm="1">
        <f t="array" ref="H281">_xlfn.SWITCH(G281, "SHALL", 1, "SHOULD", 3, "MAY", 5, "SHOULD-NOT", 4, "SHALL-NOT", 2, "DEPRECATED", 6, 99)</f>
        <v>3</v>
      </c>
      <c r="J281" t="s">
        <v>30</v>
      </c>
      <c r="K281" t="s">
        <v>1171</v>
      </c>
      <c r="L281" t="s">
        <v>1171</v>
      </c>
      <c r="M281" t="s">
        <v>1173</v>
      </c>
      <c r="N281" t="s">
        <v>1171</v>
      </c>
      <c r="O281" t="s">
        <v>1171</v>
      </c>
      <c r="P281" t="s">
        <v>1171</v>
      </c>
      <c r="Q281" t="s">
        <v>1171</v>
      </c>
      <c r="R281" t="s">
        <v>1171</v>
      </c>
      <c r="S281" s="70" t="str" cm="1">
        <f t="array" ref="S281">_xlfn.TEXTJOIN(",",TRUE,LEFT(TRIM(_xlfn.TEXTSPLIT(us_core_reqs[[#This Row],[reference]],",")),FIND(".html",TRIM(_xlfn.TEXTSPLIT(us_core_reqs[[#This Row],[reference]],",")))-1))</f>
        <v>screening-and-assessments</v>
      </c>
      <c r="T281" s="70" t="str" cm="1">
        <f t="array" ref="T281">_xlfn.TEXTJOIN(",",TRUE,MID(TRIM(_xlfn.TEXTSPLIT(us_core_reqs[[#This Row],[reference]],",")),FIND("#",TRIM(_xlfn.TEXTSPLIT(us_core_reqs[[#This Row],[reference]],","))&amp;"#")+1,1000))</f>
        <v>uscdi-health-assessments-data-element-value-sets</v>
      </c>
      <c r="U281"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t="s">
        <v>32</v>
      </c>
      <c r="W281" t="s">
        <v>1171</v>
      </c>
      <c r="X281" t="s">
        <v>302</v>
      </c>
      <c r="Y281" t="s">
        <v>1171</v>
      </c>
      <c r="Z281" t="s">
        <v>1171</v>
      </c>
      <c r="AA281" t="s">
        <v>1171</v>
      </c>
      <c r="AB281" t="s">
        <v>1171</v>
      </c>
      <c r="AC281" t="s">
        <v>1171</v>
      </c>
      <c r="AD281" t="s">
        <v>1171</v>
      </c>
      <c r="AE281" t="s">
        <v>1171</v>
      </c>
    </row>
    <row r="282" spans="1:31" ht="188" thickBot="1" x14ac:dyDescent="0.25">
      <c r="A282" t="s">
        <v>1171</v>
      </c>
      <c r="B282" t="s">
        <v>1454</v>
      </c>
      <c r="C282" t="str">
        <f>"CONF-"&amp;TEXT(us_core_reqs[[#This Row],[ID*]], "0000")</f>
        <v>CONF-0281</v>
      </c>
      <c r="D282" s="11" t="s">
        <v>850</v>
      </c>
      <c r="E282" s="73" t="str" cm="1">
        <f t="array" ref="E282">_xlfn.TEXTJOIN(", ", TRUE, _xlfn.TEXTAFTER(_xlfn.TEXTSPLIT(us_core_reqs[[#This Row],[URL*]], ", "), "/", -1))</f>
        <v>screening-and-assessments.html#uscdi-health-assessments-data-element-value-sets</v>
      </c>
      <c r="F282" s="11" t="s">
        <v>1944</v>
      </c>
      <c r="G282" t="s">
        <v>32</v>
      </c>
      <c r="H282" cm="1">
        <f t="array" ref="H282">_xlfn.SWITCH(G282, "SHALL", 1, "SHOULD", 3, "MAY", 5, "SHOULD-NOT", 4, "SHALL-NOT", 2, "DEPRECATED", 6, 99)</f>
        <v>3</v>
      </c>
      <c r="J282" t="s">
        <v>30</v>
      </c>
      <c r="K282" t="s">
        <v>1171</v>
      </c>
      <c r="L282" t="s">
        <v>1171</v>
      </c>
      <c r="M282" t="s">
        <v>1173</v>
      </c>
      <c r="N282" t="s">
        <v>1171</v>
      </c>
      <c r="O282" t="s">
        <v>1171</v>
      </c>
      <c r="P282" t="s">
        <v>1171</v>
      </c>
      <c r="Q282" t="s">
        <v>1171</v>
      </c>
      <c r="R282" t="s">
        <v>1171</v>
      </c>
      <c r="S282" s="70" t="str" cm="1">
        <f t="array" ref="S282">_xlfn.TEXTJOIN(",",TRUE,LEFT(TRIM(_xlfn.TEXTSPLIT(us_core_reqs[[#This Row],[reference]],",")),FIND(".html",TRIM(_xlfn.TEXTSPLIT(us_core_reqs[[#This Row],[reference]],",")))-1))</f>
        <v>screening-and-assessments</v>
      </c>
      <c r="T282" s="70" t="str" cm="1">
        <f t="array" ref="T282">_xlfn.TEXTJOIN(",",TRUE,MID(TRIM(_xlfn.TEXTSPLIT(us_core_reqs[[#This Row],[reference]],",")),FIND("#",TRIM(_xlfn.TEXTSPLIT(us_core_reqs[[#This Row],[reference]],","))&amp;"#")+1,1000))</f>
        <v>uscdi-health-assessments-data-element-value-sets</v>
      </c>
      <c r="U282"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t="s">
        <v>32</v>
      </c>
      <c r="W282" t="s">
        <v>30</v>
      </c>
      <c r="X282" t="s">
        <v>33</v>
      </c>
      <c r="Y282" t="s">
        <v>1171</v>
      </c>
      <c r="Z282" t="s">
        <v>1171</v>
      </c>
      <c r="AA282" t="s">
        <v>1171</v>
      </c>
      <c r="AB282" t="s">
        <v>1171</v>
      </c>
      <c r="AC282" t="s">
        <v>1171</v>
      </c>
      <c r="AD282" t="s">
        <v>1171</v>
      </c>
      <c r="AE282" t="s">
        <v>1171</v>
      </c>
    </row>
    <row r="283" spans="1:31" ht="35" thickBot="1" x14ac:dyDescent="0.25">
      <c r="A283" t="s">
        <v>1171</v>
      </c>
      <c r="B283" t="s">
        <v>1455</v>
      </c>
      <c r="C283" t="str">
        <f>"CONF-"&amp;TEXT(us_core_reqs[[#This Row],[ID*]], "0000")</f>
        <v>CONF-0282</v>
      </c>
      <c r="D283" s="11" t="s">
        <v>851</v>
      </c>
      <c r="E283" s="73" t="str" cm="1">
        <f t="array" ref="E283">_xlfn.TEXTJOIN(", ", TRUE, _xlfn.TEXTAFTER(_xlfn.TEXTSPLIT(us_core_reqs[[#This Row],[URL*]], ", "), "/", -1))</f>
        <v>changes-between-versions.html#endpoint-discoverability</v>
      </c>
      <c r="F283" s="11" t="s">
        <v>1036</v>
      </c>
      <c r="G283" t="s">
        <v>64</v>
      </c>
      <c r="H283" cm="1">
        <f t="array" ref="H283">_xlfn.SWITCH(G283, "SHALL", 1, "SHOULD", 3, "MAY", 5, "SHOULD-NOT", 4, "SHALL-NOT", 2, "DEPRECATED", 6, 99)</f>
        <v>6</v>
      </c>
      <c r="I283" t="s">
        <v>1895</v>
      </c>
      <c r="J283" t="s">
        <v>30</v>
      </c>
      <c r="K283" t="s">
        <v>1171</v>
      </c>
      <c r="L283" t="s">
        <v>1171</v>
      </c>
      <c r="M283" t="s">
        <v>1173</v>
      </c>
      <c r="N283" t="s">
        <v>1171</v>
      </c>
      <c r="O283" t="s">
        <v>1171</v>
      </c>
      <c r="P283" t="s">
        <v>1171</v>
      </c>
      <c r="Q283" t="s">
        <v>1171</v>
      </c>
      <c r="R283" t="s">
        <v>1171</v>
      </c>
      <c r="S283" s="70" t="str" cm="1">
        <f t="array" ref="S283">_xlfn.TEXTJOIN(",",TRUE,LEFT(TRIM(_xlfn.TEXTSPLIT(us_core_reqs[[#This Row],[reference]],",")),FIND(".html",TRIM(_xlfn.TEXTSPLIT(us_core_reqs[[#This Row],[reference]],",")))-1))</f>
        <v>changes-between-versions</v>
      </c>
      <c r="T283" s="70" t="str" cm="1">
        <f t="array" ref="T283">_xlfn.TEXTJOIN(",",TRUE,MID(TRIM(_xlfn.TEXTSPLIT(us_core_reqs[[#This Row],[reference]],",")),FIND("#",TRIM(_xlfn.TEXTSPLIT(us_core_reqs[[#This Row],[reference]],","))&amp;"#")+1,1000))</f>
        <v>endpoint-discoverability</v>
      </c>
      <c r="U283" t="str" cm="1">
        <f t="array" ref="U283">_xlfn.TEXTJOIN(", ",TRUE,SUBSTITUTE(SUBSTITUTE(PROPER(SUBSTITUTE(TRIM(_xlfn.TEXTSPLIT(us_core_reqs[[#This Row],[Page]],","))," -"," "))&amp;": "&amp;PROPER(SUBSTITUTE(TRIM(_xlfn.TEXTSPLIT(us_core_reqs[[#This Row],[Section]],","))," -"," ")),"Us ","US        
  "),"Uscdi","USCDI"))</f>
        <v>Changes-Between-Versions: Endpoint-Discoverability</v>
      </c>
      <c r="V283" t="s">
        <v>35</v>
      </c>
      <c r="W283" t="s">
        <v>30</v>
      </c>
      <c r="X283" t="s">
        <v>1171</v>
      </c>
      <c r="Y283" t="s">
        <v>1171</v>
      </c>
      <c r="Z283" t="s">
        <v>1171</v>
      </c>
      <c r="AA283" t="s">
        <v>1171</v>
      </c>
      <c r="AB283" t="s">
        <v>1171</v>
      </c>
      <c r="AC283" t="s">
        <v>1171</v>
      </c>
      <c r="AD283" t="s">
        <v>1171</v>
      </c>
      <c r="AE283" t="s">
        <v>1171</v>
      </c>
    </row>
    <row r="284" spans="1:31" ht="35" thickBot="1" x14ac:dyDescent="0.25">
      <c r="A284" t="s">
        <v>1171</v>
      </c>
      <c r="B284" t="s">
        <v>1456</v>
      </c>
      <c r="C284" t="str">
        <f>"CONF-"&amp;TEXT(us_core_reqs[[#This Row],[ID*]], "0000")</f>
        <v>CONF-0283</v>
      </c>
      <c r="D284" s="11" t="s">
        <v>851</v>
      </c>
      <c r="E284" s="73" t="str" cm="1">
        <f t="array" ref="E284">_xlfn.TEXTJOIN(", ", TRUE, _xlfn.TEXTAFTER(_xlfn.TEXTSPLIT(us_core_reqs[[#This Row],[URL*]], ", "), "/", -1))</f>
        <v>changes-between-versions.html#endpoint-discoverability</v>
      </c>
      <c r="F284" s="11" t="s">
        <v>1037</v>
      </c>
      <c r="G284" t="s">
        <v>64</v>
      </c>
      <c r="H284" cm="1">
        <f t="array" ref="H284">_xlfn.SWITCH(G284, "SHALL", 1, "SHOULD", 3, "MAY", 5, "SHOULD-NOT", 4, "SHALL-NOT", 2, "DEPRECATED", 6, 99)</f>
        <v>6</v>
      </c>
      <c r="I284" t="s">
        <v>1895</v>
      </c>
      <c r="J284" t="s">
        <v>30</v>
      </c>
      <c r="K284" t="s">
        <v>1171</v>
      </c>
      <c r="L284" t="s">
        <v>1171</v>
      </c>
      <c r="M284" t="s">
        <v>1173</v>
      </c>
      <c r="N284" t="s">
        <v>1171</v>
      </c>
      <c r="O284" t="s">
        <v>1171</v>
      </c>
      <c r="P284" t="s">
        <v>1171</v>
      </c>
      <c r="Q284" t="s">
        <v>1171</v>
      </c>
      <c r="R284" t="s">
        <v>1171</v>
      </c>
      <c r="S284" s="70" t="str" cm="1">
        <f t="array" ref="S284">_xlfn.TEXTJOIN(",",TRUE,LEFT(TRIM(_xlfn.TEXTSPLIT(us_core_reqs[[#This Row],[reference]],",")),FIND(".html",TRIM(_xlfn.TEXTSPLIT(us_core_reqs[[#This Row],[reference]],",")))-1))</f>
        <v>changes-between-versions</v>
      </c>
      <c r="T284" s="70" t="str" cm="1">
        <f t="array" ref="T284">_xlfn.TEXTJOIN(",",TRUE,MID(TRIM(_xlfn.TEXTSPLIT(us_core_reqs[[#This Row],[reference]],",")),FIND("#",TRIM(_xlfn.TEXTSPLIT(us_core_reqs[[#This Row],[reference]],","))&amp;"#")+1,1000))</f>
        <v>endpoint-discoverability</v>
      </c>
      <c r="U284" t="str" cm="1">
        <f t="array" ref="U284">_xlfn.TEXTJOIN(", ",TRUE,SUBSTITUTE(SUBSTITUTE(PROPER(SUBSTITUTE(TRIM(_xlfn.TEXTSPLIT(us_core_reqs[[#This Row],[Page]],","))," -"," "))&amp;": "&amp;PROPER(SUBSTITUTE(TRIM(_xlfn.TEXTSPLIT(us_core_reqs[[#This Row],[Section]],","))," -"," ")),"Us ","US        
  "),"Uscdi","USCDI"))</f>
        <v>Changes-Between-Versions: Endpoint-Discoverability</v>
      </c>
      <c r="V284" t="s">
        <v>35</v>
      </c>
      <c r="W284" t="s">
        <v>30</v>
      </c>
      <c r="X284" t="s">
        <v>1171</v>
      </c>
      <c r="Y284" t="s">
        <v>1171</v>
      </c>
      <c r="Z284" t="s">
        <v>1171</v>
      </c>
      <c r="AA284" t="s">
        <v>1171</v>
      </c>
      <c r="AB284" t="s">
        <v>1171</v>
      </c>
      <c r="AC284" t="s">
        <v>1171</v>
      </c>
      <c r="AD284" t="s">
        <v>1171</v>
      </c>
      <c r="AE284" t="s">
        <v>1171</v>
      </c>
    </row>
    <row r="285" spans="1:31" ht="35" thickBot="1" x14ac:dyDescent="0.25">
      <c r="A285" t="s">
        <v>1171</v>
      </c>
      <c r="B285" t="s">
        <v>1457</v>
      </c>
      <c r="C285" t="str">
        <f>"CONF-"&amp;TEXT(us_core_reqs[[#This Row],[ID*]], "0000")</f>
        <v>CONF-0284</v>
      </c>
      <c r="D285" s="11" t="s">
        <v>851</v>
      </c>
      <c r="E285" s="73" t="str" cm="1">
        <f t="array" ref="E285">_xlfn.TEXTJOIN(", ", TRUE, _xlfn.TEXTAFTER(_xlfn.TEXTSPLIT(us_core_reqs[[#This Row],[URL*]], ", "), "/", -1))</f>
        <v>changes-between-versions.html#endpoint-discoverability</v>
      </c>
      <c r="F285" s="11" t="s">
        <v>1038</v>
      </c>
      <c r="G285" t="s">
        <v>64</v>
      </c>
      <c r="H285" cm="1">
        <f t="array" ref="H285">_xlfn.SWITCH(G285, "SHALL", 1, "SHOULD", 3, "MAY", 5, "SHOULD-NOT", 4, "SHALL-NOT", 2, "DEPRECATED", 6, 99)</f>
        <v>6</v>
      </c>
      <c r="I285" t="s">
        <v>1895</v>
      </c>
      <c r="J285" t="s">
        <v>30</v>
      </c>
      <c r="K285" t="s">
        <v>1171</v>
      </c>
      <c r="L285" t="s">
        <v>1171</v>
      </c>
      <c r="M285" t="s">
        <v>1173</v>
      </c>
      <c r="N285" t="s">
        <v>1171</v>
      </c>
      <c r="O285" t="s">
        <v>1171</v>
      </c>
      <c r="P285" t="s">
        <v>1171</v>
      </c>
      <c r="Q285" t="s">
        <v>1171</v>
      </c>
      <c r="R285" t="s">
        <v>1171</v>
      </c>
      <c r="S285" s="70" t="str" cm="1">
        <f t="array" ref="S285">_xlfn.TEXTJOIN(",",TRUE,LEFT(TRIM(_xlfn.TEXTSPLIT(us_core_reqs[[#This Row],[reference]],",")),FIND(".html",TRIM(_xlfn.TEXTSPLIT(us_core_reqs[[#This Row],[reference]],",")))-1))</f>
        <v>changes-between-versions</v>
      </c>
      <c r="T285" s="70" t="str" cm="1">
        <f t="array" ref="T285">_xlfn.TEXTJOIN(",",TRUE,MID(TRIM(_xlfn.TEXTSPLIT(us_core_reqs[[#This Row],[reference]],",")),FIND("#",TRIM(_xlfn.TEXTSPLIT(us_core_reqs[[#This Row],[reference]],","))&amp;"#")+1,1000))</f>
        <v>endpoint-discoverability</v>
      </c>
      <c r="U285" t="str" cm="1">
        <f t="array" ref="U285">_xlfn.TEXTJOIN(", ",TRUE,SUBSTITUTE(SUBSTITUTE(PROPER(SUBSTITUTE(TRIM(_xlfn.TEXTSPLIT(us_core_reqs[[#This Row],[Page]],","))," -"," "))&amp;": "&amp;PROPER(SUBSTITUTE(TRIM(_xlfn.TEXTSPLIT(us_core_reqs[[#This Row],[Section]],","))," -"," ")),"Us ","US        
  "),"Uscdi","USCDI"))</f>
        <v>Changes-Between-Versions: Endpoint-Discoverability</v>
      </c>
      <c r="V285" t="s">
        <v>35</v>
      </c>
      <c r="W285" t="s">
        <v>30</v>
      </c>
      <c r="X285" t="s">
        <v>1171</v>
      </c>
      <c r="Y285" t="s">
        <v>1171</v>
      </c>
      <c r="Z285" t="s">
        <v>1171</v>
      </c>
      <c r="AA285" t="s">
        <v>1171</v>
      </c>
      <c r="AB285" t="s">
        <v>1171</v>
      </c>
      <c r="AC285" t="s">
        <v>1171</v>
      </c>
      <c r="AD285" t="s">
        <v>1171</v>
      </c>
      <c r="AE285" t="s">
        <v>1171</v>
      </c>
    </row>
    <row r="286" spans="1:31" ht="52" thickBot="1" x14ac:dyDescent="0.25">
      <c r="A286" t="s">
        <v>1171</v>
      </c>
      <c r="B286" t="s">
        <v>1458</v>
      </c>
      <c r="C286" t="str">
        <f>"CONF-"&amp;TEXT(us_core_reqs[[#This Row],[ID*]], "0000")</f>
        <v>CONF-0285</v>
      </c>
      <c r="D286" s="11" t="s">
        <v>851</v>
      </c>
      <c r="E286" s="73" t="str" cm="1">
        <f t="array" ref="E286">_xlfn.TEXTJOIN(", ", TRUE, _xlfn.TEXTAFTER(_xlfn.TEXTSPLIT(us_core_reqs[[#This Row],[URL*]], ", "), "/", -1))</f>
        <v>changes-between-versions.html#endpoint-discoverability</v>
      </c>
      <c r="F286" s="11" t="s">
        <v>1039</v>
      </c>
      <c r="G286" t="s">
        <v>64</v>
      </c>
      <c r="H286" cm="1">
        <f t="array" ref="H286">_xlfn.SWITCH(G286, "SHALL", 1, "SHOULD", 3, "MAY", 5, "SHOULD-NOT", 4, "SHALL-NOT", 2, "DEPRECATED", 6, 99)</f>
        <v>6</v>
      </c>
      <c r="I286" t="s">
        <v>1895</v>
      </c>
      <c r="J286" t="s">
        <v>30</v>
      </c>
      <c r="K286" t="s">
        <v>1171</v>
      </c>
      <c r="L286" t="s">
        <v>1171</v>
      </c>
      <c r="M286" t="s">
        <v>1173</v>
      </c>
      <c r="N286" t="s">
        <v>1171</v>
      </c>
      <c r="O286" t="s">
        <v>1171</v>
      </c>
      <c r="P286" t="s">
        <v>1171</v>
      </c>
      <c r="Q286" t="s">
        <v>1171</v>
      </c>
      <c r="R286" t="s">
        <v>1171</v>
      </c>
      <c r="S286" s="70" t="str" cm="1">
        <f t="array" ref="S286">_xlfn.TEXTJOIN(",",TRUE,LEFT(TRIM(_xlfn.TEXTSPLIT(us_core_reqs[[#This Row],[reference]],",")),FIND(".html",TRIM(_xlfn.TEXTSPLIT(us_core_reqs[[#This Row],[reference]],",")))-1))</f>
        <v>changes-between-versions</v>
      </c>
      <c r="T286" s="70" t="str" cm="1">
        <f t="array" ref="T286">_xlfn.TEXTJOIN(",",TRUE,MID(TRIM(_xlfn.TEXTSPLIT(us_core_reqs[[#This Row],[reference]],",")),FIND("#",TRIM(_xlfn.TEXTSPLIT(us_core_reqs[[#This Row],[reference]],","))&amp;"#")+1,1000))</f>
        <v>endpoint-discoverability</v>
      </c>
      <c r="U286" t="str" cm="1">
        <f t="array" ref="U286">_xlfn.TEXTJOIN(", ",TRUE,SUBSTITUTE(SUBSTITUTE(PROPER(SUBSTITUTE(TRIM(_xlfn.TEXTSPLIT(us_core_reqs[[#This Row],[Page]],","))," -"," "))&amp;": "&amp;PROPER(SUBSTITUTE(TRIM(_xlfn.TEXTSPLIT(us_core_reqs[[#This Row],[Section]],","))," -"," ")),"Us ","US        
  "),"Uscdi","USCDI"))</f>
        <v>Changes-Between-Versions: Endpoint-Discoverability</v>
      </c>
      <c r="V286" t="s">
        <v>35</v>
      </c>
      <c r="W286" t="s">
        <v>30</v>
      </c>
      <c r="X286" t="s">
        <v>1171</v>
      </c>
      <c r="Y286" t="s">
        <v>1171</v>
      </c>
      <c r="Z286" t="s">
        <v>1171</v>
      </c>
      <c r="AA286" t="s">
        <v>1171</v>
      </c>
      <c r="AB286" t="s">
        <v>1171</v>
      </c>
      <c r="AC286" t="s">
        <v>1171</v>
      </c>
      <c r="AD286" t="s">
        <v>1171</v>
      </c>
      <c r="AE286" t="s">
        <v>1171</v>
      </c>
    </row>
    <row r="287" spans="1:31" ht="52" thickBot="1" x14ac:dyDescent="0.25">
      <c r="A287" t="s">
        <v>1171</v>
      </c>
      <c r="B287" t="s">
        <v>1459</v>
      </c>
      <c r="C287" t="str">
        <f>"CONF-"&amp;TEXT(us_core_reqs[[#This Row],[ID*]], "0000")</f>
        <v>CONF-0286</v>
      </c>
      <c r="D287" s="11" t="s">
        <v>852</v>
      </c>
      <c r="E287" s="73" t="str" cm="1">
        <f t="array" ref="E287">_xlfn.TEXTJOIN(", ", TRUE, _xlfn.TEXTAFTER(_xlfn.TEXTSPLIT(us_core_reqs[[#This Row],[URL*]], ", "), "/", -1))</f>
        <v>changes-between-versions.html#no-guarantee-that-resource-ids-are-preserved</v>
      </c>
      <c r="F287" s="11" t="s">
        <v>932</v>
      </c>
      <c r="G287" t="s">
        <v>29</v>
      </c>
      <c r="H287" cm="1">
        <f t="array" ref="H287">_xlfn.SWITCH(G287, "SHALL", 1, "SHOULD", 3, "MAY", 5, "SHOULD-NOT", 4, "SHALL-NOT", 2, "DEPRECATED", 6, 99)</f>
        <v>1</v>
      </c>
      <c r="J287" t="s">
        <v>58</v>
      </c>
      <c r="K287" t="s">
        <v>1171</v>
      </c>
      <c r="L287" t="s">
        <v>1171</v>
      </c>
      <c r="M287" t="s">
        <v>1173</v>
      </c>
      <c r="N287" t="s">
        <v>1171</v>
      </c>
      <c r="O287" t="s">
        <v>1171</v>
      </c>
      <c r="P287" t="s">
        <v>1171</v>
      </c>
      <c r="Q287" t="s">
        <v>1171</v>
      </c>
      <c r="R287" t="s">
        <v>1171</v>
      </c>
      <c r="S287" s="70" t="str" cm="1">
        <f t="array" ref="S287">_xlfn.TEXTJOIN(",",TRUE,LEFT(TRIM(_xlfn.TEXTSPLIT(us_core_reqs[[#This Row],[reference]],",")),FIND(".html",TRIM(_xlfn.TEXTSPLIT(us_core_reqs[[#This Row],[reference]],",")))-1))</f>
        <v>changes-between-versions</v>
      </c>
      <c r="T287" s="70" t="str" cm="1">
        <f t="array" ref="T287">_xlfn.TEXTJOIN(",",TRUE,MID(TRIM(_xlfn.TEXTSPLIT(us_core_reqs[[#This Row],[reference]],",")),FIND("#",TRIM(_xlfn.TEXTSPLIT(us_core_reqs[[#This Row],[reference]],","))&amp;"#")+1,1000))</f>
        <v>no-guarantee-that-resource-ids-are-preserved</v>
      </c>
      <c r="U287"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t="s">
        <v>1171</v>
      </c>
      <c r="W287" t="s">
        <v>58</v>
      </c>
      <c r="X287" t="s">
        <v>1171</v>
      </c>
      <c r="Y287" t="s">
        <v>1171</v>
      </c>
      <c r="Z287" t="s">
        <v>1171</v>
      </c>
      <c r="AA287" t="s">
        <v>1171</v>
      </c>
      <c r="AB287" t="s">
        <v>1171</v>
      </c>
      <c r="AC287" t="s">
        <v>1171</v>
      </c>
      <c r="AD287" t="s">
        <v>1171</v>
      </c>
      <c r="AE287" t="s">
        <v>1171</v>
      </c>
    </row>
    <row r="288" spans="1:31" ht="35" thickBot="1" x14ac:dyDescent="0.25">
      <c r="A288" t="s">
        <v>1171</v>
      </c>
      <c r="B288" t="s">
        <v>1460</v>
      </c>
      <c r="C288" t="str">
        <f>"CONF-"&amp;TEXT(us_core_reqs[[#This Row],[ID*]], "0000")</f>
        <v>CONF-0287</v>
      </c>
      <c r="D288" s="11" t="s">
        <v>852</v>
      </c>
      <c r="E288" s="73" t="str" cm="1">
        <f t="array" ref="E288">_xlfn.TEXTJOIN(", ", TRUE, _xlfn.TEXTAFTER(_xlfn.TEXTSPLIT(us_core_reqs[[#This Row],[URL*]], ", "), "/", -1))</f>
        <v>changes-between-versions.html#no-guarantee-that-resource-ids-are-preserved</v>
      </c>
      <c r="F288" s="11" t="s">
        <v>1945</v>
      </c>
      <c r="G288" t="s">
        <v>32</v>
      </c>
      <c r="H288" cm="1">
        <f t="array" ref="H288">_xlfn.SWITCH(G288, "SHALL", 1, "SHOULD", 3, "MAY", 5, "SHOULD-NOT", 4, "SHALL-NOT", 2, "DEPRECATED", 6, 99)</f>
        <v>3</v>
      </c>
      <c r="J288" t="s">
        <v>30</v>
      </c>
      <c r="K288" t="s">
        <v>1171</v>
      </c>
      <c r="L288" t="s">
        <v>1171</v>
      </c>
      <c r="M288" t="s">
        <v>1173</v>
      </c>
      <c r="N288" t="s">
        <v>1171</v>
      </c>
      <c r="O288" t="s">
        <v>1171</v>
      </c>
      <c r="P288" t="s">
        <v>1171</v>
      </c>
      <c r="Q288" t="s">
        <v>1171</v>
      </c>
      <c r="R288" t="s">
        <v>1171</v>
      </c>
      <c r="S288" s="70" t="str" cm="1">
        <f t="array" ref="S288">_xlfn.TEXTJOIN(",",TRUE,LEFT(TRIM(_xlfn.TEXTSPLIT(us_core_reqs[[#This Row],[reference]],",")),FIND(".html",TRIM(_xlfn.TEXTSPLIT(us_core_reqs[[#This Row],[reference]],",")))-1))</f>
        <v>changes-between-versions</v>
      </c>
      <c r="T288" s="70" t="str" cm="1">
        <f t="array" ref="T288">_xlfn.TEXTJOIN(",",TRUE,MID(TRIM(_xlfn.TEXTSPLIT(us_core_reqs[[#This Row],[reference]],",")),FIND("#",TRIM(_xlfn.TEXTSPLIT(us_core_reqs[[#This Row],[reference]],","))&amp;"#")+1,1000))</f>
        <v>no-guarantee-that-resource-ids-are-preserved</v>
      </c>
      <c r="U288"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t="s">
        <v>32</v>
      </c>
      <c r="W288" t="s">
        <v>30</v>
      </c>
      <c r="X288" t="s">
        <v>1171</v>
      </c>
      <c r="Y288" t="s">
        <v>1171</v>
      </c>
      <c r="Z288" t="s">
        <v>1171</v>
      </c>
      <c r="AA288" t="s">
        <v>1171</v>
      </c>
      <c r="AB288" t="s">
        <v>1171</v>
      </c>
      <c r="AC288" t="s">
        <v>1171</v>
      </c>
      <c r="AD288" t="s">
        <v>1171</v>
      </c>
      <c r="AE288" t="s">
        <v>1171</v>
      </c>
    </row>
    <row r="289" spans="1:31" ht="52" thickBot="1" x14ac:dyDescent="0.25">
      <c r="A289" t="s">
        <v>1171</v>
      </c>
      <c r="B289" t="s">
        <v>1461</v>
      </c>
      <c r="C289" t="str">
        <f>"CONF-"&amp;TEXT(us_core_reqs[[#This Row],[ID*]], "0000")</f>
        <v>CONF-0288</v>
      </c>
      <c r="D289" s="11" t="s">
        <v>1896</v>
      </c>
      <c r="E289" s="73" t="str" cm="1">
        <f t="array" ref="E289">_xlfn.TEXTJOIN(", ", TRUE, _xlfn.TEXTAFTER(_xlfn.TEXTSPLIT(us_core_reqs[[#This Row],[URL*]], ", "), "/", -1))</f>
        <v>changes-between-versions.html#expectation-that-data-is-preserved-between-versions</v>
      </c>
      <c r="F289" s="11" t="s">
        <v>1946</v>
      </c>
      <c r="G289" t="s">
        <v>32</v>
      </c>
      <c r="H289" cm="1">
        <f t="array" ref="H289">_xlfn.SWITCH(G289, "SHALL", 1, "SHOULD", 3, "MAY", 5, "SHOULD-NOT", 4, "SHALL-NOT", 2, "DEPRECATED", 6, 99)</f>
        <v>3</v>
      </c>
      <c r="J289" t="s">
        <v>30</v>
      </c>
      <c r="K289" t="s">
        <v>1171</v>
      </c>
      <c r="L289" t="s">
        <v>1171</v>
      </c>
      <c r="M289" t="s">
        <v>1173</v>
      </c>
      <c r="N289" t="s">
        <v>1171</v>
      </c>
      <c r="O289" t="s">
        <v>1171</v>
      </c>
      <c r="P289" t="s">
        <v>1171</v>
      </c>
      <c r="Q289" t="s">
        <v>1171</v>
      </c>
      <c r="R289" t="s">
        <v>1171</v>
      </c>
      <c r="S289" s="70" t="str" cm="1">
        <f t="array" ref="S289">_xlfn.TEXTJOIN(",",TRUE,LEFT(TRIM(_xlfn.TEXTSPLIT(us_core_reqs[[#This Row],[reference]],",")),FIND(".html",TRIM(_xlfn.TEXTSPLIT(us_core_reqs[[#This Row],[reference]],",")))-1))</f>
        <v>changes-between-versions</v>
      </c>
      <c r="T289" s="70" t="str" cm="1">
        <f t="array" ref="T289">_xlfn.TEXTJOIN(",",TRUE,MID(TRIM(_xlfn.TEXTSPLIT(us_core_reqs[[#This Row],[reference]],",")),FIND("#",TRIM(_xlfn.TEXTSPLIT(us_core_reqs[[#This Row],[reference]],","))&amp;"#")+1,1000))</f>
        <v>expectation-that-data-is-preserved-between-versions</v>
      </c>
      <c r="U289"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t="s">
        <v>32</v>
      </c>
      <c r="W289" t="s">
        <v>1171</v>
      </c>
      <c r="X289" t="s">
        <v>1171</v>
      </c>
      <c r="Y289" t="s">
        <v>1171</v>
      </c>
      <c r="Z289" t="s">
        <v>1171</v>
      </c>
      <c r="AA289" t="s">
        <v>1171</v>
      </c>
      <c r="AB289" t="s">
        <v>1171</v>
      </c>
      <c r="AC289" t="s">
        <v>1171</v>
      </c>
      <c r="AD289" t="s">
        <v>1171</v>
      </c>
      <c r="AE289" t="s">
        <v>1171</v>
      </c>
    </row>
    <row r="290" spans="1:31" ht="52" thickBot="1" x14ac:dyDescent="0.25">
      <c r="A290" t="s">
        <v>1171</v>
      </c>
      <c r="B290" t="s">
        <v>1462</v>
      </c>
      <c r="C290" t="str">
        <f>"CONF-"&amp;TEXT(us_core_reqs[[#This Row],[ID*]], "0000")</f>
        <v>CONF-0289</v>
      </c>
      <c r="D290" s="11" t="s">
        <v>1896</v>
      </c>
      <c r="E290" s="73" t="str" cm="1">
        <f t="array" ref="E290">_xlfn.TEXTJOIN(", ", TRUE, _xlfn.TEXTAFTER(_xlfn.TEXTSPLIT(us_core_reqs[[#This Row],[URL*]], ", "), "/", -1))</f>
        <v>changes-between-versions.html#expectation-that-data-is-preserved-between-versions</v>
      </c>
      <c r="F290" s="11" t="s">
        <v>1947</v>
      </c>
      <c r="G290" t="s">
        <v>32</v>
      </c>
      <c r="H290" cm="1">
        <f t="array" ref="H290">_xlfn.SWITCH(G290, "SHALL", 1, "SHOULD", 3, "MAY", 5, "SHOULD-NOT", 4, "SHALL-NOT", 2, "DEPRECATED", 6, 99)</f>
        <v>3</v>
      </c>
      <c r="J290" t="s">
        <v>30</v>
      </c>
      <c r="K290" t="s">
        <v>1171</v>
      </c>
      <c r="L290" t="s">
        <v>1103</v>
      </c>
      <c r="M290" t="s">
        <v>1176</v>
      </c>
      <c r="N290" t="s">
        <v>312</v>
      </c>
      <c r="O290" t="s">
        <v>1171</v>
      </c>
      <c r="P290" t="s">
        <v>1171</v>
      </c>
      <c r="Q290" t="s">
        <v>1171</v>
      </c>
      <c r="R290" t="s">
        <v>1171</v>
      </c>
      <c r="S290" s="70" t="str" cm="1">
        <f t="array" ref="S290">_xlfn.TEXTJOIN(",",TRUE,LEFT(TRIM(_xlfn.TEXTSPLIT(us_core_reqs[[#This Row],[reference]],",")),FIND(".html",TRIM(_xlfn.TEXTSPLIT(us_core_reqs[[#This Row],[reference]],",")))-1))</f>
        <v>changes-between-versions</v>
      </c>
      <c r="T290" s="70" t="str" cm="1">
        <f t="array" ref="T290">_xlfn.TEXTJOIN(",",TRUE,MID(TRIM(_xlfn.TEXTSPLIT(us_core_reqs[[#This Row],[reference]],",")),FIND("#",TRIM(_xlfn.TEXTSPLIT(us_core_reqs[[#This Row],[reference]],","))&amp;"#")+1,1000))</f>
        <v>expectation-that-data-is-preserved-between-versions</v>
      </c>
      <c r="U290"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t="s">
        <v>32</v>
      </c>
      <c r="W290" t="s">
        <v>1171</v>
      </c>
      <c r="X290" t="s">
        <v>1171</v>
      </c>
      <c r="Y290" t="s">
        <v>1171</v>
      </c>
      <c r="Z290" t="s">
        <v>1171</v>
      </c>
      <c r="AA290" t="s">
        <v>1171</v>
      </c>
      <c r="AB290" t="s">
        <v>1171</v>
      </c>
      <c r="AC290" t="s">
        <v>1171</v>
      </c>
      <c r="AD290" t="s">
        <v>1171</v>
      </c>
      <c r="AE290" t="s">
        <v>1171</v>
      </c>
    </row>
    <row r="291" spans="1:31" ht="86" thickBot="1" x14ac:dyDescent="0.25">
      <c r="A291" t="s">
        <v>1171</v>
      </c>
      <c r="B291" t="s">
        <v>1463</v>
      </c>
      <c r="C291" t="str">
        <f>"CONF-"&amp;TEXT(us_core_reqs[[#This Row],[ID*]], "0000")</f>
        <v>CONF-0290</v>
      </c>
      <c r="D291" s="11" t="s">
        <v>1896</v>
      </c>
      <c r="E291" s="73" t="str" cm="1">
        <f t="array" ref="E291">_xlfn.TEXTJOIN(", ", TRUE, _xlfn.TEXTAFTER(_xlfn.TEXTSPLIT(us_core_reqs[[#This Row],[URL*]], ", "), "/", -1))</f>
        <v>changes-between-versions.html#expectation-that-data-is-preserved-between-versions</v>
      </c>
      <c r="F291" s="11" t="s">
        <v>1948</v>
      </c>
      <c r="G291" t="s">
        <v>32</v>
      </c>
      <c r="H291" cm="1">
        <f t="array" ref="H291">_xlfn.SWITCH(G291, "SHALL", 1, "SHOULD", 3, "MAY", 5, "SHOULD-NOT", 4, "SHALL-NOT", 2, "DEPRECATED", 6, 99)</f>
        <v>3</v>
      </c>
      <c r="J291" t="s">
        <v>30</v>
      </c>
      <c r="K291" t="s">
        <v>1171</v>
      </c>
      <c r="L291" t="s">
        <v>1171</v>
      </c>
      <c r="M291" t="s">
        <v>1173</v>
      </c>
      <c r="N291" t="s">
        <v>1171</v>
      </c>
      <c r="O291" t="s">
        <v>1171</v>
      </c>
      <c r="P291" t="s">
        <v>1171</v>
      </c>
      <c r="Q291" t="s">
        <v>1171</v>
      </c>
      <c r="R291" t="s">
        <v>1171</v>
      </c>
      <c r="S291" s="70" t="str" cm="1">
        <f t="array" ref="S291">_xlfn.TEXTJOIN(",",TRUE,LEFT(TRIM(_xlfn.TEXTSPLIT(us_core_reqs[[#This Row],[reference]],",")),FIND(".html",TRIM(_xlfn.TEXTSPLIT(us_core_reqs[[#This Row],[reference]],",")))-1))</f>
        <v>changes-between-versions</v>
      </c>
      <c r="T291" s="70" t="str" cm="1">
        <f t="array" ref="T291">_xlfn.TEXTJOIN(",",TRUE,MID(TRIM(_xlfn.TEXTSPLIT(us_core_reqs[[#This Row],[reference]],",")),FIND("#",TRIM(_xlfn.TEXTSPLIT(us_core_reqs[[#This Row],[reference]],","))&amp;"#")+1,1000))</f>
        <v>expectation-that-data-is-preserved-between-versions</v>
      </c>
      <c r="U291"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t="s">
        <v>35</v>
      </c>
      <c r="W291" t="s">
        <v>1171</v>
      </c>
      <c r="X291" t="s">
        <v>1171</v>
      </c>
      <c r="Y291" t="s">
        <v>1171</v>
      </c>
      <c r="Z291" t="s">
        <v>1171</v>
      </c>
      <c r="AA291" t="s">
        <v>1171</v>
      </c>
      <c r="AB291" t="s">
        <v>1171</v>
      </c>
      <c r="AC291" t="s">
        <v>1171</v>
      </c>
      <c r="AD291" t="s">
        <v>1171</v>
      </c>
      <c r="AE291" t="s">
        <v>1171</v>
      </c>
    </row>
    <row r="292" spans="1:31" ht="86" thickBot="1" x14ac:dyDescent="0.25">
      <c r="A292" t="s">
        <v>1171</v>
      </c>
      <c r="B292" t="s">
        <v>1464</v>
      </c>
      <c r="C292" t="str">
        <f>"CONF-"&amp;TEXT(us_core_reqs[[#This Row],[ID*]], "0000")</f>
        <v>CONF-0291</v>
      </c>
      <c r="D292" s="11" t="s">
        <v>1896</v>
      </c>
      <c r="E292" s="73" t="str" cm="1">
        <f t="array" ref="E292">_xlfn.TEXTJOIN(", ", TRUE, _xlfn.TEXTAFTER(_xlfn.TEXTSPLIT(us_core_reqs[[#This Row],[URL*]], ", "), "/", -1))</f>
        <v>changes-between-versions.html#expectation-that-data-is-preserved-between-versions</v>
      </c>
      <c r="F292" s="11" t="s">
        <v>1949</v>
      </c>
      <c r="G292" t="s">
        <v>32</v>
      </c>
      <c r="H292" cm="1">
        <f t="array" ref="H292">_xlfn.SWITCH(G292, "SHALL", 1, "SHOULD", 3, "MAY", 5, "SHOULD-NOT", 4, "SHALL-NOT", 2, "DEPRECATED", 6, 99)</f>
        <v>3</v>
      </c>
      <c r="J292" t="s">
        <v>30</v>
      </c>
      <c r="K292" t="s">
        <v>1171</v>
      </c>
      <c r="L292" t="s">
        <v>1171</v>
      </c>
      <c r="M292" t="s">
        <v>1173</v>
      </c>
      <c r="N292" t="s">
        <v>1171</v>
      </c>
      <c r="O292" t="s">
        <v>1171</v>
      </c>
      <c r="P292" t="s">
        <v>1171</v>
      </c>
      <c r="Q292" t="s">
        <v>1171</v>
      </c>
      <c r="R292" t="s">
        <v>1171</v>
      </c>
      <c r="S292" s="70" t="str" cm="1">
        <f t="array" ref="S292">_xlfn.TEXTJOIN(",",TRUE,LEFT(TRIM(_xlfn.TEXTSPLIT(us_core_reqs[[#This Row],[reference]],",")),FIND(".html",TRIM(_xlfn.TEXTSPLIT(us_core_reqs[[#This Row],[reference]],",")))-1))</f>
        <v>changes-between-versions</v>
      </c>
      <c r="T292" s="70" t="str" cm="1">
        <f t="array" ref="T292">_xlfn.TEXTJOIN(",",TRUE,MID(TRIM(_xlfn.TEXTSPLIT(us_core_reqs[[#This Row],[reference]],",")),FIND("#",TRIM(_xlfn.TEXTSPLIT(us_core_reqs[[#This Row],[reference]],","))&amp;"#")+1,1000))</f>
        <v>expectation-that-data-is-preserved-between-versions</v>
      </c>
      <c r="U292"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t="s">
        <v>32</v>
      </c>
      <c r="W292" t="s">
        <v>1171</v>
      </c>
      <c r="X292" t="s">
        <v>1171</v>
      </c>
      <c r="Y292" t="s">
        <v>1171</v>
      </c>
      <c r="Z292" t="s">
        <v>1171</v>
      </c>
      <c r="AA292" t="s">
        <v>1171</v>
      </c>
      <c r="AB292" t="s">
        <v>1171</v>
      </c>
      <c r="AC292" t="s">
        <v>1171</v>
      </c>
      <c r="AD292" t="s">
        <v>1171</v>
      </c>
      <c r="AE292" t="s">
        <v>1171</v>
      </c>
    </row>
    <row r="293" spans="1:31" ht="52" thickBot="1" x14ac:dyDescent="0.25">
      <c r="A293" t="s">
        <v>1171</v>
      </c>
      <c r="B293" t="s">
        <v>1465</v>
      </c>
      <c r="C293" t="str">
        <f>"CONF-"&amp;TEXT(us_core_reqs[[#This Row],[ID*]], "0000")</f>
        <v>CONF-0292</v>
      </c>
      <c r="D293" s="11" t="s">
        <v>1896</v>
      </c>
      <c r="E293" s="73" t="str" cm="1">
        <f t="array" ref="E293">_xlfn.TEXTJOIN(", ", TRUE, _xlfn.TEXTAFTER(_xlfn.TEXTSPLIT(us_core_reqs[[#This Row],[URL*]], ", "), "/", -1))</f>
        <v>changes-between-versions.html#expectation-that-data-is-preserved-between-versions</v>
      </c>
      <c r="F293" s="11" t="s">
        <v>1947</v>
      </c>
      <c r="G293" t="s">
        <v>32</v>
      </c>
      <c r="H293" cm="1">
        <f t="array" ref="H293">_xlfn.SWITCH(G293, "SHALL", 1, "SHOULD", 3, "MAY", 5, "SHOULD-NOT", 4, "SHALL-NOT", 2, "DEPRECATED", 6, 99)</f>
        <v>3</v>
      </c>
      <c r="J293" t="s">
        <v>58</v>
      </c>
      <c r="K293" t="s">
        <v>1171</v>
      </c>
      <c r="L293" t="s">
        <v>1104</v>
      </c>
      <c r="M293" t="s">
        <v>1176</v>
      </c>
      <c r="N293" t="s">
        <v>315</v>
      </c>
      <c r="O293" t="s">
        <v>1171</v>
      </c>
      <c r="P293" t="s">
        <v>1171</v>
      </c>
      <c r="Q293" t="s">
        <v>1171</v>
      </c>
      <c r="R293" t="s">
        <v>1171</v>
      </c>
      <c r="S293" s="70" t="str" cm="1">
        <f t="array" ref="S293">_xlfn.TEXTJOIN(",",TRUE,LEFT(TRIM(_xlfn.TEXTSPLIT(us_core_reqs[[#This Row],[reference]],",")),FIND(".html",TRIM(_xlfn.TEXTSPLIT(us_core_reqs[[#This Row],[reference]],",")))-1))</f>
        <v>changes-between-versions</v>
      </c>
      <c r="T293" s="70" t="str" cm="1">
        <f t="array" ref="T293">_xlfn.TEXTJOIN(",",TRUE,MID(TRIM(_xlfn.TEXTSPLIT(us_core_reqs[[#This Row],[reference]],",")),FIND("#",TRIM(_xlfn.TEXTSPLIT(us_core_reqs[[#This Row],[reference]],","))&amp;"#")+1,1000))</f>
        <v>expectation-that-data-is-preserved-between-versions</v>
      </c>
      <c r="U293"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t="s">
        <v>32</v>
      </c>
      <c r="W293" t="s">
        <v>1171</v>
      </c>
      <c r="X293" t="s">
        <v>1171</v>
      </c>
      <c r="Y293" t="s">
        <v>1171</v>
      </c>
      <c r="Z293" t="s">
        <v>1171</v>
      </c>
      <c r="AA293" t="s">
        <v>1171</v>
      </c>
      <c r="AB293" t="s">
        <v>1171</v>
      </c>
      <c r="AC293" t="s">
        <v>1171</v>
      </c>
      <c r="AD293" t="s">
        <v>1171</v>
      </c>
      <c r="AE293" t="s">
        <v>1171</v>
      </c>
    </row>
    <row r="294" spans="1:31" ht="86" thickBot="1" x14ac:dyDescent="0.25">
      <c r="A294" t="s">
        <v>1171</v>
      </c>
      <c r="B294" t="s">
        <v>1466</v>
      </c>
      <c r="C294" t="str">
        <f>"CONF-"&amp;TEXT(us_core_reqs[[#This Row],[ID*]], "0000")</f>
        <v>CONF-0293</v>
      </c>
      <c r="D294" s="11" t="s">
        <v>1896</v>
      </c>
      <c r="E294" s="73" t="str" cm="1">
        <f t="array" ref="E294">_xlfn.TEXTJOIN(", ", TRUE, _xlfn.TEXTAFTER(_xlfn.TEXTSPLIT(us_core_reqs[[#This Row],[URL*]], ", "), "/", -1))</f>
        <v>changes-between-versions.html#expectation-that-data-is-preserved-between-versions</v>
      </c>
      <c r="F294" s="11" t="s">
        <v>1948</v>
      </c>
      <c r="G294" t="s">
        <v>32</v>
      </c>
      <c r="H294" cm="1">
        <f t="array" ref="H294">_xlfn.SWITCH(G294, "SHALL", 1, "SHOULD", 3, "MAY", 5, "SHOULD-NOT", 4, "SHALL-NOT", 2, "DEPRECATED", 6, 99)</f>
        <v>3</v>
      </c>
      <c r="J294" t="s">
        <v>58</v>
      </c>
      <c r="K294" t="s">
        <v>1171</v>
      </c>
      <c r="L294" t="s">
        <v>1171</v>
      </c>
      <c r="M294" t="s">
        <v>1173</v>
      </c>
      <c r="N294" t="s">
        <v>1171</v>
      </c>
      <c r="O294" t="s">
        <v>1171</v>
      </c>
      <c r="P294" t="s">
        <v>1171</v>
      </c>
      <c r="Q294" t="s">
        <v>1171</v>
      </c>
      <c r="R294" t="s">
        <v>1171</v>
      </c>
      <c r="S294" s="70" t="str" cm="1">
        <f t="array" ref="S294">_xlfn.TEXTJOIN(",",TRUE,LEFT(TRIM(_xlfn.TEXTSPLIT(us_core_reqs[[#This Row],[reference]],",")),FIND(".html",TRIM(_xlfn.TEXTSPLIT(us_core_reqs[[#This Row],[reference]],",")))-1))</f>
        <v>changes-between-versions</v>
      </c>
      <c r="T294" s="70" t="str" cm="1">
        <f t="array" ref="T294">_xlfn.TEXTJOIN(",",TRUE,MID(TRIM(_xlfn.TEXTSPLIT(us_core_reqs[[#This Row],[reference]],",")),FIND("#",TRIM(_xlfn.TEXTSPLIT(us_core_reqs[[#This Row],[reference]],","))&amp;"#")+1,1000))</f>
        <v>expectation-that-data-is-preserved-between-versions</v>
      </c>
      <c r="U294"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t="s">
        <v>35</v>
      </c>
      <c r="W294" t="s">
        <v>1171</v>
      </c>
      <c r="X294" t="s">
        <v>1171</v>
      </c>
      <c r="Y294" t="s">
        <v>1171</v>
      </c>
      <c r="Z294" t="s">
        <v>1171</v>
      </c>
      <c r="AA294" t="s">
        <v>1171</v>
      </c>
      <c r="AB294" t="s">
        <v>1171</v>
      </c>
      <c r="AC294" t="s">
        <v>1171</v>
      </c>
      <c r="AD294" t="s">
        <v>1171</v>
      </c>
      <c r="AE294" t="s">
        <v>1171</v>
      </c>
    </row>
    <row r="295" spans="1:31" ht="86" thickBot="1" x14ac:dyDescent="0.25">
      <c r="A295" t="s">
        <v>1171</v>
      </c>
      <c r="B295" t="s">
        <v>1467</v>
      </c>
      <c r="C295" t="str">
        <f>"CONF-"&amp;TEXT(us_core_reqs[[#This Row],[ID*]], "0000")</f>
        <v>CONF-0294</v>
      </c>
      <c r="D295" s="11" t="s">
        <v>1896</v>
      </c>
      <c r="E295" s="73" t="str" cm="1">
        <f t="array" ref="E295">_xlfn.TEXTJOIN(", ", TRUE, _xlfn.TEXTAFTER(_xlfn.TEXTSPLIT(us_core_reqs[[#This Row],[URL*]], ", "), "/", -1))</f>
        <v>changes-between-versions.html#expectation-that-data-is-preserved-between-versions</v>
      </c>
      <c r="F295" s="11" t="s">
        <v>1949</v>
      </c>
      <c r="G295" t="s">
        <v>32</v>
      </c>
      <c r="H295" cm="1">
        <f t="array" ref="H295">_xlfn.SWITCH(G295, "SHALL", 1, "SHOULD", 3, "MAY", 5, "SHOULD-NOT", 4, "SHALL-NOT", 2, "DEPRECATED", 6, 99)</f>
        <v>3</v>
      </c>
      <c r="J295" t="s">
        <v>58</v>
      </c>
      <c r="K295" t="s">
        <v>1171</v>
      </c>
      <c r="L295" t="s">
        <v>1171</v>
      </c>
      <c r="M295" t="s">
        <v>1173</v>
      </c>
      <c r="N295" t="s">
        <v>1171</v>
      </c>
      <c r="O295" t="s">
        <v>1171</v>
      </c>
      <c r="P295" t="s">
        <v>1171</v>
      </c>
      <c r="Q295" t="s">
        <v>1171</v>
      </c>
      <c r="R295" t="s">
        <v>1171</v>
      </c>
      <c r="S295" s="70" t="str" cm="1">
        <f t="array" ref="S295">_xlfn.TEXTJOIN(",",TRUE,LEFT(TRIM(_xlfn.TEXTSPLIT(us_core_reqs[[#This Row],[reference]],",")),FIND(".html",TRIM(_xlfn.TEXTSPLIT(us_core_reqs[[#This Row],[reference]],",")))-1))</f>
        <v>changes-between-versions</v>
      </c>
      <c r="T295" s="70" t="str" cm="1">
        <f t="array" ref="T295">_xlfn.TEXTJOIN(",",TRUE,MID(TRIM(_xlfn.TEXTSPLIT(us_core_reqs[[#This Row],[reference]],",")),FIND("#",TRIM(_xlfn.TEXTSPLIT(us_core_reqs[[#This Row],[reference]],","))&amp;"#")+1,1000))</f>
        <v>expectation-that-data-is-preserved-between-versions</v>
      </c>
      <c r="U295"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t="s">
        <v>32</v>
      </c>
      <c r="W295" t="s">
        <v>1171</v>
      </c>
      <c r="X295" t="s">
        <v>1171</v>
      </c>
      <c r="Y295" t="s">
        <v>1171</v>
      </c>
      <c r="Z295" t="s">
        <v>1171</v>
      </c>
      <c r="AA295" t="s">
        <v>1171</v>
      </c>
      <c r="AB295" t="s">
        <v>1171</v>
      </c>
      <c r="AC295" t="s">
        <v>1171</v>
      </c>
      <c r="AD295" t="s">
        <v>1171</v>
      </c>
      <c r="AE295" t="s">
        <v>1171</v>
      </c>
    </row>
    <row r="296" spans="1:31" ht="52" thickBot="1" x14ac:dyDescent="0.25">
      <c r="A296" t="s">
        <v>1171</v>
      </c>
      <c r="B296" t="s">
        <v>1468</v>
      </c>
      <c r="C296" t="str">
        <f>"CONF-"&amp;TEXT(us_core_reqs[[#This Row],[ID*]], "0000")</f>
        <v>CONF-0295</v>
      </c>
      <c r="D296" s="11" t="s">
        <v>1896</v>
      </c>
      <c r="E296" s="73" t="str" cm="1">
        <f t="array" ref="E296">_xlfn.TEXTJOIN(", ", TRUE, _xlfn.TEXTAFTER(_xlfn.TEXTSPLIT(us_core_reqs[[#This Row],[URL*]], ", "), "/", -1))</f>
        <v>changes-between-versions.html#expectation-that-data-is-preserved-between-versions</v>
      </c>
      <c r="F296" s="11" t="s">
        <v>1950</v>
      </c>
      <c r="G296" t="s">
        <v>32</v>
      </c>
      <c r="H296" cm="1">
        <f t="array" ref="H296">_xlfn.SWITCH(G296, "SHALL", 1, "SHOULD", 3, "MAY", 5, "SHOULD-NOT", 4, "SHALL-NOT", 2, "DEPRECATED", 6, 99)</f>
        <v>3</v>
      </c>
      <c r="J296" t="s">
        <v>30</v>
      </c>
      <c r="K296" t="s">
        <v>1171</v>
      </c>
      <c r="L296" t="s">
        <v>1105</v>
      </c>
      <c r="M296" t="s">
        <v>1176</v>
      </c>
      <c r="N296" t="s">
        <v>317</v>
      </c>
      <c r="O296" t="s">
        <v>1171</v>
      </c>
      <c r="P296" t="s">
        <v>1171</v>
      </c>
      <c r="Q296" t="s">
        <v>1171</v>
      </c>
      <c r="R296" t="s">
        <v>1171</v>
      </c>
      <c r="S296" s="70" t="str" cm="1">
        <f t="array" ref="S296">_xlfn.TEXTJOIN(",",TRUE,LEFT(TRIM(_xlfn.TEXTSPLIT(us_core_reqs[[#This Row],[reference]],",")),FIND(".html",TRIM(_xlfn.TEXTSPLIT(us_core_reqs[[#This Row],[reference]],",")))-1))</f>
        <v>changes-between-versions</v>
      </c>
      <c r="T296" s="70" t="str" cm="1">
        <f t="array" ref="T296">_xlfn.TEXTJOIN(",",TRUE,MID(TRIM(_xlfn.TEXTSPLIT(us_core_reqs[[#This Row],[reference]],",")),FIND("#",TRIM(_xlfn.TEXTSPLIT(us_core_reqs[[#This Row],[reference]],","))&amp;"#")+1,1000))</f>
        <v>expectation-that-data-is-preserved-between-versions</v>
      </c>
      <c r="U296"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t="s">
        <v>32</v>
      </c>
      <c r="W296" t="s">
        <v>30</v>
      </c>
      <c r="X296" t="s">
        <v>1171</v>
      </c>
      <c r="Y296" t="s">
        <v>1171</v>
      </c>
      <c r="Z296" t="s">
        <v>1171</v>
      </c>
      <c r="AA296" t="s">
        <v>1171</v>
      </c>
      <c r="AB296" t="s">
        <v>1171</v>
      </c>
      <c r="AC296" t="s">
        <v>1171</v>
      </c>
      <c r="AD296" t="s">
        <v>1171</v>
      </c>
      <c r="AE296" t="s">
        <v>1171</v>
      </c>
    </row>
    <row r="297" spans="1:31" ht="86" thickBot="1" x14ac:dyDescent="0.25">
      <c r="A297" t="s">
        <v>1171</v>
      </c>
      <c r="B297" t="s">
        <v>1469</v>
      </c>
      <c r="C297" t="str">
        <f>"CONF-"&amp;TEXT(us_core_reqs[[#This Row],[ID*]], "0000")</f>
        <v>CONF-0296</v>
      </c>
      <c r="D297" s="11" t="s">
        <v>1896</v>
      </c>
      <c r="E297" s="73" t="str" cm="1">
        <f t="array" ref="E297">_xlfn.TEXTJOIN(", ", TRUE, _xlfn.TEXTAFTER(_xlfn.TEXTSPLIT(us_core_reqs[[#This Row],[URL*]], ", "), "/", -1))</f>
        <v>changes-between-versions.html#expectation-that-data-is-preserved-between-versions</v>
      </c>
      <c r="F297" s="11" t="s">
        <v>1951</v>
      </c>
      <c r="G297" t="s">
        <v>32</v>
      </c>
      <c r="H297" cm="1">
        <f t="array" ref="H297">_xlfn.SWITCH(G297, "SHALL", 1, "SHOULD", 3, "MAY", 5, "SHOULD-NOT", 4, "SHALL-NOT", 2, "DEPRECATED", 6, 99)</f>
        <v>3</v>
      </c>
      <c r="J297" t="s">
        <v>30</v>
      </c>
      <c r="K297" t="s">
        <v>1171</v>
      </c>
      <c r="L297" t="s">
        <v>1171</v>
      </c>
      <c r="M297" t="s">
        <v>1173</v>
      </c>
      <c r="N297" t="s">
        <v>1171</v>
      </c>
      <c r="O297" t="s">
        <v>1171</v>
      </c>
      <c r="P297" t="s">
        <v>1171</v>
      </c>
      <c r="Q297" t="s">
        <v>1171</v>
      </c>
      <c r="R297" t="s">
        <v>1171</v>
      </c>
      <c r="S297" s="70" t="str" cm="1">
        <f t="array" ref="S297">_xlfn.TEXTJOIN(",",TRUE,LEFT(TRIM(_xlfn.TEXTSPLIT(us_core_reqs[[#This Row],[reference]],",")),FIND(".html",TRIM(_xlfn.TEXTSPLIT(us_core_reqs[[#This Row],[reference]],",")))-1))</f>
        <v>changes-between-versions</v>
      </c>
      <c r="T297" s="70" t="str" cm="1">
        <f t="array" ref="T297">_xlfn.TEXTJOIN(",",TRUE,MID(TRIM(_xlfn.TEXTSPLIT(us_core_reqs[[#This Row],[reference]],",")),FIND("#",TRIM(_xlfn.TEXTSPLIT(us_core_reqs[[#This Row],[reference]],","))&amp;"#")+1,1000))</f>
        <v>expectation-that-data-is-preserved-between-versions</v>
      </c>
      <c r="U297"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t="s">
        <v>32</v>
      </c>
      <c r="W297" t="s">
        <v>30</v>
      </c>
      <c r="X297" t="s">
        <v>31</v>
      </c>
      <c r="Y297" t="s">
        <v>1171</v>
      </c>
      <c r="Z297" t="s">
        <v>1171</v>
      </c>
      <c r="AA297" t="s">
        <v>1171</v>
      </c>
      <c r="AB297" t="s">
        <v>1171</v>
      </c>
      <c r="AC297" t="s">
        <v>1171</v>
      </c>
      <c r="AD297" t="s">
        <v>1171</v>
      </c>
      <c r="AE297" t="s">
        <v>1171</v>
      </c>
    </row>
    <row r="298" spans="1:31" ht="86" thickBot="1" x14ac:dyDescent="0.25">
      <c r="A298" t="s">
        <v>1171</v>
      </c>
      <c r="B298" t="s">
        <v>1470</v>
      </c>
      <c r="C298" t="str">
        <f>"CONF-"&amp;TEXT(us_core_reqs[[#This Row],[ID*]], "0000")</f>
        <v>CONF-0297</v>
      </c>
      <c r="D298" s="11" t="s">
        <v>1896</v>
      </c>
      <c r="E298" s="73" t="str" cm="1">
        <f t="array" ref="E298">_xlfn.TEXTJOIN(", ", TRUE, _xlfn.TEXTAFTER(_xlfn.TEXTSPLIT(us_core_reqs[[#This Row],[URL*]], ", "), "/", -1))</f>
        <v>changes-between-versions.html#expectation-that-data-is-preserved-between-versions</v>
      </c>
      <c r="F298" s="11" t="s">
        <v>1952</v>
      </c>
      <c r="G298" t="s">
        <v>32</v>
      </c>
      <c r="H298" cm="1">
        <f t="array" ref="H298">_xlfn.SWITCH(G298, "SHALL", 1, "SHOULD", 3, "MAY", 5, "SHOULD-NOT", 4, "SHALL-NOT", 2, "DEPRECATED", 6, 99)</f>
        <v>3</v>
      </c>
      <c r="J298" t="s">
        <v>30</v>
      </c>
      <c r="K298" t="s">
        <v>1171</v>
      </c>
      <c r="L298" t="s">
        <v>1171</v>
      </c>
      <c r="M298" t="s">
        <v>1173</v>
      </c>
      <c r="N298" t="s">
        <v>1171</v>
      </c>
      <c r="O298" t="s">
        <v>1171</v>
      </c>
      <c r="P298" t="s">
        <v>1171</v>
      </c>
      <c r="Q298" t="s">
        <v>1171</v>
      </c>
      <c r="R298" t="s">
        <v>1171</v>
      </c>
      <c r="S298" s="70" t="str" cm="1">
        <f t="array" ref="S298">_xlfn.TEXTJOIN(",",TRUE,LEFT(TRIM(_xlfn.TEXTSPLIT(us_core_reqs[[#This Row],[reference]],",")),FIND(".html",TRIM(_xlfn.TEXTSPLIT(us_core_reqs[[#This Row],[reference]],",")))-1))</f>
        <v>changes-between-versions</v>
      </c>
      <c r="T298" s="70" t="str" cm="1">
        <f t="array" ref="T298">_xlfn.TEXTJOIN(",",TRUE,MID(TRIM(_xlfn.TEXTSPLIT(us_core_reqs[[#This Row],[reference]],",")),FIND("#",TRIM(_xlfn.TEXTSPLIT(us_core_reqs[[#This Row],[reference]],","))&amp;"#")+1,1000))</f>
        <v>expectation-that-data-is-preserved-between-versions</v>
      </c>
      <c r="U298"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t="s">
        <v>32</v>
      </c>
      <c r="W298" t="s">
        <v>30</v>
      </c>
      <c r="X298" t="s">
        <v>320</v>
      </c>
      <c r="Y298" t="s">
        <v>1171</v>
      </c>
      <c r="Z298" t="s">
        <v>1171</v>
      </c>
      <c r="AA298" t="s">
        <v>1171</v>
      </c>
      <c r="AB298" t="s">
        <v>1171</v>
      </c>
      <c r="AC298" t="s">
        <v>1171</v>
      </c>
      <c r="AD298" t="s">
        <v>1171</v>
      </c>
      <c r="AE298" t="s">
        <v>1171</v>
      </c>
    </row>
    <row r="299" spans="1:31" ht="52" thickBot="1" x14ac:dyDescent="0.25">
      <c r="A299" t="s">
        <v>1171</v>
      </c>
      <c r="B299" t="s">
        <v>1471</v>
      </c>
      <c r="C299" t="str">
        <f>"CONF-"&amp;TEXT(us_core_reqs[[#This Row],[ID*]], "0000")</f>
        <v>CONF-0298</v>
      </c>
      <c r="D299" s="11" t="s">
        <v>1896</v>
      </c>
      <c r="E299" s="73" t="str" cm="1">
        <f t="array" ref="E299">_xlfn.TEXTJOIN(", ", TRUE, _xlfn.TEXTAFTER(_xlfn.TEXTSPLIT(us_core_reqs[[#This Row],[URL*]], ", "), "/", -1))</f>
        <v>changes-between-versions.html#expectation-that-data-is-preserved-between-versions</v>
      </c>
      <c r="F299" s="11" t="s">
        <v>1953</v>
      </c>
      <c r="G299" t="s">
        <v>32</v>
      </c>
      <c r="H299" cm="1">
        <f t="array" ref="H299">_xlfn.SWITCH(G299, "SHALL", 1, "SHOULD", 3, "MAY", 5, "SHOULD-NOT", 4, "SHALL-NOT", 2, "DEPRECATED", 6, 99)</f>
        <v>3</v>
      </c>
      <c r="J299" t="s">
        <v>30</v>
      </c>
      <c r="K299" t="s">
        <v>1171</v>
      </c>
      <c r="L299" t="s">
        <v>1171</v>
      </c>
      <c r="M299" t="s">
        <v>1173</v>
      </c>
      <c r="N299" t="s">
        <v>1171</v>
      </c>
      <c r="O299" t="s">
        <v>1171</v>
      </c>
      <c r="P299" t="s">
        <v>1171</v>
      </c>
      <c r="Q299" t="s">
        <v>1171</v>
      </c>
      <c r="R299" t="s">
        <v>1171</v>
      </c>
      <c r="S299" s="70" t="str" cm="1">
        <f t="array" ref="S299">_xlfn.TEXTJOIN(",",TRUE,LEFT(TRIM(_xlfn.TEXTSPLIT(us_core_reqs[[#This Row],[reference]],",")),FIND(".html",TRIM(_xlfn.TEXTSPLIT(us_core_reqs[[#This Row],[reference]],",")))-1))</f>
        <v>changes-between-versions</v>
      </c>
      <c r="T299" s="70" t="str" cm="1">
        <f t="array" ref="T299">_xlfn.TEXTJOIN(",",TRUE,MID(TRIM(_xlfn.TEXTSPLIT(us_core_reqs[[#This Row],[reference]],",")),FIND("#",TRIM(_xlfn.TEXTSPLIT(us_core_reqs[[#This Row],[reference]],","))&amp;"#")+1,1000))</f>
        <v>expectation-that-data-is-preserved-between-versions</v>
      </c>
      <c r="U299"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t="s">
        <v>32</v>
      </c>
      <c r="W299" t="s">
        <v>1171</v>
      </c>
      <c r="X299" t="s">
        <v>106</v>
      </c>
      <c r="Y299" t="s">
        <v>1171</v>
      </c>
      <c r="Z299" t="s">
        <v>1171</v>
      </c>
      <c r="AA299" t="s">
        <v>1171</v>
      </c>
      <c r="AB299" t="s">
        <v>1171</v>
      </c>
      <c r="AC299" t="s">
        <v>1171</v>
      </c>
      <c r="AD299" t="s">
        <v>1171</v>
      </c>
      <c r="AE299" t="s">
        <v>1171</v>
      </c>
    </row>
    <row r="300" spans="1:31" ht="52" thickBot="1" x14ac:dyDescent="0.25">
      <c r="A300" t="s">
        <v>1171</v>
      </c>
      <c r="B300" t="s">
        <v>1472</v>
      </c>
      <c r="C300" t="str">
        <f>"CONF-"&amp;TEXT(us_core_reqs[[#This Row],[ID*]], "0000")</f>
        <v>CONF-0299</v>
      </c>
      <c r="D300" s="11" t="s">
        <v>1896</v>
      </c>
      <c r="E300" s="73" t="str" cm="1">
        <f t="array" ref="E300">_xlfn.TEXTJOIN(", ", TRUE, _xlfn.TEXTAFTER(_xlfn.TEXTSPLIT(us_core_reqs[[#This Row],[URL*]], ", "), "/", -1))</f>
        <v>changes-between-versions.html#expectation-that-data-is-preserved-between-versions</v>
      </c>
      <c r="F300" s="11" t="s">
        <v>1954</v>
      </c>
      <c r="G300" t="s">
        <v>32</v>
      </c>
      <c r="H300" cm="1">
        <f t="array" ref="H300">_xlfn.SWITCH(G300, "SHALL", 1, "SHOULD", 3, "MAY", 5, "SHOULD-NOT", 4, "SHALL-NOT", 2, "DEPRECATED", 6, 99)</f>
        <v>3</v>
      </c>
      <c r="J300" t="s">
        <v>58</v>
      </c>
      <c r="K300" t="s">
        <v>1171</v>
      </c>
      <c r="L300" t="s">
        <v>1171</v>
      </c>
      <c r="M300" t="s">
        <v>1173</v>
      </c>
      <c r="N300" t="s">
        <v>1171</v>
      </c>
      <c r="O300" t="s">
        <v>1171</v>
      </c>
      <c r="P300" t="s">
        <v>1171</v>
      </c>
      <c r="Q300" t="s">
        <v>1171</v>
      </c>
      <c r="R300" t="s">
        <v>1171</v>
      </c>
      <c r="S300" s="70" t="str" cm="1">
        <f t="array" ref="S300">_xlfn.TEXTJOIN(",",TRUE,LEFT(TRIM(_xlfn.TEXTSPLIT(us_core_reqs[[#This Row],[reference]],",")),FIND(".html",TRIM(_xlfn.TEXTSPLIT(us_core_reqs[[#This Row],[reference]],",")))-1))</f>
        <v>changes-between-versions</v>
      </c>
      <c r="T300" s="70" t="str" cm="1">
        <f t="array" ref="T300">_xlfn.TEXTJOIN(",",TRUE,MID(TRIM(_xlfn.TEXTSPLIT(us_core_reqs[[#This Row],[reference]],",")),FIND("#",TRIM(_xlfn.TEXTSPLIT(us_core_reqs[[#This Row],[reference]],","))&amp;"#")+1,1000))</f>
        <v>expectation-that-data-is-preserved-between-versions</v>
      </c>
      <c r="U300"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t="s">
        <v>32</v>
      </c>
      <c r="W300" t="s">
        <v>58</v>
      </c>
      <c r="X300" t="s">
        <v>106</v>
      </c>
      <c r="Y300" t="s">
        <v>1171</v>
      </c>
      <c r="Z300" t="s">
        <v>1171</v>
      </c>
      <c r="AA300" t="s">
        <v>1171</v>
      </c>
      <c r="AB300" t="s">
        <v>1171</v>
      </c>
      <c r="AC300" t="s">
        <v>1171</v>
      </c>
      <c r="AD300" t="s">
        <v>1171</v>
      </c>
      <c r="AE300" t="s">
        <v>1171</v>
      </c>
    </row>
    <row r="301" spans="1:31" ht="69" thickBot="1" x14ac:dyDescent="0.25">
      <c r="A301" t="s">
        <v>1171</v>
      </c>
      <c r="B301" t="s">
        <v>1473</v>
      </c>
      <c r="C301" t="str">
        <f>"CONF-"&amp;TEXT(us_core_reqs[[#This Row],[ID*]], "0000")</f>
        <v>CONF-0300</v>
      </c>
      <c r="D301" s="11" t="s">
        <v>862</v>
      </c>
      <c r="E301" s="73" t="str" cm="1">
        <f t="array" ref="E301">_xlfn.TEXTJOIN(", ", TRUE, _xlfn.TEXTAFTER(_xlfn.TEXTSPLIT(us_core_reqs[[#This Row],[URL*]], ", "), "/", -1))</f>
        <v>changes-between-versions.html#authorization-across-versions</v>
      </c>
      <c r="F301" s="11" t="s">
        <v>1897</v>
      </c>
      <c r="G301" t="s">
        <v>32</v>
      </c>
      <c r="H301" cm="1">
        <f t="array" ref="H301">_xlfn.SWITCH(G301, "SHALL", 1, "SHOULD", 3, "MAY", 5, "SHOULD-NOT", 4, "SHALL-NOT", 2, "DEPRECATED", 6, 99)</f>
        <v>3</v>
      </c>
      <c r="J301" t="s">
        <v>30</v>
      </c>
      <c r="K301" t="s">
        <v>1171</v>
      </c>
      <c r="L301" t="s">
        <v>1171</v>
      </c>
      <c r="M301" t="s">
        <v>1173</v>
      </c>
      <c r="N301" t="s">
        <v>1171</v>
      </c>
      <c r="O301" t="s">
        <v>1171</v>
      </c>
      <c r="P301" t="s">
        <v>1171</v>
      </c>
      <c r="Q301" t="s">
        <v>1171</v>
      </c>
      <c r="R301" t="s">
        <v>1171</v>
      </c>
      <c r="S301" s="70" t="str" cm="1">
        <f t="array" ref="S301">_xlfn.TEXTJOIN(",",TRUE,LEFT(TRIM(_xlfn.TEXTSPLIT(us_core_reqs[[#This Row],[reference]],",")),FIND(".html",TRIM(_xlfn.TEXTSPLIT(us_core_reqs[[#This Row],[reference]],",")))-1))</f>
        <v>changes-between-versions</v>
      </c>
      <c r="T301" s="70" t="str" cm="1">
        <f t="array" ref="T301">_xlfn.TEXTJOIN(",",TRUE,MID(TRIM(_xlfn.TEXTSPLIT(us_core_reqs[[#This Row],[reference]],",")),FIND("#",TRIM(_xlfn.TEXTSPLIT(us_core_reqs[[#This Row],[reference]],","))&amp;"#")+1,1000))</f>
        <v>authorization-across-versions</v>
      </c>
      <c r="U301" t="str" cm="1">
        <f t="array" ref="U301">_xlfn.TEXTJOIN(", ",TRUE,SUBSTITUTE(SUBSTITUTE(PROPER(SUBSTITUTE(TRIM(_xlfn.TEXTSPLIT(us_core_reqs[[#This Row],[Page]],","))," -"," "))&amp;": "&amp;PROPER(SUBSTITUTE(TRIM(_xlfn.TEXTSPLIT(us_core_reqs[[#This Row],[Section]],","))," -"," ")),"Us ","US        
  "),"Uscdi","USCDI"))</f>
        <v>Changes-Between-Versions: Authorization-Across-Versions</v>
      </c>
      <c r="V301" t="s">
        <v>1171</v>
      </c>
      <c r="W301" t="s">
        <v>1171</v>
      </c>
      <c r="X301" t="s">
        <v>106</v>
      </c>
      <c r="Y301" t="s">
        <v>1171</v>
      </c>
      <c r="Z301" t="s">
        <v>1171</v>
      </c>
      <c r="AA301" t="s">
        <v>1171</v>
      </c>
      <c r="AB301" t="s">
        <v>1171</v>
      </c>
      <c r="AC301" t="s">
        <v>1171</v>
      </c>
      <c r="AD301" t="s">
        <v>1141</v>
      </c>
      <c r="AE301" t="s">
        <v>1171</v>
      </c>
    </row>
    <row r="302" spans="1:31" ht="35" thickBot="1" x14ac:dyDescent="0.25">
      <c r="A302" t="s">
        <v>1171</v>
      </c>
      <c r="B302" t="s">
        <v>1474</v>
      </c>
      <c r="C302" t="str">
        <f>"CONF-"&amp;TEXT(us_core_reqs[[#This Row],[ID*]], "0000")</f>
        <v>CONF-0301</v>
      </c>
      <c r="D302" s="11" t="s">
        <v>862</v>
      </c>
      <c r="E302" s="73" t="str" cm="1">
        <f t="array" ref="E302">_xlfn.TEXTJOIN(", ", TRUE, _xlfn.TEXTAFTER(_xlfn.TEXTSPLIT(us_core_reqs[[#This Row],[URL*]], ", "), "/", -1))</f>
        <v>changes-between-versions.html#authorization-across-versions</v>
      </c>
      <c r="F302" s="11" t="s">
        <v>322</v>
      </c>
      <c r="G302" t="s">
        <v>64</v>
      </c>
      <c r="H302" cm="1">
        <f t="array" ref="H302">_xlfn.SWITCH(G302, "SHALL", 1, "SHOULD", 3, "MAY", 5, "SHOULD-NOT", 4, "SHALL-NOT", 2, "DEPRECATED", 6, 99)</f>
        <v>6</v>
      </c>
      <c r="J302" t="s">
        <v>58</v>
      </c>
      <c r="K302" t="s">
        <v>1171</v>
      </c>
      <c r="L302" t="s">
        <v>1171</v>
      </c>
      <c r="M302" t="s">
        <v>1173</v>
      </c>
      <c r="N302" t="s">
        <v>1171</v>
      </c>
      <c r="O302" t="s">
        <v>1171</v>
      </c>
      <c r="P302" t="s">
        <v>1171</v>
      </c>
      <c r="Q302" t="s">
        <v>1171</v>
      </c>
      <c r="R302" t="s">
        <v>1171</v>
      </c>
      <c r="S302" s="70" t="str" cm="1">
        <f t="array" ref="S302">_xlfn.TEXTJOIN(",",TRUE,LEFT(TRIM(_xlfn.TEXTSPLIT(us_core_reqs[[#This Row],[reference]],",")),FIND(".html",TRIM(_xlfn.TEXTSPLIT(us_core_reqs[[#This Row],[reference]],",")))-1))</f>
        <v>changes-between-versions</v>
      </c>
      <c r="T302" s="70" t="str" cm="1">
        <f t="array" ref="T302">_xlfn.TEXTJOIN(",",TRUE,MID(TRIM(_xlfn.TEXTSPLIT(us_core_reqs[[#This Row],[reference]],",")),FIND("#",TRIM(_xlfn.TEXTSPLIT(us_core_reqs[[#This Row],[reference]],","))&amp;"#")+1,1000))</f>
        <v>authorization-across-versions</v>
      </c>
      <c r="U302" t="str" cm="1">
        <f t="array" ref="U302">_xlfn.TEXTJOIN(", ",TRUE,SUBSTITUTE(SUBSTITUTE(PROPER(SUBSTITUTE(TRIM(_xlfn.TEXTSPLIT(us_core_reqs[[#This Row],[Page]],","))," -"," "))&amp;": "&amp;PROPER(SUBSTITUTE(TRIM(_xlfn.TEXTSPLIT(us_core_reqs[[#This Row],[Section]],","))," -"," ")),"Us ","US        
  "),"Uscdi","USCDI"))</f>
        <v>Changes-Between-Versions: Authorization-Across-Versions</v>
      </c>
      <c r="V302" t="s">
        <v>1171</v>
      </c>
      <c r="W302" t="s">
        <v>1171</v>
      </c>
      <c r="X302" t="s">
        <v>106</v>
      </c>
      <c r="Y302" t="s">
        <v>1171</v>
      </c>
      <c r="Z302" t="s">
        <v>1171</v>
      </c>
      <c r="AA302" t="s">
        <v>1171</v>
      </c>
      <c r="AB302" t="s">
        <v>1171</v>
      </c>
      <c r="AC302" t="s">
        <v>1171</v>
      </c>
      <c r="AD302" t="s">
        <v>1171</v>
      </c>
      <c r="AE302" t="s">
        <v>1171</v>
      </c>
    </row>
    <row r="303" spans="1:31" ht="52" thickBot="1" x14ac:dyDescent="0.25">
      <c r="A303" t="s">
        <v>1171</v>
      </c>
      <c r="B303" t="s">
        <v>1475</v>
      </c>
      <c r="C303" t="str">
        <f>"CONF-"&amp;TEXT(us_core_reqs[[#This Row],[ID*]], "0000")</f>
        <v>CONF-0302</v>
      </c>
      <c r="D303" s="11" t="s">
        <v>2221</v>
      </c>
      <c r="E303" s="73" t="str" cm="1">
        <f t="array" ref="E303">_xlfn.TEXTJOIN(", ", TRUE, _xlfn.TEXTAFTER(_xlfn.TEXTSPLIT(us_core_reqs[[#This Row],[URL*]], ", "), "/", -1))</f>
        <v>StructureDefinition-us-core-allergyintolerance.html#profile-specific-implementation-guidance</v>
      </c>
      <c r="F303" s="11" t="s">
        <v>2048</v>
      </c>
      <c r="G303" t="s">
        <v>29</v>
      </c>
      <c r="H303" cm="1">
        <f t="array" ref="H303">_xlfn.SWITCH(G303, "SHALL", 1, "SHOULD", 3, "MAY", 5, "SHOULD-NOT", 4, "SHALL-NOT", 2, "DEPRECATED", 6, 99)</f>
        <v>1</v>
      </c>
      <c r="J303" t="s">
        <v>30</v>
      </c>
      <c r="K303" t="s">
        <v>1171</v>
      </c>
      <c r="L303" t="s">
        <v>1171</v>
      </c>
      <c r="M303" t="s">
        <v>1173</v>
      </c>
      <c r="N303" t="s">
        <v>1171</v>
      </c>
      <c r="O303" t="s">
        <v>1171</v>
      </c>
      <c r="P303" t="s">
        <v>1171</v>
      </c>
      <c r="Q303" t="s">
        <v>1171</v>
      </c>
      <c r="R303" t="s">
        <v>1171</v>
      </c>
      <c r="S303" s="70" t="str" cm="1">
        <f t="array" ref="S303">_xlfn.TEXTJOIN(",",TRUE,LEFT(TRIM(_xlfn.TEXTSPLIT(us_core_reqs[[#This Row],[reference]],",")),FIND(".html",TRIM(_xlfn.TEXTSPLIT(us_core_reqs[[#This Row],[reference]],",")))-1))</f>
        <v>StructureDefinition-us-core-allergyintolerance</v>
      </c>
      <c r="T303" s="70" t="str" cm="1">
        <f t="array" ref="T303">_xlfn.TEXTJOIN(",",TRUE,MID(TRIM(_xlfn.TEXTSPLIT(us_core_reqs[[#This Row],[reference]],",")),FIND("#",TRIM(_xlfn.TEXTSPLIT(us_core_reqs[[#This Row],[reference]],","))&amp;"#")+1,1000))</f>
        <v>profile-specific-implementation-guidance</v>
      </c>
      <c r="U303"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t="s">
        <v>29</v>
      </c>
      <c r="W303" t="s">
        <v>1171</v>
      </c>
      <c r="X303" t="s">
        <v>204</v>
      </c>
      <c r="Y303" t="s">
        <v>1171</v>
      </c>
      <c r="Z303" t="s">
        <v>1171</v>
      </c>
      <c r="AA303" t="s">
        <v>1171</v>
      </c>
      <c r="AB303" t="s">
        <v>1171</v>
      </c>
      <c r="AC303" t="s">
        <v>1171</v>
      </c>
      <c r="AD303" t="s">
        <v>1140</v>
      </c>
      <c r="AE303" t="s">
        <v>1171</v>
      </c>
    </row>
    <row r="304" spans="1:31" ht="52" thickBot="1" x14ac:dyDescent="0.25">
      <c r="A304" t="s">
        <v>1171</v>
      </c>
      <c r="B304" t="s">
        <v>1476</v>
      </c>
      <c r="C304" t="str">
        <f>"CONF-"&amp;TEXT(us_core_reqs[[#This Row],[ID*]], "0000")</f>
        <v>CONF-0303</v>
      </c>
      <c r="D304" s="11" t="s">
        <v>2221</v>
      </c>
      <c r="E304" s="73" t="str" cm="1">
        <f t="array" ref="E304">_xlfn.TEXTJOIN(", ", TRUE, _xlfn.TEXTAFTER(_xlfn.TEXTSPLIT(us_core_reqs[[#This Row],[URL*]], ", "), "/", -1))</f>
        <v>StructureDefinition-us-core-allergyintolerance.html#profile-specific-implementation-guidance</v>
      </c>
      <c r="F304" s="11" t="s">
        <v>2071</v>
      </c>
      <c r="G304" t="s">
        <v>1833</v>
      </c>
      <c r="H304" cm="1">
        <f t="array" ref="H304">_xlfn.SWITCH(G304, "SHALL", 1, "SHOULD", 3, "MAY", 5, "SHOULD-NOT", 4, "SHALL-NOT", 2, "DEPRECATED", 6, 99)</f>
        <v>2</v>
      </c>
      <c r="J304" t="s">
        <v>30</v>
      </c>
      <c r="K304" t="s">
        <v>1171</v>
      </c>
      <c r="L304" t="s">
        <v>1171</v>
      </c>
      <c r="M304" t="s">
        <v>1173</v>
      </c>
      <c r="N304" t="s">
        <v>1171</v>
      </c>
      <c r="O304" t="s">
        <v>1171</v>
      </c>
      <c r="P304" t="s">
        <v>1171</v>
      </c>
      <c r="Q304" t="s">
        <v>1171</v>
      </c>
      <c r="R304" t="s">
        <v>1171</v>
      </c>
      <c r="S304" s="70" t="str" cm="1">
        <f t="array" ref="S304">_xlfn.TEXTJOIN(",",TRUE,LEFT(TRIM(_xlfn.TEXTSPLIT(us_core_reqs[[#This Row],[reference]],",")),FIND(".html",TRIM(_xlfn.TEXTSPLIT(us_core_reqs[[#This Row],[reference]],",")))-1))</f>
        <v>StructureDefinition-us-core-allergyintolerance</v>
      </c>
      <c r="T304" s="70" t="str" cm="1">
        <f t="array" ref="T304">_xlfn.TEXTJOIN(",",TRUE,MID(TRIM(_xlfn.TEXTSPLIT(us_core_reqs[[#This Row],[reference]],",")),FIND("#",TRIM(_xlfn.TEXTSPLIT(us_core_reqs[[#This Row],[reference]],","))&amp;"#")+1,1000))</f>
        <v>profile-specific-implementation-guidance</v>
      </c>
      <c r="U304"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t="s">
        <v>29</v>
      </c>
      <c r="W304" t="s">
        <v>1171</v>
      </c>
      <c r="X304" t="s">
        <v>204</v>
      </c>
      <c r="Y304" t="s">
        <v>1171</v>
      </c>
      <c r="Z304" t="s">
        <v>1171</v>
      </c>
      <c r="AA304" t="s">
        <v>1171</v>
      </c>
      <c r="AB304" t="s">
        <v>1171</v>
      </c>
      <c r="AC304" t="s">
        <v>1171</v>
      </c>
      <c r="AD304" t="s">
        <v>1140</v>
      </c>
      <c r="AE304" t="s">
        <v>1171</v>
      </c>
    </row>
    <row r="305" spans="1:31" ht="52" thickBot="1" x14ac:dyDescent="0.25">
      <c r="A305" t="s">
        <v>1171</v>
      </c>
      <c r="B305" t="s">
        <v>1477</v>
      </c>
      <c r="C305" t="str">
        <f>"CONF-"&amp;TEXT(us_core_reqs[[#This Row],[ID*]], "0000")</f>
        <v>CONF-0304</v>
      </c>
      <c r="D305" s="11" t="s">
        <v>2221</v>
      </c>
      <c r="E305" s="73" t="str" cm="1">
        <f t="array" ref="E305">_xlfn.TEXTJOIN(", ", TRUE, _xlfn.TEXTAFTER(_xlfn.TEXTSPLIT(us_core_reqs[[#This Row],[URL*]], ", "), "/", -1))</f>
        <v>StructureDefinition-us-core-allergyintolerance.html#profile-specific-implementation-guidance</v>
      </c>
      <c r="F305" s="11" t="s">
        <v>325</v>
      </c>
      <c r="G305" t="s">
        <v>64</v>
      </c>
      <c r="H305" cm="1">
        <f t="array" ref="H305">_xlfn.SWITCH(G305, "SHALL", 1, "SHOULD", 3, "MAY", 5, "SHOULD-NOT", 4, "SHALL-NOT", 2, "DEPRECATED", 6, 99)</f>
        <v>6</v>
      </c>
      <c r="J305" t="s">
        <v>30</v>
      </c>
      <c r="K305" t="s">
        <v>1171</v>
      </c>
      <c r="L305" t="s">
        <v>1171</v>
      </c>
      <c r="M305" t="s">
        <v>1173</v>
      </c>
      <c r="N305" t="s">
        <v>1171</v>
      </c>
      <c r="O305" t="s">
        <v>1171</v>
      </c>
      <c r="P305" t="s">
        <v>1171</v>
      </c>
      <c r="Q305" t="s">
        <v>1171</v>
      </c>
      <c r="R305" t="s">
        <v>1171</v>
      </c>
      <c r="S305" s="70" t="str" cm="1">
        <f t="array" ref="S305">_xlfn.TEXTJOIN(",",TRUE,LEFT(TRIM(_xlfn.TEXTSPLIT(us_core_reqs[[#This Row],[reference]],",")),FIND(".html",TRIM(_xlfn.TEXTSPLIT(us_core_reqs[[#This Row],[reference]],",")))-1))</f>
        <v>StructureDefinition-us-core-allergyintolerance</v>
      </c>
      <c r="T305" s="70" t="str" cm="1">
        <f t="array" ref="T305">_xlfn.TEXTJOIN(",",TRUE,MID(TRIM(_xlfn.TEXTSPLIT(us_core_reqs[[#This Row],[reference]],",")),FIND("#",TRIM(_xlfn.TEXTSPLIT(us_core_reqs[[#This Row],[reference]],","))&amp;"#")+1,1000))</f>
        <v>profile-specific-implementation-guidance</v>
      </c>
      <c r="U305"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t="s">
        <v>1171</v>
      </c>
      <c r="W305" t="s">
        <v>1171</v>
      </c>
      <c r="X305" t="s">
        <v>1171</v>
      </c>
      <c r="Y305" t="s">
        <v>1171</v>
      </c>
      <c r="Z305" t="s">
        <v>1171</v>
      </c>
      <c r="AA305" t="s">
        <v>1171</v>
      </c>
      <c r="AB305" t="s">
        <v>1171</v>
      </c>
      <c r="AC305" t="s">
        <v>1167</v>
      </c>
      <c r="AD305" t="s">
        <v>1140</v>
      </c>
      <c r="AE305" t="s">
        <v>1171</v>
      </c>
    </row>
    <row r="306" spans="1:31" ht="69" thickBot="1" x14ac:dyDescent="0.25">
      <c r="A306" t="s">
        <v>1171</v>
      </c>
      <c r="B306" t="s">
        <v>1478</v>
      </c>
      <c r="C306" t="str">
        <f>"CONF-"&amp;TEXT(us_core_reqs[[#This Row],[ID*]], "0000")</f>
        <v>CONF-0305</v>
      </c>
      <c r="D306" s="11" t="s">
        <v>2221</v>
      </c>
      <c r="E306" s="73" t="str" cm="1">
        <f t="array" ref="E306">_xlfn.TEXTJOIN(", ", TRUE, _xlfn.TEXTAFTER(_xlfn.TEXTSPLIT(us_core_reqs[[#This Row],[URL*]], ", "), "/", -1))</f>
        <v>StructureDefinition-us-core-allergyintolerance.html#profile-specific-implementation-guidance</v>
      </c>
      <c r="F306" s="11" t="s">
        <v>326</v>
      </c>
      <c r="G306" t="s">
        <v>35</v>
      </c>
      <c r="H306" cm="1">
        <f t="array" ref="H306">_xlfn.SWITCH(G306, "SHALL", 1, "SHOULD", 3, "MAY", 5, "SHOULD-NOT", 4, "SHALL-NOT", 2, "DEPRECATED", 6, 99)</f>
        <v>5</v>
      </c>
      <c r="I306" t="s">
        <v>1878</v>
      </c>
      <c r="J306" t="s">
        <v>30</v>
      </c>
      <c r="K306" t="s">
        <v>1171</v>
      </c>
      <c r="L306" t="s">
        <v>1106</v>
      </c>
      <c r="M306" t="s">
        <v>1176</v>
      </c>
      <c r="N306" t="s">
        <v>327</v>
      </c>
      <c r="O306" t="s">
        <v>1171</v>
      </c>
      <c r="P306" t="s">
        <v>1171</v>
      </c>
      <c r="Q306" t="s">
        <v>1171</v>
      </c>
      <c r="R306" t="s">
        <v>1171</v>
      </c>
      <c r="S306" s="70" t="str" cm="1">
        <f t="array" ref="S306">_xlfn.TEXTJOIN(",",TRUE,LEFT(TRIM(_xlfn.TEXTSPLIT(us_core_reqs[[#This Row],[reference]],",")),FIND(".html",TRIM(_xlfn.TEXTSPLIT(us_core_reqs[[#This Row],[reference]],",")))-1))</f>
        <v>StructureDefinition-us-core-allergyintolerance</v>
      </c>
      <c r="T306" s="70" t="str" cm="1">
        <f t="array" ref="T306">_xlfn.TEXTJOIN(",",TRUE,MID(TRIM(_xlfn.TEXTSPLIT(us_core_reqs[[#This Row],[reference]],",")),FIND("#",TRIM(_xlfn.TEXTSPLIT(us_core_reqs[[#This Row],[reference]],","))&amp;"#")+1,1000))</f>
        <v>profile-specific-implementation-guidance</v>
      </c>
      <c r="U306"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t="s">
        <v>35</v>
      </c>
      <c r="W306" t="s">
        <v>1171</v>
      </c>
      <c r="X306" t="s">
        <v>1171</v>
      </c>
      <c r="Y306" t="s">
        <v>1171</v>
      </c>
      <c r="Z306" t="s">
        <v>1171</v>
      </c>
      <c r="AA306" t="s">
        <v>1171</v>
      </c>
      <c r="AB306" t="s">
        <v>1171</v>
      </c>
      <c r="AC306" t="s">
        <v>1171</v>
      </c>
      <c r="AD306" t="s">
        <v>1171</v>
      </c>
      <c r="AE306" t="s">
        <v>1171</v>
      </c>
    </row>
    <row r="307" spans="1:31" ht="52" thickBot="1" x14ac:dyDescent="0.25">
      <c r="A307" t="s">
        <v>1171</v>
      </c>
      <c r="B307" t="s">
        <v>1479</v>
      </c>
      <c r="C307" t="str">
        <f>"CONF-"&amp;TEXT(us_core_reqs[[#This Row],[ID*]], "0000")</f>
        <v>CONF-0306</v>
      </c>
      <c r="D307" s="11" t="s">
        <v>2221</v>
      </c>
      <c r="E307" s="73" t="str" cm="1">
        <f t="array" ref="E307">_xlfn.TEXTJOIN(", ", TRUE, _xlfn.TEXTAFTER(_xlfn.TEXTSPLIT(us_core_reqs[[#This Row],[URL*]], ", "), "/", -1))</f>
        <v>StructureDefinition-us-core-allergyintolerance.html#profile-specific-implementation-guidance</v>
      </c>
      <c r="F307" s="11" t="s">
        <v>328</v>
      </c>
      <c r="G307" t="s">
        <v>29</v>
      </c>
      <c r="H307" cm="1">
        <f t="array" ref="H307">_xlfn.SWITCH(G307, "SHALL", 1, "SHOULD", 3, "MAY", 5, "SHOULD-NOT", 4, "SHALL-NOT", 2, "DEPRECATED", 6, 99)</f>
        <v>1</v>
      </c>
      <c r="J307" t="s">
        <v>30</v>
      </c>
      <c r="K307" t="s">
        <v>1171</v>
      </c>
      <c r="L307" t="s">
        <v>1171</v>
      </c>
      <c r="M307" t="s">
        <v>1176</v>
      </c>
      <c r="N307" t="s">
        <v>329</v>
      </c>
      <c r="O307" t="s">
        <v>1171</v>
      </c>
      <c r="P307" t="s">
        <v>1171</v>
      </c>
      <c r="Q307" t="s">
        <v>1171</v>
      </c>
      <c r="R307" t="s">
        <v>1171</v>
      </c>
      <c r="S307" s="70" t="str" cm="1">
        <f t="array" ref="S307">_xlfn.TEXTJOIN(",",TRUE,LEFT(TRIM(_xlfn.TEXTSPLIT(us_core_reqs[[#This Row],[reference]],",")),FIND(".html",TRIM(_xlfn.TEXTSPLIT(us_core_reqs[[#This Row],[reference]],",")))-1))</f>
        <v>StructureDefinition-us-core-allergyintolerance</v>
      </c>
      <c r="T307" s="70" t="str" cm="1">
        <f t="array" ref="T307">_xlfn.TEXTJOIN(",",TRUE,MID(TRIM(_xlfn.TEXTSPLIT(us_core_reqs[[#This Row],[reference]],",")),FIND("#",TRIM(_xlfn.TEXTSPLIT(us_core_reqs[[#This Row],[reference]],","))&amp;"#")+1,1000))</f>
        <v>profile-specific-implementation-guidance</v>
      </c>
      <c r="U307"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t="s">
        <v>29</v>
      </c>
      <c r="W307" t="s">
        <v>1171</v>
      </c>
      <c r="X307" t="s">
        <v>1171</v>
      </c>
      <c r="Y307" t="s">
        <v>1171</v>
      </c>
      <c r="Z307" t="s">
        <v>1171</v>
      </c>
      <c r="AA307" t="s">
        <v>1171</v>
      </c>
      <c r="AB307" t="s">
        <v>1171</v>
      </c>
      <c r="AC307" t="s">
        <v>1171</v>
      </c>
      <c r="AD307" t="s">
        <v>1141</v>
      </c>
      <c r="AE307" t="s">
        <v>1171</v>
      </c>
    </row>
    <row r="308" spans="1:31" ht="52" thickBot="1" x14ac:dyDescent="0.25">
      <c r="A308" t="s">
        <v>1171</v>
      </c>
      <c r="B308" t="s">
        <v>1480</v>
      </c>
      <c r="C308" t="str">
        <f>"CONF-"&amp;TEXT(us_core_reqs[[#This Row],[ID*]], "0000")</f>
        <v>CONF-0307</v>
      </c>
      <c r="D308" s="11" t="s">
        <v>2221</v>
      </c>
      <c r="E308" s="73" t="str" cm="1">
        <f t="array" ref="E308">_xlfn.TEXTJOIN(", ", TRUE, _xlfn.TEXTAFTER(_xlfn.TEXTSPLIT(us_core_reqs[[#This Row],[URL*]], ", "), "/", -1))</f>
        <v>StructureDefinition-us-core-allergyintolerance.html#profile-specific-implementation-guidance</v>
      </c>
      <c r="F308" s="11" t="s">
        <v>330</v>
      </c>
      <c r="G308" t="s">
        <v>29</v>
      </c>
      <c r="H308" cm="1">
        <f t="array" ref="H308">_xlfn.SWITCH(G308, "SHALL", 1, "SHOULD", 3, "MAY", 5, "SHOULD-NOT", 4, "SHALL-NOT", 2, "DEPRECATED", 6, 99)</f>
        <v>1</v>
      </c>
      <c r="J308" t="s">
        <v>30</v>
      </c>
      <c r="K308" t="s">
        <v>1171</v>
      </c>
      <c r="L308" t="s">
        <v>1171</v>
      </c>
      <c r="M308" t="s">
        <v>1176</v>
      </c>
      <c r="N308" t="s">
        <v>329</v>
      </c>
      <c r="O308" t="s">
        <v>1171</v>
      </c>
      <c r="P308" t="s">
        <v>1171</v>
      </c>
      <c r="Q308" t="s">
        <v>1171</v>
      </c>
      <c r="R308" t="s">
        <v>1171</v>
      </c>
      <c r="S308" s="70" t="str" cm="1">
        <f t="array" ref="S308">_xlfn.TEXTJOIN(",",TRUE,LEFT(TRIM(_xlfn.TEXTSPLIT(us_core_reqs[[#This Row],[reference]],",")),FIND(".html",TRIM(_xlfn.TEXTSPLIT(us_core_reqs[[#This Row],[reference]],",")))-1))</f>
        <v>StructureDefinition-us-core-allergyintolerance</v>
      </c>
      <c r="T308" s="70" t="str" cm="1">
        <f t="array" ref="T308">_xlfn.TEXTJOIN(",",TRUE,MID(TRIM(_xlfn.TEXTSPLIT(us_core_reqs[[#This Row],[reference]],",")),FIND("#",TRIM(_xlfn.TEXTSPLIT(us_core_reqs[[#This Row],[reference]],","))&amp;"#")+1,1000))</f>
        <v>profile-specific-implementation-guidance</v>
      </c>
      <c r="U308"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t="s">
        <v>29</v>
      </c>
      <c r="W308" t="s">
        <v>1171</v>
      </c>
      <c r="X308" t="s">
        <v>1171</v>
      </c>
      <c r="Y308" t="s">
        <v>1171</v>
      </c>
      <c r="Z308" t="s">
        <v>1171</v>
      </c>
      <c r="AA308" t="s">
        <v>1171</v>
      </c>
      <c r="AB308" t="s">
        <v>1171</v>
      </c>
      <c r="AC308" t="s">
        <v>1171</v>
      </c>
      <c r="AD308" t="s">
        <v>1141</v>
      </c>
      <c r="AE308" t="s">
        <v>1171</v>
      </c>
    </row>
    <row r="309" spans="1:31" ht="103" thickBot="1" x14ac:dyDescent="0.25">
      <c r="A309" t="s">
        <v>1171</v>
      </c>
      <c r="B309" t="s">
        <v>1481</v>
      </c>
      <c r="C309" t="str">
        <f>"CONF-"&amp;TEXT(us_core_reqs[[#This Row],[ID*]], "0000")</f>
        <v>CONF-0308</v>
      </c>
      <c r="D309" s="11" t="s">
        <v>2221</v>
      </c>
      <c r="E309" s="73" t="str" cm="1">
        <f t="array" ref="E309">_xlfn.TEXTJOIN(", ", TRUE, _xlfn.TEXTAFTER(_xlfn.TEXTSPLIT(us_core_reqs[[#This Row],[URL*]], ", "), "/", -1))</f>
        <v>StructureDefinition-us-core-allergyintolerance.html#profile-specific-implementation-guidance</v>
      </c>
      <c r="F309" s="11" t="s">
        <v>331</v>
      </c>
      <c r="G309" t="s">
        <v>32</v>
      </c>
      <c r="H309" cm="1">
        <f t="array" ref="H309">_xlfn.SWITCH(G309, "SHALL", 1, "SHOULD", 3, "MAY", 5, "SHOULD-NOT", 4, "SHALL-NOT", 2, "DEPRECATED", 6, 99)</f>
        <v>3</v>
      </c>
      <c r="J309" t="s">
        <v>30</v>
      </c>
      <c r="K309" t="s">
        <v>1171</v>
      </c>
      <c r="L309" t="s">
        <v>1171</v>
      </c>
      <c r="M309" t="s">
        <v>1176</v>
      </c>
      <c r="N309" t="s">
        <v>332</v>
      </c>
      <c r="O309" t="s">
        <v>1171</v>
      </c>
      <c r="P309" t="s">
        <v>1171</v>
      </c>
      <c r="Q309" t="s">
        <v>1171</v>
      </c>
      <c r="R309" t="s">
        <v>1171</v>
      </c>
      <c r="S309" s="70" t="str" cm="1">
        <f t="array" ref="S309">_xlfn.TEXTJOIN(",",TRUE,LEFT(TRIM(_xlfn.TEXTSPLIT(us_core_reqs[[#This Row],[reference]],",")),FIND(".html",TRIM(_xlfn.TEXTSPLIT(us_core_reqs[[#This Row],[reference]],",")))-1))</f>
        <v>StructureDefinition-us-core-allergyintolerance</v>
      </c>
      <c r="T309" s="70" t="str" cm="1">
        <f t="array" ref="T309">_xlfn.TEXTJOIN(",",TRUE,MID(TRIM(_xlfn.TEXTSPLIT(us_core_reqs[[#This Row],[reference]],",")),FIND("#",TRIM(_xlfn.TEXTSPLIT(us_core_reqs[[#This Row],[reference]],","))&amp;"#")+1,1000))</f>
        <v>profile-specific-implementation-guidance</v>
      </c>
      <c r="U309"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t="s">
        <v>1171</v>
      </c>
      <c r="W309" t="s">
        <v>1171</v>
      </c>
      <c r="X309" t="s">
        <v>1171</v>
      </c>
      <c r="Y309" t="s">
        <v>1171</v>
      </c>
      <c r="Z309" t="s">
        <v>1171</v>
      </c>
      <c r="AA309" t="s">
        <v>1171</v>
      </c>
      <c r="AB309" t="s">
        <v>1171</v>
      </c>
      <c r="AC309" t="s">
        <v>1171</v>
      </c>
      <c r="AD309" t="s">
        <v>1171</v>
      </c>
      <c r="AE309" t="s">
        <v>1171</v>
      </c>
    </row>
    <row r="310" spans="1:31" ht="69" thickBot="1" x14ac:dyDescent="0.25">
      <c r="A310" t="s">
        <v>1171</v>
      </c>
      <c r="B310" t="s">
        <v>1482</v>
      </c>
      <c r="C310" t="str">
        <f>"CONF-"&amp;TEXT(us_core_reqs[[#This Row],[ID*]], "0000")</f>
        <v>CONF-0309</v>
      </c>
      <c r="D310" s="11" t="s">
        <v>2221</v>
      </c>
      <c r="E310" s="73" t="str" cm="1">
        <f t="array" ref="E310">_xlfn.TEXTJOIN(", ", TRUE, _xlfn.TEXTAFTER(_xlfn.TEXTSPLIT(us_core_reqs[[#This Row],[URL*]], ", "), "/", -1))</f>
        <v>StructureDefinition-us-core-allergyintolerance.html#profile-specific-implementation-guidance</v>
      </c>
      <c r="F310" s="11" t="s">
        <v>333</v>
      </c>
      <c r="G310" t="s">
        <v>32</v>
      </c>
      <c r="H310" cm="1">
        <f t="array" ref="H310">_xlfn.SWITCH(G310, "SHALL", 1, "SHOULD", 3, "MAY", 5, "SHOULD-NOT", 4, "SHALL-NOT", 2, "DEPRECATED", 6, 99)</f>
        <v>3</v>
      </c>
      <c r="J310" t="s">
        <v>30</v>
      </c>
      <c r="K310" t="s">
        <v>1171</v>
      </c>
      <c r="L310" t="s">
        <v>1171</v>
      </c>
      <c r="M310" t="s">
        <v>1176</v>
      </c>
      <c r="N310" t="s">
        <v>334</v>
      </c>
      <c r="O310" t="s">
        <v>1171</v>
      </c>
      <c r="P310" t="s">
        <v>1171</v>
      </c>
      <c r="Q310" t="s">
        <v>1171</v>
      </c>
      <c r="R310" t="s">
        <v>1171</v>
      </c>
      <c r="S310" s="70" t="str" cm="1">
        <f t="array" ref="S310">_xlfn.TEXTJOIN(",",TRUE,LEFT(TRIM(_xlfn.TEXTSPLIT(us_core_reqs[[#This Row],[reference]],",")),FIND(".html",TRIM(_xlfn.TEXTSPLIT(us_core_reqs[[#This Row],[reference]],",")))-1))</f>
        <v>StructureDefinition-us-core-allergyintolerance</v>
      </c>
      <c r="T310" s="70" t="str" cm="1">
        <f t="array" ref="T310">_xlfn.TEXTJOIN(",",TRUE,MID(TRIM(_xlfn.TEXTSPLIT(us_core_reqs[[#This Row],[reference]],",")),FIND("#",TRIM(_xlfn.TEXTSPLIT(us_core_reqs[[#This Row],[reference]],","))&amp;"#")+1,1000))</f>
        <v>profile-specific-implementation-guidance</v>
      </c>
      <c r="U310"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t="s">
        <v>1171</v>
      </c>
      <c r="W310" t="s">
        <v>1171</v>
      </c>
      <c r="X310" t="s">
        <v>1171</v>
      </c>
      <c r="Y310" t="s">
        <v>1171</v>
      </c>
      <c r="Z310" t="s">
        <v>1171</v>
      </c>
      <c r="AA310" t="s">
        <v>1171</v>
      </c>
      <c r="AB310" t="s">
        <v>1171</v>
      </c>
      <c r="AC310" t="s">
        <v>1171</v>
      </c>
      <c r="AD310" t="s">
        <v>1171</v>
      </c>
      <c r="AE310" t="s">
        <v>1171</v>
      </c>
    </row>
    <row r="311" spans="1:31" ht="69" thickBot="1" x14ac:dyDescent="0.25">
      <c r="A311" t="s">
        <v>1171</v>
      </c>
      <c r="B311" t="s">
        <v>1483</v>
      </c>
      <c r="C311" t="str">
        <f>"CONF-"&amp;TEXT(us_core_reqs[[#This Row],[ID*]], "0000")</f>
        <v>CONF-0310</v>
      </c>
      <c r="D311" s="11" t="s">
        <v>2222</v>
      </c>
      <c r="E311" s="73" t="str" cm="1">
        <f t="array" ref="E311">_xlfn.TEXTJOIN(", ", TRUE, _xlfn.TEXTAFTER(_xlfn.TEXTSPLIT(us_core_reqs[[#This Row],[URL*]], ", "), "/", -1))</f>
        <v>StructureDefinition-us-core-careplan.html#profile-specific-implementation-guidance</v>
      </c>
      <c r="F311" s="11" t="s">
        <v>1955</v>
      </c>
      <c r="G311" t="s">
        <v>32</v>
      </c>
      <c r="H311" cm="1">
        <f t="array" ref="H311">_xlfn.SWITCH(G311, "SHALL", 1, "SHOULD", 3, "MAY", 5, "SHOULD-NOT", 4, "SHALL-NOT", 2, "DEPRECATED", 6, 99)</f>
        <v>3</v>
      </c>
      <c r="J311" t="s">
        <v>30</v>
      </c>
      <c r="K311" t="s">
        <v>1171</v>
      </c>
      <c r="L311" t="s">
        <v>1171</v>
      </c>
      <c r="M311" t="s">
        <v>1173</v>
      </c>
      <c r="N311" t="s">
        <v>1171</v>
      </c>
      <c r="O311" t="s">
        <v>1171</v>
      </c>
      <c r="P311" t="s">
        <v>1171</v>
      </c>
      <c r="Q311" t="s">
        <v>1171</v>
      </c>
      <c r="R311" t="s">
        <v>1171</v>
      </c>
      <c r="S311" s="70" t="str" cm="1">
        <f t="array" ref="S311">_xlfn.TEXTJOIN(",",TRUE,LEFT(TRIM(_xlfn.TEXTSPLIT(us_core_reqs[[#This Row],[reference]],",")),FIND(".html",TRIM(_xlfn.TEXTSPLIT(us_core_reqs[[#This Row],[reference]],",")))-1))</f>
        <v>StructureDefinition-us-core-careplan</v>
      </c>
      <c r="T311" s="70" t="str" cm="1">
        <f t="array" ref="T311">_xlfn.TEXTJOIN(",",TRUE,MID(TRIM(_xlfn.TEXTSPLIT(us_core_reqs[[#This Row],[reference]],",")),FIND("#",TRIM(_xlfn.TEXTSPLIT(us_core_reqs[[#This Row],[reference]],","))&amp;"#")+1,1000))</f>
        <v>profile-specific-implementation-guidance</v>
      </c>
      <c r="U311"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t="s">
        <v>32</v>
      </c>
      <c r="W311" t="s">
        <v>1171</v>
      </c>
      <c r="X311" t="s">
        <v>1171</v>
      </c>
      <c r="Y311" t="s">
        <v>1171</v>
      </c>
      <c r="Z311" t="s">
        <v>1171</v>
      </c>
      <c r="AA311" t="s">
        <v>1171</v>
      </c>
      <c r="AB311" t="s">
        <v>1171</v>
      </c>
      <c r="AC311" t="s">
        <v>336</v>
      </c>
      <c r="AD311" t="s">
        <v>1171</v>
      </c>
      <c r="AE311" t="s">
        <v>1171</v>
      </c>
    </row>
    <row r="312" spans="1:31" ht="69" thickBot="1" x14ac:dyDescent="0.25">
      <c r="A312" t="s">
        <v>1171</v>
      </c>
      <c r="B312" t="s">
        <v>1484</v>
      </c>
      <c r="C312" t="str">
        <f>"CONF-"&amp;TEXT(us_core_reqs[[#This Row],[ID*]], "0000")</f>
        <v>CONF-0311</v>
      </c>
      <c r="D312" s="11" t="s">
        <v>2222</v>
      </c>
      <c r="E312" s="73" t="str" cm="1">
        <f t="array" ref="E312">_xlfn.TEXTJOIN(", ", TRUE, _xlfn.TEXTAFTER(_xlfn.TEXTSPLIT(us_core_reqs[[#This Row],[URL*]], ", "), "/", -1))</f>
        <v>StructureDefinition-us-core-careplan.html#profile-specific-implementation-guidance</v>
      </c>
      <c r="F312" s="11" t="s">
        <v>1956</v>
      </c>
      <c r="G312" t="s">
        <v>32</v>
      </c>
      <c r="H312" cm="1">
        <f t="array" ref="H312">_xlfn.SWITCH(G312, "SHALL", 1, "SHOULD", 3, "MAY", 5, "SHOULD-NOT", 4, "SHALL-NOT", 2, "DEPRECATED", 6, 99)</f>
        <v>3</v>
      </c>
      <c r="J312" t="s">
        <v>30</v>
      </c>
      <c r="K312" t="s">
        <v>1171</v>
      </c>
      <c r="L312" t="s">
        <v>1171</v>
      </c>
      <c r="M312" t="s">
        <v>1173</v>
      </c>
      <c r="N312" t="s">
        <v>1171</v>
      </c>
      <c r="O312" t="s">
        <v>1171</v>
      </c>
      <c r="P312" t="s">
        <v>1171</v>
      </c>
      <c r="Q312" t="s">
        <v>1171</v>
      </c>
      <c r="R312" t="s">
        <v>1171</v>
      </c>
      <c r="S312" s="70" t="str" cm="1">
        <f t="array" ref="S312">_xlfn.TEXTJOIN(",",TRUE,LEFT(TRIM(_xlfn.TEXTSPLIT(us_core_reqs[[#This Row],[reference]],",")),FIND(".html",TRIM(_xlfn.TEXTSPLIT(us_core_reqs[[#This Row],[reference]],",")))-1))</f>
        <v>StructureDefinition-us-core-careplan</v>
      </c>
      <c r="T312" s="70" t="str" cm="1">
        <f t="array" ref="T312">_xlfn.TEXTJOIN(",",TRUE,MID(TRIM(_xlfn.TEXTSPLIT(us_core_reqs[[#This Row],[reference]],",")),FIND("#",TRIM(_xlfn.TEXTSPLIT(us_core_reqs[[#This Row],[reference]],","))&amp;"#")+1,1000))</f>
        <v>profile-specific-implementation-guidance</v>
      </c>
      <c r="U312"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t="s">
        <v>32</v>
      </c>
      <c r="W312" t="s">
        <v>1171</v>
      </c>
      <c r="X312" t="s">
        <v>1171</v>
      </c>
      <c r="Y312" t="s">
        <v>1171</v>
      </c>
      <c r="Z312" t="s">
        <v>1171</v>
      </c>
      <c r="AA312" t="s">
        <v>1171</v>
      </c>
      <c r="AB312" t="s">
        <v>1171</v>
      </c>
      <c r="AC312" t="s">
        <v>336</v>
      </c>
      <c r="AD312" t="s">
        <v>1171</v>
      </c>
      <c r="AE312" t="s">
        <v>1171</v>
      </c>
    </row>
    <row r="313" spans="1:31" ht="69" thickBot="1" x14ac:dyDescent="0.25">
      <c r="A313" t="s">
        <v>1171</v>
      </c>
      <c r="B313" t="s">
        <v>1485</v>
      </c>
      <c r="C313" t="str">
        <f>"CONF-"&amp;TEXT(us_core_reqs[[#This Row],[ID*]], "0000")</f>
        <v>CONF-0312</v>
      </c>
      <c r="D313" s="11" t="s">
        <v>2222</v>
      </c>
      <c r="E313" s="73" t="str" cm="1">
        <f t="array" ref="E313">_xlfn.TEXTJOIN(", ", TRUE, _xlfn.TEXTAFTER(_xlfn.TEXTSPLIT(us_core_reqs[[#This Row],[URL*]], ", "), "/", -1))</f>
        <v>StructureDefinition-us-core-careplan.html#profile-specific-implementation-guidance</v>
      </c>
      <c r="F313" s="11" t="s">
        <v>2032</v>
      </c>
      <c r="G313" t="s">
        <v>35</v>
      </c>
      <c r="H313" cm="1">
        <f t="array" ref="H313">_xlfn.SWITCH(G313, "SHALL", 1, "SHOULD", 3, "MAY", 5, "SHOULD-NOT", 4, "SHALL-NOT", 2, "DEPRECATED", 6, 99)</f>
        <v>5</v>
      </c>
      <c r="J313" t="s">
        <v>30</v>
      </c>
      <c r="K313" t="s">
        <v>1171</v>
      </c>
      <c r="L313" t="s">
        <v>1171</v>
      </c>
      <c r="M313" t="s">
        <v>1173</v>
      </c>
      <c r="N313" t="s">
        <v>1171</v>
      </c>
      <c r="O313" t="s">
        <v>1171</v>
      </c>
      <c r="P313" t="s">
        <v>1171</v>
      </c>
      <c r="Q313" t="s">
        <v>1171</v>
      </c>
      <c r="R313" t="s">
        <v>1171</v>
      </c>
      <c r="S313" s="70" t="str" cm="1">
        <f t="array" ref="S313">_xlfn.TEXTJOIN(",",TRUE,LEFT(TRIM(_xlfn.TEXTSPLIT(us_core_reqs[[#This Row],[reference]],",")),FIND(".html",TRIM(_xlfn.TEXTSPLIT(us_core_reqs[[#This Row],[reference]],",")))-1))</f>
        <v>StructureDefinition-us-core-careplan</v>
      </c>
      <c r="T313" s="70" t="str" cm="1">
        <f t="array" ref="T313">_xlfn.TEXTJOIN(",",TRUE,MID(TRIM(_xlfn.TEXTSPLIT(us_core_reqs[[#This Row],[reference]],",")),FIND("#",TRIM(_xlfn.TEXTSPLIT(us_core_reqs[[#This Row],[reference]],","))&amp;"#")+1,1000))</f>
        <v>profile-specific-implementation-guidance</v>
      </c>
      <c r="U313"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t="s">
        <v>35</v>
      </c>
      <c r="W313" t="s">
        <v>1171</v>
      </c>
      <c r="X313" t="s">
        <v>1171</v>
      </c>
      <c r="Y313" t="s">
        <v>1171</v>
      </c>
      <c r="Z313" t="s">
        <v>1171</v>
      </c>
      <c r="AA313" t="s">
        <v>1171</v>
      </c>
      <c r="AB313" t="s">
        <v>1171</v>
      </c>
      <c r="AC313" t="s">
        <v>336</v>
      </c>
      <c r="AD313" t="s">
        <v>1171</v>
      </c>
      <c r="AE313" t="s">
        <v>1171</v>
      </c>
    </row>
    <row r="314" spans="1:31" ht="69" thickBot="1" x14ac:dyDescent="0.25">
      <c r="A314" t="s">
        <v>1171</v>
      </c>
      <c r="B314" t="s">
        <v>1486</v>
      </c>
      <c r="C314" t="str">
        <f>"CONF-"&amp;TEXT(us_core_reqs[[#This Row],[ID*]], "0000")</f>
        <v>CONF-0313</v>
      </c>
      <c r="D314" s="11" t="s">
        <v>2223</v>
      </c>
      <c r="E314" s="73" t="str" cm="1">
        <f t="array" ref="E314">_xlfn.TEXTJOIN(", ", TRUE, _xlfn.TEXTAFTER(_xlfn.TEXTSPLIT(us_core_reqs[[#This Row],[URL*]], ", "), "/", -1))</f>
        <v>StructureDefinition-us-core-careteam.html#profile-specific-implementation-guidance</v>
      </c>
      <c r="F314" s="11" t="s">
        <v>2089</v>
      </c>
      <c r="G314" t="s">
        <v>29</v>
      </c>
      <c r="H314" cm="1">
        <f t="array" ref="H314">_xlfn.SWITCH(G314, "SHALL", 1, "SHOULD", 3, "MAY", 5, "SHOULD-NOT", 4, "SHALL-NOT", 2, "DEPRECATED", 6, 99)</f>
        <v>1</v>
      </c>
      <c r="J314" t="s">
        <v>30</v>
      </c>
      <c r="K314" t="s">
        <v>1171</v>
      </c>
      <c r="L314" t="s">
        <v>1171</v>
      </c>
      <c r="M314" t="s">
        <v>1176</v>
      </c>
      <c r="N314" t="s">
        <v>339</v>
      </c>
      <c r="O314" t="s">
        <v>1171</v>
      </c>
      <c r="P314" t="s">
        <v>1171</v>
      </c>
      <c r="Q314" t="s">
        <v>1171</v>
      </c>
      <c r="R314" t="s">
        <v>1171</v>
      </c>
      <c r="S314" s="70" t="str" cm="1">
        <f t="array" ref="S314">_xlfn.TEXTJOIN(",",TRUE,LEFT(TRIM(_xlfn.TEXTSPLIT(us_core_reqs[[#This Row],[reference]],",")),FIND(".html",TRIM(_xlfn.TEXTSPLIT(us_core_reqs[[#This Row],[reference]],",")))-1))</f>
        <v>StructureDefinition-us-core-careteam</v>
      </c>
      <c r="T314" s="70" t="str" cm="1">
        <f t="array" ref="T314">_xlfn.TEXTJOIN(",",TRUE,MID(TRIM(_xlfn.TEXTSPLIT(us_core_reqs[[#This Row],[reference]],",")),FIND("#",TRIM(_xlfn.TEXTSPLIT(us_core_reqs[[#This Row],[reference]],","))&amp;"#")+1,1000))</f>
        <v>profile-specific-implementation-guidance</v>
      </c>
      <c r="U314"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t="s">
        <v>29</v>
      </c>
      <c r="W314" t="s">
        <v>30</v>
      </c>
      <c r="X314" t="s">
        <v>1171</v>
      </c>
      <c r="Y314" t="s">
        <v>1171</v>
      </c>
      <c r="Z314" t="s">
        <v>1171</v>
      </c>
      <c r="AA314" t="s">
        <v>1171</v>
      </c>
      <c r="AB314" t="s">
        <v>1171</v>
      </c>
      <c r="AC314" t="s">
        <v>1171</v>
      </c>
      <c r="AD314" t="s">
        <v>1140</v>
      </c>
      <c r="AE314" t="s">
        <v>1171</v>
      </c>
    </row>
    <row r="315" spans="1:31" ht="35" thickBot="1" x14ac:dyDescent="0.25">
      <c r="A315" t="s">
        <v>1171</v>
      </c>
      <c r="B315" t="s">
        <v>1487</v>
      </c>
      <c r="C315" t="str">
        <f>"CONF-"&amp;TEXT(us_core_reqs[[#This Row],[ID*]], "0000")</f>
        <v>CONF-0314</v>
      </c>
      <c r="D315" s="11" t="s">
        <v>2223</v>
      </c>
      <c r="E315" s="73" t="str" cm="1">
        <f t="array" ref="E315">_xlfn.TEXTJOIN(", ", TRUE, _xlfn.TEXTAFTER(_xlfn.TEXTSPLIT(us_core_reqs[[#This Row],[URL*]], ", "), "/", -1))</f>
        <v>StructureDefinition-us-core-careteam.html#profile-specific-implementation-guidance</v>
      </c>
      <c r="F315" s="11" t="s">
        <v>1898</v>
      </c>
      <c r="G315" t="s">
        <v>29</v>
      </c>
      <c r="H315" cm="1">
        <f t="array" ref="H315">_xlfn.SWITCH(G315, "SHALL", 1, "SHOULD", 3, "MAY", 5, "SHOULD-NOT", 4, "SHALL-NOT", 2, "DEPRECATED", 6, 99)</f>
        <v>1</v>
      </c>
      <c r="J315" t="s">
        <v>58</v>
      </c>
      <c r="K315" t="s">
        <v>1171</v>
      </c>
      <c r="L315" t="s">
        <v>1171</v>
      </c>
      <c r="M315" t="s">
        <v>1173</v>
      </c>
      <c r="N315" t="s">
        <v>1171</v>
      </c>
      <c r="O315" t="s">
        <v>1171</v>
      </c>
      <c r="P315" t="s">
        <v>1171</v>
      </c>
      <c r="Q315" t="s">
        <v>1171</v>
      </c>
      <c r="R315" t="s">
        <v>1171</v>
      </c>
      <c r="S315" s="70" t="str" cm="1">
        <f t="array" ref="S315">_xlfn.TEXTJOIN(",",TRUE,LEFT(TRIM(_xlfn.TEXTSPLIT(us_core_reqs[[#This Row],[reference]],",")),FIND(".html",TRIM(_xlfn.TEXTSPLIT(us_core_reqs[[#This Row],[reference]],",")))-1))</f>
        <v>StructureDefinition-us-core-careteam</v>
      </c>
      <c r="T315" s="70" t="str" cm="1">
        <f t="array" ref="T315">_xlfn.TEXTJOIN(",",TRUE,MID(TRIM(_xlfn.TEXTSPLIT(us_core_reqs[[#This Row],[reference]],",")),FIND("#",TRIM(_xlfn.TEXTSPLIT(us_core_reqs[[#This Row],[reference]],","))&amp;"#")+1,1000))</f>
        <v>profile-specific-implementation-guidance</v>
      </c>
      <c r="U315"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t="s">
        <v>29</v>
      </c>
      <c r="W315" t="s">
        <v>1171</v>
      </c>
      <c r="X315" t="s">
        <v>1171</v>
      </c>
      <c r="Y315" t="s">
        <v>1171</v>
      </c>
      <c r="Z315" t="s">
        <v>1171</v>
      </c>
      <c r="AA315" t="s">
        <v>1171</v>
      </c>
      <c r="AB315" t="s">
        <v>1171</v>
      </c>
      <c r="AC315" t="s">
        <v>1171</v>
      </c>
      <c r="AD315" t="s">
        <v>1171</v>
      </c>
      <c r="AE315" t="s">
        <v>1171</v>
      </c>
    </row>
    <row r="316" spans="1:31" ht="35" thickBot="1" x14ac:dyDescent="0.25">
      <c r="A316" t="s">
        <v>1171</v>
      </c>
      <c r="B316" t="s">
        <v>1488</v>
      </c>
      <c r="C316" t="str">
        <f>"CONF-"&amp;TEXT(us_core_reqs[[#This Row],[ID*]], "0000")</f>
        <v>CONF-0315</v>
      </c>
      <c r="D316" s="11" t="s">
        <v>2223</v>
      </c>
      <c r="E316" s="73" t="str" cm="1">
        <f t="array" ref="E316">_xlfn.TEXTJOIN(", ", TRUE, _xlfn.TEXTAFTER(_xlfn.TEXTSPLIT(us_core_reqs[[#This Row],[URL*]], ", "), "/", -1))</f>
        <v>StructureDefinition-us-core-careteam.html#profile-specific-implementation-guidance</v>
      </c>
      <c r="F316" s="11" t="s">
        <v>2090</v>
      </c>
      <c r="G316" t="s">
        <v>29</v>
      </c>
      <c r="H316" cm="1">
        <f t="array" ref="H316">_xlfn.SWITCH(G316, "SHALL", 1, "SHOULD", 3, "MAY", 5, "SHOULD-NOT", 4, "SHALL-NOT", 2, "DEPRECATED", 6, 99)</f>
        <v>1</v>
      </c>
      <c r="J316" t="s">
        <v>58</v>
      </c>
      <c r="K316" t="s">
        <v>1171</v>
      </c>
      <c r="L316" t="s">
        <v>1171</v>
      </c>
      <c r="M316" t="s">
        <v>1173</v>
      </c>
      <c r="N316" t="s">
        <v>1171</v>
      </c>
      <c r="O316" t="s">
        <v>1171</v>
      </c>
      <c r="P316" t="s">
        <v>1171</v>
      </c>
      <c r="Q316" t="s">
        <v>1171</v>
      </c>
      <c r="R316" t="s">
        <v>1171</v>
      </c>
      <c r="S316" s="70" t="str" cm="1">
        <f t="array" ref="S316">_xlfn.TEXTJOIN(",",TRUE,LEFT(TRIM(_xlfn.TEXTSPLIT(us_core_reqs[[#This Row],[reference]],",")),FIND(".html",TRIM(_xlfn.TEXTSPLIT(us_core_reqs[[#This Row],[reference]],",")))-1))</f>
        <v>StructureDefinition-us-core-careteam</v>
      </c>
      <c r="T316" s="70" t="str" cm="1">
        <f t="array" ref="T316">_xlfn.TEXTJOIN(",",TRUE,MID(TRIM(_xlfn.TEXTSPLIT(us_core_reqs[[#This Row],[reference]],",")),FIND("#",TRIM(_xlfn.TEXTSPLIT(us_core_reqs[[#This Row],[reference]],","))&amp;"#")+1,1000))</f>
        <v>profile-specific-implementation-guidance</v>
      </c>
      <c r="U316"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t="s">
        <v>29</v>
      </c>
      <c r="W316" t="s">
        <v>1171</v>
      </c>
      <c r="X316" t="s">
        <v>1171</v>
      </c>
      <c r="Y316" t="s">
        <v>1171</v>
      </c>
      <c r="Z316" t="s">
        <v>1171</v>
      </c>
      <c r="AA316" t="s">
        <v>1171</v>
      </c>
      <c r="AB316" t="s">
        <v>1171</v>
      </c>
      <c r="AC316" t="s">
        <v>1171</v>
      </c>
      <c r="AD316" t="s">
        <v>1171</v>
      </c>
      <c r="AE316" t="s">
        <v>1171</v>
      </c>
    </row>
    <row r="317" spans="1:31" ht="35" thickBot="1" x14ac:dyDescent="0.25">
      <c r="A317" t="s">
        <v>1171</v>
      </c>
      <c r="B317" t="s">
        <v>1489</v>
      </c>
      <c r="C317" t="str">
        <f>"CONF-"&amp;TEXT(us_core_reqs[[#This Row],[ID*]], "0000")</f>
        <v>CONF-0316</v>
      </c>
      <c r="D317" s="11" t="s">
        <v>2223</v>
      </c>
      <c r="E317" s="73" t="str" cm="1">
        <f t="array" ref="E317">_xlfn.TEXTJOIN(", ", TRUE, _xlfn.TEXTAFTER(_xlfn.TEXTSPLIT(us_core_reqs[[#This Row],[URL*]], ", "), "/", -1))</f>
        <v>StructureDefinition-us-core-careteam.html#profile-specific-implementation-guidance</v>
      </c>
      <c r="F317" s="11" t="s">
        <v>2091</v>
      </c>
      <c r="G317" t="s">
        <v>29</v>
      </c>
      <c r="H317" cm="1">
        <f t="array" ref="H317">_xlfn.SWITCH(G317, "SHALL", 1, "SHOULD", 3, "MAY", 5, "SHOULD-NOT", 4, "SHALL-NOT", 2, "DEPRECATED", 6, 99)</f>
        <v>1</v>
      </c>
      <c r="J317" t="s">
        <v>58</v>
      </c>
      <c r="K317" t="s">
        <v>1171</v>
      </c>
      <c r="L317" t="s">
        <v>1171</v>
      </c>
      <c r="M317" t="s">
        <v>1173</v>
      </c>
      <c r="N317" t="s">
        <v>1171</v>
      </c>
      <c r="O317" t="s">
        <v>1171</v>
      </c>
      <c r="P317" t="s">
        <v>1171</v>
      </c>
      <c r="Q317" t="s">
        <v>1171</v>
      </c>
      <c r="R317" t="s">
        <v>1171</v>
      </c>
      <c r="S317" s="70" t="str" cm="1">
        <f t="array" ref="S317">_xlfn.TEXTJOIN(",",TRUE,LEFT(TRIM(_xlfn.TEXTSPLIT(us_core_reqs[[#This Row],[reference]],",")),FIND(".html",TRIM(_xlfn.TEXTSPLIT(us_core_reqs[[#This Row],[reference]],",")))-1))</f>
        <v>StructureDefinition-us-core-careteam</v>
      </c>
      <c r="T317" s="70" t="str" cm="1">
        <f t="array" ref="T317">_xlfn.TEXTJOIN(",",TRUE,MID(TRIM(_xlfn.TEXTSPLIT(us_core_reqs[[#This Row],[reference]],",")),FIND("#",TRIM(_xlfn.TEXTSPLIT(us_core_reqs[[#This Row],[reference]],","))&amp;"#")+1,1000))</f>
        <v>profile-specific-implementation-guidance</v>
      </c>
      <c r="U317"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t="s">
        <v>29</v>
      </c>
      <c r="W317" t="s">
        <v>1171</v>
      </c>
      <c r="X317" t="s">
        <v>1171</v>
      </c>
      <c r="Y317" t="s">
        <v>1171</v>
      </c>
      <c r="Z317" t="s">
        <v>1171</v>
      </c>
      <c r="AA317" t="s">
        <v>1171</v>
      </c>
      <c r="AB317" t="s">
        <v>1171</v>
      </c>
      <c r="AC317" t="s">
        <v>1171</v>
      </c>
      <c r="AD317" t="s">
        <v>1171</v>
      </c>
      <c r="AE317" t="s">
        <v>1171</v>
      </c>
    </row>
    <row r="318" spans="1:31" ht="103" thickBot="1" x14ac:dyDescent="0.25">
      <c r="A318" t="s">
        <v>1171</v>
      </c>
      <c r="B318" t="s">
        <v>1490</v>
      </c>
      <c r="C318" t="str">
        <f>"CONF-"&amp;TEXT(us_core_reqs[[#This Row],[ID*]], "0000")</f>
        <v>CONF-0317</v>
      </c>
      <c r="D318" s="11" t="s">
        <v>2223</v>
      </c>
      <c r="E318" s="73" t="str" cm="1">
        <f t="array" ref="E318">_xlfn.TEXTJOIN(", ", TRUE, _xlfn.TEXTAFTER(_xlfn.TEXTSPLIT(us_core_reqs[[#This Row],[URL*]], ", "), "/", -1))</f>
        <v>StructureDefinition-us-core-careteam.html#profile-specific-implementation-guidance</v>
      </c>
      <c r="F318" s="11" t="s">
        <v>1957</v>
      </c>
      <c r="G318" t="s">
        <v>32</v>
      </c>
      <c r="H318" cm="1">
        <f t="array" ref="H318">_xlfn.SWITCH(G318, "SHALL", 1, "SHOULD", 3, "MAY", 5, "SHOULD-NOT", 4, "SHALL-NOT", 2, "DEPRECATED", 6, 99)</f>
        <v>3</v>
      </c>
      <c r="J318" t="s">
        <v>30</v>
      </c>
      <c r="K318" t="s">
        <v>1171</v>
      </c>
      <c r="L318" t="s">
        <v>1171</v>
      </c>
      <c r="M318" t="s">
        <v>1173</v>
      </c>
      <c r="N318" t="s">
        <v>1171</v>
      </c>
      <c r="O318" t="s">
        <v>1171</v>
      </c>
      <c r="P318" t="s">
        <v>1171</v>
      </c>
      <c r="Q318" t="s">
        <v>1171</v>
      </c>
      <c r="R318" t="s">
        <v>1171</v>
      </c>
      <c r="S318" s="70" t="str" cm="1">
        <f t="array" ref="S318">_xlfn.TEXTJOIN(",",TRUE,LEFT(TRIM(_xlfn.TEXTSPLIT(us_core_reqs[[#This Row],[reference]],",")),FIND(".html",TRIM(_xlfn.TEXTSPLIT(us_core_reqs[[#This Row],[reference]],",")))-1))</f>
        <v>StructureDefinition-us-core-careteam</v>
      </c>
      <c r="T318" s="70" t="str" cm="1">
        <f t="array" ref="T318">_xlfn.TEXTJOIN(",",TRUE,MID(TRIM(_xlfn.TEXTSPLIT(us_core_reqs[[#This Row],[reference]],",")),FIND("#",TRIM(_xlfn.TEXTSPLIT(us_core_reqs[[#This Row],[reference]],","))&amp;"#")+1,1000))</f>
        <v>profile-specific-implementation-guidance</v>
      </c>
      <c r="U318"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t="s">
        <v>32</v>
      </c>
      <c r="W318" t="s">
        <v>30</v>
      </c>
      <c r="X318" t="s">
        <v>1171</v>
      </c>
      <c r="Y318" t="s">
        <v>1171</v>
      </c>
      <c r="Z318" t="s">
        <v>1171</v>
      </c>
      <c r="AA318" t="s">
        <v>1171</v>
      </c>
      <c r="AB318" t="s">
        <v>1171</v>
      </c>
      <c r="AC318" t="s">
        <v>343</v>
      </c>
      <c r="AD318" t="s">
        <v>1171</v>
      </c>
      <c r="AE318" t="s">
        <v>1171</v>
      </c>
    </row>
    <row r="319" spans="1:31" ht="86" thickBot="1" x14ac:dyDescent="0.25">
      <c r="A319" t="s">
        <v>1171</v>
      </c>
      <c r="B319" t="s">
        <v>1491</v>
      </c>
      <c r="C319" t="str">
        <f>"CONF-"&amp;TEXT(us_core_reqs[[#This Row],[ID*]], "0000")</f>
        <v>CONF-0318</v>
      </c>
      <c r="D319" s="11" t="s">
        <v>2223</v>
      </c>
      <c r="E319" s="73" t="str" cm="1">
        <f t="array" ref="E319">_xlfn.TEXTJOIN(", ", TRUE, _xlfn.TEXTAFTER(_xlfn.TEXTSPLIT(us_core_reqs[[#This Row],[URL*]], ", "), "/", -1))</f>
        <v>StructureDefinition-us-core-careteam.html#profile-specific-implementation-guidance</v>
      </c>
      <c r="F319" s="11" t="s">
        <v>2160</v>
      </c>
      <c r="G319" t="s">
        <v>29</v>
      </c>
      <c r="H319" cm="1">
        <f t="array" ref="H319">_xlfn.SWITCH(G319, "SHALL", 1, "SHOULD", 3, "MAY", 5, "SHOULD-NOT", 4, "SHALL-NOT", 2, "DEPRECATED", 6, 99)</f>
        <v>1</v>
      </c>
      <c r="J319" t="s">
        <v>30</v>
      </c>
      <c r="K319" t="s">
        <v>1171</v>
      </c>
      <c r="L319" t="s">
        <v>1171</v>
      </c>
      <c r="M319" t="s">
        <v>1173</v>
      </c>
      <c r="N319" t="s">
        <v>1171</v>
      </c>
      <c r="O319" t="s">
        <v>1171</v>
      </c>
      <c r="P319" t="s">
        <v>1171</v>
      </c>
      <c r="Q319" t="s">
        <v>1171</v>
      </c>
      <c r="R319" t="s">
        <v>1171</v>
      </c>
      <c r="S319" s="70" t="str" cm="1">
        <f t="array" ref="S319">_xlfn.TEXTJOIN(",",TRUE,LEFT(TRIM(_xlfn.TEXTSPLIT(us_core_reqs[[#This Row],[reference]],",")),FIND(".html",TRIM(_xlfn.TEXTSPLIT(us_core_reqs[[#This Row],[reference]],",")))-1))</f>
        <v>StructureDefinition-us-core-careteam</v>
      </c>
      <c r="T319" s="70" t="str" cm="1">
        <f t="array" ref="T319">_xlfn.TEXTJOIN(",",TRUE,MID(TRIM(_xlfn.TEXTSPLIT(us_core_reqs[[#This Row],[reference]],",")),FIND("#",TRIM(_xlfn.TEXTSPLIT(us_core_reqs[[#This Row],[reference]],","))&amp;"#")+1,1000))</f>
        <v>profile-specific-implementation-guidance</v>
      </c>
      <c r="U319"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t="s">
        <v>29</v>
      </c>
      <c r="W319" t="s">
        <v>30</v>
      </c>
      <c r="X319" t="s">
        <v>1171</v>
      </c>
      <c r="Y319" t="s">
        <v>1171</v>
      </c>
      <c r="Z319" t="s">
        <v>1171</v>
      </c>
      <c r="AA319" t="s">
        <v>1171</v>
      </c>
      <c r="AB319" t="s">
        <v>1171</v>
      </c>
      <c r="AC319" t="s">
        <v>1171</v>
      </c>
      <c r="AD319" t="s">
        <v>1141</v>
      </c>
      <c r="AE319" t="s">
        <v>1171</v>
      </c>
    </row>
    <row r="320" spans="1:31" ht="86" thickBot="1" x14ac:dyDescent="0.25">
      <c r="A320" t="s">
        <v>1171</v>
      </c>
      <c r="B320" t="s">
        <v>1492</v>
      </c>
      <c r="C320" t="str">
        <f>"CONF-"&amp;TEXT(us_core_reqs[[#This Row],[ID*]], "0000")</f>
        <v>CONF-0319</v>
      </c>
      <c r="D320" s="11" t="s">
        <v>2223</v>
      </c>
      <c r="E320" s="73" t="str" cm="1">
        <f t="array" ref="E320">_xlfn.TEXTJOIN(", ", TRUE, _xlfn.TEXTAFTER(_xlfn.TEXTSPLIT(us_core_reqs[[#This Row],[URL*]], ", "), "/", -1))</f>
        <v>StructureDefinition-us-core-careteam.html#profile-specific-implementation-guidance</v>
      </c>
      <c r="F320" s="11" t="s">
        <v>2161</v>
      </c>
      <c r="G320" t="s">
        <v>29</v>
      </c>
      <c r="H320" cm="1">
        <f t="array" ref="H320">_xlfn.SWITCH(G320, "SHALL", 1, "SHOULD", 3, "MAY", 5, "SHOULD-NOT", 4, "SHALL-NOT", 2, "DEPRECATED", 6, 99)</f>
        <v>1</v>
      </c>
      <c r="J320" t="s">
        <v>30</v>
      </c>
      <c r="K320" t="s">
        <v>1171</v>
      </c>
      <c r="L320" t="s">
        <v>1171</v>
      </c>
      <c r="M320" t="s">
        <v>1173</v>
      </c>
      <c r="N320" t="s">
        <v>1171</v>
      </c>
      <c r="O320" t="s">
        <v>1171</v>
      </c>
      <c r="P320" t="s">
        <v>1171</v>
      </c>
      <c r="Q320" t="s">
        <v>1171</v>
      </c>
      <c r="R320" t="s">
        <v>1171</v>
      </c>
      <c r="S320" s="70" t="str" cm="1">
        <f t="array" ref="S320">_xlfn.TEXTJOIN(",",TRUE,LEFT(TRIM(_xlfn.TEXTSPLIT(us_core_reqs[[#This Row],[reference]],",")),FIND(".html",TRIM(_xlfn.TEXTSPLIT(us_core_reqs[[#This Row],[reference]],",")))-1))</f>
        <v>StructureDefinition-us-core-careteam</v>
      </c>
      <c r="T320" s="70" t="str" cm="1">
        <f t="array" ref="T320">_xlfn.TEXTJOIN(",",TRUE,MID(TRIM(_xlfn.TEXTSPLIT(us_core_reqs[[#This Row],[reference]],",")),FIND("#",TRIM(_xlfn.TEXTSPLIT(us_core_reqs[[#This Row],[reference]],","))&amp;"#")+1,1000))</f>
        <v>profile-specific-implementation-guidance</v>
      </c>
      <c r="U320"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t="s">
        <v>29</v>
      </c>
      <c r="W320" t="s">
        <v>30</v>
      </c>
      <c r="X320" t="s">
        <v>1171</v>
      </c>
      <c r="Y320" t="s">
        <v>1171</v>
      </c>
      <c r="Z320" t="s">
        <v>1171</v>
      </c>
      <c r="AA320" t="s">
        <v>1171</v>
      </c>
      <c r="AB320" t="s">
        <v>1171</v>
      </c>
      <c r="AC320" t="s">
        <v>1171</v>
      </c>
      <c r="AD320" t="s">
        <v>1141</v>
      </c>
      <c r="AE320" t="s">
        <v>1171</v>
      </c>
    </row>
    <row r="321" spans="1:31" ht="69" thickBot="1" x14ac:dyDescent="0.25">
      <c r="A321" t="s">
        <v>1171</v>
      </c>
      <c r="B321" t="s">
        <v>1493</v>
      </c>
      <c r="C321" t="str">
        <f>"CONF-"&amp;TEXT(us_core_reqs[[#This Row],[ID*]], "0000")</f>
        <v>CONF-0320</v>
      </c>
      <c r="D321" s="11" t="s">
        <v>2224</v>
      </c>
      <c r="E321" s="73" t="str" cm="1">
        <f t="array" ref="E321">_xlfn.TEXTJOIN(", ", TRUE, _xlfn.TEXTAFTER(_xlfn.TEXTSPLIT(us_core_reqs[[#This Row],[URL*]], ", "), "/", -1))</f>
        <v>StructureDefinition-us-core-condition-encounter-diagnosis.html#profile-specific-implementation-guidance</v>
      </c>
      <c r="F321" s="11" t="s">
        <v>1958</v>
      </c>
      <c r="G321" t="s">
        <v>32</v>
      </c>
      <c r="H321" cm="1">
        <f t="array" ref="H321">_xlfn.SWITCH(G321, "SHALL", 1, "SHOULD", 3, "MAY", 5, "SHOULD-NOT", 4, "SHALL-NOT", 2, "DEPRECATED", 6, 99)</f>
        <v>3</v>
      </c>
      <c r="I321" t="s">
        <v>2028</v>
      </c>
      <c r="J321" t="s">
        <v>30</v>
      </c>
      <c r="K321" t="s">
        <v>1171</v>
      </c>
      <c r="L321" t="s">
        <v>1171</v>
      </c>
      <c r="M321" t="s">
        <v>1176</v>
      </c>
      <c r="N321" t="s">
        <v>346</v>
      </c>
      <c r="O321" t="s">
        <v>1171</v>
      </c>
      <c r="P321" t="s">
        <v>1171</v>
      </c>
      <c r="Q321" t="s">
        <v>1171</v>
      </c>
      <c r="R321" t="s">
        <v>1171</v>
      </c>
      <c r="S321" s="70" t="str" cm="1">
        <f t="array" ref="S321">_xlfn.TEXTJOIN(",",TRUE,LEFT(TRIM(_xlfn.TEXTSPLIT(us_core_reqs[[#This Row],[reference]],",")),FIND(".html",TRIM(_xlfn.TEXTSPLIT(us_core_reqs[[#This Row],[reference]],",")))-1))</f>
        <v>StructureDefinition-us-core-condition-encounter-diagnosis</v>
      </c>
      <c r="T321" s="70" t="str" cm="1">
        <f t="array" ref="T321">_xlfn.TEXTJOIN(",",TRUE,MID(TRIM(_xlfn.TEXTSPLIT(us_core_reqs[[#This Row],[reference]],",")),FIND("#",TRIM(_xlfn.TEXTSPLIT(us_core_reqs[[#This Row],[reference]],","))&amp;"#")+1,1000))</f>
        <v>profile-specific-implementation-guidance</v>
      </c>
      <c r="U321"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t="s">
        <v>32</v>
      </c>
      <c r="W321" t="s">
        <v>1171</v>
      </c>
      <c r="X321" t="s">
        <v>1171</v>
      </c>
      <c r="Y321" t="s">
        <v>1171</v>
      </c>
      <c r="Z321" t="s">
        <v>1171</v>
      </c>
      <c r="AA321" t="s">
        <v>1171</v>
      </c>
      <c r="AB321" t="s">
        <v>1171</v>
      </c>
      <c r="AC321" t="s">
        <v>1171</v>
      </c>
      <c r="AD321" t="s">
        <v>1171</v>
      </c>
      <c r="AE321" t="s">
        <v>1171</v>
      </c>
    </row>
    <row r="322" spans="1:31" ht="103" thickBot="1" x14ac:dyDescent="0.25">
      <c r="A322" t="s">
        <v>1171</v>
      </c>
      <c r="B322" t="s">
        <v>1494</v>
      </c>
      <c r="C322" t="str">
        <f>"CONF-"&amp;TEXT(us_core_reqs[[#This Row],[ID*]], "0000")</f>
        <v>CONF-0321</v>
      </c>
      <c r="D322" s="11" t="s">
        <v>2225</v>
      </c>
      <c r="E322" s="73"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11" t="s">
        <v>2208</v>
      </c>
      <c r="G322" t="s">
        <v>64</v>
      </c>
      <c r="H322" cm="1">
        <f t="array" ref="H322">_xlfn.SWITCH(G322, "SHALL", 1, "SHOULD", 3, "MAY", 5, "SHOULD-NOT", 4, "SHALL-NOT", 2, "DEPRECATED", 6, 99)</f>
        <v>6</v>
      </c>
      <c r="I322" t="s">
        <v>2352</v>
      </c>
      <c r="J322" t="s">
        <v>30</v>
      </c>
      <c r="K322" t="s">
        <v>1171</v>
      </c>
      <c r="L322" t="s">
        <v>1171</v>
      </c>
      <c r="M322" t="s">
        <v>1176</v>
      </c>
      <c r="N322" t="s">
        <v>348</v>
      </c>
      <c r="O322" t="s">
        <v>1171</v>
      </c>
      <c r="P322" t="s">
        <v>1171</v>
      </c>
      <c r="Q322" t="s">
        <v>1171</v>
      </c>
      <c r="R322" t="s">
        <v>1171</v>
      </c>
      <c r="S322" s="70" t="str" cm="1">
        <f t="array" ref="S322">_xlfn.TEXTJOIN(",",TRUE,LEFT(TRIM(_xlfn.TEXTSPLIT(us_core_reqs[[#This Row],[reference]],",")),FIND(".html",TRIM(_xlfn.TEXTSPLIT(us_core_reqs[[#This Row],[reference]],",")))-1))</f>
        <v>StructureDefinition-us-core-condition-encounter-diagnosis,StructureDefinition-us-core-condition-problems-health-concerns</v>
      </c>
      <c r="T322" s="70" t="str" cm="1">
        <f t="array" ref="T322">_xlfn.TEXTJOIN(",",TRUE,MID(TRIM(_xlfn.TEXTSPLIT(us_core_reqs[[#This Row],[reference]],",")),FIND("#",TRIM(_xlfn.TEXTSPLIT(us_core_reqs[[#This Row],[reference]],","))&amp;"#")+1,1000))</f>
        <v>profile-specific-implementation-guidance,profile-specific-implementation-guidance</v>
      </c>
      <c r="U322"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t="s">
        <v>29</v>
      </c>
      <c r="W322" t="s">
        <v>1171</v>
      </c>
      <c r="X322" t="s">
        <v>1171</v>
      </c>
      <c r="Y322" t="s">
        <v>1171</v>
      </c>
      <c r="Z322" t="s">
        <v>1171</v>
      </c>
      <c r="AA322" t="s">
        <v>1171</v>
      </c>
      <c r="AB322" t="s">
        <v>1171</v>
      </c>
      <c r="AC322" t="s">
        <v>1171</v>
      </c>
      <c r="AD322" t="s">
        <v>1140</v>
      </c>
      <c r="AE322" t="s">
        <v>1171</v>
      </c>
    </row>
    <row r="323" spans="1:31" ht="103" thickBot="1" x14ac:dyDescent="0.25">
      <c r="A323" t="s">
        <v>1171</v>
      </c>
      <c r="B323" t="s">
        <v>1495</v>
      </c>
      <c r="C323" t="str">
        <f>"CONF-"&amp;TEXT(us_core_reqs[[#This Row],[ID*]], "0000")</f>
        <v>CONF-0322</v>
      </c>
      <c r="D323" s="11" t="s">
        <v>2225</v>
      </c>
      <c r="E323" s="73"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11" t="s">
        <v>2180</v>
      </c>
      <c r="G323" t="s">
        <v>64</v>
      </c>
      <c r="H323" cm="1">
        <f t="array" ref="H323">_xlfn.SWITCH(G323, "SHALL", 1, "SHOULD", 3, "MAY", 5, "SHOULD-NOT", 4, "SHALL-NOT", 2, "DEPRECATED", 6, 99)</f>
        <v>6</v>
      </c>
      <c r="I323" t="s">
        <v>2351</v>
      </c>
      <c r="J323" t="s">
        <v>30</v>
      </c>
      <c r="K323" t="s">
        <v>1171</v>
      </c>
      <c r="L323" t="s">
        <v>1171</v>
      </c>
      <c r="M323" t="s">
        <v>1176</v>
      </c>
      <c r="N323" t="s">
        <v>350</v>
      </c>
      <c r="O323" t="s">
        <v>1171</v>
      </c>
      <c r="P323" t="s">
        <v>1171</v>
      </c>
      <c r="Q323" t="s">
        <v>1171</v>
      </c>
      <c r="R323" t="s">
        <v>1171</v>
      </c>
      <c r="S323" s="70" t="str" cm="1">
        <f t="array" ref="S323">_xlfn.TEXTJOIN(",",TRUE,LEFT(TRIM(_xlfn.TEXTSPLIT(us_core_reqs[[#This Row],[reference]],",")),FIND(".html",TRIM(_xlfn.TEXTSPLIT(us_core_reqs[[#This Row],[reference]],",")))-1))</f>
        <v>StructureDefinition-us-core-condition-encounter-diagnosis,StructureDefinition-us-core-condition-problems-health-concerns</v>
      </c>
      <c r="T323" s="70" t="str" cm="1">
        <f t="array" ref="T323">_xlfn.TEXTJOIN(",",TRUE,MID(TRIM(_xlfn.TEXTSPLIT(us_core_reqs[[#This Row],[reference]],",")),FIND("#",TRIM(_xlfn.TEXTSPLIT(us_core_reqs[[#This Row],[reference]],","))&amp;"#")+1,1000))</f>
        <v>profile-specific-implementation-guidance,profile-specific-implementation-guidance</v>
      </c>
      <c r="U323"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t="s">
        <v>35</v>
      </c>
      <c r="W323" t="s">
        <v>1171</v>
      </c>
      <c r="X323" t="s">
        <v>1171</v>
      </c>
      <c r="Y323" t="s">
        <v>1171</v>
      </c>
      <c r="Z323" t="s">
        <v>1171</v>
      </c>
      <c r="AA323" t="s">
        <v>1171</v>
      </c>
      <c r="AB323" t="s">
        <v>1171</v>
      </c>
      <c r="AC323" t="s">
        <v>1171</v>
      </c>
      <c r="AD323" t="s">
        <v>1171</v>
      </c>
      <c r="AE323" t="s">
        <v>1171</v>
      </c>
    </row>
    <row r="324" spans="1:31" ht="103" thickBot="1" x14ac:dyDescent="0.25">
      <c r="A324" t="s">
        <v>1171</v>
      </c>
      <c r="B324" t="s">
        <v>1496</v>
      </c>
      <c r="C324" t="str">
        <f>"CONF-"&amp;TEXT(us_core_reqs[[#This Row],[ID*]], "0000")</f>
        <v>CONF-0323</v>
      </c>
      <c r="D324" s="11" t="s">
        <v>2225</v>
      </c>
      <c r="E324" s="73"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11" t="s">
        <v>1959</v>
      </c>
      <c r="G324" t="s">
        <v>32</v>
      </c>
      <c r="H324" cm="1">
        <f t="array" ref="H324">_xlfn.SWITCH(G324, "SHALL", 1, "SHOULD", 3, "MAY", 5, "SHOULD-NOT", 4, "SHALL-NOT", 2, "DEPRECATED", 6, 99)</f>
        <v>3</v>
      </c>
      <c r="J324" t="s">
        <v>30</v>
      </c>
      <c r="K324" t="s">
        <v>1171</v>
      </c>
      <c r="L324" t="s">
        <v>1171</v>
      </c>
      <c r="M324" t="s">
        <v>1173</v>
      </c>
      <c r="N324" t="s">
        <v>1171</v>
      </c>
      <c r="O324" t="s">
        <v>1171</v>
      </c>
      <c r="P324" t="s">
        <v>1171</v>
      </c>
      <c r="Q324" t="s">
        <v>1171</v>
      </c>
      <c r="R324" t="s">
        <v>1171</v>
      </c>
      <c r="S324" s="70" t="str" cm="1">
        <f t="array" ref="S324">_xlfn.TEXTJOIN(",",TRUE,LEFT(TRIM(_xlfn.TEXTSPLIT(us_core_reqs[[#This Row],[reference]],",")),FIND(".html",TRIM(_xlfn.TEXTSPLIT(us_core_reqs[[#This Row],[reference]],",")))-1))</f>
        <v>StructureDefinition-us-core-condition-encounter-diagnosis,StructureDefinition-us-core-condition-problems-health-concerns</v>
      </c>
      <c r="T324" s="70" t="str" cm="1">
        <f t="array" ref="T324">_xlfn.TEXTJOIN(",",TRUE,MID(TRIM(_xlfn.TEXTSPLIT(us_core_reqs[[#This Row],[reference]],",")),FIND("#",TRIM(_xlfn.TEXTSPLIT(us_core_reqs[[#This Row],[reference]],","))&amp;"#")+1,1000))</f>
        <v>profile-specific-implementation-guidance,profile-specific-implementation-guidance</v>
      </c>
      <c r="U324"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t="s">
        <v>32</v>
      </c>
      <c r="W324" t="s">
        <v>1171</v>
      </c>
      <c r="X324" t="s">
        <v>1171</v>
      </c>
      <c r="Y324" t="s">
        <v>1171</v>
      </c>
      <c r="Z324" t="s">
        <v>1171</v>
      </c>
      <c r="AA324" t="s">
        <v>1171</v>
      </c>
      <c r="AB324" t="s">
        <v>1171</v>
      </c>
      <c r="AC324" t="s">
        <v>752</v>
      </c>
      <c r="AD324" t="s">
        <v>1171</v>
      </c>
      <c r="AE324" t="s">
        <v>1171</v>
      </c>
    </row>
    <row r="325" spans="1:31" ht="52" thickBot="1" x14ac:dyDescent="0.25">
      <c r="A325" t="s">
        <v>1171</v>
      </c>
      <c r="B325" t="s">
        <v>1497</v>
      </c>
      <c r="C325" t="str">
        <f>"CONF-"&amp;TEXT(us_core_reqs[[#This Row],[ID*]], "0000")</f>
        <v>CONF-0324</v>
      </c>
      <c r="D325" s="11" t="s">
        <v>2224</v>
      </c>
      <c r="E325" s="73" t="str" cm="1">
        <f t="array" ref="E325">_xlfn.TEXTJOIN(", ", TRUE, _xlfn.TEXTAFTER(_xlfn.TEXTSPLIT(us_core_reqs[[#This Row],[URL*]], ", "), "/", -1))</f>
        <v>StructureDefinition-us-core-condition-encounter-diagnosis.html#profile-specific-implementation-guidance</v>
      </c>
      <c r="F325" s="11" t="s">
        <v>1960</v>
      </c>
      <c r="G325" t="s">
        <v>32</v>
      </c>
      <c r="H325" cm="1">
        <f t="array" ref="H325">_xlfn.SWITCH(G325, "SHALL", 1, "SHOULD", 3, "MAY", 5, "SHOULD-NOT", 4, "SHALL-NOT", 2, "DEPRECATED", 6, 99)</f>
        <v>3</v>
      </c>
      <c r="J325" t="s">
        <v>30</v>
      </c>
      <c r="K325" t="s">
        <v>1171</v>
      </c>
      <c r="L325" t="s">
        <v>1171</v>
      </c>
      <c r="M325" t="s">
        <v>1173</v>
      </c>
      <c r="N325" t="s">
        <v>1171</v>
      </c>
      <c r="O325" t="s">
        <v>1171</v>
      </c>
      <c r="P325" t="s">
        <v>1171</v>
      </c>
      <c r="Q325" t="s">
        <v>1171</v>
      </c>
      <c r="R325" t="s">
        <v>1171</v>
      </c>
      <c r="S325" s="70" t="str" cm="1">
        <f t="array" ref="S325">_xlfn.TEXTJOIN(",",TRUE,LEFT(TRIM(_xlfn.TEXTSPLIT(us_core_reqs[[#This Row],[reference]],",")),FIND(".html",TRIM(_xlfn.TEXTSPLIT(us_core_reqs[[#This Row],[reference]],",")))-1))</f>
        <v>StructureDefinition-us-core-condition-encounter-diagnosis</v>
      </c>
      <c r="T325" s="70" t="str" cm="1">
        <f t="array" ref="T325">_xlfn.TEXTJOIN(",",TRUE,MID(TRIM(_xlfn.TEXTSPLIT(us_core_reqs[[#This Row],[reference]],",")),FIND("#",TRIM(_xlfn.TEXTSPLIT(us_core_reqs[[#This Row],[reference]],","))&amp;"#")+1,1000))</f>
        <v>profile-specific-implementation-guidance</v>
      </c>
      <c r="U325"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t="s">
        <v>32</v>
      </c>
      <c r="W325" t="s">
        <v>1171</v>
      </c>
      <c r="X325" t="s">
        <v>1171</v>
      </c>
      <c r="Y325" t="s">
        <v>1171</v>
      </c>
      <c r="Z325" t="s">
        <v>1171</v>
      </c>
      <c r="AA325" t="s">
        <v>1171</v>
      </c>
      <c r="AB325" t="s">
        <v>1171</v>
      </c>
      <c r="AC325" t="s">
        <v>1171</v>
      </c>
      <c r="AD325" t="s">
        <v>1171</v>
      </c>
      <c r="AE325" t="s">
        <v>1171</v>
      </c>
    </row>
    <row r="326" spans="1:31" ht="103" thickBot="1" x14ac:dyDescent="0.25">
      <c r="A326" t="s">
        <v>1171</v>
      </c>
      <c r="B326" t="s">
        <v>1498</v>
      </c>
      <c r="C326" t="str">
        <f>"CONF-"&amp;TEXT(us_core_reqs[[#This Row],[ID*]], "0000")</f>
        <v>CONF-0325</v>
      </c>
      <c r="D326" s="11" t="s">
        <v>2225</v>
      </c>
      <c r="E326" s="73"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11" t="s">
        <v>2092</v>
      </c>
      <c r="G326" t="s">
        <v>64</v>
      </c>
      <c r="H326" cm="1">
        <f t="array" ref="H326">_xlfn.SWITCH(G326, "SHALL", 1, "SHOULD", 3, "MAY", 5, "SHOULD-NOT", 4, "SHALL-NOT", 2, "DEPRECATED", 6, 99)</f>
        <v>6</v>
      </c>
      <c r="J326" t="s">
        <v>30</v>
      </c>
      <c r="K326" t="s">
        <v>1171</v>
      </c>
      <c r="L326" t="s">
        <v>1171</v>
      </c>
      <c r="M326" t="s">
        <v>1173</v>
      </c>
      <c r="N326" t="s">
        <v>1171</v>
      </c>
      <c r="O326" t="s">
        <v>1171</v>
      </c>
      <c r="P326" t="s">
        <v>1171</v>
      </c>
      <c r="Q326" t="s">
        <v>1171</v>
      </c>
      <c r="R326" t="s">
        <v>1171</v>
      </c>
      <c r="S326" s="70" t="str" cm="1">
        <f t="array" ref="S326">_xlfn.TEXTJOIN(",",TRUE,LEFT(TRIM(_xlfn.TEXTSPLIT(us_core_reqs[[#This Row],[reference]],",")),FIND(".html",TRIM(_xlfn.TEXTSPLIT(us_core_reqs[[#This Row],[reference]],",")))-1))</f>
        <v>StructureDefinition-us-core-condition-encounter-diagnosis,StructureDefinition-us-core-condition-problems-health-concerns</v>
      </c>
      <c r="T326" s="70" t="str" cm="1">
        <f t="array" ref="T326">_xlfn.TEXTJOIN(",",TRUE,MID(TRIM(_xlfn.TEXTSPLIT(us_core_reqs[[#This Row],[reference]],",")),FIND("#",TRIM(_xlfn.TEXTSPLIT(us_core_reqs[[#This Row],[reference]],","))&amp;"#")+1,1000))</f>
        <v>profile-specific-implementation-guidance,profile-specific-implementation-guidance</v>
      </c>
      <c r="U326"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t="s">
        <v>29</v>
      </c>
      <c r="W326" t="s">
        <v>30</v>
      </c>
      <c r="X326" t="s">
        <v>1171</v>
      </c>
      <c r="Y326" t="s">
        <v>1171</v>
      </c>
      <c r="Z326" t="s">
        <v>1171</v>
      </c>
      <c r="AA326" t="s">
        <v>1171</v>
      </c>
      <c r="AB326" t="s">
        <v>1171</v>
      </c>
      <c r="AC326" t="s">
        <v>646</v>
      </c>
      <c r="AD326" t="s">
        <v>1171</v>
      </c>
      <c r="AE326" t="s">
        <v>1171</v>
      </c>
    </row>
    <row r="327" spans="1:31" ht="103" thickBot="1" x14ac:dyDescent="0.25">
      <c r="A327" t="s">
        <v>1171</v>
      </c>
      <c r="B327" t="s">
        <v>1499</v>
      </c>
      <c r="C327" t="str">
        <f>"CONF-"&amp;TEXT(us_core_reqs[[#This Row],[ID*]], "0000")</f>
        <v>CONF-0326</v>
      </c>
      <c r="D327" s="11" t="s">
        <v>2225</v>
      </c>
      <c r="E327" s="73"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11" t="s">
        <v>2093</v>
      </c>
      <c r="G327" t="s">
        <v>64</v>
      </c>
      <c r="H327" cm="1">
        <f t="array" ref="H327">_xlfn.SWITCH(G327, "SHALL", 1, "SHOULD", 3, "MAY", 5, "SHOULD-NOT", 4, "SHALL-NOT", 2, "DEPRECATED", 6, 99)</f>
        <v>6</v>
      </c>
      <c r="J327" t="s">
        <v>30</v>
      </c>
      <c r="K327" t="s">
        <v>1171</v>
      </c>
      <c r="L327" t="s">
        <v>1171</v>
      </c>
      <c r="M327" t="s">
        <v>1176</v>
      </c>
      <c r="N327" t="s">
        <v>1044</v>
      </c>
      <c r="O327" t="s">
        <v>1171</v>
      </c>
      <c r="P327" t="s">
        <v>1171</v>
      </c>
      <c r="Q327" t="s">
        <v>1171</v>
      </c>
      <c r="R327" t="s">
        <v>1171</v>
      </c>
      <c r="S327" s="70" t="str" cm="1">
        <f t="array" ref="S327">_xlfn.TEXTJOIN(",",TRUE,LEFT(TRIM(_xlfn.TEXTSPLIT(us_core_reqs[[#This Row],[reference]],",")),FIND(".html",TRIM(_xlfn.TEXTSPLIT(us_core_reqs[[#This Row],[reference]],",")))-1))</f>
        <v>StructureDefinition-us-core-condition-encounter-diagnosis,StructureDefinition-us-core-condition-problems-health-concerns</v>
      </c>
      <c r="T327" s="70" t="str" cm="1">
        <f t="array" ref="T327">_xlfn.TEXTJOIN(",",TRUE,MID(TRIM(_xlfn.TEXTSPLIT(us_core_reqs[[#This Row],[reference]],",")),FIND("#",TRIM(_xlfn.TEXTSPLIT(us_core_reqs[[#This Row],[reference]],","))&amp;"#")+1,1000))</f>
        <v>profile-specific-implementation-guidance,profile-specific-implementation-guidance</v>
      </c>
      <c r="U327"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t="s">
        <v>29</v>
      </c>
      <c r="W327" t="s">
        <v>30</v>
      </c>
      <c r="X327" t="s">
        <v>1171</v>
      </c>
      <c r="Y327" t="s">
        <v>1171</v>
      </c>
      <c r="Z327" t="s">
        <v>1171</v>
      </c>
      <c r="AA327" t="s">
        <v>1171</v>
      </c>
      <c r="AB327" t="s">
        <v>1171</v>
      </c>
      <c r="AC327" t="s">
        <v>646</v>
      </c>
      <c r="AD327" t="s">
        <v>1171</v>
      </c>
      <c r="AE327" t="s">
        <v>1171</v>
      </c>
    </row>
    <row r="328" spans="1:31" ht="103" thickBot="1" x14ac:dyDescent="0.25">
      <c r="A328" t="s">
        <v>1171</v>
      </c>
      <c r="B328" t="s">
        <v>1500</v>
      </c>
      <c r="C328" t="str">
        <f>"CONF-"&amp;TEXT(us_core_reqs[[#This Row],[ID*]], "0000")</f>
        <v>CONF-0327</v>
      </c>
      <c r="D328" s="11" t="s">
        <v>2225</v>
      </c>
      <c r="E328" s="73"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11" t="s">
        <v>2094</v>
      </c>
      <c r="G328" t="s">
        <v>64</v>
      </c>
      <c r="H328" cm="1">
        <f t="array" ref="H328">_xlfn.SWITCH(G328, "SHALL", 1, "SHOULD", 3, "MAY", 5, "SHOULD-NOT", 4, "SHALL-NOT", 2, "DEPRECATED", 6, 99)</f>
        <v>6</v>
      </c>
      <c r="J328" t="s">
        <v>58</v>
      </c>
      <c r="K328" t="s">
        <v>1171</v>
      </c>
      <c r="L328" t="s">
        <v>1171</v>
      </c>
      <c r="M328" t="s">
        <v>1173</v>
      </c>
      <c r="N328" t="s">
        <v>1171</v>
      </c>
      <c r="O328" t="s">
        <v>1171</v>
      </c>
      <c r="P328" t="s">
        <v>1171</v>
      </c>
      <c r="Q328" t="s">
        <v>1171</v>
      </c>
      <c r="R328" t="s">
        <v>1171</v>
      </c>
      <c r="S328" s="70" t="str" cm="1">
        <f t="array" ref="S328">_xlfn.TEXTJOIN(",",TRUE,LEFT(TRIM(_xlfn.TEXTSPLIT(us_core_reqs[[#This Row],[reference]],",")),FIND(".html",TRIM(_xlfn.TEXTSPLIT(us_core_reqs[[#This Row],[reference]],",")))-1))</f>
        <v>StructureDefinition-us-core-condition-encounter-diagnosis,StructureDefinition-us-core-condition-problems-health-concerns</v>
      </c>
      <c r="T328" s="70" t="str" cm="1">
        <f t="array" ref="T328">_xlfn.TEXTJOIN(",",TRUE,MID(TRIM(_xlfn.TEXTSPLIT(us_core_reqs[[#This Row],[reference]],",")),FIND("#",TRIM(_xlfn.TEXTSPLIT(us_core_reqs[[#This Row],[reference]],","))&amp;"#")+1,1000))</f>
        <v>profile-specific-implementation-guidance,profile-specific-implementation-guidance</v>
      </c>
      <c r="U328"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t="s">
        <v>29</v>
      </c>
      <c r="W328" t="s">
        <v>58</v>
      </c>
      <c r="X328" t="s">
        <v>1171</v>
      </c>
      <c r="Y328" t="s">
        <v>1171</v>
      </c>
      <c r="Z328" t="s">
        <v>1171</v>
      </c>
      <c r="AA328" t="s">
        <v>1171</v>
      </c>
      <c r="AB328" t="s">
        <v>1171</v>
      </c>
      <c r="AC328" t="s">
        <v>646</v>
      </c>
      <c r="AD328" t="s">
        <v>1171</v>
      </c>
      <c r="AE328" t="s">
        <v>1171</v>
      </c>
    </row>
    <row r="329" spans="1:31" ht="103" thickBot="1" x14ac:dyDescent="0.25">
      <c r="A329" t="s">
        <v>1171</v>
      </c>
      <c r="B329" t="s">
        <v>1501</v>
      </c>
      <c r="C329" t="str">
        <f>"CONF-"&amp;TEXT(us_core_reqs[[#This Row],[ID*]], "0000")</f>
        <v>CONF-0328</v>
      </c>
      <c r="D329" s="11" t="s">
        <v>2225</v>
      </c>
      <c r="E329" s="73"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11" t="s">
        <v>2095</v>
      </c>
      <c r="G329" t="s">
        <v>64</v>
      </c>
      <c r="H329" cm="1">
        <f t="array" ref="H329">_xlfn.SWITCH(G329, "SHALL", 1, "SHOULD", 3, "MAY", 5, "SHOULD-NOT", 4, "SHALL-NOT", 2, "DEPRECATED", 6, 99)</f>
        <v>6</v>
      </c>
      <c r="J329" t="s">
        <v>58</v>
      </c>
      <c r="K329" t="s">
        <v>1171</v>
      </c>
      <c r="L329" t="s">
        <v>1171</v>
      </c>
      <c r="M329" t="s">
        <v>1173</v>
      </c>
      <c r="N329" t="s">
        <v>1171</v>
      </c>
      <c r="O329" t="s">
        <v>1171</v>
      </c>
      <c r="P329" t="s">
        <v>1171</v>
      </c>
      <c r="Q329" t="s">
        <v>1171</v>
      </c>
      <c r="R329" t="s">
        <v>1171</v>
      </c>
      <c r="S329" s="70" t="str" cm="1">
        <f t="array" ref="S329">_xlfn.TEXTJOIN(",",TRUE,LEFT(TRIM(_xlfn.TEXTSPLIT(us_core_reqs[[#This Row],[reference]],",")),FIND(".html",TRIM(_xlfn.TEXTSPLIT(us_core_reqs[[#This Row],[reference]],",")))-1))</f>
        <v>StructureDefinition-us-core-condition-encounter-diagnosis,StructureDefinition-us-core-condition-problems-health-concerns</v>
      </c>
      <c r="T329" s="70" t="str" cm="1">
        <f t="array" ref="T329">_xlfn.TEXTJOIN(",",TRUE,MID(TRIM(_xlfn.TEXTSPLIT(us_core_reqs[[#This Row],[reference]],",")),FIND("#",TRIM(_xlfn.TEXTSPLIT(us_core_reqs[[#This Row],[reference]],","))&amp;"#")+1,1000))</f>
        <v>profile-specific-implementation-guidance,profile-specific-implementation-guidance</v>
      </c>
      <c r="U329"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t="s">
        <v>29</v>
      </c>
      <c r="W329" t="s">
        <v>58</v>
      </c>
      <c r="X329" t="s">
        <v>1171</v>
      </c>
      <c r="Y329" t="s">
        <v>1171</v>
      </c>
      <c r="Z329" t="s">
        <v>1171</v>
      </c>
      <c r="AA329" t="s">
        <v>1171</v>
      </c>
      <c r="AB329" t="s">
        <v>1171</v>
      </c>
      <c r="AC329" t="s">
        <v>646</v>
      </c>
      <c r="AD329" t="s">
        <v>1171</v>
      </c>
      <c r="AE329" t="s">
        <v>1171</v>
      </c>
    </row>
    <row r="330" spans="1:31" ht="103" thickBot="1" x14ac:dyDescent="0.25">
      <c r="A330" t="s">
        <v>1171</v>
      </c>
      <c r="B330" t="s">
        <v>1502</v>
      </c>
      <c r="C330" t="str">
        <f>"CONF-"&amp;TEXT(us_core_reqs[[#This Row],[ID*]], "0000")</f>
        <v>CONF-0329</v>
      </c>
      <c r="D330" s="11" t="s">
        <v>2225</v>
      </c>
      <c r="E330" s="73"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11" t="s">
        <v>2096</v>
      </c>
      <c r="G330" t="s">
        <v>64</v>
      </c>
      <c r="H330" cm="1">
        <f t="array" ref="H330">_xlfn.SWITCH(G330, "SHALL", 1, "SHOULD", 3, "MAY", 5, "SHOULD-NOT", 4, "SHALL-NOT", 2, "DEPRECATED", 6, 99)</f>
        <v>6</v>
      </c>
      <c r="J330" t="s">
        <v>58</v>
      </c>
      <c r="K330" t="s">
        <v>1171</v>
      </c>
      <c r="L330" t="s">
        <v>1171</v>
      </c>
      <c r="M330" t="s">
        <v>1173</v>
      </c>
      <c r="N330" t="s">
        <v>1171</v>
      </c>
      <c r="O330" t="s">
        <v>1171</v>
      </c>
      <c r="P330" t="s">
        <v>1171</v>
      </c>
      <c r="Q330" t="s">
        <v>1171</v>
      </c>
      <c r="R330" t="s">
        <v>1171</v>
      </c>
      <c r="S330" s="70" t="str" cm="1">
        <f t="array" ref="S330">_xlfn.TEXTJOIN(",",TRUE,LEFT(TRIM(_xlfn.TEXTSPLIT(us_core_reqs[[#This Row],[reference]],",")),FIND(".html",TRIM(_xlfn.TEXTSPLIT(us_core_reqs[[#This Row],[reference]],",")))-1))</f>
        <v>StructureDefinition-us-core-condition-encounter-diagnosis,StructureDefinition-us-core-condition-problems-health-concerns</v>
      </c>
      <c r="T330" s="70" t="str" cm="1">
        <f t="array" ref="T330">_xlfn.TEXTJOIN(",",TRUE,MID(TRIM(_xlfn.TEXTSPLIT(us_core_reqs[[#This Row],[reference]],",")),FIND("#",TRIM(_xlfn.TEXTSPLIT(us_core_reqs[[#This Row],[reference]],","))&amp;"#")+1,1000))</f>
        <v>profile-specific-implementation-guidance,profile-specific-implementation-guidance</v>
      </c>
      <c r="U330"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t="s">
        <v>29</v>
      </c>
      <c r="W330" t="s">
        <v>58</v>
      </c>
      <c r="X330" t="s">
        <v>1171</v>
      </c>
      <c r="Y330" t="s">
        <v>1171</v>
      </c>
      <c r="Z330" t="s">
        <v>1171</v>
      </c>
      <c r="AA330" t="s">
        <v>1171</v>
      </c>
      <c r="AB330" t="s">
        <v>1171</v>
      </c>
      <c r="AC330" t="s">
        <v>646</v>
      </c>
      <c r="AD330" t="s">
        <v>1171</v>
      </c>
      <c r="AE330" t="s">
        <v>1171</v>
      </c>
    </row>
    <row r="331" spans="1:31" ht="69" thickBot="1" x14ac:dyDescent="0.25">
      <c r="A331" t="s">
        <v>1171</v>
      </c>
      <c r="B331" t="s">
        <v>1503</v>
      </c>
      <c r="C331" t="str">
        <f>"CONF-"&amp;TEXT(us_core_reqs[[#This Row],[ID*]], "0000")</f>
        <v>CONF-0330</v>
      </c>
      <c r="D331" s="11" t="s">
        <v>2226</v>
      </c>
      <c r="E331" s="73" t="str" cm="1">
        <f t="array" ref="E331">_xlfn.TEXTJOIN(", ", TRUE, _xlfn.TEXTAFTER(_xlfn.TEXTSPLIT(us_core_reqs[[#This Row],[URL*]], ", "), "/", -1))</f>
        <v>StructureDefinition-us-core-condition-problems-health-concerns.html#profile-specific-implementation-guidance</v>
      </c>
      <c r="F331" s="11" t="s">
        <v>1961</v>
      </c>
      <c r="G331" t="s">
        <v>32</v>
      </c>
      <c r="H331" cm="1">
        <f t="array" ref="H331">_xlfn.SWITCH(G331, "SHALL", 1, "SHOULD", 3, "MAY", 5, "SHOULD-NOT", 4, "SHALL-NOT", 2, "DEPRECATED", 6, 99)</f>
        <v>3</v>
      </c>
      <c r="I331" t="s">
        <v>2028</v>
      </c>
      <c r="J331" t="s">
        <v>30</v>
      </c>
      <c r="K331" t="s">
        <v>1171</v>
      </c>
      <c r="L331" t="s">
        <v>1171</v>
      </c>
      <c r="M331" t="s">
        <v>1176</v>
      </c>
      <c r="N331" t="s">
        <v>352</v>
      </c>
      <c r="O331" t="s">
        <v>1171</v>
      </c>
      <c r="P331" t="s">
        <v>1171</v>
      </c>
      <c r="Q331" t="s">
        <v>1171</v>
      </c>
      <c r="R331" t="s">
        <v>1171</v>
      </c>
      <c r="S331" s="70" t="str" cm="1">
        <f t="array" ref="S331">_xlfn.TEXTJOIN(",",TRUE,LEFT(TRIM(_xlfn.TEXTSPLIT(us_core_reqs[[#This Row],[reference]],",")),FIND(".html",TRIM(_xlfn.TEXTSPLIT(us_core_reqs[[#This Row],[reference]],",")))-1))</f>
        <v>StructureDefinition-us-core-condition-problems-health-concerns</v>
      </c>
      <c r="T331" s="70" t="str" cm="1">
        <f t="array" ref="T331">_xlfn.TEXTJOIN(",",TRUE,MID(TRIM(_xlfn.TEXTSPLIT(us_core_reqs[[#This Row],[reference]],",")),FIND("#",TRIM(_xlfn.TEXTSPLIT(us_core_reqs[[#This Row],[reference]],","))&amp;"#")+1,1000))</f>
        <v>profile-specific-implementation-guidance</v>
      </c>
      <c r="U331"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t="s">
        <v>32</v>
      </c>
      <c r="W331" t="s">
        <v>1171</v>
      </c>
      <c r="X331" t="s">
        <v>1171</v>
      </c>
      <c r="Y331" t="s">
        <v>1171</v>
      </c>
      <c r="Z331" t="s">
        <v>1171</v>
      </c>
      <c r="AA331" t="s">
        <v>1171</v>
      </c>
      <c r="AB331" t="s">
        <v>1171</v>
      </c>
      <c r="AC331" t="s">
        <v>1171</v>
      </c>
      <c r="AD331" t="s">
        <v>1171</v>
      </c>
      <c r="AE331" t="s">
        <v>1171</v>
      </c>
    </row>
    <row r="332" spans="1:31" ht="52" thickBot="1" x14ac:dyDescent="0.25">
      <c r="A332" t="s">
        <v>1171</v>
      </c>
      <c r="B332" t="s">
        <v>1504</v>
      </c>
      <c r="C332" t="str">
        <f>"CONF-"&amp;TEXT(us_core_reqs[[#This Row],[ID*]], "0000")</f>
        <v>CONF-0331</v>
      </c>
      <c r="D332" s="11" t="s">
        <v>2226</v>
      </c>
      <c r="E332" s="73" t="str" cm="1">
        <f t="array" ref="E332">_xlfn.TEXTJOIN(", ", TRUE, _xlfn.TEXTAFTER(_xlfn.TEXTSPLIT(us_core_reqs[[#This Row],[URL*]], ", "), "/", -1))</f>
        <v>StructureDefinition-us-core-condition-problems-health-concerns.html#profile-specific-implementation-guidance</v>
      </c>
      <c r="F332" s="11" t="s">
        <v>1962</v>
      </c>
      <c r="G332" t="s">
        <v>32</v>
      </c>
      <c r="H332" cm="1">
        <f t="array" ref="H332">_xlfn.SWITCH(G332, "SHALL", 1, "SHOULD", 3, "MAY", 5, "SHOULD-NOT", 4, "SHALL-NOT", 2, "DEPRECATED", 6, 99)</f>
        <v>3</v>
      </c>
      <c r="J332" t="s">
        <v>30</v>
      </c>
      <c r="K332" t="s">
        <v>1171</v>
      </c>
      <c r="L332" t="s">
        <v>1171</v>
      </c>
      <c r="M332" t="s">
        <v>1176</v>
      </c>
      <c r="N332" t="s">
        <v>353</v>
      </c>
      <c r="O332" t="s">
        <v>1171</v>
      </c>
      <c r="P332" t="s">
        <v>1171</v>
      </c>
      <c r="Q332" t="s">
        <v>1171</v>
      </c>
      <c r="R332" t="s">
        <v>1171</v>
      </c>
      <c r="S332" s="70" t="str" cm="1">
        <f t="array" ref="S332">_xlfn.TEXTJOIN(",",TRUE,LEFT(TRIM(_xlfn.TEXTSPLIT(us_core_reqs[[#This Row],[reference]],",")),FIND(".html",TRIM(_xlfn.TEXTSPLIT(us_core_reqs[[#This Row],[reference]],",")))-1))</f>
        <v>StructureDefinition-us-core-condition-problems-health-concerns</v>
      </c>
      <c r="T332" s="70" t="str" cm="1">
        <f t="array" ref="T332">_xlfn.TEXTJOIN(",",TRUE,MID(TRIM(_xlfn.TEXTSPLIT(us_core_reqs[[#This Row],[reference]],",")),FIND("#",TRIM(_xlfn.TEXTSPLIT(us_core_reqs[[#This Row],[reference]],","))&amp;"#")+1,1000))</f>
        <v>profile-specific-implementation-guidance</v>
      </c>
      <c r="U332"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t="s">
        <v>32</v>
      </c>
      <c r="W332" t="s">
        <v>1171</v>
      </c>
      <c r="X332" t="s">
        <v>1171</v>
      </c>
      <c r="Y332" t="s">
        <v>1171</v>
      </c>
      <c r="Z332" t="s">
        <v>1171</v>
      </c>
      <c r="AA332" t="s">
        <v>1171</v>
      </c>
      <c r="AB332" t="s">
        <v>1171</v>
      </c>
      <c r="AC332" t="s">
        <v>759</v>
      </c>
      <c r="AD332" t="s">
        <v>1171</v>
      </c>
      <c r="AE332" t="s">
        <v>1171</v>
      </c>
    </row>
    <row r="333" spans="1:31" ht="52" thickBot="1" x14ac:dyDescent="0.25">
      <c r="A333" t="s">
        <v>1171</v>
      </c>
      <c r="B333" t="s">
        <v>1505</v>
      </c>
      <c r="C333" t="str">
        <f>"CONF-"&amp;TEXT(us_core_reqs[[#This Row],[ID*]], "0000")</f>
        <v>CONF-0332</v>
      </c>
      <c r="D333" s="11" t="s">
        <v>2226</v>
      </c>
      <c r="E333" s="73" t="str" cm="1">
        <f t="array" ref="E333">_xlfn.TEXTJOIN(", ", TRUE, _xlfn.TEXTAFTER(_xlfn.TEXTSPLIT(us_core_reqs[[#This Row],[URL*]], ", "), "/", -1))</f>
        <v>StructureDefinition-us-core-condition-problems-health-concerns.html#profile-specific-implementation-guidance</v>
      </c>
      <c r="F333" s="11" t="s">
        <v>1963</v>
      </c>
      <c r="G333" t="s">
        <v>32</v>
      </c>
      <c r="H333" cm="1">
        <f t="array" ref="H333">_xlfn.SWITCH(G333, "SHALL", 1, "SHOULD", 3, "MAY", 5, "SHOULD-NOT", 4, "SHALL-NOT", 2, "DEPRECATED", 6, 99)</f>
        <v>3</v>
      </c>
      <c r="J333" t="s">
        <v>30</v>
      </c>
      <c r="K333" t="s">
        <v>1171</v>
      </c>
      <c r="L333" t="s">
        <v>1171</v>
      </c>
      <c r="M333" t="s">
        <v>1173</v>
      </c>
      <c r="N333" t="s">
        <v>1171</v>
      </c>
      <c r="O333" t="s">
        <v>1171</v>
      </c>
      <c r="P333" t="s">
        <v>1171</v>
      </c>
      <c r="Q333" t="s">
        <v>1171</v>
      </c>
      <c r="R333" t="s">
        <v>1171</v>
      </c>
      <c r="S333" s="70" t="str" cm="1">
        <f t="array" ref="S333">_xlfn.TEXTJOIN(",",TRUE,LEFT(TRIM(_xlfn.TEXTSPLIT(us_core_reqs[[#This Row],[reference]],",")),FIND(".html",TRIM(_xlfn.TEXTSPLIT(us_core_reqs[[#This Row],[reference]],",")))-1))</f>
        <v>StructureDefinition-us-core-condition-problems-health-concerns</v>
      </c>
      <c r="T333" s="70" t="str" cm="1">
        <f t="array" ref="T333">_xlfn.TEXTJOIN(",",TRUE,MID(TRIM(_xlfn.TEXTSPLIT(us_core_reqs[[#This Row],[reference]],",")),FIND("#",TRIM(_xlfn.TEXTSPLIT(us_core_reqs[[#This Row],[reference]],","))&amp;"#")+1,1000))</f>
        <v>profile-specific-implementation-guidance</v>
      </c>
      <c r="U333"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t="s">
        <v>32</v>
      </c>
      <c r="W333" t="s">
        <v>1171</v>
      </c>
      <c r="X333" t="s">
        <v>1171</v>
      </c>
      <c r="Y333" t="s">
        <v>1171</v>
      </c>
      <c r="Z333" t="s">
        <v>1171</v>
      </c>
      <c r="AA333" t="s">
        <v>1171</v>
      </c>
      <c r="AB333" t="s">
        <v>1171</v>
      </c>
      <c r="AC333" t="s">
        <v>768</v>
      </c>
      <c r="AD333" t="s">
        <v>1171</v>
      </c>
      <c r="AE333" t="s">
        <v>1171</v>
      </c>
    </row>
    <row r="334" spans="1:31" ht="52" thickBot="1" x14ac:dyDescent="0.25">
      <c r="A334" t="s">
        <v>1171</v>
      </c>
      <c r="B334" t="s">
        <v>1506</v>
      </c>
      <c r="C334" t="str">
        <f>"CONF-"&amp;TEXT(us_core_reqs[[#This Row],[ID*]], "0000")</f>
        <v>CONF-0333</v>
      </c>
      <c r="D334" s="11" t="s">
        <v>2226</v>
      </c>
      <c r="E334" s="73" t="str" cm="1">
        <f t="array" ref="E334">_xlfn.TEXTJOIN(", ", TRUE, _xlfn.TEXTAFTER(_xlfn.TEXTSPLIT(us_core_reqs[[#This Row],[URL*]], ", "), "/", -1))</f>
        <v>StructureDefinition-us-core-condition-problems-health-concerns.html#profile-specific-implementation-guidance</v>
      </c>
      <c r="F334" s="11" t="s">
        <v>2029</v>
      </c>
      <c r="G334" t="s">
        <v>32</v>
      </c>
      <c r="H334" cm="1">
        <f t="array" ref="H334">_xlfn.SWITCH(G334, "SHALL", 1, "SHOULD", 3, "MAY", 5, "SHOULD-NOT", 4, "SHALL-NOT", 2, "DEPRECATED", 6, 99)</f>
        <v>3</v>
      </c>
      <c r="J334" t="s">
        <v>30</v>
      </c>
      <c r="K334" t="s">
        <v>1171</v>
      </c>
      <c r="L334" t="s">
        <v>1171</v>
      </c>
      <c r="M334" t="s">
        <v>1173</v>
      </c>
      <c r="N334" t="s">
        <v>1171</v>
      </c>
      <c r="O334" t="s">
        <v>1171</v>
      </c>
      <c r="P334" t="s">
        <v>1171</v>
      </c>
      <c r="Q334" t="s">
        <v>1171</v>
      </c>
      <c r="R334" t="s">
        <v>1171</v>
      </c>
      <c r="S334" s="70" t="str" cm="1">
        <f t="array" ref="S334">_xlfn.TEXTJOIN(",",TRUE,LEFT(TRIM(_xlfn.TEXTSPLIT(us_core_reqs[[#This Row],[reference]],",")),FIND(".html",TRIM(_xlfn.TEXTSPLIT(us_core_reqs[[#This Row],[reference]],",")))-1))</f>
        <v>StructureDefinition-us-core-condition-problems-health-concerns</v>
      </c>
      <c r="T334" s="70" t="str" cm="1">
        <f t="array" ref="T334">_xlfn.TEXTJOIN(",",TRUE,MID(TRIM(_xlfn.TEXTSPLIT(us_core_reqs[[#This Row],[reference]],",")),FIND("#",TRIM(_xlfn.TEXTSPLIT(us_core_reqs[[#This Row],[reference]],","))&amp;"#")+1,1000))</f>
        <v>profile-specific-implementation-guidance</v>
      </c>
      <c r="U334"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t="s">
        <v>32</v>
      </c>
      <c r="W334" t="s">
        <v>1171</v>
      </c>
      <c r="X334" t="s">
        <v>1171</v>
      </c>
      <c r="Y334" t="s">
        <v>1171</v>
      </c>
      <c r="Z334" t="s">
        <v>1171</v>
      </c>
      <c r="AA334" t="s">
        <v>1171</v>
      </c>
      <c r="AB334" t="s">
        <v>1171</v>
      </c>
      <c r="AC334" t="s">
        <v>768</v>
      </c>
      <c r="AD334" t="s">
        <v>1171</v>
      </c>
      <c r="AE334" t="s">
        <v>1171</v>
      </c>
    </row>
    <row r="335" spans="1:31" ht="69" thickBot="1" x14ac:dyDescent="0.25">
      <c r="A335" t="s">
        <v>1171</v>
      </c>
      <c r="B335" t="s">
        <v>1507</v>
      </c>
      <c r="C335" t="str">
        <f>"CONF-"&amp;TEXT(us_core_reqs[[#This Row],[ID*]], "0000")</f>
        <v>CONF-0334</v>
      </c>
      <c r="D335" s="11" t="s">
        <v>2227</v>
      </c>
      <c r="E335" s="73" t="str" cm="1">
        <f t="array" ref="E335">_xlfn.TEXTJOIN(", ", TRUE, _xlfn.TEXTAFTER(_xlfn.TEXTSPLIT(us_core_reqs[[#This Row],[URL*]], ", "), "/", -1))</f>
        <v>StructureDefinition-us-core-coverage.html#profile-specific-implementation-guidance</v>
      </c>
      <c r="F335" s="11" t="s">
        <v>2033</v>
      </c>
      <c r="G335" t="s">
        <v>35</v>
      </c>
      <c r="H335" cm="1">
        <f t="array" ref="H335">_xlfn.SWITCH(G335, "SHALL", 1, "SHOULD", 3, "MAY", 5, "SHOULD-NOT", 4, "SHALL-NOT", 2, "DEPRECATED", 6, 99)</f>
        <v>5</v>
      </c>
      <c r="J335" t="s">
        <v>30</v>
      </c>
      <c r="K335" t="s">
        <v>1171</v>
      </c>
      <c r="L335" t="s">
        <v>1171</v>
      </c>
      <c r="M335" t="s">
        <v>1173</v>
      </c>
      <c r="N335" t="s">
        <v>1171</v>
      </c>
      <c r="O335" t="s">
        <v>1171</v>
      </c>
      <c r="P335" t="s">
        <v>1171</v>
      </c>
      <c r="Q335" t="s">
        <v>1171</v>
      </c>
      <c r="R335" t="s">
        <v>1171</v>
      </c>
      <c r="S335" s="70" t="str" cm="1">
        <f t="array" ref="S335">_xlfn.TEXTJOIN(",",TRUE,LEFT(TRIM(_xlfn.TEXTSPLIT(us_core_reqs[[#This Row],[reference]],",")),FIND(".html",TRIM(_xlfn.TEXTSPLIT(us_core_reqs[[#This Row],[reference]],",")))-1))</f>
        <v>StructureDefinition-us-core-coverage</v>
      </c>
      <c r="T335" s="70" t="str" cm="1">
        <f t="array" ref="T335">_xlfn.TEXTJOIN(",",TRUE,MID(TRIM(_xlfn.TEXTSPLIT(us_core_reqs[[#This Row],[reference]],",")),FIND("#",TRIM(_xlfn.TEXTSPLIT(us_core_reqs[[#This Row],[reference]],","))&amp;"#")+1,1000))</f>
        <v>profile-specific-implementation-guidance</v>
      </c>
      <c r="U335"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t="s">
        <v>35</v>
      </c>
      <c r="W335" t="s">
        <v>1171</v>
      </c>
      <c r="X335" t="s">
        <v>1171</v>
      </c>
      <c r="Y335" t="s">
        <v>1171</v>
      </c>
      <c r="Z335" t="s">
        <v>1171</v>
      </c>
      <c r="AA335" t="s">
        <v>1171</v>
      </c>
      <c r="AB335" t="s">
        <v>1171</v>
      </c>
      <c r="AC335" t="s">
        <v>1171</v>
      </c>
      <c r="AD335" t="s">
        <v>1171</v>
      </c>
      <c r="AE335" t="s">
        <v>1171</v>
      </c>
    </row>
    <row r="336" spans="1:31" ht="69" thickBot="1" x14ac:dyDescent="0.25">
      <c r="A336" t="s">
        <v>1171</v>
      </c>
      <c r="B336" t="s">
        <v>1508</v>
      </c>
      <c r="C336" t="str">
        <f>"CONF-"&amp;TEXT(us_core_reqs[[#This Row],[ID*]], "0000")</f>
        <v>CONF-0335</v>
      </c>
      <c r="D336" s="11" t="s">
        <v>2227</v>
      </c>
      <c r="E336" s="73" t="str" cm="1">
        <f t="array" ref="E336">_xlfn.TEXTJOIN(", ", TRUE, _xlfn.TEXTAFTER(_xlfn.TEXTSPLIT(us_core_reqs[[#This Row],[URL*]], ", "), "/", -1))</f>
        <v>StructureDefinition-us-core-coverage.html#profile-specific-implementation-guidance</v>
      </c>
      <c r="F336" s="11" t="s">
        <v>355</v>
      </c>
      <c r="G336" t="s">
        <v>32</v>
      </c>
      <c r="H336" cm="1">
        <f t="array" ref="H336">_xlfn.SWITCH(G336, "SHALL", 1, "SHOULD", 3, "MAY", 5, "SHOULD-NOT", 4, "SHALL-NOT", 2, "DEPRECATED", 6, 99)</f>
        <v>3</v>
      </c>
      <c r="I336" t="s">
        <v>2219</v>
      </c>
      <c r="J336" t="s">
        <v>30</v>
      </c>
      <c r="K336" t="s">
        <v>1171</v>
      </c>
      <c r="L336" t="s">
        <v>1171</v>
      </c>
      <c r="M336" t="s">
        <v>1173</v>
      </c>
      <c r="N336" t="s">
        <v>1171</v>
      </c>
      <c r="O336" t="s">
        <v>1171</v>
      </c>
      <c r="P336" t="s">
        <v>1171</v>
      </c>
      <c r="Q336" t="s">
        <v>1171</v>
      </c>
      <c r="R336" t="s">
        <v>1171</v>
      </c>
      <c r="S336" s="70" t="str" cm="1">
        <f t="array" ref="S336">_xlfn.TEXTJOIN(",",TRUE,LEFT(TRIM(_xlfn.TEXTSPLIT(us_core_reqs[[#This Row],[reference]],",")),FIND(".html",TRIM(_xlfn.TEXTSPLIT(us_core_reqs[[#This Row],[reference]],",")))-1))</f>
        <v>StructureDefinition-us-core-coverage</v>
      </c>
      <c r="T336" s="70" t="str" cm="1">
        <f t="array" ref="T336">_xlfn.TEXTJOIN(",",TRUE,MID(TRIM(_xlfn.TEXTSPLIT(us_core_reqs[[#This Row],[reference]],",")),FIND("#",TRIM(_xlfn.TEXTSPLIT(us_core_reqs[[#This Row],[reference]],","))&amp;"#")+1,1000))</f>
        <v>profile-specific-implementation-guidance</v>
      </c>
      <c r="U336"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t="s">
        <v>32</v>
      </c>
      <c r="W336" t="s">
        <v>1171</v>
      </c>
      <c r="X336" t="s">
        <v>1171</v>
      </c>
      <c r="Y336" t="s">
        <v>1171</v>
      </c>
      <c r="Z336" t="s">
        <v>1171</v>
      </c>
      <c r="AA336" t="s">
        <v>1171</v>
      </c>
      <c r="AB336" t="s">
        <v>1171</v>
      </c>
      <c r="AC336" t="s">
        <v>1171</v>
      </c>
      <c r="AD336" t="s">
        <v>1171</v>
      </c>
      <c r="AE336" t="s">
        <v>1171</v>
      </c>
    </row>
    <row r="337" spans="1:31" ht="52" thickBot="1" x14ac:dyDescent="0.25">
      <c r="A337" t="s">
        <v>1171</v>
      </c>
      <c r="B337" t="s">
        <v>1509</v>
      </c>
      <c r="C337" t="str">
        <f>"CONF-"&amp;TEXT(us_core_reqs[[#This Row],[ID*]], "0000")</f>
        <v>CONF-0336</v>
      </c>
      <c r="D337" s="11" t="s">
        <v>2227</v>
      </c>
      <c r="E337" s="73" t="str" cm="1">
        <f t="array" ref="E337">_xlfn.TEXTJOIN(", ", TRUE, _xlfn.TEXTAFTER(_xlfn.TEXTSPLIT(us_core_reqs[[#This Row],[URL*]], ", "), "/", -1))</f>
        <v>StructureDefinition-us-core-coverage.html#profile-specific-implementation-guidance</v>
      </c>
      <c r="F337" s="11" t="s">
        <v>356</v>
      </c>
      <c r="G337" t="s">
        <v>32</v>
      </c>
      <c r="H337" cm="1">
        <f t="array" ref="H337">_xlfn.SWITCH(G337, "SHALL", 1, "SHOULD", 3, "MAY", 5, "SHOULD-NOT", 4, "SHALL-NOT", 2, "DEPRECATED", 6, 99)</f>
        <v>3</v>
      </c>
      <c r="I337" t="s">
        <v>2219</v>
      </c>
      <c r="J337" t="s">
        <v>30</v>
      </c>
      <c r="K337" t="s">
        <v>1171</v>
      </c>
      <c r="L337" t="s">
        <v>1171</v>
      </c>
      <c r="M337" t="s">
        <v>1173</v>
      </c>
      <c r="N337" t="s">
        <v>1171</v>
      </c>
      <c r="O337" t="s">
        <v>1171</v>
      </c>
      <c r="P337" t="s">
        <v>1171</v>
      </c>
      <c r="Q337" t="s">
        <v>1171</v>
      </c>
      <c r="R337" t="s">
        <v>1171</v>
      </c>
      <c r="S337" s="70" t="str" cm="1">
        <f t="array" ref="S337">_xlfn.TEXTJOIN(",",TRUE,LEFT(TRIM(_xlfn.TEXTSPLIT(us_core_reqs[[#This Row],[reference]],",")),FIND(".html",TRIM(_xlfn.TEXTSPLIT(us_core_reqs[[#This Row],[reference]],",")))-1))</f>
        <v>StructureDefinition-us-core-coverage</v>
      </c>
      <c r="T337" s="70" t="str" cm="1">
        <f t="array" ref="T337">_xlfn.TEXTJOIN(",",TRUE,MID(TRIM(_xlfn.TEXTSPLIT(us_core_reqs[[#This Row],[reference]],",")),FIND("#",TRIM(_xlfn.TEXTSPLIT(us_core_reqs[[#This Row],[reference]],","))&amp;"#")+1,1000))</f>
        <v>profile-specific-implementation-guidance</v>
      </c>
      <c r="U337"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t="s">
        <v>1171</v>
      </c>
      <c r="W337" t="s">
        <v>1171</v>
      </c>
      <c r="X337" t="s">
        <v>1171</v>
      </c>
      <c r="Y337" t="s">
        <v>1171</v>
      </c>
      <c r="Z337" t="s">
        <v>1171</v>
      </c>
      <c r="AA337" t="s">
        <v>1171</v>
      </c>
      <c r="AB337" t="s">
        <v>1171</v>
      </c>
      <c r="AC337" t="s">
        <v>1171</v>
      </c>
      <c r="AD337" t="s">
        <v>1171</v>
      </c>
      <c r="AE337" t="s">
        <v>1171</v>
      </c>
    </row>
    <row r="338" spans="1:31" ht="52" thickBot="1" x14ac:dyDescent="0.25">
      <c r="A338" t="s">
        <v>1171</v>
      </c>
      <c r="B338" t="s">
        <v>1510</v>
      </c>
      <c r="C338" t="str">
        <f>"CONF-"&amp;TEXT(us_core_reqs[[#This Row],[ID*]], "0000")</f>
        <v>CONF-0337</v>
      </c>
      <c r="D338" s="11" t="s">
        <v>2227</v>
      </c>
      <c r="E338" s="73" t="str" cm="1">
        <f t="array" ref="E338">_xlfn.TEXTJOIN(", ", TRUE, _xlfn.TEXTAFTER(_xlfn.TEXTSPLIT(us_core_reqs[[#This Row],[URL*]], ", "), "/", -1))</f>
        <v>StructureDefinition-us-core-coverage.html#profile-specific-implementation-guidance</v>
      </c>
      <c r="F338" s="11" t="s">
        <v>357</v>
      </c>
      <c r="G338" t="s">
        <v>32</v>
      </c>
      <c r="H338" cm="1">
        <f t="array" ref="H338">_xlfn.SWITCH(G338, "SHALL", 1, "SHOULD", 3, "MAY", 5, "SHOULD-NOT", 4, "SHALL-NOT", 2, "DEPRECATED", 6, 99)</f>
        <v>3</v>
      </c>
      <c r="I338" t="s">
        <v>2219</v>
      </c>
      <c r="J338" t="s">
        <v>30</v>
      </c>
      <c r="K338" t="s">
        <v>1171</v>
      </c>
      <c r="L338" t="s">
        <v>1171</v>
      </c>
      <c r="M338" t="s">
        <v>1173</v>
      </c>
      <c r="N338" t="s">
        <v>1171</v>
      </c>
      <c r="O338" t="s">
        <v>1171</v>
      </c>
      <c r="P338" t="s">
        <v>1171</v>
      </c>
      <c r="Q338" t="s">
        <v>1171</v>
      </c>
      <c r="R338" t="s">
        <v>1171</v>
      </c>
      <c r="S338" s="70" t="str" cm="1">
        <f t="array" ref="S338">_xlfn.TEXTJOIN(",",TRUE,LEFT(TRIM(_xlfn.TEXTSPLIT(us_core_reqs[[#This Row],[reference]],",")),FIND(".html",TRIM(_xlfn.TEXTSPLIT(us_core_reqs[[#This Row],[reference]],",")))-1))</f>
        <v>StructureDefinition-us-core-coverage</v>
      </c>
      <c r="T338" s="70" t="str" cm="1">
        <f t="array" ref="T338">_xlfn.TEXTJOIN(",",TRUE,MID(TRIM(_xlfn.TEXTSPLIT(us_core_reqs[[#This Row],[reference]],",")),FIND("#",TRIM(_xlfn.TEXTSPLIT(us_core_reqs[[#This Row],[reference]],","))&amp;"#")+1,1000))</f>
        <v>profile-specific-implementation-guidance</v>
      </c>
      <c r="U338"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t="s">
        <v>1171</v>
      </c>
      <c r="W338" t="s">
        <v>1171</v>
      </c>
      <c r="X338" t="s">
        <v>1171</v>
      </c>
      <c r="Y338" t="s">
        <v>1171</v>
      </c>
      <c r="Z338" t="s">
        <v>1171</v>
      </c>
      <c r="AA338" t="s">
        <v>1171</v>
      </c>
      <c r="AB338" t="s">
        <v>1171</v>
      </c>
      <c r="AC338" t="s">
        <v>1171</v>
      </c>
      <c r="AD338" t="s">
        <v>1171</v>
      </c>
      <c r="AE338" t="s">
        <v>1171</v>
      </c>
    </row>
    <row r="339" spans="1:31" ht="35" thickBot="1" x14ac:dyDescent="0.25">
      <c r="A339" t="s">
        <v>1171</v>
      </c>
      <c r="B339" t="s">
        <v>1511</v>
      </c>
      <c r="C339" t="str">
        <f>"CONF-"&amp;TEXT(us_core_reqs[[#This Row],[ID*]], "0000")</f>
        <v>CONF-0338</v>
      </c>
      <c r="D339" s="11" t="s">
        <v>2227</v>
      </c>
      <c r="E339" s="73" t="str" cm="1">
        <f t="array" ref="E339">_xlfn.TEXTJOIN(", ", TRUE, _xlfn.TEXTAFTER(_xlfn.TEXTSPLIT(us_core_reqs[[#This Row],[URL*]], ", "), "/", -1))</f>
        <v>StructureDefinition-us-core-coverage.html#profile-specific-implementation-guidance</v>
      </c>
      <c r="F339" s="11" t="s">
        <v>358</v>
      </c>
      <c r="G339" t="s">
        <v>32</v>
      </c>
      <c r="H339" cm="1">
        <f t="array" ref="H339">_xlfn.SWITCH(G339, "SHALL", 1, "SHOULD", 3, "MAY", 5, "SHOULD-NOT", 4, "SHALL-NOT", 2, "DEPRECATED", 6, 99)</f>
        <v>3</v>
      </c>
      <c r="I339" t="s">
        <v>2219</v>
      </c>
      <c r="J339" t="s">
        <v>30</v>
      </c>
      <c r="K339" t="s">
        <v>1171</v>
      </c>
      <c r="L339" t="s">
        <v>1171</v>
      </c>
      <c r="M339" t="s">
        <v>1173</v>
      </c>
      <c r="N339" t="s">
        <v>1171</v>
      </c>
      <c r="O339" t="s">
        <v>1171</v>
      </c>
      <c r="P339" t="s">
        <v>1171</v>
      </c>
      <c r="Q339" t="s">
        <v>1171</v>
      </c>
      <c r="R339" t="s">
        <v>1171</v>
      </c>
      <c r="S339" s="70" t="str" cm="1">
        <f t="array" ref="S339">_xlfn.TEXTJOIN(",",TRUE,LEFT(TRIM(_xlfn.TEXTSPLIT(us_core_reqs[[#This Row],[reference]],",")),FIND(".html",TRIM(_xlfn.TEXTSPLIT(us_core_reqs[[#This Row],[reference]],",")))-1))</f>
        <v>StructureDefinition-us-core-coverage</v>
      </c>
      <c r="T339" s="70" t="str" cm="1">
        <f t="array" ref="T339">_xlfn.TEXTJOIN(",",TRUE,MID(TRIM(_xlfn.TEXTSPLIT(us_core_reqs[[#This Row],[reference]],",")),FIND("#",TRIM(_xlfn.TEXTSPLIT(us_core_reqs[[#This Row],[reference]],","))&amp;"#")+1,1000))</f>
        <v>profile-specific-implementation-guidance</v>
      </c>
      <c r="U339"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t="s">
        <v>1171</v>
      </c>
      <c r="W339" t="s">
        <v>1171</v>
      </c>
      <c r="X339" t="s">
        <v>1171</v>
      </c>
      <c r="Y339" t="s">
        <v>1171</v>
      </c>
      <c r="Z339" t="s">
        <v>1171</v>
      </c>
      <c r="AA339" t="s">
        <v>1171</v>
      </c>
      <c r="AB339" t="s">
        <v>1171</v>
      </c>
      <c r="AC339" t="s">
        <v>1171</v>
      </c>
      <c r="AD339" t="s">
        <v>1171</v>
      </c>
      <c r="AE339" t="s">
        <v>1171</v>
      </c>
    </row>
    <row r="340" spans="1:31" ht="69" thickBot="1" x14ac:dyDescent="0.25">
      <c r="A340" t="s">
        <v>1171</v>
      </c>
      <c r="B340" t="s">
        <v>1512</v>
      </c>
      <c r="C340" t="str">
        <f>"CONF-"&amp;TEXT(us_core_reqs[[#This Row],[ID*]], "0000")</f>
        <v>CONF-0339</v>
      </c>
      <c r="D340" s="11" t="s">
        <v>2227</v>
      </c>
      <c r="E340" s="73" t="str" cm="1">
        <f t="array" ref="E340">_xlfn.TEXTJOIN(", ", TRUE, _xlfn.TEXTAFTER(_xlfn.TEXTSPLIT(us_core_reqs[[#This Row],[URL*]], ", "), "/", -1))</f>
        <v>StructureDefinition-us-core-coverage.html#profile-specific-implementation-guidance</v>
      </c>
      <c r="F340" s="11" t="s">
        <v>359</v>
      </c>
      <c r="G340" t="s">
        <v>32</v>
      </c>
      <c r="H340" cm="1">
        <f t="array" ref="H340">_xlfn.SWITCH(G340, "SHALL", 1, "SHOULD", 3, "MAY", 5, "SHOULD-NOT", 4, "SHALL-NOT", 2, "DEPRECATED", 6, 99)</f>
        <v>3</v>
      </c>
      <c r="I340" t="s">
        <v>1873</v>
      </c>
      <c r="J340" t="s">
        <v>30</v>
      </c>
      <c r="K340" t="s">
        <v>1171</v>
      </c>
      <c r="L340" t="s">
        <v>1171</v>
      </c>
      <c r="M340" t="s">
        <v>1176</v>
      </c>
      <c r="N340" t="s">
        <v>360</v>
      </c>
      <c r="O340" t="s">
        <v>1171</v>
      </c>
      <c r="P340" t="s">
        <v>1171</v>
      </c>
      <c r="Q340" t="s">
        <v>1171</v>
      </c>
      <c r="R340" t="s">
        <v>1171</v>
      </c>
      <c r="S340" s="70" t="str" cm="1">
        <f t="array" ref="S340">_xlfn.TEXTJOIN(",",TRUE,LEFT(TRIM(_xlfn.TEXTSPLIT(us_core_reqs[[#This Row],[reference]],",")),FIND(".html",TRIM(_xlfn.TEXTSPLIT(us_core_reqs[[#This Row],[reference]],",")))-1))</f>
        <v>StructureDefinition-us-core-coverage</v>
      </c>
      <c r="T340" s="70" t="str" cm="1">
        <f t="array" ref="T340">_xlfn.TEXTJOIN(",",TRUE,MID(TRIM(_xlfn.TEXTSPLIT(us_core_reqs[[#This Row],[reference]],",")),FIND("#",TRIM(_xlfn.TEXTSPLIT(us_core_reqs[[#This Row],[reference]],","))&amp;"#")+1,1000))</f>
        <v>profile-specific-implementation-guidance</v>
      </c>
      <c r="U340"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t="s">
        <v>32</v>
      </c>
      <c r="W340" t="s">
        <v>1171</v>
      </c>
      <c r="X340" t="s">
        <v>1171</v>
      </c>
      <c r="Y340" t="s">
        <v>1171</v>
      </c>
      <c r="Z340" t="s">
        <v>1171</v>
      </c>
      <c r="AA340" t="s">
        <v>1171</v>
      </c>
      <c r="AB340" t="s">
        <v>1171</v>
      </c>
      <c r="AC340" t="s">
        <v>1171</v>
      </c>
      <c r="AD340" t="s">
        <v>1171</v>
      </c>
      <c r="AE340" t="s">
        <v>1171</v>
      </c>
    </row>
    <row r="341" spans="1:31" ht="52" thickBot="1" x14ac:dyDescent="0.25">
      <c r="A341" t="s">
        <v>1171</v>
      </c>
      <c r="B341" t="s">
        <v>1513</v>
      </c>
      <c r="C341" t="str">
        <f>"CONF-"&amp;TEXT(us_core_reqs[[#This Row],[ID*]], "0000")</f>
        <v>CONF-0340</v>
      </c>
      <c r="D341" s="11" t="s">
        <v>2272</v>
      </c>
      <c r="E341" s="73" t="str" cm="1">
        <f t="array" ref="E341">_xlfn.TEXTJOIN(", ", TRUE, _xlfn.TEXTAFTER(_xlfn.TEXTSPLIT(us_core_reqs[[#This Row],[URL*]], ", "), "/", -1))</f>
        <v>StructureDefinition-us-core-device.html#profile-specific-implementation-guidance</v>
      </c>
      <c r="F341" s="11" t="s">
        <v>361</v>
      </c>
      <c r="G341" t="s">
        <v>64</v>
      </c>
      <c r="H341" cm="1">
        <f t="array" ref="H341">_xlfn.SWITCH(G341, "SHALL", 1, "SHOULD", 3, "MAY", 5, "SHOULD-NOT", 4, "SHALL-NOT", 2, "DEPRECATED", 6, 99)</f>
        <v>6</v>
      </c>
      <c r="J341" t="s">
        <v>30</v>
      </c>
      <c r="K341" t="s">
        <v>1171</v>
      </c>
      <c r="L341" t="s">
        <v>1171</v>
      </c>
      <c r="M341" t="s">
        <v>1173</v>
      </c>
      <c r="N341" t="s">
        <v>1171</v>
      </c>
      <c r="O341" t="s">
        <v>1171</v>
      </c>
      <c r="P341" t="s">
        <v>1171</v>
      </c>
      <c r="Q341" t="s">
        <v>1171</v>
      </c>
      <c r="R341" t="s">
        <v>1171</v>
      </c>
      <c r="S341" s="70" t="str" cm="1">
        <f t="array" ref="S341">_xlfn.TEXTJOIN(",",TRUE,LEFT(TRIM(_xlfn.TEXTSPLIT(us_core_reqs[[#This Row],[reference]],",")),FIND(".html",TRIM(_xlfn.TEXTSPLIT(us_core_reqs[[#This Row],[reference]],",")))-1))</f>
        <v>StructureDefinition-us-core-device</v>
      </c>
      <c r="T341" s="70" t="str" cm="1">
        <f t="array" ref="T341">_xlfn.TEXTJOIN(",",TRUE,MID(TRIM(_xlfn.TEXTSPLIT(us_core_reqs[[#This Row],[reference]],",")),FIND("#",TRIM(_xlfn.TEXTSPLIT(us_core_reqs[[#This Row],[reference]],","))&amp;"#")+1,1000))</f>
        <v>profile-specific-implementation-guidance</v>
      </c>
      <c r="U341"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t="s">
        <v>1171</v>
      </c>
      <c r="W341" t="s">
        <v>1171</v>
      </c>
      <c r="X341" t="s">
        <v>1171</v>
      </c>
      <c r="Y341" t="s">
        <v>1171</v>
      </c>
      <c r="Z341" t="s">
        <v>1171</v>
      </c>
      <c r="AA341" t="s">
        <v>1171</v>
      </c>
      <c r="AB341" t="s">
        <v>1171</v>
      </c>
      <c r="AC341" t="s">
        <v>1171</v>
      </c>
      <c r="AD341" t="s">
        <v>1171</v>
      </c>
      <c r="AE341" t="s">
        <v>1171</v>
      </c>
    </row>
    <row r="342" spans="1:31" ht="52" thickBot="1" x14ac:dyDescent="0.25">
      <c r="A342" t="s">
        <v>1171</v>
      </c>
      <c r="B342" t="s">
        <v>1514</v>
      </c>
      <c r="C342" t="str">
        <f>"CONF-"&amp;TEXT(us_core_reqs[[#This Row],[ID*]], "0000")</f>
        <v>CONF-0341</v>
      </c>
      <c r="D342" s="11" t="s">
        <v>2272</v>
      </c>
      <c r="E342" s="73" t="str" cm="1">
        <f t="array" ref="E342">_xlfn.TEXTJOIN(", ", TRUE, _xlfn.TEXTAFTER(_xlfn.TEXTSPLIT(us_core_reqs[[#This Row],[URL*]], ", "), "/", -1))</f>
        <v>StructureDefinition-us-core-device.html#profile-specific-implementation-guidance</v>
      </c>
      <c r="F342" s="11" t="s">
        <v>362</v>
      </c>
      <c r="G342" t="s">
        <v>32</v>
      </c>
      <c r="H342" cm="1">
        <f t="array" ref="H342">_xlfn.SWITCH(G342, "SHALL", 1, "SHOULD", 3, "MAY", 5, "SHOULD-NOT", 4, "SHALL-NOT", 2, "DEPRECATED", 6, 99)</f>
        <v>3</v>
      </c>
      <c r="I342" t="s">
        <v>2220</v>
      </c>
      <c r="J342" t="s">
        <v>30</v>
      </c>
      <c r="K342" t="s">
        <v>1171</v>
      </c>
      <c r="L342" t="s">
        <v>1171</v>
      </c>
      <c r="M342" t="s">
        <v>1173</v>
      </c>
      <c r="N342" t="s">
        <v>1171</v>
      </c>
      <c r="O342" t="s">
        <v>1171</v>
      </c>
      <c r="P342" t="s">
        <v>1171</v>
      </c>
      <c r="Q342" t="s">
        <v>1171</v>
      </c>
      <c r="R342" t="s">
        <v>1171</v>
      </c>
      <c r="S342" s="70" t="str" cm="1">
        <f t="array" ref="S342">_xlfn.TEXTJOIN(",",TRUE,LEFT(TRIM(_xlfn.TEXTSPLIT(us_core_reqs[[#This Row],[reference]],",")),FIND(".html",TRIM(_xlfn.TEXTSPLIT(us_core_reqs[[#This Row],[reference]],",")))-1))</f>
        <v>StructureDefinition-us-core-device</v>
      </c>
      <c r="T342" s="70" t="str" cm="1">
        <f t="array" ref="T342">_xlfn.TEXTJOIN(",",TRUE,MID(TRIM(_xlfn.TEXTSPLIT(us_core_reqs[[#This Row],[reference]],",")),FIND("#",TRIM(_xlfn.TEXTSPLIT(us_core_reqs[[#This Row],[reference]],","))&amp;"#")+1,1000))</f>
        <v>profile-specific-implementation-guidance</v>
      </c>
      <c r="U342"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t="s">
        <v>1171</v>
      </c>
      <c r="W342" t="s">
        <v>1171</v>
      </c>
      <c r="X342" t="s">
        <v>1171</v>
      </c>
      <c r="Y342" t="s">
        <v>1171</v>
      </c>
      <c r="Z342" t="s">
        <v>1171</v>
      </c>
      <c r="AA342" t="s">
        <v>1171</v>
      </c>
      <c r="AB342" t="s">
        <v>1171</v>
      </c>
      <c r="AC342" t="s">
        <v>1171</v>
      </c>
      <c r="AD342" t="s">
        <v>1171</v>
      </c>
      <c r="AE342" t="s">
        <v>1171</v>
      </c>
    </row>
    <row r="343" spans="1:31" ht="35" thickBot="1" x14ac:dyDescent="0.25">
      <c r="A343" t="s">
        <v>1171</v>
      </c>
      <c r="B343" t="s">
        <v>1515</v>
      </c>
      <c r="C343" t="str">
        <f>"CONF-"&amp;TEXT(us_core_reqs[[#This Row],[ID*]], "0000")</f>
        <v>CONF-0342</v>
      </c>
      <c r="D343" s="11" t="s">
        <v>2272</v>
      </c>
      <c r="E343" s="73" t="str" cm="1">
        <f t="array" ref="E343">_xlfn.TEXTJOIN(", ", TRUE, _xlfn.TEXTAFTER(_xlfn.TEXTSPLIT(us_core_reqs[[#This Row],[URL*]], ", "), "/", -1))</f>
        <v>StructureDefinition-us-core-device.html#profile-specific-implementation-guidance</v>
      </c>
      <c r="F343" s="11" t="s">
        <v>2273</v>
      </c>
      <c r="G343" t="s">
        <v>29</v>
      </c>
      <c r="H343" cm="1">
        <f t="array" ref="H343">_xlfn.SWITCH(G343, "SHALL", 1, "SHOULD", 3, "MAY", 5, "SHOULD-NOT", 4, "SHALL-NOT", 2, "DEPRECATED", 6, 99)</f>
        <v>1</v>
      </c>
      <c r="J343" t="s">
        <v>30</v>
      </c>
      <c r="K343" t="s">
        <v>1171</v>
      </c>
      <c r="L343" t="s">
        <v>1171</v>
      </c>
      <c r="M343" t="s">
        <v>1173</v>
      </c>
      <c r="N343" t="s">
        <v>1171</v>
      </c>
      <c r="O343" t="s">
        <v>1171</v>
      </c>
      <c r="P343" t="s">
        <v>1171</v>
      </c>
      <c r="Q343" t="s">
        <v>1171</v>
      </c>
      <c r="R343" t="s">
        <v>1171</v>
      </c>
      <c r="S343" s="70" t="str" cm="1">
        <f t="array" ref="S343">_xlfn.TEXTJOIN(",",TRUE,LEFT(TRIM(_xlfn.TEXTSPLIT(us_core_reqs[[#This Row],[reference]],",")),FIND(".html",TRIM(_xlfn.TEXTSPLIT(us_core_reqs[[#This Row],[reference]],",")))-1))</f>
        <v>StructureDefinition-us-core-device</v>
      </c>
      <c r="T343" s="70" t="str" cm="1">
        <f t="array" ref="T343">_xlfn.TEXTJOIN(",",TRUE,MID(TRIM(_xlfn.TEXTSPLIT(us_core_reqs[[#This Row],[reference]],",")),FIND("#",TRIM(_xlfn.TEXTSPLIT(us_core_reqs[[#This Row],[reference]],","))&amp;"#")+1,1000))</f>
        <v>profile-specific-implementation-guidance</v>
      </c>
      <c r="U343"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t="s">
        <v>29</v>
      </c>
      <c r="W343" t="s">
        <v>1171</v>
      </c>
      <c r="X343" t="s">
        <v>1171</v>
      </c>
      <c r="Y343" t="s">
        <v>1171</v>
      </c>
      <c r="Z343" t="s">
        <v>1171</v>
      </c>
      <c r="AA343" t="s">
        <v>1171</v>
      </c>
      <c r="AB343" t="s">
        <v>1171</v>
      </c>
      <c r="AC343" t="s">
        <v>1171</v>
      </c>
      <c r="AD343" t="s">
        <v>1140</v>
      </c>
      <c r="AE343" t="s">
        <v>1171</v>
      </c>
    </row>
    <row r="344" spans="1:31" ht="52" thickBot="1" x14ac:dyDescent="0.25">
      <c r="A344" t="s">
        <v>1171</v>
      </c>
      <c r="B344" t="s">
        <v>1516</v>
      </c>
      <c r="C344" t="str">
        <f>"CONF-"&amp;TEXT(us_core_reqs[[#This Row],[ID*]], "0000")</f>
        <v>CONF-0343</v>
      </c>
      <c r="D344" s="11" t="s">
        <v>2272</v>
      </c>
      <c r="E344" s="73" t="str" cm="1">
        <f t="array" ref="E344">_xlfn.TEXTJOIN(", ", TRUE, _xlfn.TEXTAFTER(_xlfn.TEXTSPLIT(us_core_reqs[[#This Row],[URL*]], ", "), "/", -1))</f>
        <v>StructureDefinition-us-core-device.html#profile-specific-implementation-guidance</v>
      </c>
      <c r="F344" s="11" t="s">
        <v>2274</v>
      </c>
      <c r="G344" t="s">
        <v>29</v>
      </c>
      <c r="H344" cm="1">
        <f t="array" ref="H344">_xlfn.SWITCH(G344, "SHALL", 1, "SHOULD", 3, "MAY", 5, "SHOULD-NOT", 4, "SHALL-NOT", 2, "DEPRECATED", 6, 99)</f>
        <v>1</v>
      </c>
      <c r="J344" t="s">
        <v>30</v>
      </c>
      <c r="K344" t="s">
        <v>1171</v>
      </c>
      <c r="L344" t="s">
        <v>1171</v>
      </c>
      <c r="M344" t="s">
        <v>1173</v>
      </c>
      <c r="N344" t="s">
        <v>1171</v>
      </c>
      <c r="O344" t="s">
        <v>1171</v>
      </c>
      <c r="P344" t="s">
        <v>1171</v>
      </c>
      <c r="Q344" t="s">
        <v>1171</v>
      </c>
      <c r="R344" t="s">
        <v>1171</v>
      </c>
      <c r="S344" s="70" t="str" cm="1">
        <f t="array" ref="S344">_xlfn.TEXTJOIN(",",TRUE,LEFT(TRIM(_xlfn.TEXTSPLIT(us_core_reqs[[#This Row],[reference]],",")),FIND(".html",TRIM(_xlfn.TEXTSPLIT(us_core_reqs[[#This Row],[reference]],",")))-1))</f>
        <v>StructureDefinition-us-core-device</v>
      </c>
      <c r="T344" s="70" t="str" cm="1">
        <f t="array" ref="T344">_xlfn.TEXTJOIN(",",TRUE,MID(TRIM(_xlfn.TEXTSPLIT(us_core_reqs[[#This Row],[reference]],",")),FIND("#",TRIM(_xlfn.TEXTSPLIT(us_core_reqs[[#This Row],[reference]],","))&amp;"#")+1,1000))</f>
        <v>profile-specific-implementation-guidance</v>
      </c>
      <c r="U344"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t="s">
        <v>29</v>
      </c>
      <c r="W344" t="s">
        <v>1171</v>
      </c>
      <c r="X344" t="s">
        <v>1171</v>
      </c>
      <c r="Y344" t="s">
        <v>1171</v>
      </c>
      <c r="Z344" t="s">
        <v>1171</v>
      </c>
      <c r="AA344" t="s">
        <v>1171</v>
      </c>
      <c r="AB344" t="s">
        <v>1171</v>
      </c>
      <c r="AC344" t="s">
        <v>1171</v>
      </c>
      <c r="AD344" t="s">
        <v>1140</v>
      </c>
      <c r="AE344" t="s">
        <v>1171</v>
      </c>
    </row>
    <row r="345" spans="1:31" ht="69" thickBot="1" x14ac:dyDescent="0.25">
      <c r="A345" t="s">
        <v>1171</v>
      </c>
      <c r="B345" t="s">
        <v>1517</v>
      </c>
      <c r="C345" t="str">
        <f>"CONF-"&amp;TEXT(us_core_reqs[[#This Row],[ID*]], "0000")</f>
        <v>CONF-0344</v>
      </c>
      <c r="D345" s="11" t="s">
        <v>2272</v>
      </c>
      <c r="E345" s="73" t="str" cm="1">
        <f t="array" ref="E345">_xlfn.TEXTJOIN(", ", TRUE, _xlfn.TEXTAFTER(_xlfn.TEXTSPLIT(us_core_reqs[[#This Row],[URL*]], ", "), "/", -1))</f>
        <v>StructureDefinition-us-core-device.html#profile-specific-implementation-guidance</v>
      </c>
      <c r="F345" s="11" t="s">
        <v>1964</v>
      </c>
      <c r="G345" t="s">
        <v>32</v>
      </c>
      <c r="H345" cm="1">
        <f t="array" ref="H345">_xlfn.SWITCH(G345, "SHALL", 1, "SHOULD", 3, "MAY", 5, "SHOULD-NOT", 4, "SHALL-NOT", 2, "DEPRECATED", 6, 99)</f>
        <v>3</v>
      </c>
      <c r="J345" t="s">
        <v>30</v>
      </c>
      <c r="K345" t="s">
        <v>1171</v>
      </c>
      <c r="L345" t="s">
        <v>1171</v>
      </c>
      <c r="M345" t="s">
        <v>1176</v>
      </c>
      <c r="N345" t="s">
        <v>366</v>
      </c>
      <c r="O345" t="s">
        <v>1171</v>
      </c>
      <c r="P345" t="s">
        <v>1171</v>
      </c>
      <c r="Q345" t="s">
        <v>1171</v>
      </c>
      <c r="R345" t="s">
        <v>1171</v>
      </c>
      <c r="S345" s="70" t="str" cm="1">
        <f t="array" ref="S345">_xlfn.TEXTJOIN(",",TRUE,LEFT(TRIM(_xlfn.TEXTSPLIT(us_core_reqs[[#This Row],[reference]],",")),FIND(".html",TRIM(_xlfn.TEXTSPLIT(us_core_reqs[[#This Row],[reference]],",")))-1))</f>
        <v>StructureDefinition-us-core-device</v>
      </c>
      <c r="T345" s="70" t="str" cm="1">
        <f t="array" ref="T345">_xlfn.TEXTJOIN(",",TRUE,MID(TRIM(_xlfn.TEXTSPLIT(us_core_reqs[[#This Row],[reference]],",")),FIND("#",TRIM(_xlfn.TEXTSPLIT(us_core_reqs[[#This Row],[reference]],","))&amp;"#")+1,1000))</f>
        <v>profile-specific-implementation-guidance</v>
      </c>
      <c r="U345"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t="s">
        <v>32</v>
      </c>
      <c r="W345" t="s">
        <v>1171</v>
      </c>
      <c r="X345" t="s">
        <v>1171</v>
      </c>
      <c r="Y345" t="s">
        <v>1171</v>
      </c>
      <c r="Z345" t="s">
        <v>1171</v>
      </c>
      <c r="AA345" t="s">
        <v>1171</v>
      </c>
      <c r="AB345" t="s">
        <v>1171</v>
      </c>
      <c r="AC345" t="s">
        <v>1171</v>
      </c>
      <c r="AD345" t="s">
        <v>1171</v>
      </c>
      <c r="AE345" t="s">
        <v>1171</v>
      </c>
    </row>
    <row r="346" spans="1:31" ht="52" thickBot="1" x14ac:dyDescent="0.25">
      <c r="A346" t="s">
        <v>1171</v>
      </c>
      <c r="B346" t="s">
        <v>1518</v>
      </c>
      <c r="C346" t="str">
        <f>"CONF-"&amp;TEXT(us_core_reqs[[#This Row],[ID*]], "0000")</f>
        <v>CONF-0345</v>
      </c>
      <c r="D346" s="11" t="s">
        <v>2272</v>
      </c>
      <c r="E346" s="73" t="str" cm="1">
        <f t="array" ref="E346">_xlfn.TEXTJOIN(", ", TRUE, _xlfn.TEXTAFTER(_xlfn.TEXTSPLIT(us_core_reqs[[#This Row],[URL*]], ", "), "/", -1))</f>
        <v>StructureDefinition-us-core-device.html#profile-specific-implementation-guidance</v>
      </c>
      <c r="F346" s="11" t="s">
        <v>1965</v>
      </c>
      <c r="G346" t="s">
        <v>32</v>
      </c>
      <c r="H346" cm="1">
        <f t="array" ref="H346">_xlfn.SWITCH(G346, "SHALL", 1, "SHOULD", 3, "MAY", 5, "SHOULD-NOT", 4, "SHALL-NOT", 2, "DEPRECATED", 6, 99)</f>
        <v>3</v>
      </c>
      <c r="J346" t="s">
        <v>30</v>
      </c>
      <c r="K346" t="s">
        <v>1171</v>
      </c>
      <c r="L346" t="s">
        <v>1171</v>
      </c>
      <c r="M346" t="s">
        <v>1176</v>
      </c>
      <c r="N346" t="s">
        <v>368</v>
      </c>
      <c r="O346" t="s">
        <v>1171</v>
      </c>
      <c r="P346" t="s">
        <v>1171</v>
      </c>
      <c r="Q346" t="s">
        <v>1171</v>
      </c>
      <c r="R346" t="s">
        <v>1171</v>
      </c>
      <c r="S346" s="70" t="str" cm="1">
        <f t="array" ref="S346">_xlfn.TEXTJOIN(",",TRUE,LEFT(TRIM(_xlfn.TEXTSPLIT(us_core_reqs[[#This Row],[reference]],",")),FIND(".html",TRIM(_xlfn.TEXTSPLIT(us_core_reqs[[#This Row],[reference]],",")))-1))</f>
        <v>StructureDefinition-us-core-device</v>
      </c>
      <c r="T346" s="70" t="str" cm="1">
        <f t="array" ref="T346">_xlfn.TEXTJOIN(",",TRUE,MID(TRIM(_xlfn.TEXTSPLIT(us_core_reqs[[#This Row],[reference]],",")),FIND("#",TRIM(_xlfn.TEXTSPLIT(us_core_reqs[[#This Row],[reference]],","))&amp;"#")+1,1000))</f>
        <v>profile-specific-implementation-guidance</v>
      </c>
      <c r="U346"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t="s">
        <v>32</v>
      </c>
      <c r="W346" t="s">
        <v>1171</v>
      </c>
      <c r="X346" t="s">
        <v>1171</v>
      </c>
      <c r="Y346" t="s">
        <v>1171</v>
      </c>
      <c r="Z346" t="s">
        <v>1171</v>
      </c>
      <c r="AA346" t="s">
        <v>1171</v>
      </c>
      <c r="AB346" t="s">
        <v>1171</v>
      </c>
      <c r="AC346" t="s">
        <v>1171</v>
      </c>
      <c r="AD346" t="s">
        <v>1171</v>
      </c>
      <c r="AE346" t="s">
        <v>1171</v>
      </c>
    </row>
    <row r="347" spans="1:31" ht="35" thickBot="1" x14ac:dyDescent="0.25">
      <c r="A347" t="s">
        <v>1171</v>
      </c>
      <c r="B347" t="s">
        <v>1519</v>
      </c>
      <c r="C347" t="str">
        <f>"CONF-"&amp;TEXT(us_core_reqs[[#This Row],[ID*]], "0000")</f>
        <v>CONF-0346</v>
      </c>
      <c r="D347" s="11" t="s">
        <v>2272</v>
      </c>
      <c r="E347" s="73" t="str" cm="1">
        <f t="array" ref="E347">_xlfn.TEXTJOIN(", ", TRUE, _xlfn.TEXTAFTER(_xlfn.TEXTSPLIT(us_core_reqs[[#This Row],[URL*]], ", "), "/", -1))</f>
        <v>StructureDefinition-us-core-device.html#profile-specific-implementation-guidance</v>
      </c>
      <c r="F347" s="11" t="s">
        <v>937</v>
      </c>
      <c r="G347" t="s">
        <v>64</v>
      </c>
      <c r="H347" cm="1">
        <f t="array" ref="H347">_xlfn.SWITCH(G347, "SHALL", 1, "SHOULD", 3, "MAY", 5, "SHOULD-NOT", 4, "SHALL-NOT", 2, "DEPRECATED", 6, 99)</f>
        <v>6</v>
      </c>
      <c r="J347" t="s">
        <v>30</v>
      </c>
      <c r="K347" t="s">
        <v>1171</v>
      </c>
      <c r="L347" t="s">
        <v>1171</v>
      </c>
      <c r="M347" t="s">
        <v>1173</v>
      </c>
      <c r="N347" t="s">
        <v>1171</v>
      </c>
      <c r="O347" t="s">
        <v>1171</v>
      </c>
      <c r="P347" t="s">
        <v>1171</v>
      </c>
      <c r="Q347" t="s">
        <v>1171</v>
      </c>
      <c r="R347" t="s">
        <v>1171</v>
      </c>
      <c r="S347" s="70" t="str" cm="1">
        <f t="array" ref="S347">_xlfn.TEXTJOIN(",",TRUE,LEFT(TRIM(_xlfn.TEXTSPLIT(us_core_reqs[[#This Row],[reference]],",")),FIND(".html",TRIM(_xlfn.TEXTSPLIT(us_core_reqs[[#This Row],[reference]],",")))-1))</f>
        <v>StructureDefinition-us-core-device</v>
      </c>
      <c r="T347" s="70" t="str" cm="1">
        <f t="array" ref="T347">_xlfn.TEXTJOIN(",",TRUE,MID(TRIM(_xlfn.TEXTSPLIT(us_core_reqs[[#This Row],[reference]],",")),FIND("#",TRIM(_xlfn.TEXTSPLIT(us_core_reqs[[#This Row],[reference]],","))&amp;"#")+1,1000))</f>
        <v>profile-specific-implementation-guidance</v>
      </c>
      <c r="U347"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t="s">
        <v>32</v>
      </c>
      <c r="W347" t="s">
        <v>30</v>
      </c>
      <c r="X347" t="s">
        <v>1171</v>
      </c>
      <c r="Y347" t="s">
        <v>1171</v>
      </c>
      <c r="Z347" t="s">
        <v>1171</v>
      </c>
      <c r="AA347" t="s">
        <v>1171</v>
      </c>
      <c r="AB347" t="s">
        <v>1171</v>
      </c>
      <c r="AC347" t="s">
        <v>1171</v>
      </c>
      <c r="AD347" t="s">
        <v>1171</v>
      </c>
      <c r="AE347" t="s">
        <v>1171</v>
      </c>
    </row>
    <row r="348" spans="1:31" ht="35" thickBot="1" x14ac:dyDescent="0.25">
      <c r="A348" t="s">
        <v>1171</v>
      </c>
      <c r="B348" t="s">
        <v>1520</v>
      </c>
      <c r="C348" t="str">
        <f>"CONF-"&amp;TEXT(us_core_reqs[[#This Row],[ID*]], "0000")</f>
        <v>CONF-0347</v>
      </c>
      <c r="D348" s="11" t="s">
        <v>2272</v>
      </c>
      <c r="E348" s="73" t="str" cm="1">
        <f t="array" ref="E348">_xlfn.TEXTJOIN(", ", TRUE, _xlfn.TEXTAFTER(_xlfn.TEXTSPLIT(us_core_reqs[[#This Row],[URL*]], ", "), "/", -1))</f>
        <v>StructureDefinition-us-core-device.html#profile-specific-implementation-guidance</v>
      </c>
      <c r="F348" s="11" t="s">
        <v>2034</v>
      </c>
      <c r="G348" t="s">
        <v>35</v>
      </c>
      <c r="H348" cm="1">
        <f t="array" ref="H348">_xlfn.SWITCH(G348, "SHALL", 1, "SHOULD", 3, "MAY", 5, "SHOULD-NOT", 4, "SHALL-NOT", 2, "DEPRECATED", 6, 99)</f>
        <v>5</v>
      </c>
      <c r="J348" t="s">
        <v>30</v>
      </c>
      <c r="K348" t="s">
        <v>1171</v>
      </c>
      <c r="L348" t="s">
        <v>1171</v>
      </c>
      <c r="M348" t="s">
        <v>1173</v>
      </c>
      <c r="N348" t="s">
        <v>1171</v>
      </c>
      <c r="O348" t="s">
        <v>1171</v>
      </c>
      <c r="P348" t="s">
        <v>1171</v>
      </c>
      <c r="Q348" t="s">
        <v>1171</v>
      </c>
      <c r="R348" t="s">
        <v>1171</v>
      </c>
      <c r="S348" s="70" t="str" cm="1">
        <f t="array" ref="S348">_xlfn.TEXTJOIN(",",TRUE,LEFT(TRIM(_xlfn.TEXTSPLIT(us_core_reqs[[#This Row],[reference]],",")),FIND(".html",TRIM(_xlfn.TEXTSPLIT(us_core_reqs[[#This Row],[reference]],",")))-1))</f>
        <v>StructureDefinition-us-core-device</v>
      </c>
      <c r="T348" s="70" t="str" cm="1">
        <f t="array" ref="T348">_xlfn.TEXTJOIN(",",TRUE,MID(TRIM(_xlfn.TEXTSPLIT(us_core_reqs[[#This Row],[reference]],",")),FIND("#",TRIM(_xlfn.TEXTSPLIT(us_core_reqs[[#This Row],[reference]],","))&amp;"#")+1,1000))</f>
        <v>profile-specific-implementation-guidance</v>
      </c>
      <c r="U348"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t="s">
        <v>35</v>
      </c>
      <c r="W348" t="s">
        <v>1171</v>
      </c>
      <c r="X348" t="s">
        <v>1171</v>
      </c>
      <c r="Y348" t="s">
        <v>1171</v>
      </c>
      <c r="Z348" t="s">
        <v>1171</v>
      </c>
      <c r="AA348" t="s">
        <v>1171</v>
      </c>
      <c r="AB348" t="s">
        <v>1171</v>
      </c>
      <c r="AC348" t="s">
        <v>1171</v>
      </c>
      <c r="AD348" t="s">
        <v>1171</v>
      </c>
      <c r="AE348" t="s">
        <v>1171</v>
      </c>
    </row>
    <row r="349" spans="1:31" ht="35" thickBot="1" x14ac:dyDescent="0.25">
      <c r="A349" t="s">
        <v>1171</v>
      </c>
      <c r="B349" t="s">
        <v>1521</v>
      </c>
      <c r="C349" t="str">
        <f>"CONF-"&amp;TEXT(us_core_reqs[[#This Row],[ID*]], "0000")</f>
        <v>CONF-0348</v>
      </c>
      <c r="D349" s="11" t="s">
        <v>2272</v>
      </c>
      <c r="E349" s="73" t="str" cm="1">
        <f t="array" ref="E349">_xlfn.TEXTJOIN(", ", TRUE, _xlfn.TEXTAFTER(_xlfn.TEXTSPLIT(us_core_reqs[[#This Row],[URL*]], ", "), "/", -1))</f>
        <v>StructureDefinition-us-core-device.html#profile-specific-implementation-guidance</v>
      </c>
      <c r="F349" s="11" t="s">
        <v>2035</v>
      </c>
      <c r="G349" t="s">
        <v>35</v>
      </c>
      <c r="H349" cm="1">
        <f t="array" ref="H349">_xlfn.SWITCH(G349, "SHALL", 1, "SHOULD", 3, "MAY", 5, "SHOULD-NOT", 4, "SHALL-NOT", 2, "DEPRECATED", 6, 99)</f>
        <v>5</v>
      </c>
      <c r="J349" t="s">
        <v>30</v>
      </c>
      <c r="K349" t="s">
        <v>1171</v>
      </c>
      <c r="L349" t="s">
        <v>1171</v>
      </c>
      <c r="M349" t="s">
        <v>1173</v>
      </c>
      <c r="N349" t="s">
        <v>1171</v>
      </c>
      <c r="O349" t="s">
        <v>1171</v>
      </c>
      <c r="P349" t="s">
        <v>1171</v>
      </c>
      <c r="Q349" t="s">
        <v>1171</v>
      </c>
      <c r="R349" t="s">
        <v>1171</v>
      </c>
      <c r="S349" s="70" t="str" cm="1">
        <f t="array" ref="S349">_xlfn.TEXTJOIN(",",TRUE,LEFT(TRIM(_xlfn.TEXTSPLIT(us_core_reqs[[#This Row],[reference]],",")),FIND(".html",TRIM(_xlfn.TEXTSPLIT(us_core_reqs[[#This Row],[reference]],",")))-1))</f>
        <v>StructureDefinition-us-core-device</v>
      </c>
      <c r="T349" s="70" t="str" cm="1">
        <f t="array" ref="T349">_xlfn.TEXTJOIN(",",TRUE,MID(TRIM(_xlfn.TEXTSPLIT(us_core_reqs[[#This Row],[reference]],",")),FIND("#",TRIM(_xlfn.TEXTSPLIT(us_core_reqs[[#This Row],[reference]],","))&amp;"#")+1,1000))</f>
        <v>profile-specific-implementation-guidance</v>
      </c>
      <c r="U349"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t="s">
        <v>35</v>
      </c>
      <c r="W349" t="s">
        <v>1171</v>
      </c>
      <c r="X349" t="s">
        <v>1171</v>
      </c>
      <c r="Y349" t="s">
        <v>1171</v>
      </c>
      <c r="Z349" t="s">
        <v>1171</v>
      </c>
      <c r="AA349" t="s">
        <v>1171</v>
      </c>
      <c r="AB349" t="s">
        <v>1171</v>
      </c>
      <c r="AC349" t="s">
        <v>1171</v>
      </c>
      <c r="AD349" t="s">
        <v>1171</v>
      </c>
      <c r="AE349" t="s">
        <v>1171</v>
      </c>
    </row>
    <row r="350" spans="1:31" ht="35" thickBot="1" x14ac:dyDescent="0.25">
      <c r="A350" t="s">
        <v>1171</v>
      </c>
      <c r="B350" t="s">
        <v>1522</v>
      </c>
      <c r="C350" t="str">
        <f>"CONF-"&amp;TEXT(us_core_reqs[[#This Row],[ID*]], "0000")</f>
        <v>CONF-0349</v>
      </c>
      <c r="D350" s="11" t="s">
        <v>2272</v>
      </c>
      <c r="E350" s="73" t="str" cm="1">
        <f t="array" ref="E350">_xlfn.TEXTJOIN(", ", TRUE, _xlfn.TEXTAFTER(_xlfn.TEXTSPLIT(us_core_reqs[[#This Row],[URL*]], ", "), "/", -1))</f>
        <v>StructureDefinition-us-core-device.html#profile-specific-implementation-guidance</v>
      </c>
      <c r="F350" s="11" t="s">
        <v>2036</v>
      </c>
      <c r="G350" t="s">
        <v>35</v>
      </c>
      <c r="H350" cm="1">
        <f t="array" ref="H350">_xlfn.SWITCH(G350, "SHALL", 1, "SHOULD", 3, "MAY", 5, "SHOULD-NOT", 4, "SHALL-NOT", 2, "DEPRECATED", 6, 99)</f>
        <v>5</v>
      </c>
      <c r="J350" t="s">
        <v>30</v>
      </c>
      <c r="K350" t="s">
        <v>1171</v>
      </c>
      <c r="L350" t="s">
        <v>1171</v>
      </c>
      <c r="M350" t="s">
        <v>1173</v>
      </c>
      <c r="N350" t="s">
        <v>1171</v>
      </c>
      <c r="O350" t="s">
        <v>1171</v>
      </c>
      <c r="P350" t="s">
        <v>1171</v>
      </c>
      <c r="Q350" t="s">
        <v>1171</v>
      </c>
      <c r="R350" t="s">
        <v>1171</v>
      </c>
      <c r="S350" s="70" t="str" cm="1">
        <f t="array" ref="S350">_xlfn.TEXTJOIN(",",TRUE,LEFT(TRIM(_xlfn.TEXTSPLIT(us_core_reqs[[#This Row],[reference]],",")),FIND(".html",TRIM(_xlfn.TEXTSPLIT(us_core_reqs[[#This Row],[reference]],",")))-1))</f>
        <v>StructureDefinition-us-core-device</v>
      </c>
      <c r="T350" s="70" t="str" cm="1">
        <f t="array" ref="T350">_xlfn.TEXTJOIN(",",TRUE,MID(TRIM(_xlfn.TEXTSPLIT(us_core_reqs[[#This Row],[reference]],",")),FIND("#",TRIM(_xlfn.TEXTSPLIT(us_core_reqs[[#This Row],[reference]],","))&amp;"#")+1,1000))</f>
        <v>profile-specific-implementation-guidance</v>
      </c>
      <c r="U350"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t="s">
        <v>35</v>
      </c>
      <c r="W350" t="s">
        <v>1171</v>
      </c>
      <c r="X350" t="s">
        <v>1171</v>
      </c>
      <c r="Y350" t="s">
        <v>1171</v>
      </c>
      <c r="Z350" t="s">
        <v>1171</v>
      </c>
      <c r="AA350" t="s">
        <v>1171</v>
      </c>
      <c r="AB350" t="s">
        <v>1171</v>
      </c>
      <c r="AC350" t="s">
        <v>1171</v>
      </c>
      <c r="AD350" t="s">
        <v>1171</v>
      </c>
      <c r="AE350" t="s">
        <v>1171</v>
      </c>
    </row>
    <row r="351" spans="1:31" ht="35" thickBot="1" x14ac:dyDescent="0.25">
      <c r="A351" t="s">
        <v>1171</v>
      </c>
      <c r="B351" t="s">
        <v>1523</v>
      </c>
      <c r="C351" t="str">
        <f>"CONF-"&amp;TEXT(us_core_reqs[[#This Row],[ID*]], "0000")</f>
        <v>CONF-0350</v>
      </c>
      <c r="D351" s="11" t="s">
        <v>2272</v>
      </c>
      <c r="E351" s="73" t="str" cm="1">
        <f t="array" ref="E351">_xlfn.TEXTJOIN(", ", TRUE, _xlfn.TEXTAFTER(_xlfn.TEXTSPLIT(us_core_reqs[[#This Row],[URL*]], ", "), "/", -1))</f>
        <v>StructureDefinition-us-core-device.html#profile-specific-implementation-guidance</v>
      </c>
      <c r="F351" s="11" t="s">
        <v>2037</v>
      </c>
      <c r="G351" t="s">
        <v>35</v>
      </c>
      <c r="H351" cm="1">
        <f t="array" ref="H351">_xlfn.SWITCH(G351, "SHALL", 1, "SHOULD", 3, "MAY", 5, "SHOULD-NOT", 4, "SHALL-NOT", 2, "DEPRECATED", 6, 99)</f>
        <v>5</v>
      </c>
      <c r="J351" t="s">
        <v>30</v>
      </c>
      <c r="K351" t="s">
        <v>1171</v>
      </c>
      <c r="L351" t="s">
        <v>1171</v>
      </c>
      <c r="M351" t="s">
        <v>1173</v>
      </c>
      <c r="N351" t="s">
        <v>1171</v>
      </c>
      <c r="O351" t="s">
        <v>1171</v>
      </c>
      <c r="P351" t="s">
        <v>1171</v>
      </c>
      <c r="Q351" t="s">
        <v>1171</v>
      </c>
      <c r="R351" t="s">
        <v>1171</v>
      </c>
      <c r="S351" s="70" t="str" cm="1">
        <f t="array" ref="S351">_xlfn.TEXTJOIN(",",TRUE,LEFT(TRIM(_xlfn.TEXTSPLIT(us_core_reqs[[#This Row],[reference]],",")),FIND(".html",TRIM(_xlfn.TEXTSPLIT(us_core_reqs[[#This Row],[reference]],",")))-1))</f>
        <v>StructureDefinition-us-core-device</v>
      </c>
      <c r="T351" s="70" t="str" cm="1">
        <f t="array" ref="T351">_xlfn.TEXTJOIN(",",TRUE,MID(TRIM(_xlfn.TEXTSPLIT(us_core_reqs[[#This Row],[reference]],",")),FIND("#",TRIM(_xlfn.TEXTSPLIT(us_core_reqs[[#This Row],[reference]],","))&amp;"#")+1,1000))</f>
        <v>profile-specific-implementation-guidance</v>
      </c>
      <c r="U351"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t="s">
        <v>35</v>
      </c>
      <c r="W351" t="s">
        <v>1171</v>
      </c>
      <c r="X351" t="s">
        <v>1171</v>
      </c>
      <c r="Y351" t="s">
        <v>1171</v>
      </c>
      <c r="Z351" t="s">
        <v>1171</v>
      </c>
      <c r="AA351" t="s">
        <v>1171</v>
      </c>
      <c r="AB351" t="s">
        <v>1171</v>
      </c>
      <c r="AC351" t="s">
        <v>1171</v>
      </c>
      <c r="AD351" t="s">
        <v>1171</v>
      </c>
      <c r="AE351" t="s">
        <v>1171</v>
      </c>
    </row>
    <row r="352" spans="1:31" ht="35" thickBot="1" x14ac:dyDescent="0.25">
      <c r="A352" t="s">
        <v>1171</v>
      </c>
      <c r="B352" t="s">
        <v>1524</v>
      </c>
      <c r="C352" t="str">
        <f>"CONF-"&amp;TEXT(us_core_reqs[[#This Row],[ID*]], "0000")</f>
        <v>CONF-0351</v>
      </c>
      <c r="D352" s="11" t="s">
        <v>2272</v>
      </c>
      <c r="E352" s="73" t="str" cm="1">
        <f t="array" ref="E352">_xlfn.TEXTJOIN(", ", TRUE, _xlfn.TEXTAFTER(_xlfn.TEXTSPLIT(us_core_reqs[[#This Row],[URL*]], ", "), "/", -1))</f>
        <v>StructureDefinition-us-core-device.html#profile-specific-implementation-guidance</v>
      </c>
      <c r="F352" s="11" t="s">
        <v>2188</v>
      </c>
      <c r="G352" t="s">
        <v>35</v>
      </c>
      <c r="H352" cm="1">
        <f t="array" ref="H352">_xlfn.SWITCH(G352, "SHALL", 1, "SHOULD", 3, "MAY", 5, "SHOULD-NOT", 4, "SHALL-NOT", 2, "DEPRECATED", 6, 99)</f>
        <v>5</v>
      </c>
      <c r="J352" t="s">
        <v>30</v>
      </c>
      <c r="K352" t="s">
        <v>1171</v>
      </c>
      <c r="L352" t="s">
        <v>1171</v>
      </c>
      <c r="M352" t="s">
        <v>1173</v>
      </c>
      <c r="N352" t="s">
        <v>1171</v>
      </c>
      <c r="O352" t="s">
        <v>1171</v>
      </c>
      <c r="P352" t="s">
        <v>1171</v>
      </c>
      <c r="Q352" t="s">
        <v>1171</v>
      </c>
      <c r="R352" t="s">
        <v>1171</v>
      </c>
      <c r="S352" s="70" t="str" cm="1">
        <f t="array" ref="S352">_xlfn.TEXTJOIN(",",TRUE,LEFT(TRIM(_xlfn.TEXTSPLIT(us_core_reqs[[#This Row],[reference]],",")),FIND(".html",TRIM(_xlfn.TEXTSPLIT(us_core_reqs[[#This Row],[reference]],",")))-1))</f>
        <v>StructureDefinition-us-core-device</v>
      </c>
      <c r="T352" s="70" t="str" cm="1">
        <f t="array" ref="T352">_xlfn.TEXTJOIN(",",TRUE,MID(TRIM(_xlfn.TEXTSPLIT(us_core_reqs[[#This Row],[reference]],",")),FIND("#",TRIM(_xlfn.TEXTSPLIT(us_core_reqs[[#This Row],[reference]],","))&amp;"#")+1,1000))</f>
        <v>profile-specific-implementation-guidance</v>
      </c>
      <c r="U352"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t="s">
        <v>35</v>
      </c>
      <c r="W352" t="s">
        <v>1171</v>
      </c>
      <c r="X352" t="s">
        <v>1171</v>
      </c>
      <c r="Y352" t="s">
        <v>1171</v>
      </c>
      <c r="Z352" t="s">
        <v>1171</v>
      </c>
      <c r="AA352" t="s">
        <v>1171</v>
      </c>
      <c r="AB352" t="s">
        <v>1171</v>
      </c>
      <c r="AC352" t="s">
        <v>1171</v>
      </c>
      <c r="AD352" t="s">
        <v>1171</v>
      </c>
      <c r="AE352" t="s">
        <v>1171</v>
      </c>
    </row>
    <row r="353" spans="1:31" ht="35" thickBot="1" x14ac:dyDescent="0.25">
      <c r="A353" t="s">
        <v>1171</v>
      </c>
      <c r="B353" t="s">
        <v>1525</v>
      </c>
      <c r="C353" t="str">
        <f>"CONF-"&amp;TEXT(us_core_reqs[[#This Row],[ID*]], "0000")</f>
        <v>CONF-0352</v>
      </c>
      <c r="D353" s="11" t="s">
        <v>2272</v>
      </c>
      <c r="E353" s="73" t="str" cm="1">
        <f t="array" ref="E353">_xlfn.TEXTJOIN(", ", TRUE, _xlfn.TEXTAFTER(_xlfn.TEXTSPLIT(us_core_reqs[[#This Row],[URL*]], ", "), "/", -1))</f>
        <v>StructureDefinition-us-core-device.html#profile-specific-implementation-guidance</v>
      </c>
      <c r="F353" s="11" t="s">
        <v>2189</v>
      </c>
      <c r="G353" t="s">
        <v>35</v>
      </c>
      <c r="H353" cm="1">
        <f t="array" ref="H353">_xlfn.SWITCH(G353, "SHALL", 1, "SHOULD", 3, "MAY", 5, "SHOULD-NOT", 4, "SHALL-NOT", 2, "DEPRECATED", 6, 99)</f>
        <v>5</v>
      </c>
      <c r="J353" t="s">
        <v>30</v>
      </c>
      <c r="K353" t="s">
        <v>1171</v>
      </c>
      <c r="L353" t="s">
        <v>1171</v>
      </c>
      <c r="M353" t="s">
        <v>1173</v>
      </c>
      <c r="N353" t="s">
        <v>1171</v>
      </c>
      <c r="O353" t="s">
        <v>1171</v>
      </c>
      <c r="P353" t="s">
        <v>1171</v>
      </c>
      <c r="Q353" t="s">
        <v>1171</v>
      </c>
      <c r="R353" t="s">
        <v>1171</v>
      </c>
      <c r="S353" s="70" t="str" cm="1">
        <f t="array" ref="S353">_xlfn.TEXTJOIN(",",TRUE,LEFT(TRIM(_xlfn.TEXTSPLIT(us_core_reqs[[#This Row],[reference]],",")),FIND(".html",TRIM(_xlfn.TEXTSPLIT(us_core_reqs[[#This Row],[reference]],",")))-1))</f>
        <v>StructureDefinition-us-core-device</v>
      </c>
      <c r="T353" s="70" t="str" cm="1">
        <f t="array" ref="T353">_xlfn.TEXTJOIN(",",TRUE,MID(TRIM(_xlfn.TEXTSPLIT(us_core_reqs[[#This Row],[reference]],",")),FIND("#",TRIM(_xlfn.TEXTSPLIT(us_core_reqs[[#This Row],[reference]],","))&amp;"#")+1,1000))</f>
        <v>profile-specific-implementation-guidance</v>
      </c>
      <c r="U353"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t="s">
        <v>35</v>
      </c>
      <c r="W353" t="s">
        <v>1171</v>
      </c>
      <c r="X353" t="s">
        <v>1171</v>
      </c>
      <c r="Y353" t="s">
        <v>1171</v>
      </c>
      <c r="Z353" t="s">
        <v>1171</v>
      </c>
      <c r="AA353" t="s">
        <v>1171</v>
      </c>
      <c r="AB353" t="s">
        <v>1171</v>
      </c>
      <c r="AC353" t="s">
        <v>1171</v>
      </c>
      <c r="AD353" t="s">
        <v>1171</v>
      </c>
      <c r="AE353" t="s">
        <v>1171</v>
      </c>
    </row>
    <row r="354" spans="1:31" ht="35" thickBot="1" x14ac:dyDescent="0.25">
      <c r="A354" t="s">
        <v>1171</v>
      </c>
      <c r="B354" t="s">
        <v>1526</v>
      </c>
      <c r="C354" t="str">
        <f>"CONF-"&amp;TEXT(us_core_reqs[[#This Row],[ID*]], "0000")</f>
        <v>CONF-0353</v>
      </c>
      <c r="D354" s="11" t="s">
        <v>2272</v>
      </c>
      <c r="E354" s="73" t="str" cm="1">
        <f t="array" ref="E354">_xlfn.TEXTJOIN(", ", TRUE, _xlfn.TEXTAFTER(_xlfn.TEXTSPLIT(us_core_reqs[[#This Row],[URL*]], ", "), "/", -1))</f>
        <v>StructureDefinition-us-core-device.html#profile-specific-implementation-guidance</v>
      </c>
      <c r="F354" s="11" t="s">
        <v>2190</v>
      </c>
      <c r="G354" t="s">
        <v>35</v>
      </c>
      <c r="H354" cm="1">
        <f t="array" ref="H354">_xlfn.SWITCH(G354, "SHALL", 1, "SHOULD", 3, "MAY", 5, "SHOULD-NOT", 4, "SHALL-NOT", 2, "DEPRECATED", 6, 99)</f>
        <v>5</v>
      </c>
      <c r="J354" t="s">
        <v>30</v>
      </c>
      <c r="K354" t="s">
        <v>1171</v>
      </c>
      <c r="L354" t="s">
        <v>1171</v>
      </c>
      <c r="M354" t="s">
        <v>1173</v>
      </c>
      <c r="N354" t="s">
        <v>1171</v>
      </c>
      <c r="O354" t="s">
        <v>1171</v>
      </c>
      <c r="P354" t="s">
        <v>1171</v>
      </c>
      <c r="Q354" t="s">
        <v>1171</v>
      </c>
      <c r="R354" t="s">
        <v>1171</v>
      </c>
      <c r="S354" s="70" t="str" cm="1">
        <f t="array" ref="S354">_xlfn.TEXTJOIN(",",TRUE,LEFT(TRIM(_xlfn.TEXTSPLIT(us_core_reqs[[#This Row],[reference]],",")),FIND(".html",TRIM(_xlfn.TEXTSPLIT(us_core_reqs[[#This Row],[reference]],",")))-1))</f>
        <v>StructureDefinition-us-core-device</v>
      </c>
      <c r="T354" s="70" t="str" cm="1">
        <f t="array" ref="T354">_xlfn.TEXTJOIN(",",TRUE,MID(TRIM(_xlfn.TEXTSPLIT(us_core_reqs[[#This Row],[reference]],",")),FIND("#",TRIM(_xlfn.TEXTSPLIT(us_core_reqs[[#This Row],[reference]],","))&amp;"#")+1,1000))</f>
        <v>profile-specific-implementation-guidance</v>
      </c>
      <c r="U354"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t="s">
        <v>35</v>
      </c>
      <c r="W354" t="s">
        <v>1171</v>
      </c>
      <c r="X354" t="s">
        <v>1171</v>
      </c>
      <c r="Y354" t="s">
        <v>1171</v>
      </c>
      <c r="Z354" t="s">
        <v>1171</v>
      </c>
      <c r="AA354" t="s">
        <v>1171</v>
      </c>
      <c r="AB354" t="s">
        <v>1171</v>
      </c>
      <c r="AC354" t="s">
        <v>1171</v>
      </c>
      <c r="AD354" t="s">
        <v>1171</v>
      </c>
      <c r="AE354" t="s">
        <v>1171</v>
      </c>
    </row>
    <row r="355" spans="1:31" ht="35" thickBot="1" x14ac:dyDescent="0.25">
      <c r="A355" t="s">
        <v>1171</v>
      </c>
      <c r="B355" t="s">
        <v>1527</v>
      </c>
      <c r="C355" t="str">
        <f>"CONF-"&amp;TEXT(us_core_reqs[[#This Row],[ID*]], "0000")</f>
        <v>CONF-0354</v>
      </c>
      <c r="D355" s="11" t="s">
        <v>2272</v>
      </c>
      <c r="E355" s="73" t="str" cm="1">
        <f t="array" ref="E355">_xlfn.TEXTJOIN(", ", TRUE, _xlfn.TEXTAFTER(_xlfn.TEXTSPLIT(us_core_reqs[[#This Row],[URL*]], ", "), "/", -1))</f>
        <v>StructureDefinition-us-core-device.html#profile-specific-implementation-guidance</v>
      </c>
      <c r="F355" s="11" t="s">
        <v>2191</v>
      </c>
      <c r="G355" t="s">
        <v>35</v>
      </c>
      <c r="H355" cm="1">
        <f t="array" ref="H355">_xlfn.SWITCH(G355, "SHALL", 1, "SHOULD", 3, "MAY", 5, "SHOULD-NOT", 4, "SHALL-NOT", 2, "DEPRECATED", 6, 99)</f>
        <v>5</v>
      </c>
      <c r="J355" t="s">
        <v>30</v>
      </c>
      <c r="K355" t="s">
        <v>1171</v>
      </c>
      <c r="L355" t="s">
        <v>1171</v>
      </c>
      <c r="M355" t="s">
        <v>1173</v>
      </c>
      <c r="N355" t="s">
        <v>1171</v>
      </c>
      <c r="O355" t="s">
        <v>1171</v>
      </c>
      <c r="P355" t="s">
        <v>1171</v>
      </c>
      <c r="Q355" t="s">
        <v>1171</v>
      </c>
      <c r="R355" t="s">
        <v>1171</v>
      </c>
      <c r="S355" s="70" t="str" cm="1">
        <f t="array" ref="S355">_xlfn.TEXTJOIN(",",TRUE,LEFT(TRIM(_xlfn.TEXTSPLIT(us_core_reqs[[#This Row],[reference]],",")),FIND(".html",TRIM(_xlfn.TEXTSPLIT(us_core_reqs[[#This Row],[reference]],",")))-1))</f>
        <v>StructureDefinition-us-core-device</v>
      </c>
      <c r="T355" s="70" t="str" cm="1">
        <f t="array" ref="T355">_xlfn.TEXTJOIN(",",TRUE,MID(TRIM(_xlfn.TEXTSPLIT(us_core_reqs[[#This Row],[reference]],",")),FIND("#",TRIM(_xlfn.TEXTSPLIT(us_core_reqs[[#This Row],[reference]],","))&amp;"#")+1,1000))</f>
        <v>profile-specific-implementation-guidance</v>
      </c>
      <c r="U355"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t="s">
        <v>35</v>
      </c>
      <c r="W355" t="s">
        <v>1171</v>
      </c>
      <c r="X355" t="s">
        <v>1171</v>
      </c>
      <c r="Y355" t="s">
        <v>1171</v>
      </c>
      <c r="Z355" t="s">
        <v>1171</v>
      </c>
      <c r="AA355" t="s">
        <v>1171</v>
      </c>
      <c r="AB355" t="s">
        <v>1171</v>
      </c>
      <c r="AC355" t="s">
        <v>1171</v>
      </c>
      <c r="AD355" t="s">
        <v>1171</v>
      </c>
      <c r="AE355" t="s">
        <v>1171</v>
      </c>
    </row>
    <row r="356" spans="1:31" ht="35" thickBot="1" x14ac:dyDescent="0.25">
      <c r="A356" t="s">
        <v>1171</v>
      </c>
      <c r="B356" t="s">
        <v>1528</v>
      </c>
      <c r="C356" t="str">
        <f>"CONF-"&amp;TEXT(us_core_reqs[[#This Row],[ID*]], "0000")</f>
        <v>CONF-0355</v>
      </c>
      <c r="D356" s="11" t="s">
        <v>2272</v>
      </c>
      <c r="E356" s="73" t="str" cm="1">
        <f t="array" ref="E356">_xlfn.TEXTJOIN(", ", TRUE, _xlfn.TEXTAFTER(_xlfn.TEXTSPLIT(us_core_reqs[[#This Row],[URL*]], ", "), "/", -1))</f>
        <v>StructureDefinition-us-core-device.html#profile-specific-implementation-guidance</v>
      </c>
      <c r="F356" s="11" t="s">
        <v>2192</v>
      </c>
      <c r="G356" t="s">
        <v>35</v>
      </c>
      <c r="H356" cm="1">
        <f t="array" ref="H356">_xlfn.SWITCH(G356, "SHALL", 1, "SHOULD", 3, "MAY", 5, "SHOULD-NOT", 4, "SHALL-NOT", 2, "DEPRECATED", 6, 99)</f>
        <v>5</v>
      </c>
      <c r="J356" t="s">
        <v>30</v>
      </c>
      <c r="K356" t="s">
        <v>1171</v>
      </c>
      <c r="L356" t="s">
        <v>1171</v>
      </c>
      <c r="M356" t="s">
        <v>1173</v>
      </c>
      <c r="N356" t="s">
        <v>1171</v>
      </c>
      <c r="O356" t="s">
        <v>1171</v>
      </c>
      <c r="P356" t="s">
        <v>1171</v>
      </c>
      <c r="Q356" t="s">
        <v>1171</v>
      </c>
      <c r="R356" t="s">
        <v>1171</v>
      </c>
      <c r="S356" s="70" t="str" cm="1">
        <f t="array" ref="S356">_xlfn.TEXTJOIN(",",TRUE,LEFT(TRIM(_xlfn.TEXTSPLIT(us_core_reqs[[#This Row],[reference]],",")),FIND(".html",TRIM(_xlfn.TEXTSPLIT(us_core_reqs[[#This Row],[reference]],",")))-1))</f>
        <v>StructureDefinition-us-core-device</v>
      </c>
      <c r="T356" s="70" t="str" cm="1">
        <f t="array" ref="T356">_xlfn.TEXTJOIN(",",TRUE,MID(TRIM(_xlfn.TEXTSPLIT(us_core_reqs[[#This Row],[reference]],",")),FIND("#",TRIM(_xlfn.TEXTSPLIT(us_core_reqs[[#This Row],[reference]],","))&amp;"#")+1,1000))</f>
        <v>profile-specific-implementation-guidance</v>
      </c>
      <c r="U356"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t="s">
        <v>35</v>
      </c>
      <c r="W356" t="s">
        <v>1171</v>
      </c>
      <c r="X356" t="s">
        <v>1171</v>
      </c>
      <c r="Y356" t="s">
        <v>1171</v>
      </c>
      <c r="Z356" t="s">
        <v>1171</v>
      </c>
      <c r="AA356" t="s">
        <v>1171</v>
      </c>
      <c r="AB356" t="s">
        <v>1171</v>
      </c>
      <c r="AC356" t="s">
        <v>1171</v>
      </c>
      <c r="AD356" t="s">
        <v>1171</v>
      </c>
      <c r="AE356" t="s">
        <v>1171</v>
      </c>
    </row>
    <row r="357" spans="1:31" ht="86" thickBot="1" x14ac:dyDescent="0.25">
      <c r="A357" t="s">
        <v>1171</v>
      </c>
      <c r="B357" t="s">
        <v>1529</v>
      </c>
      <c r="C357" t="str">
        <f>"CONF-"&amp;TEXT(us_core_reqs[[#This Row],[ID*]], "0000")</f>
        <v>CONF-0356</v>
      </c>
      <c r="D357" s="11" t="s">
        <v>2228</v>
      </c>
      <c r="E357" s="73"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11" t="s">
        <v>2049</v>
      </c>
      <c r="G357" t="s">
        <v>29</v>
      </c>
      <c r="H357" cm="1">
        <f t="array" ref="H357">_xlfn.SWITCH(G357, "SHALL", 1, "SHOULD", 3, "MAY", 5, "SHOULD-NOT", 4, "SHALL-NOT", 2, "DEPRECATED", 6, 99)</f>
        <v>1</v>
      </c>
      <c r="J357" t="s">
        <v>30</v>
      </c>
      <c r="K357" t="s">
        <v>1171</v>
      </c>
      <c r="L357" t="s">
        <v>1171</v>
      </c>
      <c r="M357" t="s">
        <v>1176</v>
      </c>
      <c r="N357" t="s">
        <v>379</v>
      </c>
      <c r="O357" t="s">
        <v>1171</v>
      </c>
      <c r="P357" t="s">
        <v>1171</v>
      </c>
      <c r="Q357" t="s">
        <v>1171</v>
      </c>
      <c r="R357" t="s">
        <v>1171</v>
      </c>
      <c r="S357" s="70" t="str" cm="1">
        <f t="array" ref="S357">_xlfn.TEXTJOIN(",",TRUE,LEFT(TRIM(_xlfn.TEXTSPLIT(us_core_reqs[[#This Row],[reference]],",")),FIND(".html",TRIM(_xlfn.TEXTSPLIT(us_core_reqs[[#This Row],[reference]],",")))-1))</f>
        <v>StructureDefinition-us-core-diagnosticreport-lab,StructureDefinition-us-core-diagnosticreport-note</v>
      </c>
      <c r="T357" s="70" t="str" cm="1">
        <f t="array" ref="T357">_xlfn.TEXTJOIN(",",TRUE,MID(TRIM(_xlfn.TEXTSPLIT(us_core_reqs[[#This Row],[reference]],",")),FIND("#",TRIM(_xlfn.TEXTSPLIT(us_core_reqs[[#This Row],[reference]],","))&amp;"#")+1,1000))</f>
        <v>profile-specific-implementation-guidance,profile-specific-implementation-guidance</v>
      </c>
      <c r="U357"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t="s">
        <v>29</v>
      </c>
      <c r="W357" t="s">
        <v>1171</v>
      </c>
      <c r="X357" t="s">
        <v>1171</v>
      </c>
      <c r="Y357" t="s">
        <v>1171</v>
      </c>
      <c r="Z357" t="s">
        <v>1171</v>
      </c>
      <c r="AA357" t="s">
        <v>1171</v>
      </c>
      <c r="AB357" t="s">
        <v>1171</v>
      </c>
      <c r="AC357" t="s">
        <v>1171</v>
      </c>
      <c r="AD357" t="s">
        <v>1140</v>
      </c>
      <c r="AE357" t="s">
        <v>1171</v>
      </c>
    </row>
    <row r="358" spans="1:31" ht="52" thickBot="1" x14ac:dyDescent="0.25">
      <c r="A358" t="s">
        <v>1171</v>
      </c>
      <c r="B358" t="s">
        <v>1530</v>
      </c>
      <c r="C358" t="str">
        <f>"CONF-"&amp;TEXT(us_core_reqs[[#This Row],[ID*]], "0000")</f>
        <v>CONF-0357</v>
      </c>
      <c r="D358" s="11" t="s">
        <v>2229</v>
      </c>
      <c r="E358" s="73" t="str" cm="1">
        <f t="array" ref="E358">_xlfn.TEXTJOIN(", ", TRUE, _xlfn.TEXTAFTER(_xlfn.TEXTSPLIT(us_core_reqs[[#This Row],[URL*]], ", "), "/", -1))</f>
        <v>StructureDefinition-us-core-diagnosticreport-lab.html#profile-specific-implementation-guidance</v>
      </c>
      <c r="F358" s="11" t="s">
        <v>2050</v>
      </c>
      <c r="G358" t="s">
        <v>29</v>
      </c>
      <c r="H358" cm="1">
        <f t="array" ref="H358">_xlfn.SWITCH(G358, "SHALL", 1, "SHOULD", 3, "MAY", 5, "SHOULD-NOT", 4, "SHALL-NOT", 2, "DEPRECATED", 6, 99)</f>
        <v>1</v>
      </c>
      <c r="J358" t="s">
        <v>30</v>
      </c>
      <c r="K358" t="s">
        <v>1171</v>
      </c>
      <c r="L358" t="s">
        <v>1171</v>
      </c>
      <c r="M358" t="s">
        <v>1176</v>
      </c>
      <c r="N358" t="s">
        <v>381</v>
      </c>
      <c r="O358" t="s">
        <v>1171</v>
      </c>
      <c r="P358" t="s">
        <v>1171</v>
      </c>
      <c r="Q358" t="s">
        <v>1171</v>
      </c>
      <c r="R358" t="s">
        <v>1171</v>
      </c>
      <c r="S358" s="70" t="str" cm="1">
        <f t="array" ref="S358">_xlfn.TEXTJOIN(",",TRUE,LEFT(TRIM(_xlfn.TEXTSPLIT(us_core_reqs[[#This Row],[reference]],",")),FIND(".html",TRIM(_xlfn.TEXTSPLIT(us_core_reqs[[#This Row],[reference]],",")))-1))</f>
        <v>StructureDefinition-us-core-diagnosticreport-lab</v>
      </c>
      <c r="T358" s="70" t="str" cm="1">
        <f t="array" ref="T358">_xlfn.TEXTJOIN(",",TRUE,MID(TRIM(_xlfn.TEXTSPLIT(us_core_reqs[[#This Row],[reference]],",")),FIND("#",TRIM(_xlfn.TEXTSPLIT(us_core_reqs[[#This Row],[reference]],","))&amp;"#")+1,1000))</f>
        <v>profile-specific-implementation-guidance</v>
      </c>
      <c r="U358"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t="s">
        <v>29</v>
      </c>
      <c r="W358" t="s">
        <v>1171</v>
      </c>
      <c r="X358" t="s">
        <v>1171</v>
      </c>
      <c r="Y358" t="s">
        <v>1171</v>
      </c>
      <c r="Z358" t="s">
        <v>1171</v>
      </c>
      <c r="AA358" t="s">
        <v>1171</v>
      </c>
      <c r="AB358" t="s">
        <v>1171</v>
      </c>
      <c r="AC358" t="s">
        <v>1171</v>
      </c>
      <c r="AD358" t="s">
        <v>1140</v>
      </c>
      <c r="AE358" t="s">
        <v>1171</v>
      </c>
    </row>
    <row r="359" spans="1:31" ht="52" thickBot="1" x14ac:dyDescent="0.25">
      <c r="A359" t="s">
        <v>1171</v>
      </c>
      <c r="B359" t="s">
        <v>1531</v>
      </c>
      <c r="C359" t="str">
        <f>"CONF-"&amp;TEXT(us_core_reqs[[#This Row],[ID*]], "0000")</f>
        <v>CONF-0358</v>
      </c>
      <c r="D359" s="11" t="s">
        <v>2229</v>
      </c>
      <c r="E359" s="73" t="str" cm="1">
        <f t="array" ref="E359">_xlfn.TEXTJOIN(", ", TRUE, _xlfn.TEXTAFTER(_xlfn.TEXTSPLIT(us_core_reqs[[#This Row],[URL*]], ", "), "/", -1))</f>
        <v>StructureDefinition-us-core-diagnosticreport-lab.html#profile-specific-implementation-guidance</v>
      </c>
      <c r="F359" s="11" t="s">
        <v>1966</v>
      </c>
      <c r="G359" t="s">
        <v>32</v>
      </c>
      <c r="H359" cm="1">
        <f t="array" ref="H359">_xlfn.SWITCH(G359, "SHALL", 1, "SHOULD", 3, "MAY", 5, "SHOULD-NOT", 4, "SHALL-NOT", 2, "DEPRECATED", 6, 99)</f>
        <v>3</v>
      </c>
      <c r="J359" t="s">
        <v>30</v>
      </c>
      <c r="K359" t="s">
        <v>1171</v>
      </c>
      <c r="L359" t="s">
        <v>1171</v>
      </c>
      <c r="M359" t="s">
        <v>1173</v>
      </c>
      <c r="N359" t="s">
        <v>1171</v>
      </c>
      <c r="O359" t="s">
        <v>1171</v>
      </c>
      <c r="P359" t="s">
        <v>1171</v>
      </c>
      <c r="Q359" t="s">
        <v>1171</v>
      </c>
      <c r="R359" t="s">
        <v>1171</v>
      </c>
      <c r="S359" s="70" t="str" cm="1">
        <f t="array" ref="S359">_xlfn.TEXTJOIN(",",TRUE,LEFT(TRIM(_xlfn.TEXTSPLIT(us_core_reqs[[#This Row],[reference]],",")),FIND(".html",TRIM(_xlfn.TEXTSPLIT(us_core_reqs[[#This Row],[reference]],",")))-1))</f>
        <v>StructureDefinition-us-core-diagnosticreport-lab</v>
      </c>
      <c r="T359" s="70" t="str" cm="1">
        <f t="array" ref="T359">_xlfn.TEXTJOIN(",",TRUE,MID(TRIM(_xlfn.TEXTSPLIT(us_core_reqs[[#This Row],[reference]],",")),FIND("#",TRIM(_xlfn.TEXTSPLIT(us_core_reqs[[#This Row],[reference]],","))&amp;"#")+1,1000))</f>
        <v>profile-specific-implementation-guidance</v>
      </c>
      <c r="U359"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t="s">
        <v>32</v>
      </c>
      <c r="W359" t="s">
        <v>1171</v>
      </c>
      <c r="X359" t="s">
        <v>1171</v>
      </c>
      <c r="Y359" t="s">
        <v>1171</v>
      </c>
      <c r="Z359" t="s">
        <v>1171</v>
      </c>
      <c r="AA359" t="s">
        <v>1171</v>
      </c>
      <c r="AB359" t="s">
        <v>1171</v>
      </c>
      <c r="AC359" t="s">
        <v>769</v>
      </c>
      <c r="AD359" t="s">
        <v>1171</v>
      </c>
      <c r="AE359" t="s">
        <v>1171</v>
      </c>
    </row>
    <row r="360" spans="1:31" ht="52" thickBot="1" x14ac:dyDescent="0.25">
      <c r="A360" t="s">
        <v>1171</v>
      </c>
      <c r="B360" t="s">
        <v>1532</v>
      </c>
      <c r="C360" t="str">
        <f>"CONF-"&amp;TEXT(us_core_reqs[[#This Row],[ID*]], "0000")</f>
        <v>CONF-0359</v>
      </c>
      <c r="D360" s="11" t="s">
        <v>2229</v>
      </c>
      <c r="E360" s="73" t="str" cm="1">
        <f t="array" ref="E360">_xlfn.TEXTJOIN(", ", TRUE, _xlfn.TEXTAFTER(_xlfn.TEXTSPLIT(us_core_reqs[[#This Row],[URL*]], ", "), "/", -1))</f>
        <v>StructureDefinition-us-core-diagnosticreport-lab.html#profile-specific-implementation-guidance</v>
      </c>
      <c r="F360" s="11" t="s">
        <v>1967</v>
      </c>
      <c r="G360" t="s">
        <v>32</v>
      </c>
      <c r="H360" cm="1">
        <f t="array" ref="H360">_xlfn.SWITCH(G360, "SHALL", 1, "SHOULD", 3, "MAY", 5, "SHOULD-NOT", 4, "SHALL-NOT", 2, "DEPRECATED", 6, 99)</f>
        <v>3</v>
      </c>
      <c r="J360" t="s">
        <v>30</v>
      </c>
      <c r="K360" t="s">
        <v>1171</v>
      </c>
      <c r="L360" t="s">
        <v>1171</v>
      </c>
      <c r="M360" t="s">
        <v>1173</v>
      </c>
      <c r="N360" t="s">
        <v>1171</v>
      </c>
      <c r="O360" t="s">
        <v>1171</v>
      </c>
      <c r="P360" t="s">
        <v>1171</v>
      </c>
      <c r="Q360" t="s">
        <v>1171</v>
      </c>
      <c r="R360" t="s">
        <v>1171</v>
      </c>
      <c r="S360" s="70" t="str" cm="1">
        <f t="array" ref="S360">_xlfn.TEXTJOIN(",",TRUE,LEFT(TRIM(_xlfn.TEXTSPLIT(us_core_reqs[[#This Row],[reference]],",")),FIND(".html",TRIM(_xlfn.TEXTSPLIT(us_core_reqs[[#This Row],[reference]],",")))-1))</f>
        <v>StructureDefinition-us-core-diagnosticreport-lab</v>
      </c>
      <c r="T360" s="70" t="str" cm="1">
        <f t="array" ref="T360">_xlfn.TEXTJOIN(",",TRUE,MID(TRIM(_xlfn.TEXTSPLIT(us_core_reqs[[#This Row],[reference]],",")),FIND("#",TRIM(_xlfn.TEXTSPLIT(us_core_reqs[[#This Row],[reference]],","))&amp;"#")+1,1000))</f>
        <v>profile-specific-implementation-guidance</v>
      </c>
      <c r="U360"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t="s">
        <v>32</v>
      </c>
      <c r="W360" t="s">
        <v>1171</v>
      </c>
      <c r="X360" t="s">
        <v>1171</v>
      </c>
      <c r="Y360" t="s">
        <v>1171</v>
      </c>
      <c r="Z360" t="s">
        <v>1171</v>
      </c>
      <c r="AA360" t="s">
        <v>1171</v>
      </c>
      <c r="AB360" t="s">
        <v>1171</v>
      </c>
      <c r="AC360" t="s">
        <v>769</v>
      </c>
      <c r="AD360" t="s">
        <v>1171</v>
      </c>
      <c r="AE360" t="s">
        <v>1171</v>
      </c>
    </row>
    <row r="361" spans="1:31" ht="52" thickBot="1" x14ac:dyDescent="0.25">
      <c r="A361" t="s">
        <v>1171</v>
      </c>
      <c r="B361" t="s">
        <v>1533</v>
      </c>
      <c r="C361" t="str">
        <f>"CONF-"&amp;TEXT(us_core_reqs[[#This Row],[ID*]], "0000")</f>
        <v>CONF-0360</v>
      </c>
      <c r="D361" s="11" t="s">
        <v>2230</v>
      </c>
      <c r="E361" s="73" t="str" cm="1">
        <f t="array" ref="E361">_xlfn.TEXTJOIN(", ", TRUE, _xlfn.TEXTAFTER(_xlfn.TEXTSPLIT(us_core_reqs[[#This Row],[URL*]], ", "), "/", -1))</f>
        <v>StructureDefinition-us-core-diagnosticreport-note.html#profile-specific-implementation-guidance</v>
      </c>
      <c r="F361" s="11" t="s">
        <v>382</v>
      </c>
      <c r="G361" t="s">
        <v>29</v>
      </c>
      <c r="H361" cm="1">
        <f t="array" ref="H361">_xlfn.SWITCH(G361, "SHALL", 1, "SHOULD", 3, "MAY", 5, "SHOULD-NOT", 4, "SHALL-NOT", 2, "DEPRECATED", 6, 99)</f>
        <v>1</v>
      </c>
      <c r="I361" t="s">
        <v>2275</v>
      </c>
      <c r="J361" t="s">
        <v>30</v>
      </c>
      <c r="K361" t="s">
        <v>1171</v>
      </c>
      <c r="L361" t="s">
        <v>1171</v>
      </c>
      <c r="M361" t="s">
        <v>1173</v>
      </c>
      <c r="N361" t="s">
        <v>1171</v>
      </c>
      <c r="O361" t="s">
        <v>1171</v>
      </c>
      <c r="P361" t="s">
        <v>1171</v>
      </c>
      <c r="Q361" t="s">
        <v>1171</v>
      </c>
      <c r="R361" t="s">
        <v>1171</v>
      </c>
      <c r="S361" s="70" t="str" cm="1">
        <f t="array" ref="S361">_xlfn.TEXTJOIN(",",TRUE,LEFT(TRIM(_xlfn.TEXTSPLIT(us_core_reqs[[#This Row],[reference]],",")),FIND(".html",TRIM(_xlfn.TEXTSPLIT(us_core_reqs[[#This Row],[reference]],",")))-1))</f>
        <v>StructureDefinition-us-core-diagnosticreport-note</v>
      </c>
      <c r="T361" s="70" t="str" cm="1">
        <f t="array" ref="T361">_xlfn.TEXTJOIN(",",TRUE,MID(TRIM(_xlfn.TEXTSPLIT(us_core_reqs[[#This Row],[reference]],",")),FIND("#",TRIM(_xlfn.TEXTSPLIT(us_core_reqs[[#This Row],[reference]],","))&amp;"#")+1,1000))</f>
        <v>profile-specific-implementation-guidance</v>
      </c>
      <c r="U361"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t="s">
        <v>1171</v>
      </c>
      <c r="W361" t="s">
        <v>1171</v>
      </c>
      <c r="X361" t="s">
        <v>1171</v>
      </c>
      <c r="Y361" t="s">
        <v>1171</v>
      </c>
      <c r="Z361" t="s">
        <v>1171</v>
      </c>
      <c r="AA361" t="s">
        <v>1171</v>
      </c>
      <c r="AB361" t="s">
        <v>1171</v>
      </c>
      <c r="AC361" t="s">
        <v>1171</v>
      </c>
      <c r="AD361" t="s">
        <v>1140</v>
      </c>
      <c r="AE361" t="s">
        <v>1171</v>
      </c>
    </row>
    <row r="362" spans="1:31" ht="52" thickBot="1" x14ac:dyDescent="0.25">
      <c r="A362" t="s">
        <v>1171</v>
      </c>
      <c r="B362" t="s">
        <v>1534</v>
      </c>
      <c r="C362" t="str">
        <f>"CONF-"&amp;TEXT(us_core_reqs[[#This Row],[ID*]], "0000")</f>
        <v>CONF-0361</v>
      </c>
      <c r="D362" s="11" t="s">
        <v>2230</v>
      </c>
      <c r="E362" s="73" t="str" cm="1">
        <f t="array" ref="E362">_xlfn.TEXTJOIN(", ", TRUE, _xlfn.TEXTAFTER(_xlfn.TEXTSPLIT(us_core_reqs[[#This Row],[URL*]], ", "), "/", -1))</f>
        <v>StructureDefinition-us-core-diagnosticreport-note.html#profile-specific-implementation-guidance</v>
      </c>
      <c r="F362" s="11" t="s">
        <v>383</v>
      </c>
      <c r="G362" t="s">
        <v>35</v>
      </c>
      <c r="H362" cm="1">
        <f t="array" ref="H362">_xlfn.SWITCH(G362, "SHALL", 1, "SHOULD", 3, "MAY", 5, "SHOULD-NOT", 4, "SHALL-NOT", 2, "DEPRECATED", 6, 99)</f>
        <v>5</v>
      </c>
      <c r="I362" t="s">
        <v>1878</v>
      </c>
      <c r="J362" t="s">
        <v>30</v>
      </c>
      <c r="K362" t="s">
        <v>1171</v>
      </c>
      <c r="L362" t="s">
        <v>1171</v>
      </c>
      <c r="M362" t="s">
        <v>1173</v>
      </c>
      <c r="N362" t="s">
        <v>1171</v>
      </c>
      <c r="O362" t="s">
        <v>1171</v>
      </c>
      <c r="P362" t="s">
        <v>1171</v>
      </c>
      <c r="Q362" t="s">
        <v>1171</v>
      </c>
      <c r="R362" t="s">
        <v>1171</v>
      </c>
      <c r="S362" s="70" t="str" cm="1">
        <f t="array" ref="S362">_xlfn.TEXTJOIN(",",TRUE,LEFT(TRIM(_xlfn.TEXTSPLIT(us_core_reqs[[#This Row],[reference]],",")),FIND(".html",TRIM(_xlfn.TEXTSPLIT(us_core_reqs[[#This Row],[reference]],",")))-1))</f>
        <v>StructureDefinition-us-core-diagnosticreport-note</v>
      </c>
      <c r="T362" s="70" t="str" cm="1">
        <f t="array" ref="T362">_xlfn.TEXTJOIN(",",TRUE,MID(TRIM(_xlfn.TEXTSPLIT(us_core_reqs[[#This Row],[reference]],",")),FIND("#",TRIM(_xlfn.TEXTSPLIT(us_core_reqs[[#This Row],[reference]],","))&amp;"#")+1,1000))</f>
        <v>profile-specific-implementation-guidance</v>
      </c>
      <c r="U362"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t="s">
        <v>35</v>
      </c>
      <c r="W362" t="s">
        <v>1171</v>
      </c>
      <c r="X362" t="s">
        <v>1171</v>
      </c>
      <c r="Y362" t="s">
        <v>1171</v>
      </c>
      <c r="Z362" t="s">
        <v>1171</v>
      </c>
      <c r="AA362" t="s">
        <v>1171</v>
      </c>
      <c r="AB362" t="s">
        <v>1171</v>
      </c>
      <c r="AC362" t="s">
        <v>1171</v>
      </c>
      <c r="AD362" t="s">
        <v>1171</v>
      </c>
      <c r="AE362" t="s">
        <v>1171</v>
      </c>
    </row>
    <row r="363" spans="1:31" ht="52" thickBot="1" x14ac:dyDescent="0.25">
      <c r="A363" t="s">
        <v>1171</v>
      </c>
      <c r="B363" t="s">
        <v>1535</v>
      </c>
      <c r="C363" t="str">
        <f>"CONF-"&amp;TEXT(us_core_reqs[[#This Row],[ID*]], "0000")</f>
        <v>CONF-0362</v>
      </c>
      <c r="D363" s="11" t="s">
        <v>2230</v>
      </c>
      <c r="E363" s="73" t="str" cm="1">
        <f t="array" ref="E363">_xlfn.TEXTJOIN(", ", TRUE, _xlfn.TEXTAFTER(_xlfn.TEXTSPLIT(us_core_reqs[[#This Row],[URL*]], ", "), "/", -1))</f>
        <v>StructureDefinition-us-core-diagnosticreport-note.html#profile-specific-implementation-guidance</v>
      </c>
      <c r="F363" s="11" t="s">
        <v>1045</v>
      </c>
      <c r="G363" t="s">
        <v>35</v>
      </c>
      <c r="H363" cm="1">
        <f t="array" ref="H363">_xlfn.SWITCH(G363, "SHALL", 1, "SHOULD", 3, "MAY", 5, "SHOULD-NOT", 4, "SHALL-NOT", 2, "DEPRECATED", 6, 99)</f>
        <v>5</v>
      </c>
      <c r="I363" t="s">
        <v>1878</v>
      </c>
      <c r="J363" t="s">
        <v>30</v>
      </c>
      <c r="K363" t="s">
        <v>1171</v>
      </c>
      <c r="L363" t="s">
        <v>1171</v>
      </c>
      <c r="M363" t="s">
        <v>1173</v>
      </c>
      <c r="N363" t="s">
        <v>1171</v>
      </c>
      <c r="O363" t="s">
        <v>1171</v>
      </c>
      <c r="P363" t="s">
        <v>1171</v>
      </c>
      <c r="Q363" t="s">
        <v>1171</v>
      </c>
      <c r="R363" t="s">
        <v>1171</v>
      </c>
      <c r="S363" s="70" t="str" cm="1">
        <f t="array" ref="S363">_xlfn.TEXTJOIN(",",TRUE,LEFT(TRIM(_xlfn.TEXTSPLIT(us_core_reqs[[#This Row],[reference]],",")),FIND(".html",TRIM(_xlfn.TEXTSPLIT(us_core_reqs[[#This Row],[reference]],",")))-1))</f>
        <v>StructureDefinition-us-core-diagnosticreport-note</v>
      </c>
      <c r="T363" s="70" t="str" cm="1">
        <f t="array" ref="T363">_xlfn.TEXTJOIN(",",TRUE,MID(TRIM(_xlfn.TEXTSPLIT(us_core_reqs[[#This Row],[reference]],",")),FIND("#",TRIM(_xlfn.TEXTSPLIT(us_core_reqs[[#This Row],[reference]],","))&amp;"#")+1,1000))</f>
        <v>profile-specific-implementation-guidance</v>
      </c>
      <c r="U363"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t="s">
        <v>35</v>
      </c>
      <c r="W363" t="s">
        <v>30</v>
      </c>
      <c r="X363" t="s">
        <v>1171</v>
      </c>
      <c r="Y363" t="s">
        <v>1171</v>
      </c>
      <c r="Z363" t="s">
        <v>1171</v>
      </c>
      <c r="AA363" t="s">
        <v>1171</v>
      </c>
      <c r="AB363" t="s">
        <v>1171</v>
      </c>
      <c r="AC363" t="s">
        <v>1171</v>
      </c>
      <c r="AD363" t="s">
        <v>1171</v>
      </c>
      <c r="AE363" t="s">
        <v>1171</v>
      </c>
    </row>
    <row r="364" spans="1:31" ht="52" thickBot="1" x14ac:dyDescent="0.25">
      <c r="A364" t="s">
        <v>1171</v>
      </c>
      <c r="B364" t="s">
        <v>1536</v>
      </c>
      <c r="C364" t="str">
        <f>"CONF-"&amp;TEXT(us_core_reqs[[#This Row],[ID*]], "0000")</f>
        <v>CONF-0363</v>
      </c>
      <c r="D364" s="11" t="s">
        <v>2230</v>
      </c>
      <c r="E364" s="73" t="str" cm="1">
        <f t="array" ref="E364">_xlfn.TEXTJOIN(", ", TRUE, _xlfn.TEXTAFTER(_xlfn.TEXTSPLIT(us_core_reqs[[#This Row],[URL*]], ", "), "/", -1))</f>
        <v>StructureDefinition-us-core-diagnosticreport-note.html#profile-specific-implementation-guidance</v>
      </c>
      <c r="F364" s="11" t="s">
        <v>1046</v>
      </c>
      <c r="G364" t="s">
        <v>64</v>
      </c>
      <c r="H364" cm="1">
        <f t="array" ref="H364">_xlfn.SWITCH(G364, "SHALL", 1, "SHOULD", 3, "MAY", 5, "SHOULD-NOT", 4, "SHALL-NOT", 2, "DEPRECATED", 6, 99)</f>
        <v>6</v>
      </c>
      <c r="J364" t="s">
        <v>30</v>
      </c>
      <c r="K364" t="s">
        <v>1171</v>
      </c>
      <c r="L364" t="s">
        <v>1171</v>
      </c>
      <c r="M364" t="s">
        <v>1173</v>
      </c>
      <c r="N364" t="s">
        <v>1171</v>
      </c>
      <c r="O364" t="s">
        <v>1171</v>
      </c>
      <c r="P364" t="s">
        <v>1171</v>
      </c>
      <c r="Q364" t="s">
        <v>1171</v>
      </c>
      <c r="R364" t="s">
        <v>1171</v>
      </c>
      <c r="S364" s="70" t="str" cm="1">
        <f t="array" ref="S364">_xlfn.TEXTJOIN(",",TRUE,LEFT(TRIM(_xlfn.TEXTSPLIT(us_core_reqs[[#This Row],[reference]],",")),FIND(".html",TRIM(_xlfn.TEXTSPLIT(us_core_reqs[[#This Row],[reference]],",")))-1))</f>
        <v>StructureDefinition-us-core-diagnosticreport-note</v>
      </c>
      <c r="T364" s="70" t="str" cm="1">
        <f t="array" ref="T364">_xlfn.TEXTJOIN(",",TRUE,MID(TRIM(_xlfn.TEXTSPLIT(us_core_reqs[[#This Row],[reference]],",")),FIND("#",TRIM(_xlfn.TEXTSPLIT(us_core_reqs[[#This Row],[reference]],","))&amp;"#")+1,1000))</f>
        <v>profile-specific-implementation-guidance</v>
      </c>
      <c r="U364"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t="s">
        <v>1171</v>
      </c>
      <c r="W364" t="s">
        <v>30</v>
      </c>
      <c r="X364" t="s">
        <v>1171</v>
      </c>
      <c r="Y364" t="s">
        <v>1171</v>
      </c>
      <c r="Z364" t="s">
        <v>1171</v>
      </c>
      <c r="AA364" t="s">
        <v>1171</v>
      </c>
      <c r="AB364" t="s">
        <v>1171</v>
      </c>
      <c r="AC364" t="s">
        <v>938</v>
      </c>
      <c r="AD364" t="s">
        <v>1171</v>
      </c>
      <c r="AE364" t="s">
        <v>1171</v>
      </c>
    </row>
    <row r="365" spans="1:31" ht="69" thickBot="1" x14ac:dyDescent="0.25">
      <c r="A365" t="s">
        <v>1171</v>
      </c>
      <c r="B365" t="s">
        <v>1537</v>
      </c>
      <c r="C365" t="str">
        <f>"CONF-"&amp;TEXT(us_core_reqs[[#This Row],[ID*]], "0000")</f>
        <v>CONF-0364</v>
      </c>
      <c r="D365" s="11" t="s">
        <v>2230</v>
      </c>
      <c r="E365" s="73" t="str" cm="1">
        <f t="array" ref="E365">_xlfn.TEXTJOIN(", ", TRUE, _xlfn.TEXTAFTER(_xlfn.TEXTSPLIT(us_core_reqs[[#This Row],[URL*]], ", "), "/", -1))</f>
        <v>StructureDefinition-us-core-diagnosticreport-note.html#profile-specific-implementation-guidance</v>
      </c>
      <c r="F365" s="11" t="s">
        <v>2276</v>
      </c>
      <c r="G365" t="s">
        <v>32</v>
      </c>
      <c r="H365" cm="1">
        <f t="array" ref="H365">_xlfn.SWITCH(G365, "SHALL", 1, "SHOULD", 3, "MAY", 5, "SHOULD-NOT", 4, "SHALL-NOT", 2, "DEPRECATED", 6, 99)</f>
        <v>3</v>
      </c>
      <c r="J365" t="s">
        <v>30</v>
      </c>
      <c r="K365" t="s">
        <v>1171</v>
      </c>
      <c r="L365" t="s">
        <v>1171</v>
      </c>
      <c r="M365" t="s">
        <v>1176</v>
      </c>
      <c r="N365" t="s">
        <v>385</v>
      </c>
      <c r="O365" t="s">
        <v>1171</v>
      </c>
      <c r="P365" t="s">
        <v>1171</v>
      </c>
      <c r="Q365" t="s">
        <v>1171</v>
      </c>
      <c r="R365" t="s">
        <v>1171</v>
      </c>
      <c r="S365" s="70" t="str" cm="1">
        <f t="array" ref="S365">_xlfn.TEXTJOIN(",",TRUE,LEFT(TRIM(_xlfn.TEXTSPLIT(us_core_reqs[[#This Row],[reference]],",")),FIND(".html",TRIM(_xlfn.TEXTSPLIT(us_core_reqs[[#This Row],[reference]],",")))-1))</f>
        <v>StructureDefinition-us-core-diagnosticreport-note</v>
      </c>
      <c r="T365" s="70" t="str" cm="1">
        <f t="array" ref="T365">_xlfn.TEXTJOIN(",",TRUE,MID(TRIM(_xlfn.TEXTSPLIT(us_core_reqs[[#This Row],[reference]],",")),FIND("#",TRIM(_xlfn.TEXTSPLIT(us_core_reqs[[#This Row],[reference]],","))&amp;"#")+1,1000))</f>
        <v>profile-specific-implementation-guidance</v>
      </c>
      <c r="U365"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t="s">
        <v>32</v>
      </c>
      <c r="W365" t="s">
        <v>1171</v>
      </c>
      <c r="X365" t="s">
        <v>1171</v>
      </c>
      <c r="Y365" t="s">
        <v>1171</v>
      </c>
      <c r="Z365" t="s">
        <v>1171</v>
      </c>
      <c r="AA365" t="s">
        <v>1171</v>
      </c>
      <c r="AB365" t="s">
        <v>1171</v>
      </c>
      <c r="AC365" t="s">
        <v>386</v>
      </c>
      <c r="AD365" t="s">
        <v>1171</v>
      </c>
      <c r="AE365" t="s">
        <v>1171</v>
      </c>
    </row>
    <row r="366" spans="1:31" ht="86" thickBot="1" x14ac:dyDescent="0.25">
      <c r="A366" t="s">
        <v>1171</v>
      </c>
      <c r="B366" t="s">
        <v>1538</v>
      </c>
      <c r="C366" t="str">
        <f>"CONF-"&amp;TEXT(us_core_reqs[[#This Row],[ID*]], "0000")</f>
        <v>CONF-0365</v>
      </c>
      <c r="D366" s="11" t="s">
        <v>2231</v>
      </c>
      <c r="E366" s="73" t="str" cm="1">
        <f t="array" ref="E366">_xlfn.TEXTJOIN(", ", TRUE, _xlfn.TEXTAFTER(_xlfn.TEXTSPLIT(us_core_reqs[[#This Row],[URL*]], ", "), "/", -1))</f>
        <v>StructureDefinition-us-core-documentreference.html#profile-specific-implementation-guidance</v>
      </c>
      <c r="F366" s="11" t="s">
        <v>763</v>
      </c>
      <c r="G366" t="s">
        <v>29</v>
      </c>
      <c r="H366" cm="1">
        <f t="array" ref="H366">_xlfn.SWITCH(G366, "SHALL", 1, "SHOULD", 3, "MAY", 5, "SHOULD-NOT", 4, "SHALL-NOT", 2, "DEPRECATED", 6, 99)</f>
        <v>1</v>
      </c>
      <c r="I366" t="s">
        <v>2289</v>
      </c>
      <c r="J366" t="s">
        <v>30</v>
      </c>
      <c r="K366" t="s">
        <v>1171</v>
      </c>
      <c r="L366" t="s">
        <v>1171</v>
      </c>
      <c r="M366" t="s">
        <v>1173</v>
      </c>
      <c r="N366" t="s">
        <v>1171</v>
      </c>
      <c r="O366" t="s">
        <v>1171</v>
      </c>
      <c r="P366" t="s">
        <v>1171</v>
      </c>
      <c r="Q366" t="s">
        <v>1171</v>
      </c>
      <c r="R366" t="s">
        <v>1171</v>
      </c>
      <c r="S366" s="70" t="str" cm="1">
        <f t="array" ref="S366">_xlfn.TEXTJOIN(",",TRUE,LEFT(TRIM(_xlfn.TEXTSPLIT(us_core_reqs[[#This Row],[reference]],",")),FIND(".html",TRIM(_xlfn.TEXTSPLIT(us_core_reqs[[#This Row],[reference]],",")))-1))</f>
        <v>StructureDefinition-us-core-documentreference</v>
      </c>
      <c r="T366" s="70" t="str" cm="1">
        <f t="array" ref="T366">_xlfn.TEXTJOIN(",",TRUE,MID(TRIM(_xlfn.TEXTSPLIT(us_core_reqs[[#This Row],[reference]],",")),FIND("#",TRIM(_xlfn.TEXTSPLIT(us_core_reqs[[#This Row],[reference]],","))&amp;"#")+1,1000))</f>
        <v>profile-specific-implementation-guidance</v>
      </c>
      <c r="U366"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t="s">
        <v>1171</v>
      </c>
      <c r="W366" t="s">
        <v>1171</v>
      </c>
      <c r="X366" t="s">
        <v>1171</v>
      </c>
      <c r="Y366" t="s">
        <v>1171</v>
      </c>
      <c r="Z366" t="s">
        <v>1171</v>
      </c>
      <c r="AA366" t="s">
        <v>1171</v>
      </c>
      <c r="AB366" t="s">
        <v>1171</v>
      </c>
      <c r="AC366" t="s">
        <v>764</v>
      </c>
      <c r="AD366" t="s">
        <v>1140</v>
      </c>
      <c r="AE366" t="s">
        <v>1171</v>
      </c>
    </row>
    <row r="367" spans="1:31" ht="69" thickBot="1" x14ac:dyDescent="0.25">
      <c r="A367" t="s">
        <v>1171</v>
      </c>
      <c r="B367" t="s">
        <v>1539</v>
      </c>
      <c r="C367" t="str">
        <f>"CONF-"&amp;TEXT(us_core_reqs[[#This Row],[ID*]], "0000")</f>
        <v>CONF-0366</v>
      </c>
      <c r="D367" s="11" t="s">
        <v>2231</v>
      </c>
      <c r="E367" s="73" t="str" cm="1">
        <f t="array" ref="E367">_xlfn.TEXTJOIN(", ", TRUE, _xlfn.TEXTAFTER(_xlfn.TEXTSPLIT(us_core_reqs[[#This Row],[URL*]], ", "), "/", -1))</f>
        <v>StructureDefinition-us-core-documentreference.html#profile-specific-implementation-guidance</v>
      </c>
      <c r="F367" s="11" t="s">
        <v>870</v>
      </c>
      <c r="G367" t="s">
        <v>35</v>
      </c>
      <c r="H367" cm="1">
        <f t="array" ref="H367">_xlfn.SWITCH(G367, "SHALL", 1, "SHOULD", 3, "MAY", 5, "SHOULD-NOT", 4, "SHALL-NOT", 2, "DEPRECATED", 6, 99)</f>
        <v>5</v>
      </c>
      <c r="J367" t="s">
        <v>30</v>
      </c>
      <c r="K367" t="s">
        <v>1171</v>
      </c>
      <c r="L367" t="s">
        <v>1171</v>
      </c>
      <c r="M367" t="s">
        <v>1173</v>
      </c>
      <c r="N367" t="s">
        <v>1171</v>
      </c>
      <c r="O367" t="s">
        <v>1171</v>
      </c>
      <c r="P367" t="s">
        <v>1171</v>
      </c>
      <c r="Q367" t="s">
        <v>1171</v>
      </c>
      <c r="R367" t="s">
        <v>1171</v>
      </c>
      <c r="S367" s="70" t="str" cm="1">
        <f t="array" ref="S367">_xlfn.TEXTJOIN(",",TRUE,LEFT(TRIM(_xlfn.TEXTSPLIT(us_core_reqs[[#This Row],[reference]],",")),FIND(".html",TRIM(_xlfn.TEXTSPLIT(us_core_reqs[[#This Row],[reference]],",")))-1))</f>
        <v>StructureDefinition-us-core-documentreference</v>
      </c>
      <c r="T367" s="70" t="str" cm="1">
        <f t="array" ref="T367">_xlfn.TEXTJOIN(",",TRUE,MID(TRIM(_xlfn.TEXTSPLIT(us_core_reqs[[#This Row],[reference]],",")),FIND("#",TRIM(_xlfn.TEXTSPLIT(us_core_reqs[[#This Row],[reference]],","))&amp;"#")+1,1000))</f>
        <v>profile-specific-implementation-guidance</v>
      </c>
      <c r="U367"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t="s">
        <v>35</v>
      </c>
      <c r="W367" t="s">
        <v>1171</v>
      </c>
      <c r="X367" t="s">
        <v>1171</v>
      </c>
      <c r="Y367" t="s">
        <v>1171</v>
      </c>
      <c r="Z367" t="s">
        <v>1171</v>
      </c>
      <c r="AA367" t="s">
        <v>1171</v>
      </c>
      <c r="AB367" t="s">
        <v>1171</v>
      </c>
      <c r="AC367" t="s">
        <v>1171</v>
      </c>
      <c r="AD367" t="s">
        <v>1171</v>
      </c>
      <c r="AE367" t="s">
        <v>1171</v>
      </c>
    </row>
    <row r="368" spans="1:31" ht="103" thickBot="1" x14ac:dyDescent="0.25">
      <c r="A368" t="s">
        <v>1171</v>
      </c>
      <c r="B368" t="s">
        <v>1540</v>
      </c>
      <c r="C368" t="str">
        <f>"CONF-"&amp;TEXT(us_core_reqs[[#This Row],[ID*]], "0000")</f>
        <v>CONF-0367</v>
      </c>
      <c r="D368" s="11" t="s">
        <v>2231</v>
      </c>
      <c r="E368" s="73" t="str" cm="1">
        <f t="array" ref="E368">_xlfn.TEXTJOIN(", ", TRUE, _xlfn.TEXTAFTER(_xlfn.TEXTSPLIT(us_core_reqs[[#This Row],[URL*]], ", "), "/", -1))</f>
        <v>StructureDefinition-us-core-documentreference.html#profile-specific-implementation-guidance</v>
      </c>
      <c r="F368" s="11" t="s">
        <v>387</v>
      </c>
      <c r="G368" t="s">
        <v>35</v>
      </c>
      <c r="H368" cm="1">
        <f t="array" ref="H368">_xlfn.SWITCH(G368, "SHALL", 1, "SHOULD", 3, "MAY", 5, "SHOULD-NOT", 4, "SHALL-NOT", 2, "DEPRECATED", 6, 99)</f>
        <v>5</v>
      </c>
      <c r="J368" t="s">
        <v>30</v>
      </c>
      <c r="K368" t="s">
        <v>1171</v>
      </c>
      <c r="L368" t="s">
        <v>1171</v>
      </c>
      <c r="M368" t="s">
        <v>1173</v>
      </c>
      <c r="N368" t="s">
        <v>1171</v>
      </c>
      <c r="O368" t="s">
        <v>1171</v>
      </c>
      <c r="P368" t="s">
        <v>1171</v>
      </c>
      <c r="Q368" t="s">
        <v>1171</v>
      </c>
      <c r="R368" t="s">
        <v>1171</v>
      </c>
      <c r="S368" s="70" t="str" cm="1">
        <f t="array" ref="S368">_xlfn.TEXTJOIN(",",TRUE,LEFT(TRIM(_xlfn.TEXTSPLIT(us_core_reqs[[#This Row],[reference]],",")),FIND(".html",TRIM(_xlfn.TEXTSPLIT(us_core_reqs[[#This Row],[reference]],",")))-1))</f>
        <v>StructureDefinition-us-core-documentreference</v>
      </c>
      <c r="T368" s="70" t="str" cm="1">
        <f t="array" ref="T368">_xlfn.TEXTJOIN(",",TRUE,MID(TRIM(_xlfn.TEXTSPLIT(us_core_reqs[[#This Row],[reference]],",")),FIND("#",TRIM(_xlfn.TEXTSPLIT(us_core_reqs[[#This Row],[reference]],","))&amp;"#")+1,1000))</f>
        <v>profile-specific-implementation-guidance</v>
      </c>
      <c r="U368"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t="s">
        <v>35</v>
      </c>
      <c r="W368" t="s">
        <v>1171</v>
      </c>
      <c r="X368" t="s">
        <v>1171</v>
      </c>
      <c r="Y368" t="s">
        <v>1171</v>
      </c>
      <c r="Z368" t="s">
        <v>1171</v>
      </c>
      <c r="AA368" t="s">
        <v>1171</v>
      </c>
      <c r="AB368" t="s">
        <v>1171</v>
      </c>
      <c r="AC368" t="s">
        <v>1171</v>
      </c>
      <c r="AD368" t="s">
        <v>1171</v>
      </c>
      <c r="AE368" t="s">
        <v>1171</v>
      </c>
    </row>
    <row r="369" spans="1:31" ht="86" thickBot="1" x14ac:dyDescent="0.25">
      <c r="A369" t="s">
        <v>1171</v>
      </c>
      <c r="B369" t="s">
        <v>1541</v>
      </c>
      <c r="C369" t="str">
        <f>"CONF-"&amp;TEXT(us_core_reqs[[#This Row],[ID*]], "0000")</f>
        <v>CONF-0368</v>
      </c>
      <c r="D369" s="11" t="s">
        <v>2231</v>
      </c>
      <c r="E369" s="73" t="str" cm="1">
        <f t="array" ref="E369">_xlfn.TEXTJOIN(", ", TRUE, _xlfn.TEXTAFTER(_xlfn.TEXTSPLIT(us_core_reqs[[#This Row],[URL*]], ", "), "/", -1))</f>
        <v>StructureDefinition-us-core-documentreference.html#profile-specific-implementation-guidance</v>
      </c>
      <c r="F369" s="11" t="s">
        <v>2097</v>
      </c>
      <c r="G369" t="s">
        <v>29</v>
      </c>
      <c r="H369" cm="1">
        <f t="array" ref="H369">_xlfn.SWITCH(G369, "SHALL", 1, "SHOULD", 3, "MAY", 5, "SHOULD-NOT", 4, "SHALL-NOT", 2, "DEPRECATED", 6, 99)</f>
        <v>1</v>
      </c>
      <c r="J369" t="s">
        <v>30</v>
      </c>
      <c r="K369" t="s">
        <v>1171</v>
      </c>
      <c r="L369" t="s">
        <v>1171</v>
      </c>
      <c r="M369" t="s">
        <v>1176</v>
      </c>
      <c r="N369" t="s">
        <v>388</v>
      </c>
      <c r="O369" t="s">
        <v>1171</v>
      </c>
      <c r="P369" t="s">
        <v>1171</v>
      </c>
      <c r="Q369" t="s">
        <v>1171</v>
      </c>
      <c r="R369" t="s">
        <v>1171</v>
      </c>
      <c r="S369" s="70" t="str" cm="1">
        <f t="array" ref="S369">_xlfn.TEXTJOIN(",",TRUE,LEFT(TRIM(_xlfn.TEXTSPLIT(us_core_reqs[[#This Row],[reference]],",")),FIND(".html",TRIM(_xlfn.TEXTSPLIT(us_core_reqs[[#This Row],[reference]],",")))-1))</f>
        <v>StructureDefinition-us-core-documentreference</v>
      </c>
      <c r="T369" s="70" t="str" cm="1">
        <f t="array" ref="T369">_xlfn.TEXTJOIN(",",TRUE,MID(TRIM(_xlfn.TEXTSPLIT(us_core_reqs[[#This Row],[reference]],",")),FIND("#",TRIM(_xlfn.TEXTSPLIT(us_core_reqs[[#This Row],[reference]],","))&amp;"#")+1,1000))</f>
        <v>profile-specific-implementation-guidance</v>
      </c>
      <c r="U369"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t="s">
        <v>29</v>
      </c>
      <c r="W369" t="s">
        <v>30</v>
      </c>
      <c r="X369" t="s">
        <v>1171</v>
      </c>
      <c r="Y369" t="s">
        <v>1171</v>
      </c>
      <c r="Z369" t="s">
        <v>1171</v>
      </c>
      <c r="AA369" t="s">
        <v>1171</v>
      </c>
      <c r="AB369" t="s">
        <v>1171</v>
      </c>
      <c r="AC369" t="s">
        <v>1171</v>
      </c>
      <c r="AD369" t="s">
        <v>1140</v>
      </c>
      <c r="AE369" t="s">
        <v>1171</v>
      </c>
    </row>
    <row r="370" spans="1:31" ht="52" thickBot="1" x14ac:dyDescent="0.25">
      <c r="A370" t="s">
        <v>1171</v>
      </c>
      <c r="B370" t="s">
        <v>1542</v>
      </c>
      <c r="C370" t="str">
        <f>"CONF-"&amp;TEXT(us_core_reqs[[#This Row],[ID*]], "0000")</f>
        <v>CONF-0369</v>
      </c>
      <c r="D370" s="11" t="s">
        <v>2231</v>
      </c>
      <c r="E370" s="73" t="str" cm="1">
        <f t="array" ref="E370">_xlfn.TEXTJOIN(", ", TRUE, _xlfn.TEXTAFTER(_xlfn.TEXTSPLIT(us_core_reqs[[#This Row],[URL*]], ", "), "/", -1))</f>
        <v>StructureDefinition-us-core-documentreference.html#profile-specific-implementation-guidance</v>
      </c>
      <c r="F370" s="11" t="s">
        <v>2098</v>
      </c>
      <c r="G370" t="s">
        <v>29</v>
      </c>
      <c r="H370" cm="1">
        <f t="array" ref="H370">_xlfn.SWITCH(G370, "SHALL", 1, "SHOULD", 3, "MAY", 5, "SHOULD-NOT", 4, "SHALL-NOT", 2, "DEPRECATED", 6, 99)</f>
        <v>1</v>
      </c>
      <c r="J370" t="s">
        <v>58</v>
      </c>
      <c r="K370" t="s">
        <v>1171</v>
      </c>
      <c r="L370" t="s">
        <v>1171</v>
      </c>
      <c r="M370" t="s">
        <v>1173</v>
      </c>
      <c r="N370" t="s">
        <v>1171</v>
      </c>
      <c r="O370" t="s">
        <v>1171</v>
      </c>
      <c r="P370" t="s">
        <v>1171</v>
      </c>
      <c r="Q370" t="s">
        <v>1171</v>
      </c>
      <c r="R370" t="s">
        <v>1171</v>
      </c>
      <c r="S370" s="70" t="str" cm="1">
        <f t="array" ref="S370">_xlfn.TEXTJOIN(",",TRUE,LEFT(TRIM(_xlfn.TEXTSPLIT(us_core_reqs[[#This Row],[reference]],",")),FIND(".html",TRIM(_xlfn.TEXTSPLIT(us_core_reqs[[#This Row],[reference]],",")))-1))</f>
        <v>StructureDefinition-us-core-documentreference</v>
      </c>
      <c r="T370" s="70" t="str" cm="1">
        <f t="array" ref="T370">_xlfn.TEXTJOIN(",",TRUE,MID(TRIM(_xlfn.TEXTSPLIT(us_core_reqs[[#This Row],[reference]],",")),FIND("#",TRIM(_xlfn.TEXTSPLIT(us_core_reqs[[#This Row],[reference]],","))&amp;"#")+1,1000))</f>
        <v>profile-specific-implementation-guidance</v>
      </c>
      <c r="U370"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t="s">
        <v>29</v>
      </c>
      <c r="W370" t="s">
        <v>58</v>
      </c>
      <c r="X370" t="s">
        <v>1171</v>
      </c>
      <c r="Y370" t="s">
        <v>1171</v>
      </c>
      <c r="Z370" t="s">
        <v>1171</v>
      </c>
      <c r="AA370" t="s">
        <v>1171</v>
      </c>
      <c r="AB370" t="s">
        <v>1171</v>
      </c>
      <c r="AC370" t="s">
        <v>1171</v>
      </c>
      <c r="AD370" t="s">
        <v>1171</v>
      </c>
      <c r="AE370" t="s">
        <v>1171</v>
      </c>
    </row>
    <row r="371" spans="1:31" ht="52" thickBot="1" x14ac:dyDescent="0.25">
      <c r="A371" t="s">
        <v>1171</v>
      </c>
      <c r="B371" t="s">
        <v>1543</v>
      </c>
      <c r="C371" t="str">
        <f>"CONF-"&amp;TEXT(us_core_reqs[[#This Row],[ID*]], "0000")</f>
        <v>CONF-0370</v>
      </c>
      <c r="D371" s="11" t="s">
        <v>2231</v>
      </c>
      <c r="E371" s="73" t="str" cm="1">
        <f t="array" ref="E371">_xlfn.TEXTJOIN(", ", TRUE, _xlfn.TEXTAFTER(_xlfn.TEXTSPLIT(us_core_reqs[[#This Row],[URL*]], ", "), "/", -1))</f>
        <v>StructureDefinition-us-core-documentreference.html#profile-specific-implementation-guidance</v>
      </c>
      <c r="F371" s="11" t="s">
        <v>2099</v>
      </c>
      <c r="G371" t="s">
        <v>29</v>
      </c>
      <c r="H371" cm="1">
        <f t="array" ref="H371">_xlfn.SWITCH(G371, "SHALL", 1, "SHOULD", 3, "MAY", 5, "SHOULD-NOT", 4, "SHALL-NOT", 2, "DEPRECATED", 6, 99)</f>
        <v>1</v>
      </c>
      <c r="J371" t="s">
        <v>58</v>
      </c>
      <c r="K371" t="s">
        <v>1171</v>
      </c>
      <c r="L371" t="s">
        <v>1171</v>
      </c>
      <c r="M371" t="s">
        <v>1173</v>
      </c>
      <c r="N371" t="s">
        <v>1171</v>
      </c>
      <c r="O371" t="s">
        <v>1171</v>
      </c>
      <c r="P371" t="s">
        <v>1171</v>
      </c>
      <c r="Q371" t="s">
        <v>1171</v>
      </c>
      <c r="R371" t="s">
        <v>1171</v>
      </c>
      <c r="S371" s="70" t="str" cm="1">
        <f t="array" ref="S371">_xlfn.TEXTJOIN(",",TRUE,LEFT(TRIM(_xlfn.TEXTSPLIT(us_core_reqs[[#This Row],[reference]],",")),FIND(".html",TRIM(_xlfn.TEXTSPLIT(us_core_reqs[[#This Row],[reference]],",")))-1))</f>
        <v>StructureDefinition-us-core-documentreference</v>
      </c>
      <c r="T371" s="70" t="str" cm="1">
        <f t="array" ref="T371">_xlfn.TEXTJOIN(",",TRUE,MID(TRIM(_xlfn.TEXTSPLIT(us_core_reqs[[#This Row],[reference]],",")),FIND("#",TRIM(_xlfn.TEXTSPLIT(us_core_reqs[[#This Row],[reference]],","))&amp;"#")+1,1000))</f>
        <v>profile-specific-implementation-guidance</v>
      </c>
      <c r="U371"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t="s">
        <v>29</v>
      </c>
      <c r="W371" t="s">
        <v>58</v>
      </c>
      <c r="X371" t="s">
        <v>1171</v>
      </c>
      <c r="Y371" t="s">
        <v>1171</v>
      </c>
      <c r="Z371" t="s">
        <v>1171</v>
      </c>
      <c r="AA371" t="s">
        <v>1171</v>
      </c>
      <c r="AB371" t="s">
        <v>1171</v>
      </c>
      <c r="AC371" t="s">
        <v>1171</v>
      </c>
      <c r="AD371" t="s">
        <v>1171</v>
      </c>
      <c r="AE371" t="s">
        <v>1171</v>
      </c>
    </row>
    <row r="372" spans="1:31" ht="52" thickBot="1" x14ac:dyDescent="0.25">
      <c r="A372" t="s">
        <v>1171</v>
      </c>
      <c r="B372" t="s">
        <v>1544</v>
      </c>
      <c r="C372" t="str">
        <f>"CONF-"&amp;TEXT(us_core_reqs[[#This Row],[ID*]], "0000")</f>
        <v>CONF-0371</v>
      </c>
      <c r="D372" s="11" t="s">
        <v>2231</v>
      </c>
      <c r="E372" s="73" t="str" cm="1">
        <f t="array" ref="E372">_xlfn.TEXTJOIN(", ", TRUE, _xlfn.TEXTAFTER(_xlfn.TEXTSPLIT(us_core_reqs[[#This Row],[URL*]], ", "), "/", -1))</f>
        <v>StructureDefinition-us-core-documentreference.html#profile-specific-implementation-guidance</v>
      </c>
      <c r="F372" s="11" t="s">
        <v>2025</v>
      </c>
      <c r="G372" t="s">
        <v>64</v>
      </c>
      <c r="H372" cm="1">
        <f t="array" ref="H372">_xlfn.SWITCH(G372, "SHALL", 1, "SHOULD", 3, "MAY", 5, "SHOULD-NOT", 4, "SHALL-NOT", 2, "DEPRECATED", 6, 99)</f>
        <v>6</v>
      </c>
      <c r="J372" t="s">
        <v>30</v>
      </c>
      <c r="K372" t="s">
        <v>1171</v>
      </c>
      <c r="L372" t="s">
        <v>1171</v>
      </c>
      <c r="M372" t="s">
        <v>1173</v>
      </c>
      <c r="N372" t="s">
        <v>1171</v>
      </c>
      <c r="O372" t="s">
        <v>1171</v>
      </c>
      <c r="P372" t="s">
        <v>1171</v>
      </c>
      <c r="Q372" t="s">
        <v>1171</v>
      </c>
      <c r="R372" t="s">
        <v>1171</v>
      </c>
      <c r="S372" s="70" t="str" cm="1">
        <f t="array" ref="S372">_xlfn.TEXTJOIN(",",TRUE,LEFT(TRIM(_xlfn.TEXTSPLIT(us_core_reqs[[#This Row],[reference]],",")),FIND(".html",TRIM(_xlfn.TEXTSPLIT(us_core_reqs[[#This Row],[reference]],",")))-1))</f>
        <v>StructureDefinition-us-core-documentreference</v>
      </c>
      <c r="T372" s="70" t="str" cm="1">
        <f t="array" ref="T372">_xlfn.TEXTJOIN(",",TRUE,MID(TRIM(_xlfn.TEXTSPLIT(us_core_reqs[[#This Row],[reference]],",")),FIND("#",TRIM(_xlfn.TEXTSPLIT(us_core_reqs[[#This Row],[reference]],","))&amp;"#")+1,1000))</f>
        <v>profile-specific-implementation-guidance</v>
      </c>
      <c r="U372"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t="s">
        <v>32</v>
      </c>
      <c r="W372" t="s">
        <v>1171</v>
      </c>
      <c r="X372" t="s">
        <v>1171</v>
      </c>
      <c r="Y372" t="s">
        <v>1171</v>
      </c>
      <c r="Z372" t="s">
        <v>1171</v>
      </c>
      <c r="AA372" t="s">
        <v>1171</v>
      </c>
      <c r="AB372" t="s">
        <v>1171</v>
      </c>
      <c r="AC372" t="s">
        <v>646</v>
      </c>
      <c r="AD372" t="s">
        <v>1171</v>
      </c>
      <c r="AE372" t="s">
        <v>1171</v>
      </c>
    </row>
    <row r="373" spans="1:31" ht="52" thickBot="1" x14ac:dyDescent="0.25">
      <c r="A373" t="s">
        <v>1171</v>
      </c>
      <c r="B373" t="s">
        <v>1545</v>
      </c>
      <c r="C373" t="str">
        <f>"CONF-"&amp;TEXT(us_core_reqs[[#This Row],[ID*]], "0000")</f>
        <v>CONF-0372</v>
      </c>
      <c r="D373" s="11" t="s">
        <v>2231</v>
      </c>
      <c r="E373" s="73" t="str" cm="1">
        <f t="array" ref="E373">_xlfn.TEXTJOIN(", ", TRUE, _xlfn.TEXTAFTER(_xlfn.TEXTSPLIT(us_core_reqs[[#This Row],[URL*]], ", "), "/", -1))</f>
        <v>StructureDefinition-us-core-documentreference.html#profile-specific-implementation-guidance</v>
      </c>
      <c r="F373" s="11" t="s">
        <v>2199</v>
      </c>
      <c r="G373" t="s">
        <v>29</v>
      </c>
      <c r="H373" cm="1">
        <f t="array" ref="H373">_xlfn.SWITCH(G373, "SHALL", 1, "SHOULD", 3, "MAY", 5, "SHOULD-NOT", 4, "SHALL-NOT", 2, "DEPRECATED", 6, 99)</f>
        <v>1</v>
      </c>
      <c r="J373" t="s">
        <v>30</v>
      </c>
      <c r="K373" t="s">
        <v>1171</v>
      </c>
      <c r="L373" t="s">
        <v>1171</v>
      </c>
      <c r="M373" t="s">
        <v>1173</v>
      </c>
      <c r="N373" t="s">
        <v>1171</v>
      </c>
      <c r="O373" t="s">
        <v>1171</v>
      </c>
      <c r="P373" t="s">
        <v>1171</v>
      </c>
      <c r="Q373" t="s">
        <v>1171</v>
      </c>
      <c r="R373" t="s">
        <v>1171</v>
      </c>
      <c r="S373" s="70" t="str" cm="1">
        <f t="array" ref="S373">_xlfn.TEXTJOIN(",",TRUE,LEFT(TRIM(_xlfn.TEXTSPLIT(us_core_reqs[[#This Row],[reference]],",")),FIND(".html",TRIM(_xlfn.TEXTSPLIT(us_core_reqs[[#This Row],[reference]],",")))-1))</f>
        <v>StructureDefinition-us-core-documentreference</v>
      </c>
      <c r="T373" s="70" t="str" cm="1">
        <f t="array" ref="T373">_xlfn.TEXTJOIN(",",TRUE,MID(TRIM(_xlfn.TEXTSPLIT(us_core_reqs[[#This Row],[reference]],",")),FIND("#",TRIM(_xlfn.TEXTSPLIT(us_core_reqs[[#This Row],[reference]],","))&amp;"#")+1,1000))</f>
        <v>profile-specific-implementation-guidance</v>
      </c>
      <c r="U373"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t="s">
        <v>29</v>
      </c>
      <c r="W373" t="s">
        <v>1171</v>
      </c>
      <c r="X373" t="s">
        <v>1171</v>
      </c>
      <c r="Y373" t="s">
        <v>1171</v>
      </c>
      <c r="Z373" t="s">
        <v>1171</v>
      </c>
      <c r="AA373" t="s">
        <v>1171</v>
      </c>
      <c r="AB373" t="s">
        <v>1171</v>
      </c>
      <c r="AC373" t="s">
        <v>1171</v>
      </c>
      <c r="AD373" t="s">
        <v>1141</v>
      </c>
      <c r="AE373" t="s">
        <v>1171</v>
      </c>
    </row>
    <row r="374" spans="1:31" ht="52" thickBot="1" x14ac:dyDescent="0.25">
      <c r="A374" t="s">
        <v>1171</v>
      </c>
      <c r="B374" t="s">
        <v>1546</v>
      </c>
      <c r="C374" t="str">
        <f>"CONF-"&amp;TEXT(us_core_reqs[[#This Row],[ID*]], "0000")</f>
        <v>CONF-0373</v>
      </c>
      <c r="D374" s="11" t="s">
        <v>2231</v>
      </c>
      <c r="E374" s="73" t="str" cm="1">
        <f t="array" ref="E374">_xlfn.TEXTJOIN(", ", TRUE, _xlfn.TEXTAFTER(_xlfn.TEXTSPLIT(us_core_reqs[[#This Row],[URL*]], ", "), "/", -1))</f>
        <v>StructureDefinition-us-core-documentreference.html#profile-specific-implementation-guidance</v>
      </c>
      <c r="F374" s="11" t="s">
        <v>2072</v>
      </c>
      <c r="G374" t="s">
        <v>1833</v>
      </c>
      <c r="H374" cm="1">
        <f t="array" ref="H374">_xlfn.SWITCH(G374, "SHALL", 1, "SHOULD", 3, "MAY", 5, "SHOULD-NOT", 4, "SHALL-NOT", 2, "DEPRECATED", 6, 99)</f>
        <v>2</v>
      </c>
      <c r="J374" t="s">
        <v>30</v>
      </c>
      <c r="K374" t="s">
        <v>1171</v>
      </c>
      <c r="L374" t="s">
        <v>1171</v>
      </c>
      <c r="M374" t="s">
        <v>1173</v>
      </c>
      <c r="N374" t="s">
        <v>1171</v>
      </c>
      <c r="O374" t="s">
        <v>1171</v>
      </c>
      <c r="P374" t="s">
        <v>1171</v>
      </c>
      <c r="Q374" t="s">
        <v>1171</v>
      </c>
      <c r="R374" t="s">
        <v>1171</v>
      </c>
      <c r="S374" s="70" t="str" cm="1">
        <f t="array" ref="S374">_xlfn.TEXTJOIN(",",TRUE,LEFT(TRIM(_xlfn.TEXTSPLIT(us_core_reqs[[#This Row],[reference]],",")),FIND(".html",TRIM(_xlfn.TEXTSPLIT(us_core_reqs[[#This Row],[reference]],",")))-1))</f>
        <v>StructureDefinition-us-core-documentreference</v>
      </c>
      <c r="T374" s="70" t="str" cm="1">
        <f t="array" ref="T374">_xlfn.TEXTJOIN(",",TRUE,MID(TRIM(_xlfn.TEXTSPLIT(us_core_reqs[[#This Row],[reference]],",")),FIND("#",TRIM(_xlfn.TEXTSPLIT(us_core_reqs[[#This Row],[reference]],","))&amp;"#")+1,1000))</f>
        <v>profile-specific-implementation-guidance</v>
      </c>
      <c r="U374"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t="s">
        <v>29</v>
      </c>
      <c r="W374" t="s">
        <v>1171</v>
      </c>
      <c r="X374" t="s">
        <v>1171</v>
      </c>
      <c r="Y374" t="s">
        <v>1171</v>
      </c>
      <c r="Z374" t="s">
        <v>1171</v>
      </c>
      <c r="AA374" t="s">
        <v>1171</v>
      </c>
      <c r="AB374" t="s">
        <v>1171</v>
      </c>
      <c r="AC374" t="s">
        <v>1171</v>
      </c>
      <c r="AD374" t="s">
        <v>1141</v>
      </c>
      <c r="AE374" t="s">
        <v>1171</v>
      </c>
    </row>
    <row r="375" spans="1:31" ht="69" thickBot="1" x14ac:dyDescent="0.25">
      <c r="A375" t="s">
        <v>1171</v>
      </c>
      <c r="B375" t="s">
        <v>1547</v>
      </c>
      <c r="C375" t="str">
        <f>"CONF-"&amp;TEXT(us_core_reqs[[#This Row],[ID*]], "0000")</f>
        <v>CONF-0374</v>
      </c>
      <c r="D375" s="11" t="s">
        <v>2231</v>
      </c>
      <c r="E375" s="73" t="str" cm="1">
        <f t="array" ref="E375">_xlfn.TEXTJOIN(", ", TRUE, _xlfn.TEXTAFTER(_xlfn.TEXTSPLIT(us_core_reqs[[#This Row],[URL*]], ", "), "/", -1))</f>
        <v>StructureDefinition-us-core-documentreference.html#profile-specific-implementation-guidance</v>
      </c>
      <c r="F375" s="11" t="s">
        <v>2051</v>
      </c>
      <c r="G375" t="s">
        <v>29</v>
      </c>
      <c r="H375" cm="1">
        <f t="array" ref="H375">_xlfn.SWITCH(G375, "SHALL", 1, "SHOULD", 3, "MAY", 5, "SHOULD-NOT", 4, "SHALL-NOT", 2, "DEPRECATED", 6, 99)</f>
        <v>1</v>
      </c>
      <c r="J375" t="s">
        <v>30</v>
      </c>
      <c r="K375" t="s">
        <v>1171</v>
      </c>
      <c r="L375" t="s">
        <v>1171</v>
      </c>
      <c r="M375" t="s">
        <v>1173</v>
      </c>
      <c r="N375" t="s">
        <v>1171</v>
      </c>
      <c r="O375" t="s">
        <v>1171</v>
      </c>
      <c r="P375" t="s">
        <v>1171</v>
      </c>
      <c r="Q375" t="s">
        <v>1171</v>
      </c>
      <c r="R375" t="s">
        <v>1171</v>
      </c>
      <c r="S375" s="70" t="str" cm="1">
        <f t="array" ref="S375">_xlfn.TEXTJOIN(",",TRUE,LEFT(TRIM(_xlfn.TEXTSPLIT(us_core_reqs[[#This Row],[reference]],",")),FIND(".html",TRIM(_xlfn.TEXTSPLIT(us_core_reqs[[#This Row],[reference]],",")))-1))</f>
        <v>StructureDefinition-us-core-documentreference</v>
      </c>
      <c r="T375" s="70" t="str" cm="1">
        <f t="array" ref="T375">_xlfn.TEXTJOIN(",",TRUE,MID(TRIM(_xlfn.TEXTSPLIT(us_core_reqs[[#This Row],[reference]],",")),FIND("#",TRIM(_xlfn.TEXTSPLIT(us_core_reqs[[#This Row],[reference]],","))&amp;"#")+1,1000))</f>
        <v>profile-specific-implementation-guidance</v>
      </c>
      <c r="U375"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t="s">
        <v>29</v>
      </c>
      <c r="W375" t="s">
        <v>1171</v>
      </c>
      <c r="X375" t="s">
        <v>1171</v>
      </c>
      <c r="Y375" t="s">
        <v>1171</v>
      </c>
      <c r="Z375" t="s">
        <v>1171</v>
      </c>
      <c r="AA375" t="s">
        <v>1171</v>
      </c>
      <c r="AB375" t="s">
        <v>1171</v>
      </c>
      <c r="AC375" t="s">
        <v>1171</v>
      </c>
      <c r="AD375" t="s">
        <v>1140</v>
      </c>
      <c r="AE375" t="s">
        <v>1171</v>
      </c>
    </row>
    <row r="376" spans="1:31" ht="69" thickBot="1" x14ac:dyDescent="0.25">
      <c r="A376" t="s">
        <v>1171</v>
      </c>
      <c r="B376" t="s">
        <v>1548</v>
      </c>
      <c r="C376" t="str">
        <f>"CONF-"&amp;TEXT(us_core_reqs[[#This Row],[ID*]], "0000")</f>
        <v>CONF-0375</v>
      </c>
      <c r="D376" s="11" t="s">
        <v>2232</v>
      </c>
      <c r="E376" s="73" t="str" cm="1">
        <f t="array" ref="E376">_xlfn.TEXTJOIN(", ", TRUE, _xlfn.TEXTAFTER(_xlfn.TEXTSPLIT(us_core_reqs[[#This Row],[URL*]], ", "), "/", -1))</f>
        <v>StructureDefinition-us-core-encounter.html#profile-specific-implementation-guidance</v>
      </c>
      <c r="F376" s="11" t="s">
        <v>2100</v>
      </c>
      <c r="G376" t="s">
        <v>29</v>
      </c>
      <c r="H376" cm="1">
        <f t="array" ref="H376">_xlfn.SWITCH(G376, "SHALL", 1, "SHOULD", 3, "MAY", 5, "SHOULD-NOT", 4, "SHALL-NOT", 2, "DEPRECATED", 6, 99)</f>
        <v>1</v>
      </c>
      <c r="J376" t="s">
        <v>30</v>
      </c>
      <c r="K376" t="s">
        <v>1171</v>
      </c>
      <c r="L376" t="s">
        <v>1171</v>
      </c>
      <c r="M376" t="s">
        <v>1176</v>
      </c>
      <c r="N376" t="s">
        <v>393</v>
      </c>
      <c r="O376" t="s">
        <v>1171</v>
      </c>
      <c r="P376" t="s">
        <v>1171</v>
      </c>
      <c r="Q376" t="s">
        <v>1171</v>
      </c>
      <c r="R376" t="s">
        <v>1171</v>
      </c>
      <c r="S376" s="70" t="str" cm="1">
        <f t="array" ref="S376">_xlfn.TEXTJOIN(",",TRUE,LEFT(TRIM(_xlfn.TEXTSPLIT(us_core_reqs[[#This Row],[reference]],",")),FIND(".html",TRIM(_xlfn.TEXTSPLIT(us_core_reqs[[#This Row],[reference]],",")))-1))</f>
        <v>StructureDefinition-us-core-encounter</v>
      </c>
      <c r="T376" s="70" t="str" cm="1">
        <f t="array" ref="T376">_xlfn.TEXTJOIN(",",TRUE,MID(TRIM(_xlfn.TEXTSPLIT(us_core_reqs[[#This Row],[reference]],",")),FIND("#",TRIM(_xlfn.TEXTSPLIT(us_core_reqs[[#This Row],[reference]],","))&amp;"#")+1,1000))</f>
        <v>profile-specific-implementation-guidance</v>
      </c>
      <c r="U376"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t="s">
        <v>29</v>
      </c>
      <c r="W376" t="s">
        <v>30</v>
      </c>
      <c r="X376" t="s">
        <v>1171</v>
      </c>
      <c r="Y376" t="s">
        <v>1171</v>
      </c>
      <c r="Z376" t="s">
        <v>1171</v>
      </c>
      <c r="AA376" t="s">
        <v>1171</v>
      </c>
      <c r="AB376" t="s">
        <v>1171</v>
      </c>
      <c r="AC376" t="s">
        <v>1171</v>
      </c>
      <c r="AD376" t="s">
        <v>1140</v>
      </c>
      <c r="AE376" t="s">
        <v>1171</v>
      </c>
    </row>
    <row r="377" spans="1:31" ht="35" thickBot="1" x14ac:dyDescent="0.25">
      <c r="A377" t="s">
        <v>1171</v>
      </c>
      <c r="B377" t="s">
        <v>1549</v>
      </c>
      <c r="C377" t="str">
        <f>"CONF-"&amp;TEXT(us_core_reqs[[#This Row],[ID*]], "0000")</f>
        <v>CONF-0376</v>
      </c>
      <c r="D377" s="11" t="s">
        <v>2232</v>
      </c>
      <c r="E377" s="73" t="str" cm="1">
        <f t="array" ref="E377">_xlfn.TEXTJOIN(", ", TRUE, _xlfn.TEXTAFTER(_xlfn.TEXTSPLIT(us_core_reqs[[#This Row],[URL*]], ", "), "/", -1))</f>
        <v>StructureDefinition-us-core-encounter.html#profile-specific-implementation-guidance</v>
      </c>
      <c r="F377" s="11" t="s">
        <v>2101</v>
      </c>
      <c r="G377" t="s">
        <v>29</v>
      </c>
      <c r="H377" cm="1">
        <f t="array" ref="H377">_xlfn.SWITCH(G377, "SHALL", 1, "SHOULD", 3, "MAY", 5, "SHOULD-NOT", 4, "SHALL-NOT", 2, "DEPRECATED", 6, 99)</f>
        <v>1</v>
      </c>
      <c r="J377" t="s">
        <v>58</v>
      </c>
      <c r="K377" t="s">
        <v>1171</v>
      </c>
      <c r="L377" t="s">
        <v>1171</v>
      </c>
      <c r="M377" t="s">
        <v>1173</v>
      </c>
      <c r="N377" t="s">
        <v>394</v>
      </c>
      <c r="O377" t="s">
        <v>1171</v>
      </c>
      <c r="P377" t="s">
        <v>1171</v>
      </c>
      <c r="Q377" t="s">
        <v>1171</v>
      </c>
      <c r="R377" t="s">
        <v>1171</v>
      </c>
      <c r="S377" s="70" t="str" cm="1">
        <f t="array" ref="S377">_xlfn.TEXTJOIN(",",TRUE,LEFT(TRIM(_xlfn.TEXTSPLIT(us_core_reqs[[#This Row],[reference]],",")),FIND(".html",TRIM(_xlfn.TEXTSPLIT(us_core_reqs[[#This Row],[reference]],",")))-1))</f>
        <v>StructureDefinition-us-core-encounter</v>
      </c>
      <c r="T377" s="70" t="str" cm="1">
        <f t="array" ref="T377">_xlfn.TEXTJOIN(",",TRUE,MID(TRIM(_xlfn.TEXTSPLIT(us_core_reqs[[#This Row],[reference]],",")),FIND("#",TRIM(_xlfn.TEXTSPLIT(us_core_reqs[[#This Row],[reference]],","))&amp;"#")+1,1000))</f>
        <v>profile-specific-implementation-guidance</v>
      </c>
      <c r="U377"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t="s">
        <v>29</v>
      </c>
      <c r="W377" t="s">
        <v>58</v>
      </c>
      <c r="X377" t="s">
        <v>1171</v>
      </c>
      <c r="Y377" t="s">
        <v>1171</v>
      </c>
      <c r="Z377" t="s">
        <v>1171</v>
      </c>
      <c r="AA377" t="s">
        <v>1171</v>
      </c>
      <c r="AB377" t="s">
        <v>1171</v>
      </c>
      <c r="AC377" t="s">
        <v>1171</v>
      </c>
      <c r="AD377" t="s">
        <v>1171</v>
      </c>
      <c r="AE377" t="s">
        <v>1171</v>
      </c>
    </row>
    <row r="378" spans="1:31" ht="35" thickBot="1" x14ac:dyDescent="0.25">
      <c r="A378" t="s">
        <v>1171</v>
      </c>
      <c r="B378" t="s">
        <v>1550</v>
      </c>
      <c r="C378" t="str">
        <f>"CONF-"&amp;TEXT(us_core_reqs[[#This Row],[ID*]], "0000")</f>
        <v>CONF-0377</v>
      </c>
      <c r="D378" s="11" t="s">
        <v>2232</v>
      </c>
      <c r="E378" s="73" t="str" cm="1">
        <f t="array" ref="E378">_xlfn.TEXTJOIN(", ", TRUE, _xlfn.TEXTAFTER(_xlfn.TEXTSPLIT(us_core_reqs[[#This Row],[URL*]], ", "), "/", -1))</f>
        <v>StructureDefinition-us-core-encounter.html#profile-specific-implementation-guidance</v>
      </c>
      <c r="F378" s="11" t="s">
        <v>2102</v>
      </c>
      <c r="G378" t="s">
        <v>29</v>
      </c>
      <c r="H378" cm="1">
        <f t="array" ref="H378">_xlfn.SWITCH(G378, "SHALL", 1, "SHOULD", 3, "MAY", 5, "SHOULD-NOT", 4, "SHALL-NOT", 2, "DEPRECATED", 6, 99)</f>
        <v>1</v>
      </c>
      <c r="J378" t="s">
        <v>58</v>
      </c>
      <c r="K378" t="s">
        <v>1171</v>
      </c>
      <c r="L378" t="s">
        <v>1171</v>
      </c>
      <c r="M378" t="s">
        <v>1173</v>
      </c>
      <c r="N378" t="s">
        <v>1171</v>
      </c>
      <c r="O378" t="s">
        <v>1171</v>
      </c>
      <c r="P378" t="s">
        <v>1171</v>
      </c>
      <c r="Q378" t="s">
        <v>1171</v>
      </c>
      <c r="R378" t="s">
        <v>1171</v>
      </c>
      <c r="S378" s="70" t="str" cm="1">
        <f t="array" ref="S378">_xlfn.TEXTJOIN(",",TRUE,LEFT(TRIM(_xlfn.TEXTSPLIT(us_core_reqs[[#This Row],[reference]],",")),FIND(".html",TRIM(_xlfn.TEXTSPLIT(us_core_reqs[[#This Row],[reference]],",")))-1))</f>
        <v>StructureDefinition-us-core-encounter</v>
      </c>
      <c r="T378" s="70" t="str" cm="1">
        <f t="array" ref="T378">_xlfn.TEXTJOIN(",",TRUE,MID(TRIM(_xlfn.TEXTSPLIT(us_core_reqs[[#This Row],[reference]],",")),FIND("#",TRIM(_xlfn.TEXTSPLIT(us_core_reqs[[#This Row],[reference]],","))&amp;"#")+1,1000))</f>
        <v>profile-specific-implementation-guidance</v>
      </c>
      <c r="U378"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t="s">
        <v>29</v>
      </c>
      <c r="W378" t="s">
        <v>58</v>
      </c>
      <c r="X378" t="s">
        <v>1171</v>
      </c>
      <c r="Y378" t="s">
        <v>1171</v>
      </c>
      <c r="Z378" t="s">
        <v>1171</v>
      </c>
      <c r="AA378" t="s">
        <v>1171</v>
      </c>
      <c r="AB378" t="s">
        <v>1171</v>
      </c>
      <c r="AC378" t="s">
        <v>1171</v>
      </c>
      <c r="AD378" t="s">
        <v>1171</v>
      </c>
      <c r="AE378" t="s">
        <v>1171</v>
      </c>
    </row>
    <row r="379" spans="1:31" ht="52" thickBot="1" x14ac:dyDescent="0.25">
      <c r="A379" t="s">
        <v>1171</v>
      </c>
      <c r="B379" t="s">
        <v>1551</v>
      </c>
      <c r="C379" t="str">
        <f>"CONF-"&amp;TEXT(us_core_reqs[[#This Row],[ID*]], "0000")</f>
        <v>CONF-0378</v>
      </c>
      <c r="D379" s="11" t="s">
        <v>2232</v>
      </c>
      <c r="E379" s="73" t="str" cm="1">
        <f t="array" ref="E379">_xlfn.TEXTJOIN(", ", TRUE, _xlfn.TEXTAFTER(_xlfn.TEXTSPLIT(us_core_reqs[[#This Row],[URL*]], ", "), "/", -1))</f>
        <v>StructureDefinition-us-core-encounter.html#profile-specific-implementation-guidance</v>
      </c>
      <c r="F379" s="11" t="s">
        <v>1968</v>
      </c>
      <c r="G379" t="s">
        <v>32</v>
      </c>
      <c r="H379" cm="1">
        <f t="array" ref="H379">_xlfn.SWITCH(G379, "SHALL", 1, "SHOULD", 3, "MAY", 5, "SHOULD-NOT", 4, "SHALL-NOT", 2, "DEPRECATED", 6, 99)</f>
        <v>3</v>
      </c>
      <c r="J379" t="s">
        <v>30</v>
      </c>
      <c r="K379" t="s">
        <v>1171</v>
      </c>
      <c r="L379" t="s">
        <v>1171</v>
      </c>
      <c r="M379" t="s">
        <v>1176</v>
      </c>
      <c r="N379" t="s">
        <v>396</v>
      </c>
      <c r="O379" t="s">
        <v>1171</v>
      </c>
      <c r="P379" t="s">
        <v>1171</v>
      </c>
      <c r="Q379" t="s">
        <v>1171</v>
      </c>
      <c r="R379" t="s">
        <v>1171</v>
      </c>
      <c r="S379" s="70" t="str" cm="1">
        <f t="array" ref="S379">_xlfn.TEXTJOIN(",",TRUE,LEFT(TRIM(_xlfn.TEXTSPLIT(us_core_reqs[[#This Row],[reference]],",")),FIND(".html",TRIM(_xlfn.TEXTSPLIT(us_core_reqs[[#This Row],[reference]],",")))-1))</f>
        <v>StructureDefinition-us-core-encounter</v>
      </c>
      <c r="T379" s="70" t="str" cm="1">
        <f t="array" ref="T379">_xlfn.TEXTJOIN(",",TRUE,MID(TRIM(_xlfn.TEXTSPLIT(us_core_reqs[[#This Row],[reference]],",")),FIND("#",TRIM(_xlfn.TEXTSPLIT(us_core_reqs[[#This Row],[reference]],","))&amp;"#")+1,1000))</f>
        <v>profile-specific-implementation-guidance</v>
      </c>
      <c r="U379"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t="s">
        <v>32</v>
      </c>
      <c r="W379" t="s">
        <v>1171</v>
      </c>
      <c r="X379" t="s">
        <v>1171</v>
      </c>
      <c r="Y379" t="s">
        <v>1171</v>
      </c>
      <c r="Z379" t="s">
        <v>1171</v>
      </c>
      <c r="AA379" t="s">
        <v>1171</v>
      </c>
      <c r="AB379" t="s">
        <v>1171</v>
      </c>
      <c r="AC379" t="s">
        <v>1171</v>
      </c>
      <c r="AD379" t="s">
        <v>1171</v>
      </c>
      <c r="AE379" t="s">
        <v>1171</v>
      </c>
    </row>
    <row r="380" spans="1:31" ht="69" thickBot="1" x14ac:dyDescent="0.25">
      <c r="A380" t="s">
        <v>1171</v>
      </c>
      <c r="B380" t="s">
        <v>1552</v>
      </c>
      <c r="C380" t="str">
        <f>"CONF-"&amp;TEXT(us_core_reqs[[#This Row],[ID*]], "0000")</f>
        <v>CONF-0379</v>
      </c>
      <c r="D380" s="11" t="s">
        <v>2232</v>
      </c>
      <c r="E380" s="73" t="str" cm="1">
        <f t="array" ref="E380">_xlfn.TEXTJOIN(", ", TRUE, _xlfn.TEXTAFTER(_xlfn.TEXTSPLIT(us_core_reqs[[#This Row],[URL*]], ", "), "/", -1))</f>
        <v>StructureDefinition-us-core-encounter.html#profile-specific-implementation-guidance</v>
      </c>
      <c r="F380" s="11" t="s">
        <v>2103</v>
      </c>
      <c r="G380" t="s">
        <v>29</v>
      </c>
      <c r="H380" cm="1">
        <f t="array" ref="H380">_xlfn.SWITCH(G380, "SHALL", 1, "SHOULD", 3, "MAY", 5, "SHOULD-NOT", 4, "SHALL-NOT", 2, "DEPRECATED", 6, 99)</f>
        <v>1</v>
      </c>
      <c r="J380" t="s">
        <v>30</v>
      </c>
      <c r="K380" t="s">
        <v>1171</v>
      </c>
      <c r="L380" t="s">
        <v>1171</v>
      </c>
      <c r="M380" t="s">
        <v>1176</v>
      </c>
      <c r="N380" t="s">
        <v>397</v>
      </c>
      <c r="O380" t="s">
        <v>1171</v>
      </c>
      <c r="P380" t="s">
        <v>1171</v>
      </c>
      <c r="Q380" t="s">
        <v>1171</v>
      </c>
      <c r="R380" t="s">
        <v>1171</v>
      </c>
      <c r="S380" s="70" t="str" cm="1">
        <f t="array" ref="S380">_xlfn.TEXTJOIN(",",TRUE,LEFT(TRIM(_xlfn.TEXTSPLIT(us_core_reqs[[#This Row],[reference]],",")),FIND(".html",TRIM(_xlfn.TEXTSPLIT(us_core_reqs[[#This Row],[reference]],",")))-1))</f>
        <v>StructureDefinition-us-core-encounter</v>
      </c>
      <c r="T380" s="70" t="str" cm="1">
        <f t="array" ref="T380">_xlfn.TEXTJOIN(",",TRUE,MID(TRIM(_xlfn.TEXTSPLIT(us_core_reqs[[#This Row],[reference]],",")),FIND("#",TRIM(_xlfn.TEXTSPLIT(us_core_reqs[[#This Row],[reference]],","))&amp;"#")+1,1000))</f>
        <v>profile-specific-implementation-guidance</v>
      </c>
      <c r="U380"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t="s">
        <v>29</v>
      </c>
      <c r="W380" t="s">
        <v>30</v>
      </c>
      <c r="X380" t="s">
        <v>1171</v>
      </c>
      <c r="Y380" t="s">
        <v>1171</v>
      </c>
      <c r="Z380" t="s">
        <v>1171</v>
      </c>
      <c r="AA380" t="s">
        <v>1171</v>
      </c>
      <c r="AB380" t="s">
        <v>1171</v>
      </c>
      <c r="AC380" t="s">
        <v>1171</v>
      </c>
      <c r="AD380" t="s">
        <v>1140</v>
      </c>
      <c r="AE380" t="s">
        <v>1171</v>
      </c>
    </row>
    <row r="381" spans="1:31" ht="35" thickBot="1" x14ac:dyDescent="0.25">
      <c r="A381" t="s">
        <v>1171</v>
      </c>
      <c r="B381" t="s">
        <v>1553</v>
      </c>
      <c r="C381" t="str">
        <f>"CONF-"&amp;TEXT(us_core_reqs[[#This Row],[ID*]], "0000")</f>
        <v>CONF-0380</v>
      </c>
      <c r="D381" s="11" t="s">
        <v>2232</v>
      </c>
      <c r="E381" s="73" t="str" cm="1">
        <f t="array" ref="E381">_xlfn.TEXTJOIN(", ", TRUE, _xlfn.TEXTAFTER(_xlfn.TEXTSPLIT(us_core_reqs[[#This Row],[URL*]], ", "), "/", -1))</f>
        <v>StructureDefinition-us-core-encounter.html#profile-specific-implementation-guidance</v>
      </c>
      <c r="F381" s="11" t="s">
        <v>2104</v>
      </c>
      <c r="G381" t="s">
        <v>29</v>
      </c>
      <c r="H381" cm="1">
        <f t="array" ref="H381">_xlfn.SWITCH(G381, "SHALL", 1, "SHOULD", 3, "MAY", 5, "SHOULD-NOT", 4, "SHALL-NOT", 2, "DEPRECATED", 6, 99)</f>
        <v>1</v>
      </c>
      <c r="J381" t="s">
        <v>58</v>
      </c>
      <c r="K381" t="s">
        <v>1171</v>
      </c>
      <c r="L381" t="s">
        <v>1171</v>
      </c>
      <c r="M381" t="s">
        <v>1173</v>
      </c>
      <c r="N381" t="s">
        <v>1171</v>
      </c>
      <c r="O381" t="s">
        <v>1171</v>
      </c>
      <c r="P381" t="s">
        <v>1171</v>
      </c>
      <c r="Q381" t="s">
        <v>1171</v>
      </c>
      <c r="R381" t="s">
        <v>1171</v>
      </c>
      <c r="S381" s="70" t="str" cm="1">
        <f t="array" ref="S381">_xlfn.TEXTJOIN(",",TRUE,LEFT(TRIM(_xlfn.TEXTSPLIT(us_core_reqs[[#This Row],[reference]],",")),FIND(".html",TRIM(_xlfn.TEXTSPLIT(us_core_reqs[[#This Row],[reference]],",")))-1))</f>
        <v>StructureDefinition-us-core-encounter</v>
      </c>
      <c r="T381" s="70" t="str" cm="1">
        <f t="array" ref="T381">_xlfn.TEXTJOIN(",",TRUE,MID(TRIM(_xlfn.TEXTSPLIT(us_core_reqs[[#This Row],[reference]],",")),FIND("#",TRIM(_xlfn.TEXTSPLIT(us_core_reqs[[#This Row],[reference]],","))&amp;"#")+1,1000))</f>
        <v>profile-specific-implementation-guidance</v>
      </c>
      <c r="U381"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t="s">
        <v>29</v>
      </c>
      <c r="W381" t="s">
        <v>58</v>
      </c>
      <c r="X381" t="s">
        <v>1171</v>
      </c>
      <c r="Y381" t="s">
        <v>1171</v>
      </c>
      <c r="Z381" t="s">
        <v>1171</v>
      </c>
      <c r="AA381" t="s">
        <v>1171</v>
      </c>
      <c r="AB381" t="s">
        <v>1171</v>
      </c>
      <c r="AC381" t="s">
        <v>1171</v>
      </c>
      <c r="AD381" t="s">
        <v>1171</v>
      </c>
      <c r="AE381" t="s">
        <v>1171</v>
      </c>
    </row>
    <row r="382" spans="1:31" ht="35" thickBot="1" x14ac:dyDescent="0.25">
      <c r="A382" t="s">
        <v>1171</v>
      </c>
      <c r="B382" t="s">
        <v>1554</v>
      </c>
      <c r="C382" t="str">
        <f>"CONF-"&amp;TEXT(us_core_reqs[[#This Row],[ID*]], "0000")</f>
        <v>CONF-0381</v>
      </c>
      <c r="D382" s="11" t="s">
        <v>2232</v>
      </c>
      <c r="E382" s="73" t="str" cm="1">
        <f t="array" ref="E382">_xlfn.TEXTJOIN(", ", TRUE, _xlfn.TEXTAFTER(_xlfn.TEXTSPLIT(us_core_reqs[[#This Row],[URL*]], ", "), "/", -1))</f>
        <v>StructureDefinition-us-core-encounter.html#profile-specific-implementation-guidance</v>
      </c>
      <c r="F382" s="11" t="s">
        <v>2105</v>
      </c>
      <c r="G382" t="s">
        <v>29</v>
      </c>
      <c r="H382" cm="1">
        <f t="array" ref="H382">_xlfn.SWITCH(G382, "SHALL", 1, "SHOULD", 3, "MAY", 5, "SHOULD-NOT", 4, "SHALL-NOT", 2, "DEPRECATED", 6, 99)</f>
        <v>1</v>
      </c>
      <c r="J382" t="s">
        <v>58</v>
      </c>
      <c r="K382" t="s">
        <v>1171</v>
      </c>
      <c r="L382" t="s">
        <v>1171</v>
      </c>
      <c r="M382" t="s">
        <v>1173</v>
      </c>
      <c r="N382" t="s">
        <v>1171</v>
      </c>
      <c r="O382" t="s">
        <v>1171</v>
      </c>
      <c r="P382" t="s">
        <v>1171</v>
      </c>
      <c r="Q382" t="s">
        <v>1171</v>
      </c>
      <c r="R382" t="s">
        <v>1171</v>
      </c>
      <c r="S382" s="70" t="str" cm="1">
        <f t="array" ref="S382">_xlfn.TEXTJOIN(",",TRUE,LEFT(TRIM(_xlfn.TEXTSPLIT(us_core_reqs[[#This Row],[reference]],",")),FIND(".html",TRIM(_xlfn.TEXTSPLIT(us_core_reqs[[#This Row],[reference]],",")))-1))</f>
        <v>StructureDefinition-us-core-encounter</v>
      </c>
      <c r="T382" s="70" t="str" cm="1">
        <f t="array" ref="T382">_xlfn.TEXTJOIN(",",TRUE,MID(TRIM(_xlfn.TEXTSPLIT(us_core_reqs[[#This Row],[reference]],",")),FIND("#",TRIM(_xlfn.TEXTSPLIT(us_core_reqs[[#This Row],[reference]],","))&amp;"#")+1,1000))</f>
        <v>profile-specific-implementation-guidance</v>
      </c>
      <c r="U382"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t="s">
        <v>29</v>
      </c>
      <c r="W382" t="s">
        <v>58</v>
      </c>
      <c r="X382" t="s">
        <v>1171</v>
      </c>
      <c r="Y382" t="s">
        <v>1171</v>
      </c>
      <c r="Z382" t="s">
        <v>1171</v>
      </c>
      <c r="AA382" t="s">
        <v>1171</v>
      </c>
      <c r="AB382" t="s">
        <v>1171</v>
      </c>
      <c r="AC382" t="s">
        <v>1171</v>
      </c>
      <c r="AD382" t="s">
        <v>1171</v>
      </c>
      <c r="AE382" t="s">
        <v>1171</v>
      </c>
    </row>
    <row r="383" spans="1:31" ht="69" thickBot="1" x14ac:dyDescent="0.25">
      <c r="A383" t="s">
        <v>1171</v>
      </c>
      <c r="B383" t="s">
        <v>1555</v>
      </c>
      <c r="C383" t="str">
        <f>"CONF-"&amp;TEXT(us_core_reqs[[#This Row],[ID*]], "0000")</f>
        <v>CONF-0382</v>
      </c>
      <c r="D383" s="11" t="s">
        <v>2233</v>
      </c>
      <c r="E383" s="73" t="str" cm="1">
        <f t="array" ref="E383">_xlfn.TEXTJOIN(", ", TRUE, _xlfn.TEXTAFTER(_xlfn.TEXTSPLIT(us_core_reqs[[#This Row],[URL*]], ", "), "/", -1))</f>
        <v>StructureDefinition-us-core-encounter.html#profile-specific-implementation-guidance, StructureDefinition-us-core-location.html#profile-specific-implementation-guidance</v>
      </c>
      <c r="F383" s="11" t="s">
        <v>1969</v>
      </c>
      <c r="G383" t="s">
        <v>32</v>
      </c>
      <c r="H383" cm="1">
        <f t="array" ref="H383">_xlfn.SWITCH(G383, "SHALL", 1, "SHOULD", 3, "MAY", 5, "SHOULD-NOT", 4, "SHALL-NOT", 2, "DEPRECATED", 6, 99)</f>
        <v>3</v>
      </c>
      <c r="J383" t="s">
        <v>30</v>
      </c>
      <c r="K383" t="s">
        <v>1171</v>
      </c>
      <c r="L383" t="s">
        <v>1171</v>
      </c>
      <c r="M383" t="s">
        <v>1176</v>
      </c>
      <c r="N383" t="s">
        <v>399</v>
      </c>
      <c r="O383" t="s">
        <v>1171</v>
      </c>
      <c r="P383" t="s">
        <v>1171</v>
      </c>
      <c r="Q383" t="s">
        <v>1171</v>
      </c>
      <c r="R383" t="s">
        <v>1171</v>
      </c>
      <c r="S383" s="70" t="str" cm="1">
        <f t="array" ref="S383">_xlfn.TEXTJOIN(",",TRUE,LEFT(TRIM(_xlfn.TEXTSPLIT(us_core_reqs[[#This Row],[reference]],",")),FIND(".html",TRIM(_xlfn.TEXTSPLIT(us_core_reqs[[#This Row],[reference]],",")))-1))</f>
        <v>StructureDefinition-us-core-encounter,StructureDefinition-us-core-location</v>
      </c>
      <c r="T383" s="70" t="str" cm="1">
        <f t="array" ref="T383">_xlfn.TEXTJOIN(",",TRUE,MID(TRIM(_xlfn.TEXTSPLIT(us_core_reqs[[#This Row],[reference]],",")),FIND("#",TRIM(_xlfn.TEXTSPLIT(us_core_reqs[[#This Row],[reference]],","))&amp;"#")+1,1000))</f>
        <v>profile-specific-implementation-guidance,profile-specific-implementation-guidance</v>
      </c>
      <c r="U383"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t="s">
        <v>32</v>
      </c>
      <c r="W383" t="s">
        <v>1171</v>
      </c>
      <c r="X383" t="s">
        <v>1171</v>
      </c>
      <c r="Y383" t="s">
        <v>1171</v>
      </c>
      <c r="Z383" t="s">
        <v>1171</v>
      </c>
      <c r="AA383" t="s">
        <v>1171</v>
      </c>
      <c r="AB383" t="s">
        <v>1171</v>
      </c>
      <c r="AC383" t="s">
        <v>1171</v>
      </c>
      <c r="AD383" t="s">
        <v>1141</v>
      </c>
      <c r="AE383" t="s">
        <v>1171</v>
      </c>
    </row>
    <row r="384" spans="1:31" ht="69" thickBot="1" x14ac:dyDescent="0.25">
      <c r="A384" t="s">
        <v>1171</v>
      </c>
      <c r="B384" t="s">
        <v>1556</v>
      </c>
      <c r="C384" t="str">
        <f>"CONF-"&amp;TEXT(us_core_reqs[[#This Row],[ID*]], "0000")</f>
        <v>CONF-0383</v>
      </c>
      <c r="D384" s="11" t="s">
        <v>2233</v>
      </c>
      <c r="E384" s="73" t="str" cm="1">
        <f t="array" ref="E384">_xlfn.TEXTJOIN(", ", TRUE, _xlfn.TEXTAFTER(_xlfn.TEXTSPLIT(us_core_reqs[[#This Row],[URL*]], ", "), "/", -1))</f>
        <v>StructureDefinition-us-core-encounter.html#profile-specific-implementation-guidance, StructureDefinition-us-core-location.html#profile-specific-implementation-guidance</v>
      </c>
      <c r="F384" s="11" t="s">
        <v>2213</v>
      </c>
      <c r="G384" t="s">
        <v>29</v>
      </c>
      <c r="H384" cm="1">
        <f t="array" ref="H384">_xlfn.SWITCH(G384, "SHALL", 1, "SHOULD", 3, "MAY", 5, "SHOULD-NOT", 4, "SHALL-NOT", 2, "DEPRECATED", 6, 99)</f>
        <v>1</v>
      </c>
      <c r="J384" t="s">
        <v>30</v>
      </c>
      <c r="K384" t="s">
        <v>1171</v>
      </c>
      <c r="L384" t="s">
        <v>1171</v>
      </c>
      <c r="M384" t="s">
        <v>1176</v>
      </c>
      <c r="N384" t="s">
        <v>399</v>
      </c>
      <c r="O384" t="s">
        <v>1171</v>
      </c>
      <c r="P384" t="s">
        <v>1171</v>
      </c>
      <c r="Q384" t="s">
        <v>1171</v>
      </c>
      <c r="R384" t="s">
        <v>1171</v>
      </c>
      <c r="S384" s="70" t="str" cm="1">
        <f t="array" ref="S384">_xlfn.TEXTJOIN(",",TRUE,LEFT(TRIM(_xlfn.TEXTSPLIT(us_core_reqs[[#This Row],[reference]],",")),FIND(".html",TRIM(_xlfn.TEXTSPLIT(us_core_reqs[[#This Row],[reference]],",")))-1))</f>
        <v>StructureDefinition-us-core-encounter,StructureDefinition-us-core-location</v>
      </c>
      <c r="T384" s="70" t="str" cm="1">
        <f t="array" ref="T384">_xlfn.TEXTJOIN(",",TRUE,MID(TRIM(_xlfn.TEXTSPLIT(us_core_reqs[[#This Row],[reference]],",")),FIND("#",TRIM(_xlfn.TEXTSPLIT(us_core_reqs[[#This Row],[reference]],","))&amp;"#")+1,1000))</f>
        <v>profile-specific-implementation-guidance,profile-specific-implementation-guidance</v>
      </c>
      <c r="U384"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t="s">
        <v>29</v>
      </c>
      <c r="W384" t="s">
        <v>1171</v>
      </c>
      <c r="X384" t="s">
        <v>1171</v>
      </c>
      <c r="Y384" t="s">
        <v>1171</v>
      </c>
      <c r="Z384" t="s">
        <v>1171</v>
      </c>
      <c r="AA384" t="s">
        <v>1171</v>
      </c>
      <c r="AB384" t="s">
        <v>1171</v>
      </c>
      <c r="AC384" t="s">
        <v>1171</v>
      </c>
      <c r="AD384" t="s">
        <v>1141</v>
      </c>
      <c r="AE384" t="s">
        <v>1171</v>
      </c>
    </row>
    <row r="385" spans="1:31" ht="86" thickBot="1" x14ac:dyDescent="0.25">
      <c r="A385" t="s">
        <v>1171</v>
      </c>
      <c r="B385" t="s">
        <v>1557</v>
      </c>
      <c r="C385" t="str">
        <f>"CONF-"&amp;TEXT(us_core_reqs[[#This Row],[ID*]], "0000")</f>
        <v>CONF-0384</v>
      </c>
      <c r="D385" s="11" t="s">
        <v>2233</v>
      </c>
      <c r="E385" s="73" t="str" cm="1">
        <f t="array" ref="E385">_xlfn.TEXTJOIN(", ", TRUE, _xlfn.TEXTAFTER(_xlfn.TEXTSPLIT(us_core_reqs[[#This Row],[URL*]], ", "), "/", -1))</f>
        <v>StructureDefinition-us-core-encounter.html#profile-specific-implementation-guidance, StructureDefinition-us-core-location.html#profile-specific-implementation-guidance</v>
      </c>
      <c r="F385" s="11" t="s">
        <v>2187</v>
      </c>
      <c r="G385" t="s">
        <v>35</v>
      </c>
      <c r="H385" cm="1">
        <f t="array" ref="H385">_xlfn.SWITCH(G385, "SHALL", 1, "SHOULD", 3, "MAY", 5, "SHOULD-NOT", 4, "SHALL-NOT", 2, "DEPRECATED", 6, 99)</f>
        <v>5</v>
      </c>
      <c r="J385" t="s">
        <v>30</v>
      </c>
      <c r="K385" t="s">
        <v>1171</v>
      </c>
      <c r="L385" t="s">
        <v>1171</v>
      </c>
      <c r="M385" t="s">
        <v>1176</v>
      </c>
      <c r="N385" t="s">
        <v>399</v>
      </c>
      <c r="O385" t="s">
        <v>1171</v>
      </c>
      <c r="P385" t="s">
        <v>1171</v>
      </c>
      <c r="Q385" t="s">
        <v>1171</v>
      </c>
      <c r="R385" t="s">
        <v>1171</v>
      </c>
      <c r="S385" s="70" t="str" cm="1">
        <f t="array" ref="S385">_xlfn.TEXTJOIN(",",TRUE,LEFT(TRIM(_xlfn.TEXTSPLIT(us_core_reqs[[#This Row],[reference]],",")),FIND(".html",TRIM(_xlfn.TEXTSPLIT(us_core_reqs[[#This Row],[reference]],",")))-1))</f>
        <v>StructureDefinition-us-core-encounter,StructureDefinition-us-core-location</v>
      </c>
      <c r="T385" s="70" t="str" cm="1">
        <f t="array" ref="T385">_xlfn.TEXTJOIN(",",TRUE,MID(TRIM(_xlfn.TEXTSPLIT(us_core_reqs[[#This Row],[reference]],",")),FIND("#",TRIM(_xlfn.TEXTSPLIT(us_core_reqs[[#This Row],[reference]],","))&amp;"#")+1,1000))</f>
        <v>profile-specific-implementation-guidance,profile-specific-implementation-guidance</v>
      </c>
      <c r="U385"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t="s">
        <v>35</v>
      </c>
      <c r="W385" t="s">
        <v>1171</v>
      </c>
      <c r="X385" t="s">
        <v>1171</v>
      </c>
      <c r="Y385" t="s">
        <v>1171</v>
      </c>
      <c r="Z385" t="s">
        <v>1171</v>
      </c>
      <c r="AA385" t="s">
        <v>1171</v>
      </c>
      <c r="AB385" t="s">
        <v>1171</v>
      </c>
      <c r="AC385" t="s">
        <v>1171</v>
      </c>
      <c r="AD385" t="s">
        <v>1171</v>
      </c>
      <c r="AE385" t="s">
        <v>1171</v>
      </c>
    </row>
    <row r="386" spans="1:31" ht="35" thickBot="1" x14ac:dyDescent="0.25">
      <c r="A386" t="s">
        <v>1171</v>
      </c>
      <c r="B386" t="s">
        <v>1558</v>
      </c>
      <c r="C386" t="str">
        <f>"CONF-"&amp;TEXT(us_core_reqs[[#This Row],[ID*]], "0000")</f>
        <v>CONF-0385</v>
      </c>
      <c r="D386" s="11" t="s">
        <v>2232</v>
      </c>
      <c r="E386" s="73" t="str" cm="1">
        <f t="array" ref="E386">_xlfn.TEXTJOIN(", ", TRUE, _xlfn.TEXTAFTER(_xlfn.TEXTSPLIT(us_core_reqs[[#This Row],[URL*]], ", "), "/", -1))</f>
        <v>StructureDefinition-us-core-encounter.html#profile-specific-implementation-guidance</v>
      </c>
      <c r="F386" s="11" t="s">
        <v>1970</v>
      </c>
      <c r="G386" t="s">
        <v>32</v>
      </c>
      <c r="H386" cm="1">
        <f t="array" ref="H386">_xlfn.SWITCH(G386, "SHALL", 1, "SHOULD", 3, "MAY", 5, "SHOULD-NOT", 4, "SHALL-NOT", 2, "DEPRECATED", 6, 99)</f>
        <v>3</v>
      </c>
      <c r="J386" t="s">
        <v>30</v>
      </c>
      <c r="K386" t="s">
        <v>1171</v>
      </c>
      <c r="L386" t="s">
        <v>1171</v>
      </c>
      <c r="M386" t="s">
        <v>1173</v>
      </c>
      <c r="N386" t="s">
        <v>1171</v>
      </c>
      <c r="O386" t="s">
        <v>1171</v>
      </c>
      <c r="P386" t="s">
        <v>1171</v>
      </c>
      <c r="Q386" t="s">
        <v>1171</v>
      </c>
      <c r="R386" t="s">
        <v>1171</v>
      </c>
      <c r="S386" s="70" t="str" cm="1">
        <f t="array" ref="S386">_xlfn.TEXTJOIN(",",TRUE,LEFT(TRIM(_xlfn.TEXTSPLIT(us_core_reqs[[#This Row],[reference]],",")),FIND(".html",TRIM(_xlfn.TEXTSPLIT(us_core_reqs[[#This Row],[reference]],",")))-1))</f>
        <v>StructureDefinition-us-core-encounter</v>
      </c>
      <c r="T386" s="70" t="str" cm="1">
        <f t="array" ref="T386">_xlfn.TEXTJOIN(",",TRUE,MID(TRIM(_xlfn.TEXTSPLIT(us_core_reqs[[#This Row],[reference]],",")),FIND("#",TRIM(_xlfn.TEXTSPLIT(us_core_reqs[[#This Row],[reference]],","))&amp;"#")+1,1000))</f>
        <v>profile-specific-implementation-guidance</v>
      </c>
      <c r="U386"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t="s">
        <v>32</v>
      </c>
      <c r="W386" t="s">
        <v>1171</v>
      </c>
      <c r="X386" t="s">
        <v>1171</v>
      </c>
      <c r="Y386" t="s">
        <v>1171</v>
      </c>
      <c r="Z386" t="s">
        <v>1171</v>
      </c>
      <c r="AA386" t="s">
        <v>1171</v>
      </c>
      <c r="AB386" t="s">
        <v>1171</v>
      </c>
      <c r="AC386" t="s">
        <v>767</v>
      </c>
      <c r="AD386" t="s">
        <v>1171</v>
      </c>
      <c r="AE386" t="s">
        <v>1171</v>
      </c>
    </row>
    <row r="387" spans="1:31" ht="52" thickBot="1" x14ac:dyDescent="0.25">
      <c r="A387" t="s">
        <v>1171</v>
      </c>
      <c r="B387" t="s">
        <v>1559</v>
      </c>
      <c r="C387" t="str">
        <f>"CONF-"&amp;TEXT(us_core_reqs[[#This Row],[ID*]], "0000")</f>
        <v>CONF-0386</v>
      </c>
      <c r="D387" s="11" t="s">
        <v>2232</v>
      </c>
      <c r="E387" s="73" t="str" cm="1">
        <f t="array" ref="E387">_xlfn.TEXTJOIN(", ", TRUE, _xlfn.TEXTAFTER(_xlfn.TEXTSPLIT(us_core_reqs[[#This Row],[URL*]], ", "), "/", -1))</f>
        <v>StructureDefinition-us-core-encounter.html#profile-specific-implementation-guidance</v>
      </c>
      <c r="F387" s="11" t="s">
        <v>1971</v>
      </c>
      <c r="G387" t="s">
        <v>32</v>
      </c>
      <c r="H387" cm="1">
        <f t="array" ref="H387">_xlfn.SWITCH(G387, "SHALL", 1, "SHOULD", 3, "MAY", 5, "SHOULD-NOT", 4, "SHALL-NOT", 2, "DEPRECATED", 6, 99)</f>
        <v>3</v>
      </c>
      <c r="J387" t="s">
        <v>30</v>
      </c>
      <c r="K387" t="s">
        <v>1171</v>
      </c>
      <c r="L387" t="s">
        <v>1171</v>
      </c>
      <c r="M387" t="s">
        <v>1173</v>
      </c>
      <c r="N387" t="s">
        <v>1171</v>
      </c>
      <c r="O387" t="s">
        <v>1171</v>
      </c>
      <c r="P387" t="s">
        <v>1171</v>
      </c>
      <c r="Q387" t="s">
        <v>1171</v>
      </c>
      <c r="R387" t="s">
        <v>1171</v>
      </c>
      <c r="S387" s="70" t="str" cm="1">
        <f t="array" ref="S387">_xlfn.TEXTJOIN(",",TRUE,LEFT(TRIM(_xlfn.TEXTSPLIT(us_core_reqs[[#This Row],[reference]],",")),FIND(".html",TRIM(_xlfn.TEXTSPLIT(us_core_reqs[[#This Row],[reference]],",")))-1))</f>
        <v>StructureDefinition-us-core-encounter</v>
      </c>
      <c r="T387" s="70" t="str" cm="1">
        <f t="array" ref="T387">_xlfn.TEXTJOIN(",",TRUE,MID(TRIM(_xlfn.TEXTSPLIT(us_core_reqs[[#This Row],[reference]],",")),FIND("#",TRIM(_xlfn.TEXTSPLIT(us_core_reqs[[#This Row],[reference]],","))&amp;"#")+1,1000))</f>
        <v>profile-specific-implementation-guidance</v>
      </c>
      <c r="U387"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t="s">
        <v>32</v>
      </c>
      <c r="W387" t="s">
        <v>1171</v>
      </c>
      <c r="X387" t="s">
        <v>1171</v>
      </c>
      <c r="Y387" t="s">
        <v>1171</v>
      </c>
      <c r="Z387" t="s">
        <v>1171</v>
      </c>
      <c r="AA387" t="s">
        <v>1171</v>
      </c>
      <c r="AB387" t="s">
        <v>1171</v>
      </c>
      <c r="AC387" t="s">
        <v>767</v>
      </c>
      <c r="AD387" t="s">
        <v>1171</v>
      </c>
      <c r="AE387" t="s">
        <v>1171</v>
      </c>
    </row>
    <row r="388" spans="1:31" ht="52" thickBot="1" x14ac:dyDescent="0.25">
      <c r="A388" t="s">
        <v>1171</v>
      </c>
      <c r="B388" t="s">
        <v>1560</v>
      </c>
      <c r="C388" t="str">
        <f>"CONF-"&amp;TEXT(us_core_reqs[[#This Row],[ID*]], "0000")</f>
        <v>CONF-0387</v>
      </c>
      <c r="D388" s="11" t="s">
        <v>2234</v>
      </c>
      <c r="E388" s="73" t="str" cm="1">
        <f t="array" ref="E388">_xlfn.TEXTJOIN(", ", TRUE, _xlfn.TEXTAFTER(_xlfn.TEXTSPLIT(us_core_reqs[[#This Row],[URL*]], ", "), "/", -1))</f>
        <v>StructureDefinition-us-core-goal.html#profile-specific-implementation-guidance</v>
      </c>
      <c r="F388" s="11" t="s">
        <v>2106</v>
      </c>
      <c r="G388" t="s">
        <v>29</v>
      </c>
      <c r="H388" cm="1">
        <f t="array" ref="H388">_xlfn.SWITCH(G388, "SHALL", 1, "SHOULD", 3, "MAY", 5, "SHOULD-NOT", 4, "SHALL-NOT", 2, "DEPRECATED", 6, 99)</f>
        <v>1</v>
      </c>
      <c r="J388" t="s">
        <v>30</v>
      </c>
      <c r="K388" t="s">
        <v>1171</v>
      </c>
      <c r="L388" t="s">
        <v>1171</v>
      </c>
      <c r="M388" t="s">
        <v>1176</v>
      </c>
      <c r="N388" t="s">
        <v>1171</v>
      </c>
      <c r="O388" t="s">
        <v>1171</v>
      </c>
      <c r="P388" t="s">
        <v>1171</v>
      </c>
      <c r="Q388" t="s">
        <v>1171</v>
      </c>
      <c r="R388" t="s">
        <v>1171</v>
      </c>
      <c r="S388" s="70" t="str" cm="1">
        <f t="array" ref="S388">_xlfn.TEXTJOIN(",",TRUE,LEFT(TRIM(_xlfn.TEXTSPLIT(us_core_reqs[[#This Row],[reference]],",")),FIND(".html",TRIM(_xlfn.TEXTSPLIT(us_core_reqs[[#This Row],[reference]],",")))-1))</f>
        <v>StructureDefinition-us-core-goal</v>
      </c>
      <c r="T388" s="70" t="str" cm="1">
        <f t="array" ref="T388">_xlfn.TEXTJOIN(",",TRUE,MID(TRIM(_xlfn.TEXTSPLIT(us_core_reqs[[#This Row],[reference]],",")),FIND("#",TRIM(_xlfn.TEXTSPLIT(us_core_reqs[[#This Row],[reference]],","))&amp;"#")+1,1000))</f>
        <v>profile-specific-implementation-guidance</v>
      </c>
      <c r="U388"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t="s">
        <v>29</v>
      </c>
      <c r="W388" t="s">
        <v>30</v>
      </c>
      <c r="X388" t="s">
        <v>1171</v>
      </c>
      <c r="Y388" t="s">
        <v>1171</v>
      </c>
      <c r="Z388" t="s">
        <v>1171</v>
      </c>
      <c r="AA388" t="s">
        <v>1171</v>
      </c>
      <c r="AB388" t="s">
        <v>1171</v>
      </c>
      <c r="AC388" t="s">
        <v>1171</v>
      </c>
      <c r="AD388" t="s">
        <v>1140</v>
      </c>
      <c r="AE388" t="s">
        <v>1171</v>
      </c>
    </row>
    <row r="389" spans="1:31" ht="35" thickBot="1" x14ac:dyDescent="0.25">
      <c r="A389" t="s">
        <v>1171</v>
      </c>
      <c r="B389" t="s">
        <v>1561</v>
      </c>
      <c r="C389" t="str">
        <f>"CONF-"&amp;TEXT(us_core_reqs[[#This Row],[ID*]], "0000")</f>
        <v>CONF-0388</v>
      </c>
      <c r="D389" s="11" t="s">
        <v>2234</v>
      </c>
      <c r="E389" s="73" t="str" cm="1">
        <f t="array" ref="E389">_xlfn.TEXTJOIN(", ", TRUE, _xlfn.TEXTAFTER(_xlfn.TEXTSPLIT(us_core_reqs[[#This Row],[URL*]], ", "), "/", -1))</f>
        <v>StructureDefinition-us-core-goal.html#profile-specific-implementation-guidance</v>
      </c>
      <c r="F389" s="11" t="s">
        <v>2107</v>
      </c>
      <c r="G389" t="s">
        <v>29</v>
      </c>
      <c r="H389" cm="1">
        <f t="array" ref="H389">_xlfn.SWITCH(G389, "SHALL", 1, "SHOULD", 3, "MAY", 5, "SHOULD-NOT", 4, "SHALL-NOT", 2, "DEPRECATED", 6, 99)</f>
        <v>1</v>
      </c>
      <c r="J389" t="s">
        <v>58</v>
      </c>
      <c r="K389" t="s">
        <v>1171</v>
      </c>
      <c r="L389" t="s">
        <v>1171</v>
      </c>
      <c r="M389" t="s">
        <v>1173</v>
      </c>
      <c r="N389" t="s">
        <v>1171</v>
      </c>
      <c r="O389" t="s">
        <v>1171</v>
      </c>
      <c r="P389" t="s">
        <v>1171</v>
      </c>
      <c r="Q389" t="s">
        <v>1171</v>
      </c>
      <c r="R389" t="s">
        <v>1171</v>
      </c>
      <c r="S389" s="70" t="str" cm="1">
        <f t="array" ref="S389">_xlfn.TEXTJOIN(",",TRUE,LEFT(TRIM(_xlfn.TEXTSPLIT(us_core_reqs[[#This Row],[reference]],",")),FIND(".html",TRIM(_xlfn.TEXTSPLIT(us_core_reqs[[#This Row],[reference]],",")))-1))</f>
        <v>StructureDefinition-us-core-goal</v>
      </c>
      <c r="T389" s="70" t="str" cm="1">
        <f t="array" ref="T389">_xlfn.TEXTJOIN(",",TRUE,MID(TRIM(_xlfn.TEXTSPLIT(us_core_reqs[[#This Row],[reference]],",")),FIND("#",TRIM(_xlfn.TEXTSPLIT(us_core_reqs[[#This Row],[reference]],","))&amp;"#")+1,1000))</f>
        <v>profile-specific-implementation-guidance</v>
      </c>
      <c r="U389"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t="s">
        <v>29</v>
      </c>
      <c r="W389" t="s">
        <v>58</v>
      </c>
      <c r="X389" t="s">
        <v>1171</v>
      </c>
      <c r="Y389" t="s">
        <v>1171</v>
      </c>
      <c r="Z389" t="s">
        <v>1171</v>
      </c>
      <c r="AA389" t="s">
        <v>1171</v>
      </c>
      <c r="AB389" t="s">
        <v>1171</v>
      </c>
      <c r="AC389" t="s">
        <v>1171</v>
      </c>
      <c r="AD389" t="s">
        <v>1171</v>
      </c>
      <c r="AE389" t="s">
        <v>1171</v>
      </c>
    </row>
    <row r="390" spans="1:31" ht="35" thickBot="1" x14ac:dyDescent="0.25">
      <c r="A390" t="s">
        <v>1171</v>
      </c>
      <c r="B390" t="s">
        <v>1562</v>
      </c>
      <c r="C390" t="str">
        <f>"CONF-"&amp;TEXT(us_core_reqs[[#This Row],[ID*]], "0000")</f>
        <v>CONF-0389</v>
      </c>
      <c r="D390" s="11" t="s">
        <v>2234</v>
      </c>
      <c r="E390" s="73" t="str" cm="1">
        <f t="array" ref="E390">_xlfn.TEXTJOIN(", ", TRUE, _xlfn.TEXTAFTER(_xlfn.TEXTSPLIT(us_core_reqs[[#This Row],[URL*]], ", "), "/", -1))</f>
        <v>StructureDefinition-us-core-goal.html#profile-specific-implementation-guidance</v>
      </c>
      <c r="F390" s="11" t="s">
        <v>2108</v>
      </c>
      <c r="G390" t="s">
        <v>29</v>
      </c>
      <c r="H390" cm="1">
        <f t="array" ref="H390">_xlfn.SWITCH(G390, "SHALL", 1, "SHOULD", 3, "MAY", 5, "SHOULD-NOT", 4, "SHALL-NOT", 2, "DEPRECATED", 6, 99)</f>
        <v>1</v>
      </c>
      <c r="J390" t="s">
        <v>58</v>
      </c>
      <c r="K390" t="s">
        <v>1171</v>
      </c>
      <c r="L390" t="s">
        <v>1171</v>
      </c>
      <c r="M390" t="s">
        <v>1173</v>
      </c>
      <c r="N390" t="s">
        <v>1171</v>
      </c>
      <c r="O390" t="s">
        <v>1171</v>
      </c>
      <c r="P390" t="s">
        <v>1171</v>
      </c>
      <c r="Q390" t="s">
        <v>1171</v>
      </c>
      <c r="R390" t="s">
        <v>1171</v>
      </c>
      <c r="S390" s="70" t="str" cm="1">
        <f t="array" ref="S390">_xlfn.TEXTJOIN(",",TRUE,LEFT(TRIM(_xlfn.TEXTSPLIT(us_core_reqs[[#This Row],[reference]],",")),FIND(".html",TRIM(_xlfn.TEXTSPLIT(us_core_reqs[[#This Row],[reference]],",")))-1))</f>
        <v>StructureDefinition-us-core-goal</v>
      </c>
      <c r="T390" s="70" t="str" cm="1">
        <f t="array" ref="T390">_xlfn.TEXTJOIN(",",TRUE,MID(TRIM(_xlfn.TEXTSPLIT(us_core_reqs[[#This Row],[reference]],",")),FIND("#",TRIM(_xlfn.TEXTSPLIT(us_core_reqs[[#This Row],[reference]],","))&amp;"#")+1,1000))</f>
        <v>profile-specific-implementation-guidance</v>
      </c>
      <c r="U390"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t="s">
        <v>29</v>
      </c>
      <c r="W390" t="s">
        <v>58</v>
      </c>
      <c r="X390" t="s">
        <v>1171</v>
      </c>
      <c r="Y390" t="s">
        <v>1171</v>
      </c>
      <c r="Z390" t="s">
        <v>1171</v>
      </c>
      <c r="AA390" t="s">
        <v>1171</v>
      </c>
      <c r="AB390" t="s">
        <v>1171</v>
      </c>
      <c r="AC390" t="s">
        <v>1171</v>
      </c>
      <c r="AD390" t="s">
        <v>1171</v>
      </c>
      <c r="AE390" t="s">
        <v>1171</v>
      </c>
    </row>
    <row r="391" spans="1:31" ht="35" thickBot="1" x14ac:dyDescent="0.25">
      <c r="A391" t="s">
        <v>1171</v>
      </c>
      <c r="B391" t="s">
        <v>1563</v>
      </c>
      <c r="C391" t="str">
        <f>"CONF-"&amp;TEXT(us_core_reqs[[#This Row],[ID*]], "0000")</f>
        <v>CONF-0390</v>
      </c>
      <c r="D391" s="11" t="s">
        <v>2235</v>
      </c>
      <c r="E391" s="73" t="str" cm="1">
        <f t="array" ref="E391">_xlfn.TEXTJOIN(", ", TRUE, _xlfn.TEXTAFTER(_xlfn.TEXTSPLIT(us_core_reqs[[#This Row],[URL*]], ", "), "/", -1))</f>
        <v>StructureDefinition-us-core-immunization.html#profile-specific-implementation-guidance</v>
      </c>
      <c r="F391" s="11" t="s">
        <v>402</v>
      </c>
      <c r="G391" t="s">
        <v>29</v>
      </c>
      <c r="H391" cm="1">
        <f t="array" ref="H391">_xlfn.SWITCH(G391, "SHALL", 1, "SHOULD", 3, "MAY", 5, "SHOULD-NOT", 4, "SHALL-NOT", 2, "DEPRECATED", 6, 99)</f>
        <v>1</v>
      </c>
      <c r="I391" t="s">
        <v>2292</v>
      </c>
      <c r="J391" t="s">
        <v>30</v>
      </c>
      <c r="K391" t="s">
        <v>1171</v>
      </c>
      <c r="L391" t="s">
        <v>1171</v>
      </c>
      <c r="M391" t="s">
        <v>1173</v>
      </c>
      <c r="N391" t="s">
        <v>1171</v>
      </c>
      <c r="O391" t="s">
        <v>1171</v>
      </c>
      <c r="P391" t="s">
        <v>1171</v>
      </c>
      <c r="Q391" t="s">
        <v>1171</v>
      </c>
      <c r="R391" t="s">
        <v>1171</v>
      </c>
      <c r="S391" s="70" t="str" cm="1">
        <f t="array" ref="S391">_xlfn.TEXTJOIN(",",TRUE,LEFT(TRIM(_xlfn.TEXTSPLIT(us_core_reqs[[#This Row],[reference]],",")),FIND(".html",TRIM(_xlfn.TEXTSPLIT(us_core_reqs[[#This Row],[reference]],",")))-1))</f>
        <v>StructureDefinition-us-core-immunization</v>
      </c>
      <c r="T391" s="70" t="str" cm="1">
        <f t="array" ref="T391">_xlfn.TEXTJOIN(",",TRUE,MID(TRIM(_xlfn.TEXTSPLIT(us_core_reqs[[#This Row],[reference]],",")),FIND("#",TRIM(_xlfn.TEXTSPLIT(us_core_reqs[[#This Row],[reference]],","))&amp;"#")+1,1000))</f>
        <v>profile-specific-implementation-guidance</v>
      </c>
      <c r="U391"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t="s">
        <v>29</v>
      </c>
      <c r="W391" t="s">
        <v>30</v>
      </c>
      <c r="X391" t="s">
        <v>1171</v>
      </c>
      <c r="Y391" t="s">
        <v>1171</v>
      </c>
      <c r="Z391" t="s">
        <v>1171</v>
      </c>
      <c r="AA391" t="s">
        <v>1171</v>
      </c>
      <c r="AB391" t="s">
        <v>1171</v>
      </c>
      <c r="AC391" t="s">
        <v>1171</v>
      </c>
      <c r="AD391" t="s">
        <v>1141</v>
      </c>
      <c r="AE391" t="s">
        <v>1171</v>
      </c>
    </row>
    <row r="392" spans="1:31" ht="69" thickBot="1" x14ac:dyDescent="0.25">
      <c r="A392" t="s">
        <v>1171</v>
      </c>
      <c r="B392" t="s">
        <v>1564</v>
      </c>
      <c r="C392" t="str">
        <f>"CONF-"&amp;TEXT(us_core_reqs[[#This Row],[ID*]], "0000")</f>
        <v>CONF-0391</v>
      </c>
      <c r="D392" s="11" t="s">
        <v>2235</v>
      </c>
      <c r="E392" s="73" t="str" cm="1">
        <f t="array" ref="E392">_xlfn.TEXTJOIN(", ", TRUE, _xlfn.TEXTAFTER(_xlfn.TEXTSPLIT(us_core_reqs[[#This Row],[URL*]], ", "), "/", -1))</f>
        <v>StructureDefinition-us-core-immunization.html#profile-specific-implementation-guidance</v>
      </c>
      <c r="F392" s="11" t="s">
        <v>403</v>
      </c>
      <c r="G392" t="s">
        <v>29</v>
      </c>
      <c r="H392" cm="1">
        <f t="array" ref="H392">_xlfn.SWITCH(G392, "SHALL", 1, "SHOULD", 3, "MAY", 5, "SHOULD-NOT", 4, "SHALL-NOT", 2, "DEPRECATED", 6, 99)</f>
        <v>1</v>
      </c>
      <c r="I392" t="s">
        <v>2293</v>
      </c>
      <c r="J392" t="s">
        <v>30</v>
      </c>
      <c r="K392" t="b">
        <v>1</v>
      </c>
      <c r="L392" t="s">
        <v>1171</v>
      </c>
      <c r="M392" t="s">
        <v>1176</v>
      </c>
      <c r="N392" t="s">
        <v>404</v>
      </c>
      <c r="O392" t="s">
        <v>1171</v>
      </c>
      <c r="P392" t="s">
        <v>1171</v>
      </c>
      <c r="Q392" t="s">
        <v>1171</v>
      </c>
      <c r="R392" t="s">
        <v>1171</v>
      </c>
      <c r="S392" s="70" t="str" cm="1">
        <f t="array" ref="S392">_xlfn.TEXTJOIN(",",TRUE,LEFT(TRIM(_xlfn.TEXTSPLIT(us_core_reqs[[#This Row],[reference]],",")),FIND(".html",TRIM(_xlfn.TEXTSPLIT(us_core_reqs[[#This Row],[reference]],",")))-1))</f>
        <v>StructureDefinition-us-core-immunization</v>
      </c>
      <c r="T392" s="70" t="str" cm="1">
        <f t="array" ref="T392">_xlfn.TEXTJOIN(",",TRUE,MID(TRIM(_xlfn.TEXTSPLIT(us_core_reqs[[#This Row],[reference]],",")),FIND("#",TRIM(_xlfn.TEXTSPLIT(us_core_reqs[[#This Row],[reference]],","))&amp;"#")+1,1000))</f>
        <v>profile-specific-implementation-guidance</v>
      </c>
      <c r="U392"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t="s">
        <v>1171</v>
      </c>
      <c r="W392" t="s">
        <v>1171</v>
      </c>
      <c r="X392" t="s">
        <v>1171</v>
      </c>
      <c r="Y392" t="s">
        <v>1171</v>
      </c>
      <c r="Z392" t="s">
        <v>1171</v>
      </c>
      <c r="AA392" t="s">
        <v>1171</v>
      </c>
      <c r="AB392" t="s">
        <v>1171</v>
      </c>
      <c r="AC392" t="s">
        <v>405</v>
      </c>
      <c r="AD392" t="s">
        <v>1140</v>
      </c>
      <c r="AE392" t="s">
        <v>1171</v>
      </c>
    </row>
    <row r="393" spans="1:31" ht="103" thickBot="1" x14ac:dyDescent="0.25">
      <c r="A393" t="s">
        <v>1171</v>
      </c>
      <c r="B393" t="s">
        <v>1565</v>
      </c>
      <c r="C393" t="str">
        <f>"CONF-"&amp;TEXT(us_core_reqs[[#This Row],[ID*]], "0000")</f>
        <v>CONF-0392</v>
      </c>
      <c r="D393" s="11" t="s">
        <v>2235</v>
      </c>
      <c r="E393" s="73" t="str" cm="1">
        <f t="array" ref="E393">_xlfn.TEXTJOIN(", ", TRUE, _xlfn.TEXTAFTER(_xlfn.TEXTSPLIT(us_core_reqs[[#This Row],[URL*]], ", "), "/", -1))</f>
        <v>StructureDefinition-us-core-immunization.html#profile-specific-implementation-guidance</v>
      </c>
      <c r="F393" s="11" t="s">
        <v>1972</v>
      </c>
      <c r="G393" t="s">
        <v>32</v>
      </c>
      <c r="H393" cm="1">
        <f t="array" ref="H393">_xlfn.SWITCH(G393, "SHALL", 1, "SHOULD", 3, "MAY", 5, "SHOULD-NOT", 4, "SHALL-NOT", 2, "DEPRECATED", 6, 99)</f>
        <v>3</v>
      </c>
      <c r="J393" t="s">
        <v>30</v>
      </c>
      <c r="K393" t="b">
        <v>1</v>
      </c>
      <c r="L393" t="s">
        <v>1171</v>
      </c>
      <c r="M393" t="s">
        <v>1173</v>
      </c>
      <c r="N393" t="s">
        <v>1171</v>
      </c>
      <c r="O393" t="s">
        <v>1171</v>
      </c>
      <c r="P393" t="s">
        <v>1171</v>
      </c>
      <c r="Q393" t="s">
        <v>1171</v>
      </c>
      <c r="R393" t="s">
        <v>1171</v>
      </c>
      <c r="S393" s="70" t="str" cm="1">
        <f t="array" ref="S393">_xlfn.TEXTJOIN(",",TRUE,LEFT(TRIM(_xlfn.TEXTSPLIT(us_core_reqs[[#This Row],[reference]],",")),FIND(".html",TRIM(_xlfn.TEXTSPLIT(us_core_reqs[[#This Row],[reference]],",")))-1))</f>
        <v>StructureDefinition-us-core-immunization</v>
      </c>
      <c r="T393" s="70" t="str" cm="1">
        <f t="array" ref="T393">_xlfn.TEXTJOIN(",",TRUE,MID(TRIM(_xlfn.TEXTSPLIT(us_core_reqs[[#This Row],[reference]],",")),FIND("#",TRIM(_xlfn.TEXTSPLIT(us_core_reqs[[#This Row],[reference]],","))&amp;"#")+1,1000))</f>
        <v>profile-specific-implementation-guidance</v>
      </c>
      <c r="U393"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t="s">
        <v>32</v>
      </c>
      <c r="W393" t="s">
        <v>1171</v>
      </c>
      <c r="X393" t="s">
        <v>1171</v>
      </c>
      <c r="Y393" t="s">
        <v>1171</v>
      </c>
      <c r="Z393" t="s">
        <v>1171</v>
      </c>
      <c r="AA393" t="s">
        <v>1171</v>
      </c>
      <c r="AB393" t="s">
        <v>1171</v>
      </c>
      <c r="AC393" t="s">
        <v>771</v>
      </c>
      <c r="AD393" t="s">
        <v>1171</v>
      </c>
      <c r="AE393" t="s">
        <v>1171</v>
      </c>
    </row>
    <row r="394" spans="1:31" ht="52" thickBot="1" x14ac:dyDescent="0.25">
      <c r="A394" t="s">
        <v>1171</v>
      </c>
      <c r="B394" t="s">
        <v>1566</v>
      </c>
      <c r="C394" t="str">
        <f>"CONF-"&amp;TEXT(us_core_reqs[[#This Row],[ID*]], "0000")</f>
        <v>CONF-0393</v>
      </c>
      <c r="D394" s="11" t="s">
        <v>2235</v>
      </c>
      <c r="E394" s="73" t="str" cm="1">
        <f t="array" ref="E394">_xlfn.TEXTJOIN(", ", TRUE, _xlfn.TEXTAFTER(_xlfn.TEXTSPLIT(us_core_reqs[[#This Row],[URL*]], ", "), "/", -1))</f>
        <v>StructureDefinition-us-core-immunization.html#profile-specific-implementation-guidance</v>
      </c>
      <c r="F394" s="11" t="s">
        <v>406</v>
      </c>
      <c r="G394" t="s">
        <v>32</v>
      </c>
      <c r="H394" cm="1">
        <f t="array" ref="H394">_xlfn.SWITCH(G394, "SHALL", 1, "SHOULD", 3, "MAY", 5, "SHOULD-NOT", 4, "SHALL-NOT", 2, "DEPRECATED", 6, 99)</f>
        <v>3</v>
      </c>
      <c r="I394" t="s">
        <v>2294</v>
      </c>
      <c r="J394" t="s">
        <v>30</v>
      </c>
      <c r="K394" t="s">
        <v>1171</v>
      </c>
      <c r="L394" t="s">
        <v>1171</v>
      </c>
      <c r="M394" t="s">
        <v>1173</v>
      </c>
      <c r="N394" t="s">
        <v>1171</v>
      </c>
      <c r="O394" t="s">
        <v>1171</v>
      </c>
      <c r="P394" t="s">
        <v>1171</v>
      </c>
      <c r="Q394" t="s">
        <v>1171</v>
      </c>
      <c r="R394" t="s">
        <v>1171</v>
      </c>
      <c r="S394" s="70" t="str" cm="1">
        <f t="array" ref="S394">_xlfn.TEXTJOIN(",",TRUE,LEFT(TRIM(_xlfn.TEXTSPLIT(us_core_reqs[[#This Row],[reference]],",")),FIND(".html",TRIM(_xlfn.TEXTSPLIT(us_core_reqs[[#This Row],[reference]],",")))-1))</f>
        <v>StructureDefinition-us-core-immunization</v>
      </c>
      <c r="T394" s="70" t="str" cm="1">
        <f t="array" ref="T394">_xlfn.TEXTJOIN(",",TRUE,MID(TRIM(_xlfn.TEXTSPLIT(us_core_reqs[[#This Row],[reference]],",")),FIND("#",TRIM(_xlfn.TEXTSPLIT(us_core_reqs[[#This Row],[reference]],","))&amp;"#")+1,1000))</f>
        <v>profile-specific-implementation-guidance</v>
      </c>
      <c r="U394"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t="s">
        <v>1171</v>
      </c>
      <c r="W394" t="s">
        <v>1171</v>
      </c>
      <c r="X394" t="s">
        <v>1171</v>
      </c>
      <c r="Y394" t="s">
        <v>1171</v>
      </c>
      <c r="Z394" t="s">
        <v>1171</v>
      </c>
      <c r="AA394" t="s">
        <v>1171</v>
      </c>
      <c r="AB394" t="s">
        <v>1171</v>
      </c>
      <c r="AC394" t="s">
        <v>1171</v>
      </c>
      <c r="AD394" t="s">
        <v>1171</v>
      </c>
      <c r="AE394" t="s">
        <v>1171</v>
      </c>
    </row>
    <row r="395" spans="1:31" ht="52" thickBot="1" x14ac:dyDescent="0.25">
      <c r="A395" t="s">
        <v>1171</v>
      </c>
      <c r="B395" t="s">
        <v>1567</v>
      </c>
      <c r="C395" t="str">
        <f>"CONF-"&amp;TEXT(us_core_reqs[[#This Row],[ID*]], "0000")</f>
        <v>CONF-0394</v>
      </c>
      <c r="D395" s="11" t="s">
        <v>2235</v>
      </c>
      <c r="E395" s="73" t="str" cm="1">
        <f t="array" ref="E395">_xlfn.TEXTJOIN(", ", TRUE, _xlfn.TEXTAFTER(_xlfn.TEXTSPLIT(us_core_reqs[[#This Row],[URL*]], ", "), "/", -1))</f>
        <v>StructureDefinition-us-core-immunization.html#profile-specific-implementation-guidance</v>
      </c>
      <c r="F395" s="11" t="s">
        <v>407</v>
      </c>
      <c r="G395" t="s">
        <v>32</v>
      </c>
      <c r="H395" cm="1">
        <f t="array" ref="H395">_xlfn.SWITCH(G395, "SHALL", 1, "SHOULD", 3, "MAY", 5, "SHOULD-NOT", 4, "SHALL-NOT", 2, "DEPRECATED", 6, 99)</f>
        <v>3</v>
      </c>
      <c r="J395" t="s">
        <v>30</v>
      </c>
      <c r="K395" t="s">
        <v>1171</v>
      </c>
      <c r="L395" t="s">
        <v>1171</v>
      </c>
      <c r="M395" t="s">
        <v>1173</v>
      </c>
      <c r="N395" t="s">
        <v>1171</v>
      </c>
      <c r="O395" t="s">
        <v>1171</v>
      </c>
      <c r="P395" t="s">
        <v>1171</v>
      </c>
      <c r="Q395" t="s">
        <v>1171</v>
      </c>
      <c r="R395" t="s">
        <v>1171</v>
      </c>
      <c r="S395" s="70" t="str" cm="1">
        <f t="array" ref="S395">_xlfn.TEXTJOIN(",",TRUE,LEFT(TRIM(_xlfn.TEXTSPLIT(us_core_reqs[[#This Row],[reference]],",")),FIND(".html",TRIM(_xlfn.TEXTSPLIT(us_core_reqs[[#This Row],[reference]],",")))-1))</f>
        <v>StructureDefinition-us-core-immunization</v>
      </c>
      <c r="T395" s="70" t="str" cm="1">
        <f t="array" ref="T395">_xlfn.TEXTJOIN(",",TRUE,MID(TRIM(_xlfn.TEXTSPLIT(us_core_reqs[[#This Row],[reference]],",")),FIND("#",TRIM(_xlfn.TEXTSPLIT(us_core_reqs[[#This Row],[reference]],","))&amp;"#")+1,1000))</f>
        <v>profile-specific-implementation-guidance</v>
      </c>
      <c r="U395"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t="s">
        <v>1171</v>
      </c>
      <c r="W395" t="s">
        <v>1171</v>
      </c>
      <c r="X395" t="s">
        <v>1171</v>
      </c>
      <c r="Y395" t="s">
        <v>1171</v>
      </c>
      <c r="Z395" t="s">
        <v>1171</v>
      </c>
      <c r="AA395" t="s">
        <v>1171</v>
      </c>
      <c r="AB395" t="s">
        <v>1171</v>
      </c>
      <c r="AC395" t="s">
        <v>1171</v>
      </c>
      <c r="AD395" t="s">
        <v>1171</v>
      </c>
      <c r="AE395" t="s">
        <v>1171</v>
      </c>
    </row>
    <row r="396" spans="1:31" ht="103" thickBot="1" x14ac:dyDescent="0.25">
      <c r="A396" t="s">
        <v>1171</v>
      </c>
      <c r="B396" t="s">
        <v>1568</v>
      </c>
      <c r="C396" t="str">
        <f>"CONF-"&amp;TEXT(us_core_reqs[[#This Row],[ID*]], "0000")</f>
        <v>CONF-0395</v>
      </c>
      <c r="D396" s="11" t="s">
        <v>2236</v>
      </c>
      <c r="E396" s="73" t="str" cm="1">
        <f t="array" ref="E396">_xlfn.TEXTJOIN(", ", TRUE, _xlfn.TEXTAFTER(_xlfn.TEXTSPLIT(us_core_reqs[[#This Row],[URL*]], ", "), "/", -1))</f>
        <v>StructureDefinition-us-core-location.html#profile-specific-implementation-guidance</v>
      </c>
      <c r="F396" s="11" t="s">
        <v>1973</v>
      </c>
      <c r="G396" t="s">
        <v>64</v>
      </c>
      <c r="H396" cm="1">
        <f t="array" ref="H396">_xlfn.SWITCH(G396, "SHALL", 1, "SHOULD", 3, "MAY", 5, "SHOULD-NOT", 4, "SHALL-NOT", 2, "DEPRECATED", 6, 99)</f>
        <v>6</v>
      </c>
      <c r="J396" t="s">
        <v>30</v>
      </c>
      <c r="K396" t="s">
        <v>1171</v>
      </c>
      <c r="L396" t="s">
        <v>1171</v>
      </c>
      <c r="M396" t="s">
        <v>1173</v>
      </c>
      <c r="N396" t="s">
        <v>1171</v>
      </c>
      <c r="O396" t="s">
        <v>1171</v>
      </c>
      <c r="P396" t="s">
        <v>1171</v>
      </c>
      <c r="Q396" t="s">
        <v>1171</v>
      </c>
      <c r="R396" t="s">
        <v>1171</v>
      </c>
      <c r="S396" s="70" t="str" cm="1">
        <f t="array" ref="S396">_xlfn.TEXTJOIN(",",TRUE,LEFT(TRIM(_xlfn.TEXTSPLIT(us_core_reqs[[#This Row],[reference]],",")),FIND(".html",TRIM(_xlfn.TEXTSPLIT(us_core_reqs[[#This Row],[reference]],",")))-1))</f>
        <v>StructureDefinition-us-core-location</v>
      </c>
      <c r="T396" s="70" t="str" cm="1">
        <f t="array" ref="T396">_xlfn.TEXTJOIN(",",TRUE,MID(TRIM(_xlfn.TEXTSPLIT(us_core_reqs[[#This Row],[reference]],",")),FIND("#",TRIM(_xlfn.TEXTSPLIT(us_core_reqs[[#This Row],[reference]],","))&amp;"#")+1,1000))</f>
        <v>profile-specific-implementation-guidance</v>
      </c>
      <c r="U396"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t="s">
        <v>32</v>
      </c>
      <c r="W396" t="s">
        <v>1171</v>
      </c>
      <c r="X396" t="s">
        <v>1171</v>
      </c>
      <c r="Y396" t="s">
        <v>1171</v>
      </c>
      <c r="Z396" t="s">
        <v>1171</v>
      </c>
      <c r="AA396" t="s">
        <v>1171</v>
      </c>
      <c r="AB396" t="s">
        <v>1171</v>
      </c>
      <c r="AC396" t="s">
        <v>1171</v>
      </c>
      <c r="AD396" t="s">
        <v>1171</v>
      </c>
      <c r="AE396" t="s">
        <v>1171</v>
      </c>
    </row>
    <row r="397" spans="1:31" ht="103" thickBot="1" x14ac:dyDescent="0.25">
      <c r="A397" t="s">
        <v>1171</v>
      </c>
      <c r="B397" t="s">
        <v>1569</v>
      </c>
      <c r="C397" t="str">
        <f>"CONF-"&amp;TEXT(us_core_reqs[[#This Row],[ID*]], "0000")</f>
        <v>CONF-0396</v>
      </c>
      <c r="D397" s="11" t="s">
        <v>2236</v>
      </c>
      <c r="E397" s="73" t="str" cm="1">
        <f t="array" ref="E397">_xlfn.TEXTJOIN(", ", TRUE, _xlfn.TEXTAFTER(_xlfn.TEXTSPLIT(us_core_reqs[[#This Row],[URL*]], ", "), "/", -1))</f>
        <v>StructureDefinition-us-core-location.html#profile-specific-implementation-guidance</v>
      </c>
      <c r="F397" s="11" t="s">
        <v>1974</v>
      </c>
      <c r="G397" t="s">
        <v>64</v>
      </c>
      <c r="H397" cm="1">
        <f t="array" ref="H397">_xlfn.SWITCH(G397, "SHALL", 1, "SHOULD", 3, "MAY", 5, "SHOULD-NOT", 4, "SHALL-NOT", 2, "DEPRECATED", 6, 99)</f>
        <v>6</v>
      </c>
      <c r="J397" t="s">
        <v>30</v>
      </c>
      <c r="K397" t="s">
        <v>1171</v>
      </c>
      <c r="L397" t="s">
        <v>1171</v>
      </c>
      <c r="M397" t="s">
        <v>1173</v>
      </c>
      <c r="N397" t="s">
        <v>1171</v>
      </c>
      <c r="O397" t="s">
        <v>1171</v>
      </c>
      <c r="P397" t="s">
        <v>1171</v>
      </c>
      <c r="Q397" t="s">
        <v>1171</v>
      </c>
      <c r="R397" t="s">
        <v>1171</v>
      </c>
      <c r="S397" s="70" t="str" cm="1">
        <f t="array" ref="S397">_xlfn.TEXTJOIN(",",TRUE,LEFT(TRIM(_xlfn.TEXTSPLIT(us_core_reqs[[#This Row],[reference]],",")),FIND(".html",TRIM(_xlfn.TEXTSPLIT(us_core_reqs[[#This Row],[reference]],",")))-1))</f>
        <v>StructureDefinition-us-core-location</v>
      </c>
      <c r="T397" s="70" t="str" cm="1">
        <f t="array" ref="T397">_xlfn.TEXTJOIN(",",TRUE,MID(TRIM(_xlfn.TEXTSPLIT(us_core_reqs[[#This Row],[reference]],",")),FIND("#",TRIM(_xlfn.TEXTSPLIT(us_core_reqs[[#This Row],[reference]],","))&amp;"#")+1,1000))</f>
        <v>profile-specific-implementation-guidance</v>
      </c>
      <c r="U397"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t="s">
        <v>32</v>
      </c>
      <c r="W397" t="s">
        <v>1171</v>
      </c>
      <c r="X397" t="s">
        <v>1171</v>
      </c>
      <c r="Y397" t="s">
        <v>1171</v>
      </c>
      <c r="Z397" t="s">
        <v>1171</v>
      </c>
      <c r="AA397" t="s">
        <v>1171</v>
      </c>
      <c r="AB397" t="s">
        <v>1171</v>
      </c>
      <c r="AC397" t="s">
        <v>1171</v>
      </c>
      <c r="AD397" t="s">
        <v>1171</v>
      </c>
      <c r="AE397" t="s">
        <v>1171</v>
      </c>
    </row>
    <row r="398" spans="1:31" ht="86" thickBot="1" x14ac:dyDescent="0.25">
      <c r="A398" t="s">
        <v>1171</v>
      </c>
      <c r="B398" t="s">
        <v>1570</v>
      </c>
      <c r="C398" t="str">
        <f>"CONF-"&amp;TEXT(us_core_reqs[[#This Row],[ID*]], "0000")</f>
        <v>CONF-0397</v>
      </c>
      <c r="D398" s="11" t="s">
        <v>2237</v>
      </c>
      <c r="E398" s="73"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11" t="s">
        <v>410</v>
      </c>
      <c r="G398" t="s">
        <v>29</v>
      </c>
      <c r="H398" cm="1">
        <f t="array" ref="H398">_xlfn.SWITCH(G398, "SHALL", 1, "SHOULD", 3, "MAY", 5, "SHOULD-NOT", 4, "SHALL-NOT", 2, "DEPRECATED", 6, 99)</f>
        <v>1</v>
      </c>
      <c r="I398" t="s">
        <v>2295</v>
      </c>
      <c r="J398" t="s">
        <v>30</v>
      </c>
      <c r="K398" t="s">
        <v>1171</v>
      </c>
      <c r="L398" t="s">
        <v>1171</v>
      </c>
      <c r="M398" t="s">
        <v>1176</v>
      </c>
      <c r="N398" t="s">
        <v>411</v>
      </c>
      <c r="O398" t="s">
        <v>1171</v>
      </c>
      <c r="P398" t="s">
        <v>1171</v>
      </c>
      <c r="Q398" t="s">
        <v>1171</v>
      </c>
      <c r="R398" t="s">
        <v>1171</v>
      </c>
      <c r="S398" s="70" t="str" cm="1">
        <f t="array" ref="S398">_xlfn.TEXTJOIN(",",TRUE,LEFT(TRIM(_xlfn.TEXTSPLIT(us_core_reqs[[#This Row],[reference]],",")),FIND(".html",TRIM(_xlfn.TEXTSPLIT(us_core_reqs[[#This Row],[reference]],",")))-1))</f>
        <v>StructureDefinition-us-core-medicationdispense,StructureDefinition-us-core-medicationrequest</v>
      </c>
      <c r="T398" s="70" t="str" cm="1">
        <f t="array" ref="T398">_xlfn.TEXTJOIN(",",TRUE,MID(TRIM(_xlfn.TEXTSPLIT(us_core_reqs[[#This Row],[reference]],",")),FIND("#",TRIM(_xlfn.TEXTSPLIT(us_core_reqs[[#This Row],[reference]],","))&amp;"#")+1,1000))</f>
        <v>profile-specific-implementation-guidance,profile-specific-implementation-guidance</v>
      </c>
      <c r="U398"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t="s">
        <v>1171</v>
      </c>
      <c r="W398" t="s">
        <v>1171</v>
      </c>
      <c r="X398" t="s">
        <v>1171</v>
      </c>
      <c r="Y398" t="s">
        <v>1171</v>
      </c>
      <c r="Z398" t="s">
        <v>1171</v>
      </c>
      <c r="AA398" t="s">
        <v>1171</v>
      </c>
      <c r="AB398" t="s">
        <v>1171</v>
      </c>
      <c r="AC398" t="s">
        <v>1171</v>
      </c>
      <c r="AD398" t="s">
        <v>1140</v>
      </c>
      <c r="AE398" t="s">
        <v>1171</v>
      </c>
    </row>
    <row r="399" spans="1:31" ht="86" thickBot="1" x14ac:dyDescent="0.25">
      <c r="A399" t="s">
        <v>1171</v>
      </c>
      <c r="B399" t="s">
        <v>1571</v>
      </c>
      <c r="C399" t="str">
        <f>"CONF-"&amp;TEXT(us_core_reqs[[#This Row],[ID*]], "0000")</f>
        <v>CONF-0398</v>
      </c>
      <c r="D399" s="11" t="s">
        <v>2237</v>
      </c>
      <c r="E399" s="73"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11" t="s">
        <v>2296</v>
      </c>
      <c r="G399" t="s">
        <v>35</v>
      </c>
      <c r="H399" cm="1">
        <f t="array" ref="H399">_xlfn.SWITCH(G399, "SHALL", 1, "SHOULD", 3, "MAY", 5, "SHOULD-NOT", 4, "SHALL-NOT", 2, "DEPRECATED", 6, 99)</f>
        <v>5</v>
      </c>
      <c r="I399" t="s">
        <v>2297</v>
      </c>
      <c r="J399" t="s">
        <v>30</v>
      </c>
      <c r="K399" t="s">
        <v>1171</v>
      </c>
      <c r="L399" t="s">
        <v>1171</v>
      </c>
      <c r="M399" t="s">
        <v>1176</v>
      </c>
      <c r="N399" t="s">
        <v>411</v>
      </c>
      <c r="O399" t="s">
        <v>1171</v>
      </c>
      <c r="P399" t="s">
        <v>1171</v>
      </c>
      <c r="Q399" t="s">
        <v>1171</v>
      </c>
      <c r="R399" t="s">
        <v>1171</v>
      </c>
      <c r="S399" s="70" t="str" cm="1">
        <f t="array" ref="S399">_xlfn.TEXTJOIN(",",TRUE,LEFT(TRIM(_xlfn.TEXTSPLIT(us_core_reqs[[#This Row],[reference]],",")),FIND(".html",TRIM(_xlfn.TEXTSPLIT(us_core_reqs[[#This Row],[reference]],",")))-1))</f>
        <v>StructureDefinition-us-core-medicationdispense,StructureDefinition-us-core-medicationrequest</v>
      </c>
      <c r="T399" s="70" t="str" cm="1">
        <f t="array" ref="T399">_xlfn.TEXTJOIN(",",TRUE,MID(TRIM(_xlfn.TEXTSPLIT(us_core_reqs[[#This Row],[reference]],",")),FIND("#",TRIM(_xlfn.TEXTSPLIT(us_core_reqs[[#This Row],[reference]],","))&amp;"#")+1,1000))</f>
        <v>profile-specific-implementation-guidance,profile-specific-implementation-guidance</v>
      </c>
      <c r="U399"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t="s">
        <v>1171</v>
      </c>
      <c r="W399" t="s">
        <v>1171</v>
      </c>
      <c r="X399" t="s">
        <v>1171</v>
      </c>
      <c r="Y399" t="s">
        <v>1171</v>
      </c>
      <c r="Z399" t="s">
        <v>1171</v>
      </c>
      <c r="AA399" t="s">
        <v>1171</v>
      </c>
      <c r="AB399" t="s">
        <v>1171</v>
      </c>
      <c r="AC399" t="s">
        <v>1171</v>
      </c>
      <c r="AD399" t="s">
        <v>1171</v>
      </c>
      <c r="AE399" t="s">
        <v>1171</v>
      </c>
    </row>
    <row r="400" spans="1:31" ht="86" thickBot="1" x14ac:dyDescent="0.25">
      <c r="A400" t="s">
        <v>1171</v>
      </c>
      <c r="B400" t="s">
        <v>1572</v>
      </c>
      <c r="C400" t="str">
        <f>"CONF-"&amp;TEXT(us_core_reqs[[#This Row],[ID*]], "0000")</f>
        <v>CONF-0399</v>
      </c>
      <c r="D400" s="11" t="s">
        <v>2237</v>
      </c>
      <c r="E400" s="73"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11" t="s">
        <v>413</v>
      </c>
      <c r="G400" t="s">
        <v>35</v>
      </c>
      <c r="H400" cm="1">
        <f t="array" ref="H400">_xlfn.SWITCH(G400, "SHALL", 1, "SHOULD", 3, "MAY", 5, "SHOULD-NOT", 4, "SHALL-NOT", 2, "DEPRECATED", 6, 99)</f>
        <v>5</v>
      </c>
      <c r="J400" t="s">
        <v>30</v>
      </c>
      <c r="K400" t="s">
        <v>1171</v>
      </c>
      <c r="L400" t="s">
        <v>1171</v>
      </c>
      <c r="M400" t="s">
        <v>1173</v>
      </c>
      <c r="N400" t="s">
        <v>1171</v>
      </c>
      <c r="O400" t="s">
        <v>1171</v>
      </c>
      <c r="P400" t="s">
        <v>1171</v>
      </c>
      <c r="Q400" t="s">
        <v>1171</v>
      </c>
      <c r="R400" t="s">
        <v>1171</v>
      </c>
      <c r="S400" s="70" t="str" cm="1">
        <f t="array" ref="S400">_xlfn.TEXTJOIN(",",TRUE,LEFT(TRIM(_xlfn.TEXTSPLIT(us_core_reqs[[#This Row],[reference]],",")),FIND(".html",TRIM(_xlfn.TEXTSPLIT(us_core_reqs[[#This Row],[reference]],",")))-1))</f>
        <v>StructureDefinition-us-core-medicationdispense,StructureDefinition-us-core-medicationrequest</v>
      </c>
      <c r="T400" s="70" t="str" cm="1">
        <f t="array" ref="T400">_xlfn.TEXTJOIN(",",TRUE,MID(TRIM(_xlfn.TEXTSPLIT(us_core_reqs[[#This Row],[reference]],",")),FIND("#",TRIM(_xlfn.TEXTSPLIT(us_core_reqs[[#This Row],[reference]],","))&amp;"#")+1,1000))</f>
        <v>profile-specific-implementation-guidance,profile-specific-implementation-guidance</v>
      </c>
      <c r="U400"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t="s">
        <v>35</v>
      </c>
      <c r="W400" t="s">
        <v>1171</v>
      </c>
      <c r="X400" t="s">
        <v>1171</v>
      </c>
      <c r="Y400" t="s">
        <v>1171</v>
      </c>
      <c r="Z400" t="s">
        <v>1171</v>
      </c>
      <c r="AA400" t="s">
        <v>1171</v>
      </c>
      <c r="AB400" t="s">
        <v>1171</v>
      </c>
      <c r="AC400" t="s">
        <v>1171</v>
      </c>
      <c r="AD400" t="s">
        <v>1171</v>
      </c>
      <c r="AE400" t="s">
        <v>1171</v>
      </c>
    </row>
    <row r="401" spans="1:31" ht="86" thickBot="1" x14ac:dyDescent="0.25">
      <c r="A401" t="s">
        <v>1171</v>
      </c>
      <c r="B401" t="s">
        <v>1573</v>
      </c>
      <c r="C401" t="str">
        <f>"CONF-"&amp;TEXT(us_core_reqs[[#This Row],[ID*]], "0000")</f>
        <v>CONF-0400</v>
      </c>
      <c r="D401" s="11" t="s">
        <v>2237</v>
      </c>
      <c r="E401" s="73"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11" t="s">
        <v>414</v>
      </c>
      <c r="G401" t="s">
        <v>35</v>
      </c>
      <c r="H401" cm="1">
        <f t="array" ref="H401">_xlfn.SWITCH(G401, "SHALL", 1, "SHOULD", 3, "MAY", 5, "SHOULD-NOT", 4, "SHALL-NOT", 2, "DEPRECATED", 6, 99)</f>
        <v>5</v>
      </c>
      <c r="J401" t="s">
        <v>30</v>
      </c>
      <c r="K401" t="s">
        <v>1171</v>
      </c>
      <c r="L401" t="s">
        <v>1171</v>
      </c>
      <c r="M401" t="s">
        <v>1173</v>
      </c>
      <c r="N401" t="s">
        <v>1171</v>
      </c>
      <c r="O401" t="s">
        <v>1171</v>
      </c>
      <c r="P401" t="s">
        <v>1171</v>
      </c>
      <c r="Q401" t="s">
        <v>1171</v>
      </c>
      <c r="R401" t="s">
        <v>1171</v>
      </c>
      <c r="S401" s="70" t="str" cm="1">
        <f t="array" ref="S401">_xlfn.TEXTJOIN(",",TRUE,LEFT(TRIM(_xlfn.TEXTSPLIT(us_core_reqs[[#This Row],[reference]],",")),FIND(".html",TRIM(_xlfn.TEXTSPLIT(us_core_reqs[[#This Row],[reference]],",")))-1))</f>
        <v>StructureDefinition-us-core-medicationdispense,StructureDefinition-us-core-medicationrequest</v>
      </c>
      <c r="T401" s="70" t="str" cm="1">
        <f t="array" ref="T401">_xlfn.TEXTJOIN(",",TRUE,MID(TRIM(_xlfn.TEXTSPLIT(us_core_reqs[[#This Row],[reference]],",")),FIND("#",TRIM(_xlfn.TEXTSPLIT(us_core_reqs[[#This Row],[reference]],","))&amp;"#")+1,1000))</f>
        <v>profile-specific-implementation-guidance,profile-specific-implementation-guidance</v>
      </c>
      <c r="U401"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t="s">
        <v>35</v>
      </c>
      <c r="W401" t="s">
        <v>1171</v>
      </c>
      <c r="X401" t="s">
        <v>1171</v>
      </c>
      <c r="Y401" t="s">
        <v>1171</v>
      </c>
      <c r="Z401" t="s">
        <v>1171</v>
      </c>
      <c r="AA401" t="s">
        <v>1171</v>
      </c>
      <c r="AB401" t="s">
        <v>1171</v>
      </c>
      <c r="AC401" t="s">
        <v>1171</v>
      </c>
      <c r="AD401" t="s">
        <v>1171</v>
      </c>
      <c r="AE401" t="s">
        <v>1171</v>
      </c>
    </row>
    <row r="402" spans="1:31" ht="86" thickBot="1" x14ac:dyDescent="0.25">
      <c r="A402" t="s">
        <v>1171</v>
      </c>
      <c r="B402" t="s">
        <v>1574</v>
      </c>
      <c r="C402" t="str">
        <f>"CONF-"&amp;TEXT(us_core_reqs[[#This Row],[ID*]], "0000")</f>
        <v>CONF-0401</v>
      </c>
      <c r="D402" s="11" t="s">
        <v>2237</v>
      </c>
      <c r="E402" s="73"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11" t="s">
        <v>2109</v>
      </c>
      <c r="G402" t="s">
        <v>29</v>
      </c>
      <c r="H402" cm="1">
        <f t="array" ref="H402">_xlfn.SWITCH(G402, "SHALL", 1, "SHOULD", 3, "MAY", 5, "SHOULD-NOT", 4, "SHALL-NOT", 2, "DEPRECATED", 6, 99)</f>
        <v>1</v>
      </c>
      <c r="J402" t="s">
        <v>30</v>
      </c>
      <c r="K402" t="s">
        <v>1171</v>
      </c>
      <c r="L402" t="s">
        <v>1171</v>
      </c>
      <c r="M402" t="s">
        <v>1176</v>
      </c>
      <c r="N402" t="s">
        <v>415</v>
      </c>
      <c r="O402" t="s">
        <v>1171</v>
      </c>
      <c r="P402" t="s">
        <v>1171</v>
      </c>
      <c r="Q402" t="s">
        <v>1171</v>
      </c>
      <c r="R402" t="s">
        <v>1171</v>
      </c>
      <c r="S402" s="70" t="str" cm="1">
        <f t="array" ref="S402">_xlfn.TEXTJOIN(",",TRUE,LEFT(TRIM(_xlfn.TEXTSPLIT(us_core_reqs[[#This Row],[reference]],",")),FIND(".html",TRIM(_xlfn.TEXTSPLIT(us_core_reqs[[#This Row],[reference]],",")))-1))</f>
        <v>StructureDefinition-us-core-medicationdispense,StructureDefinition-us-core-medicationrequest</v>
      </c>
      <c r="T402" s="70" t="str" cm="1">
        <f t="array" ref="T402">_xlfn.TEXTJOIN(",",TRUE,MID(TRIM(_xlfn.TEXTSPLIT(us_core_reqs[[#This Row],[reference]],",")),FIND("#",TRIM(_xlfn.TEXTSPLIT(us_core_reqs[[#This Row],[reference]],","))&amp;"#")+1,1000))</f>
        <v>profile-specific-implementation-guidance,profile-specific-implementation-guidance</v>
      </c>
      <c r="U402"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t="s">
        <v>29</v>
      </c>
      <c r="W402" t="s">
        <v>30</v>
      </c>
      <c r="X402" t="s">
        <v>1171</v>
      </c>
      <c r="Y402" t="s">
        <v>1171</v>
      </c>
      <c r="Z402" t="s">
        <v>1171</v>
      </c>
      <c r="AA402" t="s">
        <v>1171</v>
      </c>
      <c r="AB402" t="s">
        <v>1171</v>
      </c>
      <c r="AC402" t="s">
        <v>1171</v>
      </c>
      <c r="AD402" t="s">
        <v>1140</v>
      </c>
      <c r="AE402" t="s">
        <v>1171</v>
      </c>
    </row>
    <row r="403" spans="1:31" ht="86" thickBot="1" x14ac:dyDescent="0.25">
      <c r="A403" t="s">
        <v>1171</v>
      </c>
      <c r="B403" t="s">
        <v>1575</v>
      </c>
      <c r="C403" t="str">
        <f>"CONF-"&amp;TEXT(us_core_reqs[[#This Row],[ID*]], "0000")</f>
        <v>CONF-0402</v>
      </c>
      <c r="D403" s="11" t="s">
        <v>2237</v>
      </c>
      <c r="E403" s="73"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11" t="s">
        <v>2110</v>
      </c>
      <c r="G403" t="s">
        <v>29</v>
      </c>
      <c r="H403" cm="1">
        <f t="array" ref="H403">_xlfn.SWITCH(G403, "SHALL", 1, "SHOULD", 3, "MAY", 5, "SHOULD-NOT", 4, "SHALL-NOT", 2, "DEPRECATED", 6, 99)</f>
        <v>1</v>
      </c>
      <c r="J403" t="s">
        <v>30</v>
      </c>
      <c r="K403" t="s">
        <v>1171</v>
      </c>
      <c r="L403" t="s">
        <v>1171</v>
      </c>
      <c r="M403" t="s">
        <v>1176</v>
      </c>
      <c r="N403" t="s">
        <v>416</v>
      </c>
      <c r="O403" t="s">
        <v>1171</v>
      </c>
      <c r="P403" t="s">
        <v>1171</v>
      </c>
      <c r="Q403" t="s">
        <v>1171</v>
      </c>
      <c r="R403" t="s">
        <v>1171</v>
      </c>
      <c r="S403" s="70" t="str" cm="1">
        <f t="array" ref="S403">_xlfn.TEXTJOIN(",",TRUE,LEFT(TRIM(_xlfn.TEXTSPLIT(us_core_reqs[[#This Row],[reference]],",")),FIND(".html",TRIM(_xlfn.TEXTSPLIT(us_core_reqs[[#This Row],[reference]],",")))-1))</f>
        <v>StructureDefinition-us-core-medicationdispense,StructureDefinition-us-core-medicationrequest</v>
      </c>
      <c r="T403" s="70" t="str" cm="1">
        <f t="array" ref="T403">_xlfn.TEXTJOIN(",",TRUE,MID(TRIM(_xlfn.TEXTSPLIT(us_core_reqs[[#This Row],[reference]],",")),FIND("#",TRIM(_xlfn.TEXTSPLIT(us_core_reqs[[#This Row],[reference]],","))&amp;"#")+1,1000))</f>
        <v>profile-specific-implementation-guidance,profile-specific-implementation-guidance</v>
      </c>
      <c r="U403"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t="s">
        <v>29</v>
      </c>
      <c r="W403" t="s">
        <v>30</v>
      </c>
      <c r="X403" t="s">
        <v>1171</v>
      </c>
      <c r="Y403" t="s">
        <v>1171</v>
      </c>
      <c r="Z403" t="s">
        <v>1171</v>
      </c>
      <c r="AA403" t="s">
        <v>1171</v>
      </c>
      <c r="AB403" t="s">
        <v>1171</v>
      </c>
      <c r="AC403" t="s">
        <v>1171</v>
      </c>
      <c r="AD403" t="s">
        <v>1140</v>
      </c>
      <c r="AE403" t="s">
        <v>1171</v>
      </c>
    </row>
    <row r="404" spans="1:31" ht="86" thickBot="1" x14ac:dyDescent="0.25">
      <c r="A404" t="s">
        <v>1171</v>
      </c>
      <c r="B404" t="s">
        <v>1576</v>
      </c>
      <c r="C404" t="str">
        <f>"CONF-"&amp;TEXT(us_core_reqs[[#This Row],[ID*]], "0000")</f>
        <v>CONF-0403</v>
      </c>
      <c r="D404" s="11" t="s">
        <v>2237</v>
      </c>
      <c r="E404" s="73"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11" t="s">
        <v>2111</v>
      </c>
      <c r="G404" t="s">
        <v>29</v>
      </c>
      <c r="H404" cm="1">
        <f t="array" ref="H404">_xlfn.SWITCH(G404, "SHALL", 1, "SHOULD", 3, "MAY", 5, "SHOULD-NOT", 4, "SHALL-NOT", 2, "DEPRECATED", 6, 99)</f>
        <v>1</v>
      </c>
      <c r="J404" t="s">
        <v>58</v>
      </c>
      <c r="K404" t="s">
        <v>1171</v>
      </c>
      <c r="L404" t="s">
        <v>1171</v>
      </c>
      <c r="M404" t="s">
        <v>1173</v>
      </c>
      <c r="N404" t="s">
        <v>1171</v>
      </c>
      <c r="O404" t="s">
        <v>1171</v>
      </c>
      <c r="P404" t="s">
        <v>1171</v>
      </c>
      <c r="Q404" t="s">
        <v>1171</v>
      </c>
      <c r="R404" t="s">
        <v>1171</v>
      </c>
      <c r="S404" s="70" t="str" cm="1">
        <f t="array" ref="S404">_xlfn.TEXTJOIN(",",TRUE,LEFT(TRIM(_xlfn.TEXTSPLIT(us_core_reqs[[#This Row],[reference]],",")),FIND(".html",TRIM(_xlfn.TEXTSPLIT(us_core_reqs[[#This Row],[reference]],",")))-1))</f>
        <v>StructureDefinition-us-core-medicationdispense,StructureDefinition-us-core-medicationrequest</v>
      </c>
      <c r="T404" s="70" t="str" cm="1">
        <f t="array" ref="T404">_xlfn.TEXTJOIN(",",TRUE,MID(TRIM(_xlfn.TEXTSPLIT(us_core_reqs[[#This Row],[reference]],",")),FIND("#",TRIM(_xlfn.TEXTSPLIT(us_core_reqs[[#This Row],[reference]],","))&amp;"#")+1,1000))</f>
        <v>profile-specific-implementation-guidance,profile-specific-implementation-guidance</v>
      </c>
      <c r="U404"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t="s">
        <v>29</v>
      </c>
      <c r="W404" t="s">
        <v>58</v>
      </c>
      <c r="X404" t="s">
        <v>1171</v>
      </c>
      <c r="Y404" t="s">
        <v>1171</v>
      </c>
      <c r="Z404" t="s">
        <v>1171</v>
      </c>
      <c r="AA404" t="s">
        <v>1171</v>
      </c>
      <c r="AB404" t="s">
        <v>1171</v>
      </c>
      <c r="AC404" t="s">
        <v>1171</v>
      </c>
      <c r="AD404" t="s">
        <v>1171</v>
      </c>
      <c r="AE404" t="s">
        <v>1171</v>
      </c>
    </row>
    <row r="405" spans="1:31" ht="86" thickBot="1" x14ac:dyDescent="0.25">
      <c r="A405" t="s">
        <v>1171</v>
      </c>
      <c r="B405" t="s">
        <v>1577</v>
      </c>
      <c r="C405" t="str">
        <f>"CONF-"&amp;TEXT(us_core_reqs[[#This Row],[ID*]], "0000")</f>
        <v>CONF-0404</v>
      </c>
      <c r="D405" s="11" t="s">
        <v>2237</v>
      </c>
      <c r="E405" s="73"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11" t="s">
        <v>2112</v>
      </c>
      <c r="G405" t="s">
        <v>29</v>
      </c>
      <c r="H405" cm="1">
        <f t="array" ref="H405">_xlfn.SWITCH(G405, "SHALL", 1, "SHOULD", 3, "MAY", 5, "SHOULD-NOT", 4, "SHALL-NOT", 2, "DEPRECATED", 6, 99)</f>
        <v>1</v>
      </c>
      <c r="J405" t="s">
        <v>58</v>
      </c>
      <c r="K405" t="s">
        <v>1171</v>
      </c>
      <c r="L405" t="s">
        <v>1171</v>
      </c>
      <c r="M405" t="s">
        <v>1173</v>
      </c>
      <c r="N405" t="s">
        <v>1171</v>
      </c>
      <c r="O405" t="s">
        <v>1171</v>
      </c>
      <c r="P405" t="s">
        <v>1171</v>
      </c>
      <c r="Q405" t="s">
        <v>1171</v>
      </c>
      <c r="R405" t="s">
        <v>1171</v>
      </c>
      <c r="S405" s="70" t="str" cm="1">
        <f t="array" ref="S405">_xlfn.TEXTJOIN(",",TRUE,LEFT(TRIM(_xlfn.TEXTSPLIT(us_core_reqs[[#This Row],[reference]],",")),FIND(".html",TRIM(_xlfn.TEXTSPLIT(us_core_reqs[[#This Row],[reference]],",")))-1))</f>
        <v>StructureDefinition-us-core-medicationdispense,StructureDefinition-us-core-medicationrequest</v>
      </c>
      <c r="T405" s="70" t="str" cm="1">
        <f t="array" ref="T405">_xlfn.TEXTJOIN(",",TRUE,MID(TRIM(_xlfn.TEXTSPLIT(us_core_reqs[[#This Row],[reference]],",")),FIND("#",TRIM(_xlfn.TEXTSPLIT(us_core_reqs[[#This Row],[reference]],","))&amp;"#")+1,1000))</f>
        <v>profile-specific-implementation-guidance,profile-specific-implementation-guidance</v>
      </c>
      <c r="U405"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t="s">
        <v>29</v>
      </c>
      <c r="W405" t="s">
        <v>58</v>
      </c>
      <c r="X405" t="s">
        <v>1171</v>
      </c>
      <c r="Y405" t="s">
        <v>1171</v>
      </c>
      <c r="Z405" t="s">
        <v>1171</v>
      </c>
      <c r="AA405" t="s">
        <v>1171</v>
      </c>
      <c r="AB405" t="s">
        <v>1171</v>
      </c>
      <c r="AC405" t="s">
        <v>1171</v>
      </c>
      <c r="AD405" t="s">
        <v>1171</v>
      </c>
      <c r="AE405" t="s">
        <v>1171</v>
      </c>
    </row>
    <row r="406" spans="1:31" ht="86" thickBot="1" x14ac:dyDescent="0.25">
      <c r="A406" t="s">
        <v>1171</v>
      </c>
      <c r="B406" t="s">
        <v>1578</v>
      </c>
      <c r="C406" t="str">
        <f>"CONF-"&amp;TEXT(us_core_reqs[[#This Row],[ID*]], "0000")</f>
        <v>CONF-0405</v>
      </c>
      <c r="D406" s="11" t="s">
        <v>2238</v>
      </c>
      <c r="E406" s="73" t="str" cm="1">
        <f t="array" ref="E406">_xlfn.TEXTJOIN(", ", TRUE, _xlfn.TEXTAFTER(_xlfn.TEXTSPLIT(us_core_reqs[[#This Row],[URL*]], ", "), "/", -1))</f>
        <v>StructureDefinition-us-core-medicationrequest.html#profile-specific-implementation-guidance</v>
      </c>
      <c r="F406" s="11" t="s">
        <v>2113</v>
      </c>
      <c r="G406" t="s">
        <v>29</v>
      </c>
      <c r="H406" cm="1">
        <f t="array" ref="H406">_xlfn.SWITCH(G406, "SHALL", 1, "SHOULD", 3, "MAY", 5, "SHOULD-NOT", 4, "SHALL-NOT", 2, "DEPRECATED", 6, 99)</f>
        <v>1</v>
      </c>
      <c r="I406" t="s">
        <v>2298</v>
      </c>
      <c r="J406" t="s">
        <v>30</v>
      </c>
      <c r="K406" t="b">
        <v>1</v>
      </c>
      <c r="L406" t="s">
        <v>1171</v>
      </c>
      <c r="M406" t="s">
        <v>1176</v>
      </c>
      <c r="N406" t="s">
        <v>404</v>
      </c>
      <c r="O406" t="s">
        <v>1171</v>
      </c>
      <c r="P406" t="s">
        <v>1171</v>
      </c>
      <c r="Q406" t="s">
        <v>1171</v>
      </c>
      <c r="R406" t="s">
        <v>1171</v>
      </c>
      <c r="S406" s="70" t="str" cm="1">
        <f t="array" ref="S406">_xlfn.TEXTJOIN(",",TRUE,LEFT(TRIM(_xlfn.TEXTSPLIT(us_core_reqs[[#This Row],[reference]],",")),FIND(".html",TRIM(_xlfn.TEXTSPLIT(us_core_reqs[[#This Row],[reference]],",")))-1))</f>
        <v>StructureDefinition-us-core-medicationrequest</v>
      </c>
      <c r="T406" s="70" t="str" cm="1">
        <f t="array" ref="T406">_xlfn.TEXTJOIN(",",TRUE,MID(TRIM(_xlfn.TEXTSPLIT(us_core_reqs[[#This Row],[reference]],",")),FIND("#",TRIM(_xlfn.TEXTSPLIT(us_core_reqs[[#This Row],[reference]],","))&amp;"#")+1,1000))</f>
        <v>profile-specific-implementation-guidance</v>
      </c>
      <c r="U406"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t="s">
        <v>29</v>
      </c>
      <c r="W406" t="s">
        <v>30</v>
      </c>
      <c r="X406" t="s">
        <v>1171</v>
      </c>
      <c r="Y406" t="s">
        <v>1171</v>
      </c>
      <c r="Z406" t="s">
        <v>1171</v>
      </c>
      <c r="AA406" t="s">
        <v>1171</v>
      </c>
      <c r="AB406" t="s">
        <v>1171</v>
      </c>
      <c r="AC406" t="s">
        <v>405</v>
      </c>
      <c r="AD406" t="s">
        <v>1140</v>
      </c>
      <c r="AE406" t="s">
        <v>1171</v>
      </c>
    </row>
    <row r="407" spans="1:31" ht="86" thickBot="1" x14ac:dyDescent="0.25">
      <c r="A407" t="s">
        <v>1171</v>
      </c>
      <c r="B407" t="s">
        <v>1579</v>
      </c>
      <c r="C407" t="str">
        <f>"CONF-"&amp;TEXT(us_core_reqs[[#This Row],[ID*]], "0000")</f>
        <v>CONF-0406</v>
      </c>
      <c r="D407" s="11" t="s">
        <v>2238</v>
      </c>
      <c r="E407" s="73" t="str" cm="1">
        <f t="array" ref="E407">_xlfn.TEXTJOIN(", ", TRUE, _xlfn.TEXTAFTER(_xlfn.TEXTSPLIT(us_core_reqs[[#This Row],[URL*]], ", "), "/", -1))</f>
        <v>StructureDefinition-us-core-medicationrequest.html#profile-specific-implementation-guidance</v>
      </c>
      <c r="F407" s="11" t="s">
        <v>2114</v>
      </c>
      <c r="G407" t="s">
        <v>29</v>
      </c>
      <c r="H407" cm="1">
        <f t="array" ref="H407">_xlfn.SWITCH(G407, "SHALL", 1, "SHOULD", 3, "MAY", 5, "SHOULD-NOT", 4, "SHALL-NOT", 2, "DEPRECATED", 6, 99)</f>
        <v>1</v>
      </c>
      <c r="I407" t="s">
        <v>2298</v>
      </c>
      <c r="J407" t="s">
        <v>30</v>
      </c>
      <c r="K407" t="b">
        <v>1</v>
      </c>
      <c r="L407" t="s">
        <v>1171</v>
      </c>
      <c r="M407" t="s">
        <v>1176</v>
      </c>
      <c r="N407" t="s">
        <v>404</v>
      </c>
      <c r="O407" t="s">
        <v>1171</v>
      </c>
      <c r="P407" t="s">
        <v>1171</v>
      </c>
      <c r="Q407" t="s">
        <v>1171</v>
      </c>
      <c r="R407" t="s">
        <v>1171</v>
      </c>
      <c r="S407" s="70" t="str" cm="1">
        <f t="array" ref="S407">_xlfn.TEXTJOIN(",",TRUE,LEFT(TRIM(_xlfn.TEXTSPLIT(us_core_reqs[[#This Row],[reference]],",")),FIND(".html",TRIM(_xlfn.TEXTSPLIT(us_core_reqs[[#This Row],[reference]],",")))-1))</f>
        <v>StructureDefinition-us-core-medicationrequest</v>
      </c>
      <c r="T407" s="70" t="str" cm="1">
        <f t="array" ref="T407">_xlfn.TEXTJOIN(",",TRUE,MID(TRIM(_xlfn.TEXTSPLIT(us_core_reqs[[#This Row],[reference]],",")),FIND("#",TRIM(_xlfn.TEXTSPLIT(us_core_reqs[[#This Row],[reference]],","))&amp;"#")+1,1000))</f>
        <v>profile-specific-implementation-guidance</v>
      </c>
      <c r="U407"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t="s">
        <v>29</v>
      </c>
      <c r="W407" t="s">
        <v>30</v>
      </c>
      <c r="X407" t="s">
        <v>1171</v>
      </c>
      <c r="Y407" t="s">
        <v>1171</v>
      </c>
      <c r="Z407" t="s">
        <v>1171</v>
      </c>
      <c r="AA407" t="s">
        <v>1171</v>
      </c>
      <c r="AB407" t="s">
        <v>1171</v>
      </c>
      <c r="AC407" t="s">
        <v>405</v>
      </c>
      <c r="AD407" t="s">
        <v>1140</v>
      </c>
      <c r="AE407" t="s">
        <v>1171</v>
      </c>
    </row>
    <row r="408" spans="1:31" ht="52" thickBot="1" x14ac:dyDescent="0.25">
      <c r="A408" t="s">
        <v>1171</v>
      </c>
      <c r="B408" t="s">
        <v>1580</v>
      </c>
      <c r="C408" t="str">
        <f>"CONF-"&amp;TEXT(us_core_reqs[[#This Row],[ID*]], "0000")</f>
        <v>CONF-0407</v>
      </c>
      <c r="D408" s="11" t="s">
        <v>2238</v>
      </c>
      <c r="E408" s="73" t="str" cm="1">
        <f t="array" ref="E408">_xlfn.TEXTJOIN(", ", TRUE, _xlfn.TEXTAFTER(_xlfn.TEXTSPLIT(us_core_reqs[[#This Row],[URL*]], ", "), "/", -1))</f>
        <v>StructureDefinition-us-core-medicationrequest.html#profile-specific-implementation-guidance</v>
      </c>
      <c r="F408" s="11" t="s">
        <v>1975</v>
      </c>
      <c r="G408" t="s">
        <v>32</v>
      </c>
      <c r="H408" cm="1">
        <f t="array" ref="H408">_xlfn.SWITCH(G408, "SHALL", 1, "SHOULD", 3, "MAY", 5, "SHOULD-NOT", 4, "SHALL-NOT", 2, "DEPRECATED", 6, 99)</f>
        <v>3</v>
      </c>
      <c r="J408" t="s">
        <v>30</v>
      </c>
      <c r="K408" t="s">
        <v>1171</v>
      </c>
      <c r="L408" t="s">
        <v>1171</v>
      </c>
      <c r="M408" t="s">
        <v>1173</v>
      </c>
      <c r="N408" t="s">
        <v>1171</v>
      </c>
      <c r="O408" t="s">
        <v>1171</v>
      </c>
      <c r="P408" t="s">
        <v>1171</v>
      </c>
      <c r="Q408" t="s">
        <v>1171</v>
      </c>
      <c r="R408" t="s">
        <v>1171</v>
      </c>
      <c r="S408" s="70" t="str" cm="1">
        <f t="array" ref="S408">_xlfn.TEXTJOIN(",",TRUE,LEFT(TRIM(_xlfn.TEXTSPLIT(us_core_reqs[[#This Row],[reference]],",")),FIND(".html",TRIM(_xlfn.TEXTSPLIT(us_core_reqs[[#This Row],[reference]],",")))-1))</f>
        <v>StructureDefinition-us-core-medicationrequest</v>
      </c>
      <c r="T408" s="70" t="str" cm="1">
        <f t="array" ref="T408">_xlfn.TEXTJOIN(",",TRUE,MID(TRIM(_xlfn.TEXTSPLIT(us_core_reqs[[#This Row],[reference]],",")),FIND("#",TRIM(_xlfn.TEXTSPLIT(us_core_reqs[[#This Row],[reference]],","))&amp;"#")+1,1000))</f>
        <v>profile-specific-implementation-guidance</v>
      </c>
      <c r="U408"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t="s">
        <v>32</v>
      </c>
      <c r="W408" t="s">
        <v>1171</v>
      </c>
      <c r="X408" t="s">
        <v>1171</v>
      </c>
      <c r="Y408" t="s">
        <v>1171</v>
      </c>
      <c r="Z408" t="s">
        <v>1171</v>
      </c>
      <c r="AA408" t="s">
        <v>1171</v>
      </c>
      <c r="AB408" t="s">
        <v>1171</v>
      </c>
      <c r="AC408" t="s">
        <v>1171</v>
      </c>
      <c r="AD408" t="s">
        <v>1171</v>
      </c>
      <c r="AE408" t="s">
        <v>1171</v>
      </c>
    </row>
    <row r="409" spans="1:31" ht="69" thickBot="1" x14ac:dyDescent="0.25">
      <c r="A409" t="s">
        <v>1171</v>
      </c>
      <c r="B409" t="s">
        <v>1581</v>
      </c>
      <c r="C409" t="str">
        <f>"CONF-"&amp;TEXT(us_core_reqs[[#This Row],[ID*]], "0000")</f>
        <v>CONF-0408</v>
      </c>
      <c r="D409" s="11" t="s">
        <v>2238</v>
      </c>
      <c r="E409" s="73" t="str" cm="1">
        <f t="array" ref="E409">_xlfn.TEXTJOIN(", ", TRUE, _xlfn.TEXTAFTER(_xlfn.TEXTSPLIT(us_core_reqs[[#This Row],[URL*]], ", "), "/", -1))</f>
        <v>StructureDefinition-us-core-medicationrequest.html#profile-specific-implementation-guidance</v>
      </c>
      <c r="F409" s="11" t="s">
        <v>2115</v>
      </c>
      <c r="G409" t="s">
        <v>29</v>
      </c>
      <c r="H409" cm="1">
        <f t="array" ref="H409">_xlfn.SWITCH(G409, "SHALL", 1, "SHOULD", 3, "MAY", 5, "SHOULD-NOT", 4, "SHALL-NOT", 2, "DEPRECATED", 6, 99)</f>
        <v>1</v>
      </c>
      <c r="J409" t="s">
        <v>30</v>
      </c>
      <c r="K409" t="s">
        <v>1171</v>
      </c>
      <c r="L409" t="s">
        <v>1171</v>
      </c>
      <c r="M409" t="s">
        <v>1176</v>
      </c>
      <c r="N409" t="s">
        <v>418</v>
      </c>
      <c r="O409" t="s">
        <v>1171</v>
      </c>
      <c r="P409" t="s">
        <v>1171</v>
      </c>
      <c r="Q409" t="s">
        <v>1171</v>
      </c>
      <c r="R409" t="s">
        <v>1171</v>
      </c>
      <c r="S409" s="70" t="str" cm="1">
        <f t="array" ref="S409">_xlfn.TEXTJOIN(",",TRUE,LEFT(TRIM(_xlfn.TEXTSPLIT(us_core_reqs[[#This Row],[reference]],",")),FIND(".html",TRIM(_xlfn.TEXTSPLIT(us_core_reqs[[#This Row],[reference]],",")))-1))</f>
        <v>StructureDefinition-us-core-medicationrequest</v>
      </c>
      <c r="T409" s="70" t="str" cm="1">
        <f t="array" ref="T409">_xlfn.TEXTJOIN(",",TRUE,MID(TRIM(_xlfn.TEXTSPLIT(us_core_reqs[[#This Row],[reference]],",")),FIND("#",TRIM(_xlfn.TEXTSPLIT(us_core_reqs[[#This Row],[reference]],","))&amp;"#")+1,1000))</f>
        <v>profile-specific-implementation-guidance</v>
      </c>
      <c r="U409"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t="s">
        <v>29</v>
      </c>
      <c r="W409" t="s">
        <v>30</v>
      </c>
      <c r="X409" t="s">
        <v>1171</v>
      </c>
      <c r="Y409" t="s">
        <v>1171</v>
      </c>
      <c r="Z409" t="s">
        <v>1171</v>
      </c>
      <c r="AA409" t="s">
        <v>1171</v>
      </c>
      <c r="AB409" t="s">
        <v>1171</v>
      </c>
      <c r="AC409" t="s">
        <v>1171</v>
      </c>
      <c r="AD409" t="s">
        <v>1140</v>
      </c>
      <c r="AE409" t="s">
        <v>1171</v>
      </c>
    </row>
    <row r="410" spans="1:31" ht="52" thickBot="1" x14ac:dyDescent="0.25">
      <c r="A410" t="s">
        <v>1171</v>
      </c>
      <c r="B410" t="s">
        <v>1582</v>
      </c>
      <c r="C410" t="str">
        <f>"CONF-"&amp;TEXT(us_core_reqs[[#This Row],[ID*]], "0000")</f>
        <v>CONF-0409</v>
      </c>
      <c r="D410" s="11" t="s">
        <v>2238</v>
      </c>
      <c r="E410" s="73" t="str" cm="1">
        <f t="array" ref="E410">_xlfn.TEXTJOIN(", ", TRUE, _xlfn.TEXTAFTER(_xlfn.TEXTSPLIT(us_core_reqs[[#This Row],[URL*]], ", "), "/", -1))</f>
        <v>StructureDefinition-us-core-medicationrequest.html#profile-specific-implementation-guidance</v>
      </c>
      <c r="F410" s="11" t="s">
        <v>2116</v>
      </c>
      <c r="G410" t="s">
        <v>29</v>
      </c>
      <c r="H410" cm="1">
        <f t="array" ref="H410">_xlfn.SWITCH(G410, "SHALL", 1, "SHOULD", 3, "MAY", 5, "SHOULD-NOT", 4, "SHALL-NOT", 2, "DEPRECATED", 6, 99)</f>
        <v>1</v>
      </c>
      <c r="J410" t="s">
        <v>58</v>
      </c>
      <c r="K410" t="s">
        <v>1171</v>
      </c>
      <c r="L410" t="s">
        <v>1171</v>
      </c>
      <c r="M410" t="s">
        <v>1173</v>
      </c>
      <c r="N410" t="s">
        <v>1171</v>
      </c>
      <c r="O410" t="s">
        <v>1171</v>
      </c>
      <c r="P410" t="s">
        <v>1171</v>
      </c>
      <c r="Q410" t="s">
        <v>1171</v>
      </c>
      <c r="R410" t="s">
        <v>1171</v>
      </c>
      <c r="S410" s="70" t="str" cm="1">
        <f t="array" ref="S410">_xlfn.TEXTJOIN(",",TRUE,LEFT(TRIM(_xlfn.TEXTSPLIT(us_core_reqs[[#This Row],[reference]],",")),FIND(".html",TRIM(_xlfn.TEXTSPLIT(us_core_reqs[[#This Row],[reference]],",")))-1))</f>
        <v>StructureDefinition-us-core-medicationrequest</v>
      </c>
      <c r="T410" s="70" t="str" cm="1">
        <f t="array" ref="T410">_xlfn.TEXTJOIN(",",TRUE,MID(TRIM(_xlfn.TEXTSPLIT(us_core_reqs[[#This Row],[reference]],",")),FIND("#",TRIM(_xlfn.TEXTSPLIT(us_core_reqs[[#This Row],[reference]],","))&amp;"#")+1,1000))</f>
        <v>profile-specific-implementation-guidance</v>
      </c>
      <c r="U410"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t="s">
        <v>29</v>
      </c>
      <c r="W410" t="s">
        <v>58</v>
      </c>
      <c r="X410" t="s">
        <v>1171</v>
      </c>
      <c r="Y410" t="s">
        <v>1171</v>
      </c>
      <c r="Z410" t="s">
        <v>1171</v>
      </c>
      <c r="AA410" t="s">
        <v>1171</v>
      </c>
      <c r="AB410" t="s">
        <v>1171</v>
      </c>
      <c r="AC410" t="s">
        <v>1171</v>
      </c>
      <c r="AD410" t="s">
        <v>1171</v>
      </c>
      <c r="AE410" t="s">
        <v>1171</v>
      </c>
    </row>
    <row r="411" spans="1:31" ht="52" thickBot="1" x14ac:dyDescent="0.25">
      <c r="A411" t="s">
        <v>1171</v>
      </c>
      <c r="B411" t="s">
        <v>1583</v>
      </c>
      <c r="C411" t="str">
        <f>"CONF-"&amp;TEXT(us_core_reqs[[#This Row],[ID*]], "0000")</f>
        <v>CONF-0410</v>
      </c>
      <c r="D411" s="11" t="s">
        <v>2238</v>
      </c>
      <c r="E411" s="73" t="str" cm="1">
        <f t="array" ref="E411">_xlfn.TEXTJOIN(", ", TRUE, _xlfn.TEXTAFTER(_xlfn.TEXTSPLIT(us_core_reqs[[#This Row],[URL*]], ", "), "/", -1))</f>
        <v>StructureDefinition-us-core-medicationrequest.html#profile-specific-implementation-guidance</v>
      </c>
      <c r="F411" s="11" t="s">
        <v>2117</v>
      </c>
      <c r="G411" t="s">
        <v>29</v>
      </c>
      <c r="H411" cm="1">
        <f t="array" ref="H411">_xlfn.SWITCH(G411, "SHALL", 1, "SHOULD", 3, "MAY", 5, "SHOULD-NOT", 4, "SHALL-NOT", 2, "DEPRECATED", 6, 99)</f>
        <v>1</v>
      </c>
      <c r="J411" t="s">
        <v>58</v>
      </c>
      <c r="K411" t="s">
        <v>1171</v>
      </c>
      <c r="L411" t="s">
        <v>1171</v>
      </c>
      <c r="M411" t="s">
        <v>1173</v>
      </c>
      <c r="N411" t="s">
        <v>1171</v>
      </c>
      <c r="O411" t="s">
        <v>1171</v>
      </c>
      <c r="P411" t="s">
        <v>1171</v>
      </c>
      <c r="Q411" t="s">
        <v>1171</v>
      </c>
      <c r="R411" t="s">
        <v>1171</v>
      </c>
      <c r="S411" s="70" t="str" cm="1">
        <f t="array" ref="S411">_xlfn.TEXTJOIN(",",TRUE,LEFT(TRIM(_xlfn.TEXTSPLIT(us_core_reqs[[#This Row],[reference]],",")),FIND(".html",TRIM(_xlfn.TEXTSPLIT(us_core_reqs[[#This Row],[reference]],",")))-1))</f>
        <v>StructureDefinition-us-core-medicationrequest</v>
      </c>
      <c r="T411" s="70" t="str" cm="1">
        <f t="array" ref="T411">_xlfn.TEXTJOIN(",",TRUE,MID(TRIM(_xlfn.TEXTSPLIT(us_core_reqs[[#This Row],[reference]],",")),FIND("#",TRIM(_xlfn.TEXTSPLIT(us_core_reqs[[#This Row],[reference]],","))&amp;"#")+1,1000))</f>
        <v>profile-specific-implementation-guidance</v>
      </c>
      <c r="U411"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t="s">
        <v>29</v>
      </c>
      <c r="W411" t="s">
        <v>58</v>
      </c>
      <c r="X411" t="s">
        <v>1171</v>
      </c>
      <c r="Y411" t="s">
        <v>1171</v>
      </c>
      <c r="Z411" t="s">
        <v>1171</v>
      </c>
      <c r="AA411" t="s">
        <v>1171</v>
      </c>
      <c r="AB411" t="s">
        <v>1171</v>
      </c>
      <c r="AC411" t="s">
        <v>1171</v>
      </c>
      <c r="AD411" t="s">
        <v>1171</v>
      </c>
      <c r="AE411" t="s">
        <v>1171</v>
      </c>
    </row>
    <row r="412" spans="1:31" ht="103" thickBot="1" x14ac:dyDescent="0.25">
      <c r="A412" t="s">
        <v>1171</v>
      </c>
      <c r="B412" t="s">
        <v>1584</v>
      </c>
      <c r="C412" t="str">
        <f>"CONF-"&amp;TEXT(us_core_reqs[[#This Row],[ID*]], "0000")</f>
        <v>CONF-0411</v>
      </c>
      <c r="D412" s="11" t="s">
        <v>2238</v>
      </c>
      <c r="E412" s="73" t="str" cm="1">
        <f t="array" ref="E412">_xlfn.TEXTJOIN(", ", TRUE, _xlfn.TEXTAFTER(_xlfn.TEXTSPLIT(us_core_reqs[[#This Row],[URL*]], ", "), "/", -1))</f>
        <v>StructureDefinition-us-core-medicationrequest.html#profile-specific-implementation-guidance</v>
      </c>
      <c r="F412" s="11" t="s">
        <v>2118</v>
      </c>
      <c r="G412" t="s">
        <v>29</v>
      </c>
      <c r="H412" cm="1">
        <f t="array" ref="H412">_xlfn.SWITCH(G412, "SHALL", 1, "SHOULD", 3, "MAY", 5, "SHOULD-NOT", 4, "SHALL-NOT", 2, "DEPRECATED", 6, 99)</f>
        <v>1</v>
      </c>
      <c r="J412" t="s">
        <v>30</v>
      </c>
      <c r="K412" t="b">
        <v>1</v>
      </c>
      <c r="L412" t="s">
        <v>1171</v>
      </c>
      <c r="M412" t="s">
        <v>1176</v>
      </c>
      <c r="N412" t="s">
        <v>1057</v>
      </c>
      <c r="O412" t="s">
        <v>1171</v>
      </c>
      <c r="P412" t="s">
        <v>1171</v>
      </c>
      <c r="Q412" t="s">
        <v>1171</v>
      </c>
      <c r="R412" t="s">
        <v>1171</v>
      </c>
      <c r="S412" s="70" t="str" cm="1">
        <f t="array" ref="S412">_xlfn.TEXTJOIN(",",TRUE,LEFT(TRIM(_xlfn.TEXTSPLIT(us_core_reqs[[#This Row],[reference]],",")),FIND(".html",TRIM(_xlfn.TEXTSPLIT(us_core_reqs[[#This Row],[reference]],",")))-1))</f>
        <v>StructureDefinition-us-core-medicationrequest</v>
      </c>
      <c r="T412" s="70" t="str" cm="1">
        <f t="array" ref="T412">_xlfn.TEXTJOIN(",",TRUE,MID(TRIM(_xlfn.TEXTSPLIT(us_core_reqs[[#This Row],[reference]],",")),FIND("#",TRIM(_xlfn.TEXTSPLIT(us_core_reqs[[#This Row],[reference]],","))&amp;"#")+1,1000))</f>
        <v>profile-specific-implementation-guidance</v>
      </c>
      <c r="U412"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t="s">
        <v>29</v>
      </c>
      <c r="W412" t="s">
        <v>30</v>
      </c>
      <c r="X412" t="s">
        <v>1171</v>
      </c>
      <c r="Y412" t="s">
        <v>1171</v>
      </c>
      <c r="Z412" t="s">
        <v>1171</v>
      </c>
      <c r="AA412" t="s">
        <v>1171</v>
      </c>
      <c r="AB412" t="s">
        <v>1171</v>
      </c>
      <c r="AC412" t="s">
        <v>405</v>
      </c>
      <c r="AD412" t="s">
        <v>1140</v>
      </c>
      <c r="AE412" t="s">
        <v>1171</v>
      </c>
    </row>
    <row r="413" spans="1:31" ht="52" thickBot="1" x14ac:dyDescent="0.25">
      <c r="A413" t="s">
        <v>1171</v>
      </c>
      <c r="B413" t="s">
        <v>1585</v>
      </c>
      <c r="C413" t="str">
        <f>"CONF-"&amp;TEXT(us_core_reqs[[#This Row],[ID*]], "0000")</f>
        <v>CONF-0412</v>
      </c>
      <c r="D413" s="11" t="s">
        <v>2238</v>
      </c>
      <c r="E413" s="73" t="str" cm="1">
        <f t="array" ref="E413">_xlfn.TEXTJOIN(", ", TRUE, _xlfn.TEXTAFTER(_xlfn.TEXTSPLIT(us_core_reqs[[#This Row],[URL*]], ", "), "/", -1))</f>
        <v>StructureDefinition-us-core-medicationrequest.html#profile-specific-implementation-guidance</v>
      </c>
      <c r="F413" s="11" t="s">
        <v>2119</v>
      </c>
      <c r="G413" t="s">
        <v>29</v>
      </c>
      <c r="H413" cm="1">
        <f t="array" ref="H413">_xlfn.SWITCH(G413, "SHALL", 1, "SHOULD", 3, "MAY", 5, "SHOULD-NOT", 4, "SHALL-NOT", 2, "DEPRECATED", 6, 99)</f>
        <v>1</v>
      </c>
      <c r="J413" t="s">
        <v>58</v>
      </c>
      <c r="K413" t="s">
        <v>1171</v>
      </c>
      <c r="L413" t="s">
        <v>1171</v>
      </c>
      <c r="M413" t="s">
        <v>1176</v>
      </c>
      <c r="N413" t="s">
        <v>404</v>
      </c>
      <c r="O413" t="s">
        <v>1171</v>
      </c>
      <c r="P413" t="s">
        <v>1171</v>
      </c>
      <c r="Q413" t="s">
        <v>1171</v>
      </c>
      <c r="R413" t="s">
        <v>1171</v>
      </c>
      <c r="S413" s="70" t="str" cm="1">
        <f t="array" ref="S413">_xlfn.TEXTJOIN(",",TRUE,LEFT(TRIM(_xlfn.TEXTSPLIT(us_core_reqs[[#This Row],[reference]],",")),FIND(".html",TRIM(_xlfn.TEXTSPLIT(us_core_reqs[[#This Row],[reference]],",")))-1))</f>
        <v>StructureDefinition-us-core-medicationrequest</v>
      </c>
      <c r="T413" s="70" t="str" cm="1">
        <f t="array" ref="T413">_xlfn.TEXTJOIN(",",TRUE,MID(TRIM(_xlfn.TEXTSPLIT(us_core_reqs[[#This Row],[reference]],",")),FIND("#",TRIM(_xlfn.TEXTSPLIT(us_core_reqs[[#This Row],[reference]],","))&amp;"#")+1,1000))</f>
        <v>profile-specific-implementation-guidance</v>
      </c>
      <c r="U413"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t="s">
        <v>29</v>
      </c>
      <c r="W413" t="s">
        <v>58</v>
      </c>
      <c r="X413" t="s">
        <v>1171</v>
      </c>
      <c r="Y413" t="s">
        <v>1171</v>
      </c>
      <c r="Z413" t="s">
        <v>1171</v>
      </c>
      <c r="AA413" t="s">
        <v>1171</v>
      </c>
      <c r="AB413" t="s">
        <v>1171</v>
      </c>
      <c r="AC413" t="s">
        <v>405</v>
      </c>
      <c r="AD413" t="s">
        <v>1171</v>
      </c>
      <c r="AE413" t="s">
        <v>1171</v>
      </c>
    </row>
    <row r="414" spans="1:31" ht="52" thickBot="1" x14ac:dyDescent="0.25">
      <c r="A414" t="s">
        <v>1171</v>
      </c>
      <c r="B414" t="s">
        <v>1586</v>
      </c>
      <c r="C414" t="str">
        <f>"CONF-"&amp;TEXT(us_core_reqs[[#This Row],[ID*]], "0000")</f>
        <v>CONF-0413</v>
      </c>
      <c r="D414" s="11" t="s">
        <v>2238</v>
      </c>
      <c r="E414" s="73" t="str" cm="1">
        <f t="array" ref="E414">_xlfn.TEXTJOIN(", ", TRUE, _xlfn.TEXTAFTER(_xlfn.TEXTSPLIT(us_core_reqs[[#This Row],[URL*]], ", "), "/", -1))</f>
        <v>StructureDefinition-us-core-medicationrequest.html#profile-specific-implementation-guidance</v>
      </c>
      <c r="F414" s="11" t="s">
        <v>2120</v>
      </c>
      <c r="G414" t="s">
        <v>29</v>
      </c>
      <c r="H414" cm="1">
        <f t="array" ref="H414">_xlfn.SWITCH(G414, "SHALL", 1, "SHOULD", 3, "MAY", 5, "SHOULD-NOT", 4, "SHALL-NOT", 2, "DEPRECATED", 6, 99)</f>
        <v>1</v>
      </c>
      <c r="J414" t="s">
        <v>58</v>
      </c>
      <c r="K414" t="s">
        <v>1171</v>
      </c>
      <c r="L414" t="s">
        <v>1171</v>
      </c>
      <c r="M414" t="s">
        <v>1176</v>
      </c>
      <c r="N414" t="s">
        <v>404</v>
      </c>
      <c r="O414" t="s">
        <v>1171</v>
      </c>
      <c r="P414" t="s">
        <v>1171</v>
      </c>
      <c r="Q414" t="s">
        <v>1171</v>
      </c>
      <c r="R414" t="s">
        <v>1171</v>
      </c>
      <c r="S414" s="70" t="str" cm="1">
        <f t="array" ref="S414">_xlfn.TEXTJOIN(",",TRUE,LEFT(TRIM(_xlfn.TEXTSPLIT(us_core_reqs[[#This Row],[reference]],",")),FIND(".html",TRIM(_xlfn.TEXTSPLIT(us_core_reqs[[#This Row],[reference]],",")))-1))</f>
        <v>StructureDefinition-us-core-medicationrequest</v>
      </c>
      <c r="T414" s="70" t="str" cm="1">
        <f t="array" ref="T414">_xlfn.TEXTJOIN(",",TRUE,MID(TRIM(_xlfn.TEXTSPLIT(us_core_reqs[[#This Row],[reference]],",")),FIND("#",TRIM(_xlfn.TEXTSPLIT(us_core_reqs[[#This Row],[reference]],","))&amp;"#")+1,1000))</f>
        <v>profile-specific-implementation-guidance</v>
      </c>
      <c r="U414"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t="s">
        <v>29</v>
      </c>
      <c r="W414" t="s">
        <v>58</v>
      </c>
      <c r="X414" t="s">
        <v>1171</v>
      </c>
      <c r="Y414" t="s">
        <v>1171</v>
      </c>
      <c r="Z414" t="s">
        <v>1171</v>
      </c>
      <c r="AA414" t="s">
        <v>1171</v>
      </c>
      <c r="AB414" t="s">
        <v>1171</v>
      </c>
      <c r="AC414" t="s">
        <v>405</v>
      </c>
      <c r="AD414" t="s">
        <v>1171</v>
      </c>
      <c r="AE414" t="s">
        <v>1171</v>
      </c>
    </row>
    <row r="415" spans="1:31" ht="69" thickBot="1" x14ac:dyDescent="0.25">
      <c r="A415" t="s">
        <v>1171</v>
      </c>
      <c r="B415" t="s">
        <v>1587</v>
      </c>
      <c r="C415" t="str">
        <f>"CONF-"&amp;TEXT(us_core_reqs[[#This Row],[ID*]], "0000")</f>
        <v>CONF-0414</v>
      </c>
      <c r="D415" s="11" t="s">
        <v>2238</v>
      </c>
      <c r="E415" s="73" t="str" cm="1">
        <f t="array" ref="E415">_xlfn.TEXTJOIN(", ", TRUE, _xlfn.TEXTAFTER(_xlfn.TEXTSPLIT(us_core_reqs[[#This Row],[URL*]], ", "), "/", -1))</f>
        <v>StructureDefinition-us-core-medicationrequest.html#profile-specific-implementation-guidance</v>
      </c>
      <c r="F415" s="11" t="s">
        <v>2121</v>
      </c>
      <c r="G415" t="s">
        <v>29</v>
      </c>
      <c r="H415" cm="1">
        <f t="array" ref="H415">_xlfn.SWITCH(G415, "SHALL", 1, "SHOULD", 3, "MAY", 5, "SHOULD-NOT", 4, "SHALL-NOT", 2, "DEPRECATED", 6, 99)</f>
        <v>1</v>
      </c>
      <c r="J415" t="s">
        <v>30</v>
      </c>
      <c r="K415" t="b">
        <v>1</v>
      </c>
      <c r="L415" t="s">
        <v>1171</v>
      </c>
      <c r="M415" t="s">
        <v>1176</v>
      </c>
      <c r="N415" t="s">
        <v>419</v>
      </c>
      <c r="O415" t="s">
        <v>1171</v>
      </c>
      <c r="P415" t="s">
        <v>1171</v>
      </c>
      <c r="Q415" t="s">
        <v>1171</v>
      </c>
      <c r="R415" t="s">
        <v>1171</v>
      </c>
      <c r="S415" s="70" t="str" cm="1">
        <f t="array" ref="S415">_xlfn.TEXTJOIN(",",TRUE,LEFT(TRIM(_xlfn.TEXTSPLIT(us_core_reqs[[#This Row],[reference]],",")),FIND(".html",TRIM(_xlfn.TEXTSPLIT(us_core_reqs[[#This Row],[reference]],",")))-1))</f>
        <v>StructureDefinition-us-core-medicationrequest</v>
      </c>
      <c r="T415" s="70" t="str" cm="1">
        <f t="array" ref="T415">_xlfn.TEXTJOIN(",",TRUE,MID(TRIM(_xlfn.TEXTSPLIT(us_core_reqs[[#This Row],[reference]],",")),FIND("#",TRIM(_xlfn.TEXTSPLIT(us_core_reqs[[#This Row],[reference]],","))&amp;"#")+1,1000))</f>
        <v>profile-specific-implementation-guidance</v>
      </c>
      <c r="U415"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t="s">
        <v>29</v>
      </c>
      <c r="W415" t="s">
        <v>30</v>
      </c>
      <c r="X415" t="s">
        <v>1171</v>
      </c>
      <c r="Y415" t="s">
        <v>1171</v>
      </c>
      <c r="Z415" t="s">
        <v>1171</v>
      </c>
      <c r="AA415" t="s">
        <v>1171</v>
      </c>
      <c r="AB415" t="s">
        <v>1171</v>
      </c>
      <c r="AC415" t="s">
        <v>405</v>
      </c>
      <c r="AD415" t="s">
        <v>1140</v>
      </c>
      <c r="AE415" t="s">
        <v>1171</v>
      </c>
    </row>
    <row r="416" spans="1:31" ht="52" thickBot="1" x14ac:dyDescent="0.25">
      <c r="A416" t="s">
        <v>1171</v>
      </c>
      <c r="B416" t="s">
        <v>1588</v>
      </c>
      <c r="C416" t="str">
        <f>"CONF-"&amp;TEXT(us_core_reqs[[#This Row],[ID*]], "0000")</f>
        <v>CONF-0415</v>
      </c>
      <c r="D416" s="11" t="s">
        <v>2238</v>
      </c>
      <c r="E416" s="73" t="str" cm="1">
        <f t="array" ref="E416">_xlfn.TEXTJOIN(", ", TRUE, _xlfn.TEXTAFTER(_xlfn.TEXTSPLIT(us_core_reqs[[#This Row],[URL*]], ", "), "/", -1))</f>
        <v>StructureDefinition-us-core-medicationrequest.html#profile-specific-implementation-guidance</v>
      </c>
      <c r="F416" s="11" t="s">
        <v>2122</v>
      </c>
      <c r="G416" t="s">
        <v>29</v>
      </c>
      <c r="H416" cm="1">
        <f t="array" ref="H416">_xlfn.SWITCH(G416, "SHALL", 1, "SHOULD", 3, "MAY", 5, "SHOULD-NOT", 4, "SHALL-NOT", 2, "DEPRECATED", 6, 99)</f>
        <v>1</v>
      </c>
      <c r="J416" t="s">
        <v>58</v>
      </c>
      <c r="K416" t="s">
        <v>1171</v>
      </c>
      <c r="L416" t="s">
        <v>1171</v>
      </c>
      <c r="M416" t="s">
        <v>1176</v>
      </c>
      <c r="N416" t="s">
        <v>404</v>
      </c>
      <c r="O416" t="s">
        <v>1171</v>
      </c>
      <c r="P416" t="s">
        <v>1171</v>
      </c>
      <c r="Q416" t="s">
        <v>1171</v>
      </c>
      <c r="R416" t="s">
        <v>1171</v>
      </c>
      <c r="S416" s="70" t="str" cm="1">
        <f t="array" ref="S416">_xlfn.TEXTJOIN(",",TRUE,LEFT(TRIM(_xlfn.TEXTSPLIT(us_core_reqs[[#This Row],[reference]],",")),FIND(".html",TRIM(_xlfn.TEXTSPLIT(us_core_reqs[[#This Row],[reference]],",")))-1))</f>
        <v>StructureDefinition-us-core-medicationrequest</v>
      </c>
      <c r="T416" s="70" t="str" cm="1">
        <f t="array" ref="T416">_xlfn.TEXTJOIN(",",TRUE,MID(TRIM(_xlfn.TEXTSPLIT(us_core_reqs[[#This Row],[reference]],",")),FIND("#",TRIM(_xlfn.TEXTSPLIT(us_core_reqs[[#This Row],[reference]],","))&amp;"#")+1,1000))</f>
        <v>profile-specific-implementation-guidance</v>
      </c>
      <c r="U416"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t="s">
        <v>29</v>
      </c>
      <c r="W416" t="s">
        <v>58</v>
      </c>
      <c r="X416" t="s">
        <v>1171</v>
      </c>
      <c r="Y416" t="s">
        <v>1171</v>
      </c>
      <c r="Z416" t="s">
        <v>1171</v>
      </c>
      <c r="AA416" t="s">
        <v>1171</v>
      </c>
      <c r="AB416" t="s">
        <v>1171</v>
      </c>
      <c r="AC416" t="s">
        <v>405</v>
      </c>
      <c r="AD416" t="s">
        <v>1171</v>
      </c>
      <c r="AE416" t="s">
        <v>1171</v>
      </c>
    </row>
    <row r="417" spans="1:31" ht="86" thickBot="1" x14ac:dyDescent="0.25">
      <c r="A417" t="s">
        <v>1171</v>
      </c>
      <c r="B417" t="s">
        <v>1589</v>
      </c>
      <c r="C417" t="str">
        <f>"CONF-"&amp;TEXT(us_core_reqs[[#This Row],[ID*]], "0000")</f>
        <v>CONF-0416</v>
      </c>
      <c r="D417" s="11" t="s">
        <v>2238</v>
      </c>
      <c r="E417" s="73" t="str" cm="1">
        <f t="array" ref="E417">_xlfn.TEXTJOIN(", ", TRUE, _xlfn.TEXTAFTER(_xlfn.TEXTSPLIT(us_core_reqs[[#This Row],[URL*]], ", "), "/", -1))</f>
        <v>StructureDefinition-us-core-medicationrequest.html#profile-specific-implementation-guidance</v>
      </c>
      <c r="F417" s="11" t="s">
        <v>1976</v>
      </c>
      <c r="G417" t="s">
        <v>32</v>
      </c>
      <c r="H417" cm="1">
        <f t="array" ref="H417">_xlfn.SWITCH(G417, "SHALL", 1, "SHOULD", 3, "MAY", 5, "SHOULD-NOT", 4, "SHALL-NOT", 2, "DEPRECATED", 6, 99)</f>
        <v>3</v>
      </c>
      <c r="J417" t="s">
        <v>30</v>
      </c>
      <c r="K417" t="s">
        <v>1171</v>
      </c>
      <c r="L417" t="s">
        <v>1171</v>
      </c>
      <c r="M417" t="s">
        <v>1176</v>
      </c>
      <c r="N417" t="s">
        <v>404</v>
      </c>
      <c r="O417" t="s">
        <v>1171</v>
      </c>
      <c r="P417" t="s">
        <v>1171</v>
      </c>
      <c r="Q417" t="s">
        <v>1171</v>
      </c>
      <c r="R417" t="s">
        <v>1171</v>
      </c>
      <c r="S417" s="70" t="str" cm="1">
        <f t="array" ref="S417">_xlfn.TEXTJOIN(",",TRUE,LEFT(TRIM(_xlfn.TEXTSPLIT(us_core_reqs[[#This Row],[reference]],",")),FIND(".html",TRIM(_xlfn.TEXTSPLIT(us_core_reqs[[#This Row],[reference]],",")))-1))</f>
        <v>StructureDefinition-us-core-medicationrequest</v>
      </c>
      <c r="T417" s="70" t="str" cm="1">
        <f t="array" ref="T417">_xlfn.TEXTJOIN(",",TRUE,MID(TRIM(_xlfn.TEXTSPLIT(us_core_reqs[[#This Row],[reference]],",")),FIND("#",TRIM(_xlfn.TEXTSPLIT(us_core_reqs[[#This Row],[reference]],","))&amp;"#")+1,1000))</f>
        <v>profile-specific-implementation-guidance</v>
      </c>
      <c r="U417"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t="s">
        <v>32</v>
      </c>
      <c r="W417" t="s">
        <v>1171</v>
      </c>
      <c r="X417" t="s">
        <v>1171</v>
      </c>
      <c r="Y417" t="s">
        <v>1171</v>
      </c>
      <c r="Z417" t="s">
        <v>1171</v>
      </c>
      <c r="AA417" t="s">
        <v>1171</v>
      </c>
      <c r="AB417" t="s">
        <v>1171</v>
      </c>
      <c r="AC417" t="s">
        <v>405</v>
      </c>
      <c r="AD417" t="s">
        <v>1171</v>
      </c>
      <c r="AE417" t="s">
        <v>1171</v>
      </c>
    </row>
    <row r="418" spans="1:31" ht="52" thickBot="1" x14ac:dyDescent="0.25">
      <c r="A418" t="s">
        <v>1171</v>
      </c>
      <c r="B418" t="s">
        <v>1590</v>
      </c>
      <c r="C418" t="str">
        <f>"CONF-"&amp;TEXT(us_core_reqs[[#This Row],[ID*]], "0000")</f>
        <v>CONF-0417</v>
      </c>
      <c r="D418" s="11" t="s">
        <v>2238</v>
      </c>
      <c r="E418" s="73" t="str" cm="1">
        <f t="array" ref="E418">_xlfn.TEXTJOIN(", ", TRUE, _xlfn.TEXTAFTER(_xlfn.TEXTSPLIT(us_core_reqs[[#This Row],[URL*]], ", "), "/", -1))</f>
        <v>StructureDefinition-us-core-medicationrequest.html#profile-specific-implementation-guidance</v>
      </c>
      <c r="F418" s="11" t="s">
        <v>1977</v>
      </c>
      <c r="G418" t="s">
        <v>32</v>
      </c>
      <c r="H418" cm="1">
        <f t="array" ref="H418">_xlfn.SWITCH(G418, "SHALL", 1, "SHOULD", 3, "MAY", 5, "SHOULD-NOT", 4, "SHALL-NOT", 2, "DEPRECATED", 6, 99)</f>
        <v>3</v>
      </c>
      <c r="J418" t="s">
        <v>30</v>
      </c>
      <c r="K418" t="s">
        <v>1171</v>
      </c>
      <c r="L418" t="s">
        <v>1171</v>
      </c>
      <c r="M418" t="s">
        <v>1173</v>
      </c>
      <c r="N418" t="s">
        <v>1171</v>
      </c>
      <c r="O418" t="s">
        <v>1171</v>
      </c>
      <c r="P418" t="s">
        <v>1171</v>
      </c>
      <c r="Q418" t="s">
        <v>1171</v>
      </c>
      <c r="R418" t="s">
        <v>1171</v>
      </c>
      <c r="S418" s="70" t="str" cm="1">
        <f t="array" ref="S418">_xlfn.TEXTJOIN(",",TRUE,LEFT(TRIM(_xlfn.TEXTSPLIT(us_core_reqs[[#This Row],[reference]],",")),FIND(".html",TRIM(_xlfn.TEXTSPLIT(us_core_reqs[[#This Row],[reference]],",")))-1))</f>
        <v>StructureDefinition-us-core-medicationrequest</v>
      </c>
      <c r="T418" s="70" t="str" cm="1">
        <f t="array" ref="T418">_xlfn.TEXTJOIN(",",TRUE,MID(TRIM(_xlfn.TEXTSPLIT(us_core_reqs[[#This Row],[reference]],",")),FIND("#",TRIM(_xlfn.TEXTSPLIT(us_core_reqs[[#This Row],[reference]],","))&amp;"#")+1,1000))</f>
        <v>profile-specific-implementation-guidance</v>
      </c>
      <c r="U418"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t="s">
        <v>32</v>
      </c>
      <c r="W418" t="s">
        <v>1171</v>
      </c>
      <c r="X418" t="s">
        <v>1171</v>
      </c>
      <c r="Y418" t="s">
        <v>1171</v>
      </c>
      <c r="Z418" t="s">
        <v>1171</v>
      </c>
      <c r="AA418" t="s">
        <v>1171</v>
      </c>
      <c r="AB418" t="s">
        <v>1171</v>
      </c>
      <c r="AC418" t="s">
        <v>1171</v>
      </c>
      <c r="AD418" t="s">
        <v>1171</v>
      </c>
      <c r="AE418" t="s">
        <v>1171</v>
      </c>
    </row>
    <row r="419" spans="1:31" ht="52" thickBot="1" x14ac:dyDescent="0.25">
      <c r="A419" t="s">
        <v>1171</v>
      </c>
      <c r="B419" t="s">
        <v>1591</v>
      </c>
      <c r="C419" t="str">
        <f>"CONF-"&amp;TEXT(us_core_reqs[[#This Row],[ID*]], "0000")</f>
        <v>CONF-0418</v>
      </c>
      <c r="D419" s="11" t="s">
        <v>2238</v>
      </c>
      <c r="E419" s="73" t="str" cm="1">
        <f t="array" ref="E419">_xlfn.TEXTJOIN(", ", TRUE, _xlfn.TEXTAFTER(_xlfn.TEXTSPLIT(us_core_reqs[[#This Row],[URL*]], ", "), "/", -1))</f>
        <v>StructureDefinition-us-core-medicationrequest.html#profile-specific-implementation-guidance</v>
      </c>
      <c r="F419" s="11" t="s">
        <v>2207</v>
      </c>
      <c r="G419" t="s">
        <v>64</v>
      </c>
      <c r="H419" cm="1">
        <f t="array" ref="H419">_xlfn.SWITCH(G419, "SHALL", 1, "SHOULD", 3, "MAY", 5, "SHOULD-NOT", 4, "SHALL-NOT", 2, "DEPRECATED", 6, 99)</f>
        <v>6</v>
      </c>
      <c r="J419" t="s">
        <v>30</v>
      </c>
      <c r="K419" t="s">
        <v>1171</v>
      </c>
      <c r="L419" t="s">
        <v>1107</v>
      </c>
      <c r="M419" t="s">
        <v>1173</v>
      </c>
      <c r="N419" t="s">
        <v>1171</v>
      </c>
      <c r="O419" t="s">
        <v>1171</v>
      </c>
      <c r="P419" t="s">
        <v>1171</v>
      </c>
      <c r="Q419" t="s">
        <v>1171</v>
      </c>
      <c r="R419" t="s">
        <v>1171</v>
      </c>
      <c r="S419" s="70" t="str" cm="1">
        <f t="array" ref="S419">_xlfn.TEXTJOIN(",",TRUE,LEFT(TRIM(_xlfn.TEXTSPLIT(us_core_reqs[[#This Row],[reference]],",")),FIND(".html",TRIM(_xlfn.TEXTSPLIT(us_core_reqs[[#This Row],[reference]],",")))-1))</f>
        <v>StructureDefinition-us-core-medicationrequest</v>
      </c>
      <c r="T419" s="70" t="str" cm="1">
        <f t="array" ref="T419">_xlfn.TEXTJOIN(",",TRUE,MID(TRIM(_xlfn.TEXTSPLIT(us_core_reqs[[#This Row],[reference]],",")),FIND("#",TRIM(_xlfn.TEXTSPLIT(us_core_reqs[[#This Row],[reference]],","))&amp;"#")+1,1000))</f>
        <v>profile-specific-implementation-guidance</v>
      </c>
      <c r="U419"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t="s">
        <v>29</v>
      </c>
      <c r="W419" t="s">
        <v>30</v>
      </c>
      <c r="X419" t="s">
        <v>1171</v>
      </c>
      <c r="Y419" t="s">
        <v>1171</v>
      </c>
      <c r="Z419" t="s">
        <v>1171</v>
      </c>
      <c r="AA419" t="s">
        <v>1171</v>
      </c>
      <c r="AB419" t="s">
        <v>1171</v>
      </c>
      <c r="AC419" t="s">
        <v>646</v>
      </c>
      <c r="AD419" t="s">
        <v>1140</v>
      </c>
      <c r="AE419" t="s">
        <v>1171</v>
      </c>
    </row>
    <row r="420" spans="1:31" ht="120" thickBot="1" x14ac:dyDescent="0.25">
      <c r="A420" t="s">
        <v>1171</v>
      </c>
      <c r="B420" t="s">
        <v>1592</v>
      </c>
      <c r="C420" t="str">
        <f>"CONF-"&amp;TEXT(us_core_reqs[[#This Row],[ID*]], "0000")</f>
        <v>CONF-0419</v>
      </c>
      <c r="D420" s="11" t="s">
        <v>2239</v>
      </c>
      <c r="E420" s="73"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11" t="s">
        <v>2181</v>
      </c>
      <c r="G420" t="s">
        <v>35</v>
      </c>
      <c r="H420" cm="1">
        <f t="array" ref="H420">_xlfn.SWITCH(G420, "SHALL", 1, "SHOULD", 3, "MAY", 5, "SHOULD-NOT", 4, "SHALL-NOT", 2, "DEPRECATED", 6, 99)</f>
        <v>5</v>
      </c>
      <c r="J420" t="s">
        <v>30</v>
      </c>
      <c r="K420" t="s">
        <v>1171</v>
      </c>
      <c r="L420" t="s">
        <v>1171</v>
      </c>
      <c r="M420" t="s">
        <v>1173</v>
      </c>
      <c r="N420" t="s">
        <v>1171</v>
      </c>
      <c r="O420" t="s">
        <v>1171</v>
      </c>
      <c r="P420" t="s">
        <v>1171</v>
      </c>
      <c r="Q420" t="s">
        <v>1171</v>
      </c>
      <c r="R420" t="s">
        <v>1171</v>
      </c>
      <c r="S420" s="70"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70" t="str" cm="1">
        <f t="array" ref="T420">_xlfn.TEXTJOIN(",",TRUE,MID(TRIM(_xlfn.TEXTSPLIT(us_core_reqs[[#This Row],[reference]],",")),FIND("#",TRIM(_xlfn.TEXTSPLIT(us_core_reqs[[#This Row],[reference]],","))&amp;"#")+1,1000))</f>
        <v>profile-specific-implementation-guidance,profile-specific-implementation-guidance,profile-specific-implementation-guidance</v>
      </c>
      <c r="U420"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t="s">
        <v>35</v>
      </c>
      <c r="W420" t="s">
        <v>1171</v>
      </c>
      <c r="X420" t="s">
        <v>1171</v>
      </c>
      <c r="Y420" t="s">
        <v>1171</v>
      </c>
      <c r="Z420" t="s">
        <v>1171</v>
      </c>
      <c r="AA420" t="s">
        <v>1171</v>
      </c>
      <c r="AB420" t="s">
        <v>1171</v>
      </c>
      <c r="AC420" t="s">
        <v>1171</v>
      </c>
      <c r="AD420" t="s">
        <v>1171</v>
      </c>
      <c r="AE420" t="s">
        <v>1171</v>
      </c>
    </row>
    <row r="421" spans="1:31" ht="120" thickBot="1" x14ac:dyDescent="0.25">
      <c r="A421" t="s">
        <v>1171</v>
      </c>
      <c r="B421" t="s">
        <v>1593</v>
      </c>
      <c r="C421" t="str">
        <f>"CONF-"&amp;TEXT(us_core_reqs[[#This Row],[ID*]], "0000")</f>
        <v>CONF-0420</v>
      </c>
      <c r="D421" s="11" t="s">
        <v>2239</v>
      </c>
      <c r="E421" s="73"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11" t="s">
        <v>1978</v>
      </c>
      <c r="G421" t="s">
        <v>32</v>
      </c>
      <c r="H421" cm="1">
        <f t="array" ref="H421">_xlfn.SWITCH(G421, "SHALL", 1, "SHOULD", 3, "MAY", 5, "SHOULD-NOT", 4, "SHALL-NOT", 2, "DEPRECATED", 6, 99)</f>
        <v>3</v>
      </c>
      <c r="J421" t="s">
        <v>30</v>
      </c>
      <c r="K421" t="s">
        <v>1171</v>
      </c>
      <c r="L421" t="s">
        <v>1171</v>
      </c>
      <c r="M421" t="s">
        <v>1173</v>
      </c>
      <c r="N421" t="s">
        <v>1171</v>
      </c>
      <c r="O421" t="s">
        <v>1171</v>
      </c>
      <c r="P421" t="s">
        <v>1171</v>
      </c>
      <c r="Q421" t="s">
        <v>1171</v>
      </c>
      <c r="R421" t="s">
        <v>1171</v>
      </c>
      <c r="S421" s="70"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70" t="str" cm="1">
        <f t="array" ref="T421">_xlfn.TEXTJOIN(",",TRUE,MID(TRIM(_xlfn.TEXTSPLIT(us_core_reqs[[#This Row],[reference]],",")),FIND("#",TRIM(_xlfn.TEXTSPLIT(us_core_reqs[[#This Row],[reference]],","))&amp;"#")+1,1000))</f>
        <v>profile-specific-implementation-guidance,profile-specific-implementation-guidance,profile-specific-implementation-guidance</v>
      </c>
      <c r="U421"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t="s">
        <v>32</v>
      </c>
      <c r="W421" t="s">
        <v>1171</v>
      </c>
      <c r="X421" t="s">
        <v>1171</v>
      </c>
      <c r="Y421" t="s">
        <v>1171</v>
      </c>
      <c r="Z421" t="s">
        <v>1171</v>
      </c>
      <c r="AA421" t="s">
        <v>1171</v>
      </c>
      <c r="AB421" t="s">
        <v>1171</v>
      </c>
      <c r="AC421" t="s">
        <v>1171</v>
      </c>
      <c r="AD421" t="s">
        <v>1171</v>
      </c>
      <c r="AE421" t="s">
        <v>1171</v>
      </c>
    </row>
    <row r="422" spans="1:31" ht="69" thickBot="1" x14ac:dyDescent="0.25">
      <c r="A422" t="s">
        <v>1171</v>
      </c>
      <c r="B422" t="s">
        <v>1594</v>
      </c>
      <c r="C422" t="str">
        <f>"CONF-"&amp;TEXT(us_core_reqs[[#This Row],[ID*]], "0000")</f>
        <v>CONF-0421</v>
      </c>
      <c r="D422" s="11" t="s">
        <v>2240</v>
      </c>
      <c r="E422" s="73" t="str" cm="1">
        <f t="array" ref="E422">_xlfn.TEXTJOIN(", ", TRUE, _xlfn.TEXTAFTER(_xlfn.TEXTSPLIT(us_core_reqs[[#This Row],[URL*]], ", "), "/", -1))</f>
        <v>StructureDefinition-us-core-average-blood-pressure.html#profile-specific-implementation-guidance</v>
      </c>
      <c r="F422" s="11" t="s">
        <v>2052</v>
      </c>
      <c r="G422" t="s">
        <v>29</v>
      </c>
      <c r="H422" cm="1">
        <f t="array" ref="H422">_xlfn.SWITCH(G422, "SHALL", 1, "SHOULD", 3, "MAY", 5, "SHOULD-NOT", 4, "SHALL-NOT", 2, "DEPRECATED", 6, 99)</f>
        <v>1</v>
      </c>
      <c r="J422" t="s">
        <v>30</v>
      </c>
      <c r="K422" t="s">
        <v>1171</v>
      </c>
      <c r="L422" t="s">
        <v>1171</v>
      </c>
      <c r="M422" t="s">
        <v>1176</v>
      </c>
      <c r="N422" t="s">
        <v>425</v>
      </c>
      <c r="O422" t="s">
        <v>1171</v>
      </c>
      <c r="P422" t="s">
        <v>1171</v>
      </c>
      <c r="Q422" t="s">
        <v>1171</v>
      </c>
      <c r="R422" t="s">
        <v>1171</v>
      </c>
      <c r="S422" s="70" t="str" cm="1">
        <f t="array" ref="S422">_xlfn.TEXTJOIN(",",TRUE,LEFT(TRIM(_xlfn.TEXTSPLIT(us_core_reqs[[#This Row],[reference]],",")),FIND(".html",TRIM(_xlfn.TEXTSPLIT(us_core_reqs[[#This Row],[reference]],",")))-1))</f>
        <v>StructureDefinition-us-core-average-blood-pressure</v>
      </c>
      <c r="T422" s="70" t="str" cm="1">
        <f t="array" ref="T422">_xlfn.TEXTJOIN(",",TRUE,MID(TRIM(_xlfn.TEXTSPLIT(us_core_reqs[[#This Row],[reference]],",")),FIND("#",TRIM(_xlfn.TEXTSPLIT(us_core_reqs[[#This Row],[reference]],","))&amp;"#")+1,1000))</f>
        <v>profile-specific-implementation-guidance</v>
      </c>
      <c r="U422"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t="s">
        <v>29</v>
      </c>
      <c r="W422" t="s">
        <v>1171</v>
      </c>
      <c r="X422" t="s">
        <v>1171</v>
      </c>
      <c r="Y422" t="s">
        <v>1171</v>
      </c>
      <c r="Z422" t="s">
        <v>1171</v>
      </c>
      <c r="AA422" t="s">
        <v>1171</v>
      </c>
      <c r="AB422" t="s">
        <v>1171</v>
      </c>
      <c r="AC422" t="s">
        <v>1171</v>
      </c>
      <c r="AD422" t="s">
        <v>1140</v>
      </c>
      <c r="AE422" t="s">
        <v>1171</v>
      </c>
    </row>
    <row r="423" spans="1:31" ht="52" thickBot="1" x14ac:dyDescent="0.25">
      <c r="A423" t="s">
        <v>1171</v>
      </c>
      <c r="B423" t="s">
        <v>1595</v>
      </c>
      <c r="C423" t="str">
        <f>"CONF-"&amp;TEXT(us_core_reqs[[#This Row],[ID*]], "0000")</f>
        <v>CONF-0422</v>
      </c>
      <c r="D423" s="11" t="s">
        <v>2241</v>
      </c>
      <c r="E423" s="73" t="str" cm="1">
        <f t="array" ref="E423">_xlfn.TEXTJOIN(", ", TRUE, _xlfn.TEXTAFTER(_xlfn.TEXTSPLIT(us_core_reqs[[#This Row],[URL*]], ", "), "/", -1))</f>
        <v>StructureDefinition-us-core-care-experience-preference.html#profile-specific-implementation-guidance</v>
      </c>
      <c r="F423" s="11" t="s">
        <v>1979</v>
      </c>
      <c r="G423" t="s">
        <v>32</v>
      </c>
      <c r="H423" cm="1">
        <f t="array" ref="H423">_xlfn.SWITCH(G423, "SHALL", 1, "SHOULD", 3, "MAY", 5, "SHOULD-NOT", 4, "SHALL-NOT", 2, "DEPRECATED", 6, 99)</f>
        <v>3</v>
      </c>
      <c r="J423" t="s">
        <v>30</v>
      </c>
      <c r="K423" t="s">
        <v>1171</v>
      </c>
      <c r="L423" t="s">
        <v>1171</v>
      </c>
      <c r="M423" t="s">
        <v>1176</v>
      </c>
      <c r="N423" t="s">
        <v>427</v>
      </c>
      <c r="O423" t="s">
        <v>1171</v>
      </c>
      <c r="P423" t="s">
        <v>1171</v>
      </c>
      <c r="Q423" t="s">
        <v>1171</v>
      </c>
      <c r="R423" t="s">
        <v>1171</v>
      </c>
      <c r="S423" s="70" t="str" cm="1">
        <f t="array" ref="S423">_xlfn.TEXTJOIN(",",TRUE,LEFT(TRIM(_xlfn.TEXTSPLIT(us_core_reqs[[#This Row],[reference]],",")),FIND(".html",TRIM(_xlfn.TEXTSPLIT(us_core_reqs[[#This Row],[reference]],",")))-1))</f>
        <v>StructureDefinition-us-core-care-experience-preference</v>
      </c>
      <c r="T423" s="70" t="str" cm="1">
        <f t="array" ref="T423">_xlfn.TEXTJOIN(",",TRUE,MID(TRIM(_xlfn.TEXTSPLIT(us_core_reqs[[#This Row],[reference]],",")),FIND("#",TRIM(_xlfn.TEXTSPLIT(us_core_reqs[[#This Row],[reference]],","))&amp;"#")+1,1000))</f>
        <v>profile-specific-implementation-guidance</v>
      </c>
      <c r="U423"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v>
      </c>
      <c r="V423" t="s">
        <v>32</v>
      </c>
      <c r="W423" t="s">
        <v>1171</v>
      </c>
      <c r="X423" t="s">
        <v>1171</v>
      </c>
      <c r="Y423" t="s">
        <v>1171</v>
      </c>
      <c r="Z423" t="s">
        <v>1171</v>
      </c>
      <c r="AA423" t="s">
        <v>1171</v>
      </c>
      <c r="AB423" t="s">
        <v>1171</v>
      </c>
      <c r="AC423" t="s">
        <v>1171</v>
      </c>
      <c r="AD423" t="s">
        <v>1171</v>
      </c>
      <c r="AE423" t="s">
        <v>1171</v>
      </c>
    </row>
    <row r="424" spans="1:31" ht="52" thickBot="1" x14ac:dyDescent="0.25">
      <c r="A424" t="s">
        <v>1171</v>
      </c>
      <c r="B424" t="s">
        <v>1596</v>
      </c>
      <c r="C424" t="str">
        <f>"CONF-"&amp;TEXT(us_core_reqs[[#This Row],[ID*]], "0000")</f>
        <v>CONF-0423</v>
      </c>
      <c r="D424" s="11" t="s">
        <v>2242</v>
      </c>
      <c r="E424" s="73" t="str" cm="1">
        <f t="array" ref="E424">_xlfn.TEXTJOIN(", ", TRUE, _xlfn.TEXTAFTER(_xlfn.TEXTSPLIT(us_core_reqs[[#This Row],[URL*]], ", "), "/", -1))</f>
        <v>StructureDefinition-us-core-observation-clinical-result.html#profile-specific-implementation-guidance</v>
      </c>
      <c r="F424" s="11" t="s">
        <v>1980</v>
      </c>
      <c r="G424" t="s">
        <v>32</v>
      </c>
      <c r="H424" cm="1">
        <f t="array" ref="H424">_xlfn.SWITCH(G424, "SHALL", 1, "SHOULD", 3, "MAY", 5, "SHOULD-NOT", 4, "SHALL-NOT", 2, "DEPRECATED", 6, 99)</f>
        <v>3</v>
      </c>
      <c r="J424" t="s">
        <v>30</v>
      </c>
      <c r="K424" t="s">
        <v>1171</v>
      </c>
      <c r="L424" t="s">
        <v>1171</v>
      </c>
      <c r="M424" t="s">
        <v>1176</v>
      </c>
      <c r="N424" t="s">
        <v>430</v>
      </c>
      <c r="O424" t="s">
        <v>1171</v>
      </c>
      <c r="P424" t="s">
        <v>1171</v>
      </c>
      <c r="Q424" t="s">
        <v>1171</v>
      </c>
      <c r="R424" t="s">
        <v>1171</v>
      </c>
      <c r="S424" s="70" t="str" cm="1">
        <f t="array" ref="S424">_xlfn.TEXTJOIN(",",TRUE,LEFT(TRIM(_xlfn.TEXTSPLIT(us_core_reqs[[#This Row],[reference]],",")),FIND(".html",TRIM(_xlfn.TEXTSPLIT(us_core_reqs[[#This Row],[reference]],",")))-1))</f>
        <v>StructureDefinition-us-core-observation-clinical-result</v>
      </c>
      <c r="T424" s="70" t="str" cm="1">
        <f t="array" ref="T424">_xlfn.TEXTJOIN(",",TRUE,MID(TRIM(_xlfn.TEXTSPLIT(us_core_reqs[[#This Row],[reference]],",")),FIND("#",TRIM(_xlfn.TEXTSPLIT(us_core_reqs[[#This Row],[reference]],","))&amp;"#")+1,1000))</f>
        <v>profile-specific-implementation-guidance</v>
      </c>
      <c r="U424"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t="s">
        <v>32</v>
      </c>
      <c r="W424" t="s">
        <v>30</v>
      </c>
      <c r="X424" t="s">
        <v>1171</v>
      </c>
      <c r="Y424" t="s">
        <v>1171</v>
      </c>
      <c r="Z424" t="s">
        <v>1171</v>
      </c>
      <c r="AA424" t="s">
        <v>1171</v>
      </c>
      <c r="AB424" t="s">
        <v>1171</v>
      </c>
      <c r="AC424" t="s">
        <v>1171</v>
      </c>
      <c r="AD424" t="s">
        <v>1171</v>
      </c>
      <c r="AE424" t="s">
        <v>1171</v>
      </c>
    </row>
    <row r="425" spans="1:31" ht="86" thickBot="1" x14ac:dyDescent="0.25">
      <c r="A425" t="s">
        <v>1171</v>
      </c>
      <c r="B425" t="s">
        <v>1597</v>
      </c>
      <c r="C425" t="str">
        <f>"CONF-"&amp;TEXT(us_core_reqs[[#This Row],[ID*]], "0000")</f>
        <v>CONF-0424</v>
      </c>
      <c r="D425" s="11" t="s">
        <v>2243</v>
      </c>
      <c r="E425" s="73"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11" t="s">
        <v>1981</v>
      </c>
      <c r="G425" t="s">
        <v>32</v>
      </c>
      <c r="H425" cm="1">
        <f t="array" ref="H425">_xlfn.SWITCH(G425, "SHALL", 1, "SHOULD", 3, "MAY", 5, "SHOULD-NOT", 4, "SHALL-NOT", 2, "DEPRECATED", 6, 99)</f>
        <v>3</v>
      </c>
      <c r="J425" t="s">
        <v>30</v>
      </c>
      <c r="K425" t="s">
        <v>1171</v>
      </c>
      <c r="L425" t="s">
        <v>1171</v>
      </c>
      <c r="M425" t="s">
        <v>1176</v>
      </c>
      <c r="N425" t="s">
        <v>433</v>
      </c>
      <c r="O425" t="s">
        <v>1171</v>
      </c>
      <c r="P425" t="s">
        <v>1171</v>
      </c>
      <c r="Q425" t="s">
        <v>1171</v>
      </c>
      <c r="R425" t="s">
        <v>1171</v>
      </c>
      <c r="S425" s="70" t="str" cm="1">
        <f t="array" ref="S425">_xlfn.TEXTJOIN(",",TRUE,LEFT(TRIM(_xlfn.TEXTSPLIT(us_core_reqs[[#This Row],[reference]],",")),FIND(".html",TRIM(_xlfn.TEXTSPLIT(us_core_reqs[[#This Row],[reference]],",")))-1))</f>
        <v>StructureDefinition-us-core-observation-clinical-result,StructureDefinition-us-core-observation-lab</v>
      </c>
      <c r="T425" s="70" t="str" cm="1">
        <f t="array" ref="T425">_xlfn.TEXTJOIN(",",TRUE,MID(TRIM(_xlfn.TEXTSPLIT(us_core_reqs[[#This Row],[reference]],",")),FIND("#",TRIM(_xlfn.TEXTSPLIT(us_core_reqs[[#This Row],[reference]],","))&amp;"#")+1,1000))</f>
        <v>profile-specific-implementation-guidance,profile-specific-implementation-guidance</v>
      </c>
      <c r="U425"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t="s">
        <v>32</v>
      </c>
      <c r="W425" t="s">
        <v>1171</v>
      </c>
      <c r="X425" t="s">
        <v>1171</v>
      </c>
      <c r="Y425" t="s">
        <v>1171</v>
      </c>
      <c r="Z425" t="s">
        <v>1171</v>
      </c>
      <c r="AA425" t="s">
        <v>1171</v>
      </c>
      <c r="AB425" t="s">
        <v>1171</v>
      </c>
      <c r="AC425" t="s">
        <v>1171</v>
      </c>
      <c r="AD425" t="s">
        <v>1171</v>
      </c>
      <c r="AE425" t="s">
        <v>1171</v>
      </c>
    </row>
    <row r="426" spans="1:31" ht="171" thickBot="1" x14ac:dyDescent="0.25">
      <c r="A426" t="s">
        <v>1171</v>
      </c>
      <c r="B426" t="s">
        <v>1598</v>
      </c>
      <c r="C426" t="str">
        <f>"CONF-"&amp;TEXT(us_core_reqs[[#This Row],[ID*]], "0000")</f>
        <v>CONF-0425</v>
      </c>
      <c r="D426" s="11" t="s">
        <v>2244</v>
      </c>
      <c r="E426" s="73"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11" t="s">
        <v>2167</v>
      </c>
      <c r="G426" t="s">
        <v>29</v>
      </c>
      <c r="H426" cm="1">
        <f t="array" ref="H426">_xlfn.SWITCH(G426, "SHALL", 1, "SHOULD", 3, "MAY", 5, "SHOULD-NOT", 4, "SHALL-NOT", 2, "DEPRECATED", 6, 99)</f>
        <v>1</v>
      </c>
      <c r="J426" t="s">
        <v>30</v>
      </c>
      <c r="K426" t="s">
        <v>1171</v>
      </c>
      <c r="L426" t="s">
        <v>1171</v>
      </c>
      <c r="M426" t="s">
        <v>1176</v>
      </c>
      <c r="N426" t="s">
        <v>436</v>
      </c>
      <c r="O426" t="s">
        <v>1171</v>
      </c>
      <c r="P426" t="s">
        <v>1171</v>
      </c>
      <c r="Q426" t="s">
        <v>1171</v>
      </c>
      <c r="R426" t="s">
        <v>1171</v>
      </c>
      <c r="S426" s="70"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70"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t="s">
        <v>29</v>
      </c>
      <c r="W426" t="s">
        <v>1171</v>
      </c>
      <c r="X426" t="s">
        <v>1171</v>
      </c>
      <c r="Y426" t="s">
        <v>1171</v>
      </c>
      <c r="Z426" t="s">
        <v>1171</v>
      </c>
      <c r="AA426" t="s">
        <v>1171</v>
      </c>
      <c r="AB426" t="s">
        <v>1171</v>
      </c>
      <c r="AC426" t="s">
        <v>1171</v>
      </c>
      <c r="AD426" t="s">
        <v>1140</v>
      </c>
      <c r="AE426" t="s">
        <v>1171</v>
      </c>
    </row>
    <row r="427" spans="1:31" ht="171" thickBot="1" x14ac:dyDescent="0.25">
      <c r="A427" t="s">
        <v>1171</v>
      </c>
      <c r="B427" t="s">
        <v>1599</v>
      </c>
      <c r="C427" t="str">
        <f>"CONF-"&amp;TEXT(us_core_reqs[[#This Row],[ID*]], "0000")</f>
        <v>CONF-0426</v>
      </c>
      <c r="D427" s="11" t="s">
        <v>2245</v>
      </c>
      <c r="E427" s="73"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11" t="s">
        <v>437</v>
      </c>
      <c r="G427" t="s">
        <v>35</v>
      </c>
      <c r="H427" cm="1">
        <f t="array" ref="H427">_xlfn.SWITCH(G427, "SHALL", 1, "SHOULD", 3, "MAY", 5, "SHOULD-NOT", 4, "SHALL-NOT", 2, "DEPRECATED", 6, 99)</f>
        <v>5</v>
      </c>
      <c r="I427" t="s">
        <v>2299</v>
      </c>
      <c r="J427" t="s">
        <v>30</v>
      </c>
      <c r="K427" t="s">
        <v>1171</v>
      </c>
      <c r="L427" t="s">
        <v>1171</v>
      </c>
      <c r="M427" t="s">
        <v>1176</v>
      </c>
      <c r="N427" t="s">
        <v>438</v>
      </c>
      <c r="O427" t="s">
        <v>1171</v>
      </c>
      <c r="P427" t="s">
        <v>1171</v>
      </c>
      <c r="Q427" t="s">
        <v>1171</v>
      </c>
      <c r="R427" t="s">
        <v>1171</v>
      </c>
      <c r="S427" s="70"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70"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t="s">
        <v>35</v>
      </c>
      <c r="W427" t="s">
        <v>1171</v>
      </c>
      <c r="X427" t="s">
        <v>1171</v>
      </c>
      <c r="Y427" t="s">
        <v>1171</v>
      </c>
      <c r="Z427" t="s">
        <v>1171</v>
      </c>
      <c r="AA427" t="s">
        <v>1171</v>
      </c>
      <c r="AB427" t="s">
        <v>1171</v>
      </c>
      <c r="AC427" t="s">
        <v>1171</v>
      </c>
      <c r="AD427" t="s">
        <v>1171</v>
      </c>
      <c r="AE427" t="s">
        <v>1171</v>
      </c>
    </row>
    <row r="428" spans="1:31" ht="222" thickBot="1" x14ac:dyDescent="0.25">
      <c r="A428" t="s">
        <v>1171</v>
      </c>
      <c r="B428" t="s">
        <v>1600</v>
      </c>
      <c r="C428" t="str">
        <f>"CONF-"&amp;TEXT(us_core_reqs[[#This Row],[ID*]], "0000")</f>
        <v>CONF-0427</v>
      </c>
      <c r="D428" s="11" t="s">
        <v>2341</v>
      </c>
      <c r="E428" s="73"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28" s="11" t="s">
        <v>2168</v>
      </c>
      <c r="G428" t="s">
        <v>29</v>
      </c>
      <c r="H428" cm="1">
        <f t="array" ref="H428">_xlfn.SWITCH(G428, "SHALL", 1, "SHOULD", 3, "MAY", 5, "SHOULD-NOT", 4, "SHALL-NOT", 2, "DEPRECATED", 6, 99)</f>
        <v>1</v>
      </c>
      <c r="J428" t="s">
        <v>30</v>
      </c>
      <c r="K428" t="s">
        <v>1171</v>
      </c>
      <c r="L428" t="s">
        <v>1171</v>
      </c>
      <c r="M428" t="s">
        <v>1176</v>
      </c>
      <c r="N428" t="s">
        <v>440</v>
      </c>
      <c r="O428" t="s">
        <v>1171</v>
      </c>
      <c r="P428" t="s">
        <v>1171</v>
      </c>
      <c r="Q428" t="s">
        <v>1171</v>
      </c>
      <c r="R428" t="s">
        <v>1171</v>
      </c>
      <c r="S428" s="70"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28" s="70"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28"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28" t="s">
        <v>29</v>
      </c>
      <c r="W428" t="s">
        <v>1171</v>
      </c>
      <c r="X428" t="s">
        <v>1171</v>
      </c>
      <c r="Y428" t="s">
        <v>1171</v>
      </c>
      <c r="Z428" t="s">
        <v>1171</v>
      </c>
      <c r="AA428" t="s">
        <v>1171</v>
      </c>
      <c r="AB428" t="s">
        <v>1171</v>
      </c>
      <c r="AC428" t="s">
        <v>1171</v>
      </c>
      <c r="AD428" t="s">
        <v>1140</v>
      </c>
      <c r="AE428" t="s">
        <v>1171</v>
      </c>
    </row>
    <row r="429" spans="1:31" ht="222" thickBot="1" x14ac:dyDescent="0.25">
      <c r="A429" t="s">
        <v>1171</v>
      </c>
      <c r="B429" t="s">
        <v>1601</v>
      </c>
      <c r="C429" t="str">
        <f>"CONF-"&amp;TEXT(us_core_reqs[[#This Row],[ID*]], "0000")</f>
        <v>CONF-0428</v>
      </c>
      <c r="D429" s="11" t="s">
        <v>2341</v>
      </c>
      <c r="E429" s="73"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29" s="11" t="s">
        <v>2195</v>
      </c>
      <c r="G429" t="s">
        <v>35</v>
      </c>
      <c r="H429" cm="1">
        <f t="array" ref="H429">_xlfn.SWITCH(G429, "SHALL", 1, "SHOULD", 3, "MAY", 5, "SHOULD-NOT", 4, "SHALL-NOT", 2, "DEPRECATED", 6, 99)</f>
        <v>5</v>
      </c>
      <c r="I429" t="s">
        <v>2300</v>
      </c>
      <c r="J429" t="s">
        <v>30</v>
      </c>
      <c r="K429" t="s">
        <v>1171</v>
      </c>
      <c r="L429" t="s">
        <v>1171</v>
      </c>
      <c r="M429" t="s">
        <v>1176</v>
      </c>
      <c r="N429" t="s">
        <v>442</v>
      </c>
      <c r="O429" t="s">
        <v>1171</v>
      </c>
      <c r="P429" t="s">
        <v>1171</v>
      </c>
      <c r="Q429" t="s">
        <v>1171</v>
      </c>
      <c r="R429" t="s">
        <v>1171</v>
      </c>
      <c r="S429" s="70"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29" s="70"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29"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29" t="s">
        <v>35</v>
      </c>
      <c r="W429" t="s">
        <v>1171</v>
      </c>
      <c r="X429" t="s">
        <v>1171</v>
      </c>
      <c r="Y429" t="s">
        <v>1171</v>
      </c>
      <c r="Z429" t="s">
        <v>1171</v>
      </c>
      <c r="AA429" t="s">
        <v>1171</v>
      </c>
      <c r="AB429" t="s">
        <v>1171</v>
      </c>
      <c r="AC429" t="s">
        <v>1171</v>
      </c>
      <c r="AD429" t="s">
        <v>1171</v>
      </c>
      <c r="AE429" t="s">
        <v>1171</v>
      </c>
    </row>
    <row r="430" spans="1:31" ht="222" thickBot="1" x14ac:dyDescent="0.25">
      <c r="A430" t="s">
        <v>1171</v>
      </c>
      <c r="B430" t="s">
        <v>1602</v>
      </c>
      <c r="C430" t="str">
        <f>"CONF-"&amp;TEXT(us_core_reqs[[#This Row],[ID*]], "0000")</f>
        <v>CONF-0429</v>
      </c>
      <c r="D430" s="11" t="s">
        <v>2341</v>
      </c>
      <c r="E430" s="73"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30" s="11" t="s">
        <v>443</v>
      </c>
      <c r="G430" t="s">
        <v>35</v>
      </c>
      <c r="H430" cm="1">
        <f t="array" ref="H430">_xlfn.SWITCH(G430, "SHALL", 1, "SHOULD", 3, "MAY", 5, "SHOULD-NOT", 4, "SHALL-NOT", 2, "DEPRECATED", 6, 99)</f>
        <v>5</v>
      </c>
      <c r="I430" t="s">
        <v>2299</v>
      </c>
      <c r="J430" t="s">
        <v>30</v>
      </c>
      <c r="K430" t="s">
        <v>1171</v>
      </c>
      <c r="L430" t="s">
        <v>1171</v>
      </c>
      <c r="M430" t="s">
        <v>1176</v>
      </c>
      <c r="N430" t="s">
        <v>444</v>
      </c>
      <c r="O430" t="s">
        <v>1171</v>
      </c>
      <c r="P430" t="s">
        <v>1171</v>
      </c>
      <c r="Q430" t="s">
        <v>1171</v>
      </c>
      <c r="R430" t="s">
        <v>1171</v>
      </c>
      <c r="S430" s="70"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30" s="70"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30"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30" t="s">
        <v>35</v>
      </c>
      <c r="W430" t="s">
        <v>1171</v>
      </c>
      <c r="X430" t="s">
        <v>1171</v>
      </c>
      <c r="Y430" t="s">
        <v>1171</v>
      </c>
      <c r="Z430" t="s">
        <v>1171</v>
      </c>
      <c r="AA430" t="s">
        <v>1171</v>
      </c>
      <c r="AB430" t="s">
        <v>1171</v>
      </c>
      <c r="AC430" t="s">
        <v>1171</v>
      </c>
      <c r="AD430" t="s">
        <v>1171</v>
      </c>
      <c r="AE430" t="s">
        <v>1171</v>
      </c>
    </row>
    <row r="431" spans="1:31" ht="52" thickBot="1" x14ac:dyDescent="0.25">
      <c r="A431" t="s">
        <v>1171</v>
      </c>
      <c r="B431" t="s">
        <v>1603</v>
      </c>
      <c r="C431" t="str">
        <f>"CONF-"&amp;TEXT(us_core_reqs[[#This Row],[ID*]], "0000")</f>
        <v>CONF-0430</v>
      </c>
      <c r="D431" s="11" t="s">
        <v>2246</v>
      </c>
      <c r="E431" s="73" t="str" cm="1">
        <f t="array" ref="E431">_xlfn.TEXTJOIN(", ", TRUE, _xlfn.TEXTAFTER(_xlfn.TEXTSPLIT(us_core_reqs[[#This Row],[URL*]], ", "), "/", -1))</f>
        <v>StructureDefinition-us-core-observation-lab.html#profile-specific-implementation-guidance</v>
      </c>
      <c r="F431" s="11" t="s">
        <v>1982</v>
      </c>
      <c r="G431" t="s">
        <v>32</v>
      </c>
      <c r="H431" cm="1">
        <f t="array" ref="H431">_xlfn.SWITCH(G431, "SHALL", 1, "SHOULD", 3, "MAY", 5, "SHOULD-NOT", 4, "SHALL-NOT", 2, "DEPRECATED", 6, 99)</f>
        <v>3</v>
      </c>
      <c r="J431" t="s">
        <v>30</v>
      </c>
      <c r="K431" t="s">
        <v>1171</v>
      </c>
      <c r="L431" t="s">
        <v>1171</v>
      </c>
      <c r="M431" t="s">
        <v>1176</v>
      </c>
      <c r="N431" t="s">
        <v>446</v>
      </c>
      <c r="O431" t="s">
        <v>1171</v>
      </c>
      <c r="P431" t="s">
        <v>1171</v>
      </c>
      <c r="Q431" t="s">
        <v>1171</v>
      </c>
      <c r="R431" t="s">
        <v>1171</v>
      </c>
      <c r="S431" s="70" t="str" cm="1">
        <f t="array" ref="S431">_xlfn.TEXTJOIN(",",TRUE,LEFT(TRIM(_xlfn.TEXTSPLIT(us_core_reqs[[#This Row],[reference]],",")),FIND(".html",TRIM(_xlfn.TEXTSPLIT(us_core_reqs[[#This Row],[reference]],",")))-1))</f>
        <v>StructureDefinition-us-core-observation-lab</v>
      </c>
      <c r="T431" s="70" t="str" cm="1">
        <f t="array" ref="T431">_xlfn.TEXTJOIN(",",TRUE,MID(TRIM(_xlfn.TEXTSPLIT(us_core_reqs[[#This Row],[reference]],",")),FIND("#",TRIM(_xlfn.TEXTSPLIT(us_core_reqs[[#This Row],[reference]],","))&amp;"#")+1,1000))</f>
        <v>profile-specific-implementation-guidance</v>
      </c>
      <c r="U431"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t="s">
        <v>32</v>
      </c>
      <c r="W431" t="s">
        <v>1171</v>
      </c>
      <c r="X431" t="s">
        <v>1171</v>
      </c>
      <c r="Y431" t="s">
        <v>1171</v>
      </c>
      <c r="Z431" t="s">
        <v>1171</v>
      </c>
      <c r="AA431" t="s">
        <v>1171</v>
      </c>
      <c r="AB431" t="s">
        <v>1171</v>
      </c>
      <c r="AC431" t="s">
        <v>1171</v>
      </c>
      <c r="AD431" t="s">
        <v>1171</v>
      </c>
      <c r="AE431" t="s">
        <v>1171</v>
      </c>
    </row>
    <row r="432" spans="1:31" ht="69" thickBot="1" x14ac:dyDescent="0.25">
      <c r="A432" t="s">
        <v>1171</v>
      </c>
      <c r="B432" t="s">
        <v>1604</v>
      </c>
      <c r="C432" t="str">
        <f>"CONF-"&amp;TEXT(us_core_reqs[[#This Row],[ID*]], "0000")</f>
        <v>CONF-0431</v>
      </c>
      <c r="D432" s="11" t="s">
        <v>2246</v>
      </c>
      <c r="E432" s="73" t="str" cm="1">
        <f t="array" ref="E432">_xlfn.TEXTJOIN(", ", TRUE, _xlfn.TEXTAFTER(_xlfn.TEXTSPLIT(us_core_reqs[[#This Row],[URL*]], ", "), "/", -1))</f>
        <v>StructureDefinition-us-core-observation-lab.html#profile-specific-implementation-guidance</v>
      </c>
      <c r="F432" s="11" t="s">
        <v>1983</v>
      </c>
      <c r="G432" t="s">
        <v>32</v>
      </c>
      <c r="H432" cm="1">
        <f t="array" ref="H432">_xlfn.SWITCH(G432, "SHALL", 1, "SHOULD", 3, "MAY", 5, "SHOULD-NOT", 4, "SHALL-NOT", 2, "DEPRECATED", 6, 99)</f>
        <v>3</v>
      </c>
      <c r="J432" t="s">
        <v>30</v>
      </c>
      <c r="K432" t="s">
        <v>1171</v>
      </c>
      <c r="L432" t="s">
        <v>1171</v>
      </c>
      <c r="M432" t="s">
        <v>1176</v>
      </c>
      <c r="N432" t="s">
        <v>446</v>
      </c>
      <c r="O432" t="s">
        <v>1171</v>
      </c>
      <c r="P432" t="s">
        <v>1171</v>
      </c>
      <c r="Q432" t="s">
        <v>1171</v>
      </c>
      <c r="R432" t="s">
        <v>1171</v>
      </c>
      <c r="S432" s="70" t="str" cm="1">
        <f t="array" ref="S432">_xlfn.TEXTJOIN(",",TRUE,LEFT(TRIM(_xlfn.TEXTSPLIT(us_core_reqs[[#This Row],[reference]],",")),FIND(".html",TRIM(_xlfn.TEXTSPLIT(us_core_reqs[[#This Row],[reference]],",")))-1))</f>
        <v>StructureDefinition-us-core-observation-lab</v>
      </c>
      <c r="T432" s="70" t="str" cm="1">
        <f t="array" ref="T432">_xlfn.TEXTJOIN(",",TRUE,MID(TRIM(_xlfn.TEXTSPLIT(us_core_reqs[[#This Row],[reference]],",")),FIND("#",TRIM(_xlfn.TEXTSPLIT(us_core_reqs[[#This Row],[reference]],","))&amp;"#")+1,1000))</f>
        <v>profile-specific-implementation-guidance</v>
      </c>
      <c r="U432"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t="s">
        <v>32</v>
      </c>
      <c r="W432" t="s">
        <v>1171</v>
      </c>
      <c r="X432" t="s">
        <v>1171</v>
      </c>
      <c r="Y432" t="s">
        <v>1171</v>
      </c>
      <c r="Z432" t="s">
        <v>1171</v>
      </c>
      <c r="AA432" t="s">
        <v>1171</v>
      </c>
      <c r="AB432" t="s">
        <v>1171</v>
      </c>
      <c r="AC432" t="s">
        <v>1171</v>
      </c>
      <c r="AD432" t="s">
        <v>1171</v>
      </c>
      <c r="AE432" t="s">
        <v>1171</v>
      </c>
    </row>
    <row r="433" spans="1:31" ht="52" thickBot="1" x14ac:dyDescent="0.25">
      <c r="A433" t="s">
        <v>1171</v>
      </c>
      <c r="B433" t="s">
        <v>1605</v>
      </c>
      <c r="C433" t="str">
        <f>"CONF-"&amp;TEXT(us_core_reqs[[#This Row],[ID*]], "0000")</f>
        <v>CONF-0432</v>
      </c>
      <c r="D433" s="11" t="s">
        <v>2247</v>
      </c>
      <c r="E433" s="73" t="str" cm="1">
        <f t="array" ref="E433">_xlfn.TEXTJOIN(", ", TRUE, _xlfn.TEXTAFTER(_xlfn.TEXTSPLIT(us_core_reqs[[#This Row],[URL*]], ", "), "/", -1))</f>
        <v>StructureDefinition-us-core-observation-occupation.html#profile-specific-implementation-guidance</v>
      </c>
      <c r="F433" s="11" t="s">
        <v>1059</v>
      </c>
      <c r="G433" t="s">
        <v>29</v>
      </c>
      <c r="H433" cm="1">
        <f t="array" ref="H433">_xlfn.SWITCH(G433, "SHALL", 1, "SHOULD", 3, "MAY", 5, "SHOULD-NOT", 4, "SHALL-NOT", 2, "DEPRECATED", 6, 99)</f>
        <v>1</v>
      </c>
      <c r="I433" t="s">
        <v>2301</v>
      </c>
      <c r="J433" t="s">
        <v>30</v>
      </c>
      <c r="K433" t="s">
        <v>1171</v>
      </c>
      <c r="L433" t="s">
        <v>1171</v>
      </c>
      <c r="M433" t="s">
        <v>1176</v>
      </c>
      <c r="N433" t="s">
        <v>448</v>
      </c>
      <c r="O433" t="s">
        <v>1171</v>
      </c>
      <c r="P433" t="s">
        <v>1171</v>
      </c>
      <c r="Q433" t="s">
        <v>1171</v>
      </c>
      <c r="R433" t="s">
        <v>1171</v>
      </c>
      <c r="S433" s="70" t="str" cm="1">
        <f t="array" ref="S433">_xlfn.TEXTJOIN(",",TRUE,LEFT(TRIM(_xlfn.TEXTSPLIT(us_core_reqs[[#This Row],[reference]],",")),FIND(".html",TRIM(_xlfn.TEXTSPLIT(us_core_reqs[[#This Row],[reference]],",")))-1))</f>
        <v>StructureDefinition-us-core-observation-occupation</v>
      </c>
      <c r="T433" s="70" t="str" cm="1">
        <f t="array" ref="T433">_xlfn.TEXTJOIN(",",TRUE,MID(TRIM(_xlfn.TEXTSPLIT(us_core_reqs[[#This Row],[reference]],",")),FIND("#",TRIM(_xlfn.TEXTSPLIT(us_core_reqs[[#This Row],[reference]],","))&amp;"#")+1,1000))</f>
        <v>profile-specific-implementation-guidance</v>
      </c>
      <c r="U433"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t="s">
        <v>29</v>
      </c>
      <c r="W433" t="s">
        <v>30</v>
      </c>
      <c r="X433" t="s">
        <v>1171</v>
      </c>
      <c r="Y433" t="s">
        <v>1171</v>
      </c>
      <c r="Z433" t="s">
        <v>1171</v>
      </c>
      <c r="AA433" t="s">
        <v>1171</v>
      </c>
      <c r="AB433" t="s">
        <v>1171</v>
      </c>
      <c r="AC433" t="s">
        <v>1171</v>
      </c>
      <c r="AD433" t="s">
        <v>1141</v>
      </c>
      <c r="AE433" t="s">
        <v>1171</v>
      </c>
    </row>
    <row r="434" spans="1:31" ht="69" thickBot="1" x14ac:dyDescent="0.25">
      <c r="A434" t="s">
        <v>1171</v>
      </c>
      <c r="B434" t="s">
        <v>1606</v>
      </c>
      <c r="C434" t="str">
        <f>"CONF-"&amp;TEXT(us_core_reqs[[#This Row],[ID*]], "0000")</f>
        <v>CONF-0433</v>
      </c>
      <c r="D434" s="11" t="s">
        <v>2247</v>
      </c>
      <c r="E434" s="73" t="str" cm="1">
        <f t="array" ref="E434">_xlfn.TEXTJOIN(", ", TRUE, _xlfn.TEXTAFTER(_xlfn.TEXTSPLIT(us_core_reqs[[#This Row],[URL*]], ", "), "/", -1))</f>
        <v>StructureDefinition-us-core-observation-occupation.html#profile-specific-implementation-guidance</v>
      </c>
      <c r="F434" s="11" t="s">
        <v>1060</v>
      </c>
      <c r="G434" t="s">
        <v>29</v>
      </c>
      <c r="H434" cm="1">
        <f t="array" ref="H434">_xlfn.SWITCH(G434, "SHALL", 1, "SHOULD", 3, "MAY", 5, "SHOULD-NOT", 4, "SHALL-NOT", 2, "DEPRECATED", 6, 99)</f>
        <v>1</v>
      </c>
      <c r="I434" t="s">
        <v>2302</v>
      </c>
      <c r="J434" t="s">
        <v>30</v>
      </c>
      <c r="K434" t="s">
        <v>1171</v>
      </c>
      <c r="L434" t="s">
        <v>1171</v>
      </c>
      <c r="M434" t="s">
        <v>1173</v>
      </c>
      <c r="N434" t="s">
        <v>1171</v>
      </c>
      <c r="O434" t="s">
        <v>1171</v>
      </c>
      <c r="P434" t="s">
        <v>1171</v>
      </c>
      <c r="Q434" t="s">
        <v>1171</v>
      </c>
      <c r="R434" t="s">
        <v>1171</v>
      </c>
      <c r="S434" s="70" t="str" cm="1">
        <f t="array" ref="S434">_xlfn.TEXTJOIN(",",TRUE,LEFT(TRIM(_xlfn.TEXTSPLIT(us_core_reqs[[#This Row],[reference]],",")),FIND(".html",TRIM(_xlfn.TEXTSPLIT(us_core_reqs[[#This Row],[reference]],",")))-1))</f>
        <v>StructureDefinition-us-core-observation-occupation</v>
      </c>
      <c r="T434" s="70" t="str" cm="1">
        <f t="array" ref="T434">_xlfn.TEXTJOIN(",",TRUE,MID(TRIM(_xlfn.TEXTSPLIT(us_core_reqs[[#This Row],[reference]],",")),FIND("#",TRIM(_xlfn.TEXTSPLIT(us_core_reqs[[#This Row],[reference]],","))&amp;"#")+1,1000))</f>
        <v>profile-specific-implementation-guidance</v>
      </c>
      <c r="U434"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t="s">
        <v>29</v>
      </c>
      <c r="W434" t="s">
        <v>30</v>
      </c>
      <c r="X434" t="s">
        <v>1171</v>
      </c>
      <c r="Y434" t="s">
        <v>1171</v>
      </c>
      <c r="Z434" t="s">
        <v>1171</v>
      </c>
      <c r="AA434" t="s">
        <v>1171</v>
      </c>
      <c r="AB434" t="s">
        <v>1171</v>
      </c>
      <c r="AC434" t="s">
        <v>1171</v>
      </c>
      <c r="AD434" t="s">
        <v>1141</v>
      </c>
      <c r="AE434" t="s">
        <v>1171</v>
      </c>
    </row>
    <row r="435" spans="1:31" ht="52" thickBot="1" x14ac:dyDescent="0.25">
      <c r="A435" t="s">
        <v>1171</v>
      </c>
      <c r="B435" t="s">
        <v>1607</v>
      </c>
      <c r="C435" t="str">
        <f>"CONF-"&amp;TEXT(us_core_reqs[[#This Row],[ID*]], "0000")</f>
        <v>CONF-0434</v>
      </c>
      <c r="D435" s="11" t="s">
        <v>2247</v>
      </c>
      <c r="E435" s="73" t="str" cm="1">
        <f t="array" ref="E435">_xlfn.TEXTJOIN(", ", TRUE, _xlfn.TEXTAFTER(_xlfn.TEXTSPLIT(us_core_reqs[[#This Row],[URL*]], ", "), "/", -1))</f>
        <v>StructureDefinition-us-core-observation-occupation.html#profile-specific-implementation-guidance</v>
      </c>
      <c r="F435" s="11" t="s">
        <v>1061</v>
      </c>
      <c r="G435" t="s">
        <v>29</v>
      </c>
      <c r="H435" cm="1">
        <f t="array" ref="H435">_xlfn.SWITCH(G435, "SHALL", 1, "SHOULD", 3, "MAY", 5, "SHOULD-NOT", 4, "SHALL-NOT", 2, "DEPRECATED", 6, 99)</f>
        <v>1</v>
      </c>
      <c r="I435" t="s">
        <v>2303</v>
      </c>
      <c r="J435" t="s">
        <v>30</v>
      </c>
      <c r="K435" t="s">
        <v>1171</v>
      </c>
      <c r="L435" t="s">
        <v>1171</v>
      </c>
      <c r="M435" t="s">
        <v>1173</v>
      </c>
      <c r="N435" t="s">
        <v>1171</v>
      </c>
      <c r="O435" t="s">
        <v>1171</v>
      </c>
      <c r="P435" t="s">
        <v>1171</v>
      </c>
      <c r="Q435" t="s">
        <v>1171</v>
      </c>
      <c r="R435" t="s">
        <v>1171</v>
      </c>
      <c r="S435" s="70" t="str" cm="1">
        <f t="array" ref="S435">_xlfn.TEXTJOIN(",",TRUE,LEFT(TRIM(_xlfn.TEXTSPLIT(us_core_reqs[[#This Row],[reference]],",")),FIND(".html",TRIM(_xlfn.TEXTSPLIT(us_core_reqs[[#This Row],[reference]],",")))-1))</f>
        <v>StructureDefinition-us-core-observation-occupation</v>
      </c>
      <c r="T435" s="70" t="str" cm="1">
        <f t="array" ref="T435">_xlfn.TEXTJOIN(",",TRUE,MID(TRIM(_xlfn.TEXTSPLIT(us_core_reqs[[#This Row],[reference]],",")),FIND("#",TRIM(_xlfn.TEXTSPLIT(us_core_reqs[[#This Row],[reference]],","))&amp;"#")+1,1000))</f>
        <v>profile-specific-implementation-guidance</v>
      </c>
      <c r="U435"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t="s">
        <v>29</v>
      </c>
      <c r="W435" t="s">
        <v>30</v>
      </c>
      <c r="X435" t="s">
        <v>1171</v>
      </c>
      <c r="Y435" t="s">
        <v>1171</v>
      </c>
      <c r="Z435" t="s">
        <v>1171</v>
      </c>
      <c r="AA435" t="s">
        <v>1171</v>
      </c>
      <c r="AB435" t="s">
        <v>1171</v>
      </c>
      <c r="AC435" t="s">
        <v>1171</v>
      </c>
      <c r="AD435" t="s">
        <v>1141</v>
      </c>
      <c r="AE435" t="s">
        <v>1171</v>
      </c>
    </row>
    <row r="436" spans="1:31" ht="69" thickBot="1" x14ac:dyDescent="0.25">
      <c r="A436" t="s">
        <v>1171</v>
      </c>
      <c r="B436" t="s">
        <v>1608</v>
      </c>
      <c r="C436" t="str">
        <f>"CONF-"&amp;TEXT(us_core_reqs[[#This Row],[ID*]], "0000")</f>
        <v>CONF-0435</v>
      </c>
      <c r="D436" s="11" t="s">
        <v>2248</v>
      </c>
      <c r="E436" s="73" t="str" cm="1">
        <f t="array" ref="E436">_xlfn.TEXTJOIN(", ", TRUE, _xlfn.TEXTAFTER(_xlfn.TEXTSPLIT(us_core_reqs[[#This Row],[URL*]], ", "), "/", -1))</f>
        <v>StructureDefinition-us-core-observation-pregnancyintent.html#profile-specific-implementation-guidance</v>
      </c>
      <c r="F436" s="11" t="s">
        <v>1062</v>
      </c>
      <c r="G436" t="s">
        <v>29</v>
      </c>
      <c r="H436" cm="1">
        <f t="array" ref="H436">_xlfn.SWITCH(G436, "SHALL", 1, "SHOULD", 3, "MAY", 5, "SHOULD-NOT", 4, "SHALL-NOT", 2, "DEPRECATED", 6, 99)</f>
        <v>1</v>
      </c>
      <c r="I436" t="s">
        <v>2303</v>
      </c>
      <c r="J436" t="s">
        <v>30</v>
      </c>
      <c r="K436" t="s">
        <v>1171</v>
      </c>
      <c r="L436" t="s">
        <v>1171</v>
      </c>
      <c r="M436" t="s">
        <v>1173</v>
      </c>
      <c r="N436" t="s">
        <v>1171</v>
      </c>
      <c r="O436" t="s">
        <v>1171</v>
      </c>
      <c r="P436" t="s">
        <v>1171</v>
      </c>
      <c r="Q436" t="s">
        <v>1171</v>
      </c>
      <c r="R436" t="s">
        <v>1171</v>
      </c>
      <c r="S436" s="70" t="str" cm="1">
        <f t="array" ref="S436">_xlfn.TEXTJOIN(",",TRUE,LEFT(TRIM(_xlfn.TEXTSPLIT(us_core_reqs[[#This Row],[reference]],",")),FIND(".html",TRIM(_xlfn.TEXTSPLIT(us_core_reqs[[#This Row],[reference]],",")))-1))</f>
        <v>StructureDefinition-us-core-observation-pregnancyintent</v>
      </c>
      <c r="T436" s="70" t="str" cm="1">
        <f t="array" ref="T436">_xlfn.TEXTJOIN(",",TRUE,MID(TRIM(_xlfn.TEXTSPLIT(us_core_reqs[[#This Row],[reference]],",")),FIND("#",TRIM(_xlfn.TEXTSPLIT(us_core_reqs[[#This Row],[reference]],","))&amp;"#")+1,1000))</f>
        <v>profile-specific-implementation-guidance</v>
      </c>
      <c r="U436"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t="s">
        <v>29</v>
      </c>
      <c r="W436" t="s">
        <v>30</v>
      </c>
      <c r="X436" t="s">
        <v>1171</v>
      </c>
      <c r="Y436" t="s">
        <v>1171</v>
      </c>
      <c r="Z436" t="s">
        <v>1171</v>
      </c>
      <c r="AA436" t="s">
        <v>1171</v>
      </c>
      <c r="AB436" t="s">
        <v>1171</v>
      </c>
      <c r="AC436" t="s">
        <v>1171</v>
      </c>
      <c r="AD436" t="s">
        <v>1140</v>
      </c>
      <c r="AE436" t="s">
        <v>1171</v>
      </c>
    </row>
    <row r="437" spans="1:31" ht="69" thickBot="1" x14ac:dyDescent="0.25">
      <c r="A437" t="s">
        <v>1171</v>
      </c>
      <c r="B437" t="s">
        <v>1609</v>
      </c>
      <c r="C437" t="str">
        <f>"CONF-"&amp;TEXT(us_core_reqs[[#This Row],[ID*]], "0000")</f>
        <v>CONF-0436</v>
      </c>
      <c r="D437" s="11" t="s">
        <v>2249</v>
      </c>
      <c r="E437" s="73" t="str" cm="1">
        <f t="array" ref="E437">_xlfn.TEXTJOIN(", ", TRUE, _xlfn.TEXTAFTER(_xlfn.TEXTSPLIT(us_core_reqs[[#This Row],[URL*]], ", "), "/", -1))</f>
        <v>StructureDefinition-us-core-observation-pregnancystatus.html#profile-specific-implementation-guidance</v>
      </c>
      <c r="F437" s="11" t="s">
        <v>1063</v>
      </c>
      <c r="G437" t="s">
        <v>29</v>
      </c>
      <c r="H437" cm="1">
        <f t="array" ref="H437">_xlfn.SWITCH(G437, "SHALL", 1, "SHOULD", 3, "MAY", 5, "SHOULD-NOT", 4, "SHALL-NOT", 2, "DEPRECATED", 6, 99)</f>
        <v>1</v>
      </c>
      <c r="I437" t="s">
        <v>2303</v>
      </c>
      <c r="J437" t="s">
        <v>30</v>
      </c>
      <c r="K437" t="s">
        <v>1171</v>
      </c>
      <c r="L437" t="s">
        <v>1171</v>
      </c>
      <c r="M437" t="s">
        <v>1173</v>
      </c>
      <c r="N437" t="s">
        <v>1171</v>
      </c>
      <c r="O437" t="s">
        <v>1171</v>
      </c>
      <c r="P437" t="s">
        <v>1171</v>
      </c>
      <c r="Q437" t="s">
        <v>1171</v>
      </c>
      <c r="R437" t="s">
        <v>1171</v>
      </c>
      <c r="S437" s="70" t="str" cm="1">
        <f t="array" ref="S437">_xlfn.TEXTJOIN(",",TRUE,LEFT(TRIM(_xlfn.TEXTSPLIT(us_core_reqs[[#This Row],[reference]],",")),FIND(".html",TRIM(_xlfn.TEXTSPLIT(us_core_reqs[[#This Row],[reference]],",")))-1))</f>
        <v>StructureDefinition-us-core-observation-pregnancystatus</v>
      </c>
      <c r="T437" s="70" t="str" cm="1">
        <f t="array" ref="T437">_xlfn.TEXTJOIN(",",TRUE,MID(TRIM(_xlfn.TEXTSPLIT(us_core_reqs[[#This Row],[reference]],",")),FIND("#",TRIM(_xlfn.TEXTSPLIT(us_core_reqs[[#This Row],[reference]],","))&amp;"#")+1,1000))</f>
        <v>profile-specific-implementation-guidance</v>
      </c>
      <c r="U437"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t="s">
        <v>29</v>
      </c>
      <c r="W437" t="s">
        <v>30</v>
      </c>
      <c r="X437" t="s">
        <v>1171</v>
      </c>
      <c r="Y437" t="s">
        <v>1171</v>
      </c>
      <c r="Z437" t="s">
        <v>1171</v>
      </c>
      <c r="AA437" t="s">
        <v>1171</v>
      </c>
      <c r="AB437" t="s">
        <v>1171</v>
      </c>
      <c r="AC437" t="s">
        <v>1171</v>
      </c>
      <c r="AD437" t="s">
        <v>1140</v>
      </c>
      <c r="AE437" t="s">
        <v>1171</v>
      </c>
    </row>
    <row r="438" spans="1:31" ht="52" thickBot="1" x14ac:dyDescent="0.25">
      <c r="A438" t="s">
        <v>1171</v>
      </c>
      <c r="B438" t="s">
        <v>1610</v>
      </c>
      <c r="C438" t="str">
        <f>"CONF-"&amp;TEXT(us_core_reqs[[#This Row],[ID*]], "0000")</f>
        <v>CONF-0437</v>
      </c>
      <c r="D438" s="11" t="s">
        <v>2250</v>
      </c>
      <c r="E438" s="73" t="str" cm="1">
        <f t="array" ref="E438">_xlfn.TEXTJOIN(", ", TRUE, _xlfn.TEXTAFTER(_xlfn.TEXTSPLIT(us_core_reqs[[#This Row],[URL*]], ", "), "/", -1))</f>
        <v>StructureDefinition-us-core-observation-screening-assessment.html#profile-specific-implementation-guidance</v>
      </c>
      <c r="F438" s="11" t="s">
        <v>1984</v>
      </c>
      <c r="G438" t="s">
        <v>32</v>
      </c>
      <c r="H438" cm="1">
        <f t="array" ref="H438">_xlfn.SWITCH(G438, "SHALL", 1, "SHOULD", 3, "MAY", 5, "SHOULD-NOT", 4, "SHALL-NOT", 2, "DEPRECATED", 6, 99)</f>
        <v>3</v>
      </c>
      <c r="J438" t="s">
        <v>30</v>
      </c>
      <c r="K438" t="s">
        <v>1171</v>
      </c>
      <c r="L438" t="s">
        <v>1171</v>
      </c>
      <c r="M438" t="s">
        <v>1176</v>
      </c>
      <c r="N438" t="s">
        <v>453</v>
      </c>
      <c r="O438" t="s">
        <v>1171</v>
      </c>
      <c r="P438" t="s">
        <v>1171</v>
      </c>
      <c r="Q438" t="s">
        <v>1171</v>
      </c>
      <c r="R438" t="s">
        <v>1171</v>
      </c>
      <c r="S438" s="70" t="str" cm="1">
        <f t="array" ref="S438">_xlfn.TEXTJOIN(",",TRUE,LEFT(TRIM(_xlfn.TEXTSPLIT(us_core_reqs[[#This Row],[reference]],",")),FIND(".html",TRIM(_xlfn.TEXTSPLIT(us_core_reqs[[#This Row],[reference]],",")))-1))</f>
        <v>StructureDefinition-us-core-observation-screening-assessment</v>
      </c>
      <c r="T438" s="70" t="str" cm="1">
        <f t="array" ref="T438">_xlfn.TEXTJOIN(",",TRUE,MID(TRIM(_xlfn.TEXTSPLIT(us_core_reqs[[#This Row],[reference]],",")),FIND("#",TRIM(_xlfn.TEXTSPLIT(us_core_reqs[[#This Row],[reference]],","))&amp;"#")+1,1000))</f>
        <v>profile-specific-implementation-guidance</v>
      </c>
      <c r="U438"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t="s">
        <v>32</v>
      </c>
      <c r="W438" t="s">
        <v>1171</v>
      </c>
      <c r="X438" t="s">
        <v>1171</v>
      </c>
      <c r="Y438" t="s">
        <v>1171</v>
      </c>
      <c r="Z438" t="s">
        <v>1171</v>
      </c>
      <c r="AA438" t="s">
        <v>1171</v>
      </c>
      <c r="AB438" t="s">
        <v>1171</v>
      </c>
      <c r="AC438" t="s">
        <v>1171</v>
      </c>
      <c r="AD438" t="s">
        <v>1171</v>
      </c>
      <c r="AE438" t="s">
        <v>1171</v>
      </c>
    </row>
    <row r="439" spans="1:31" ht="103" thickBot="1" x14ac:dyDescent="0.25">
      <c r="A439" t="s">
        <v>1171</v>
      </c>
      <c r="B439" t="s">
        <v>1611</v>
      </c>
      <c r="C439" t="str">
        <f>"CONF-"&amp;TEXT(us_core_reqs[[#This Row],[ID*]], "0000")</f>
        <v>CONF-0438</v>
      </c>
      <c r="D439" s="11" t="s">
        <v>2250</v>
      </c>
      <c r="E439" s="73" t="str" cm="1">
        <f t="array" ref="E439">_xlfn.TEXTJOIN(", ", TRUE, _xlfn.TEXTAFTER(_xlfn.TEXTSPLIT(us_core_reqs[[#This Row],[URL*]], ", "), "/", -1))</f>
        <v>StructureDefinition-us-core-observation-screening-assessment.html#profile-specific-implementation-guidance</v>
      </c>
      <c r="F439" s="11" t="s">
        <v>2304</v>
      </c>
      <c r="G439" t="s">
        <v>32</v>
      </c>
      <c r="H439" cm="1">
        <f t="array" ref="H439">_xlfn.SWITCH(G439, "SHALL", 1, "SHOULD", 3, "MAY", 5, "SHOULD-NOT", 4, "SHALL-NOT", 2, "DEPRECATED", 6, 99)</f>
        <v>3</v>
      </c>
      <c r="J439" t="s">
        <v>30</v>
      </c>
      <c r="K439" t="s">
        <v>1171</v>
      </c>
      <c r="L439" t="s">
        <v>1171</v>
      </c>
      <c r="M439" t="s">
        <v>1176</v>
      </c>
      <c r="N439" t="s">
        <v>455</v>
      </c>
      <c r="O439" t="s">
        <v>1171</v>
      </c>
      <c r="P439" t="s">
        <v>1171</v>
      </c>
      <c r="Q439" t="s">
        <v>1171</v>
      </c>
      <c r="R439" t="s">
        <v>1171</v>
      </c>
      <c r="S439" s="70" t="str" cm="1">
        <f t="array" ref="S439">_xlfn.TEXTJOIN(",",TRUE,LEFT(TRIM(_xlfn.TEXTSPLIT(us_core_reqs[[#This Row],[reference]],",")),FIND(".html",TRIM(_xlfn.TEXTSPLIT(us_core_reqs[[#This Row],[reference]],",")))-1))</f>
        <v>StructureDefinition-us-core-observation-screening-assessment</v>
      </c>
      <c r="T439" s="70" t="str" cm="1">
        <f t="array" ref="T439">_xlfn.TEXTJOIN(",",TRUE,MID(TRIM(_xlfn.TEXTSPLIT(us_core_reqs[[#This Row],[reference]],",")),FIND("#",TRIM(_xlfn.TEXTSPLIT(us_core_reqs[[#This Row],[reference]],","))&amp;"#")+1,1000))</f>
        <v>profile-specific-implementation-guidance</v>
      </c>
      <c r="U439"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t="s">
        <v>32</v>
      </c>
      <c r="W439" t="s">
        <v>1171</v>
      </c>
      <c r="X439" t="s">
        <v>1171</v>
      </c>
      <c r="Y439" t="s">
        <v>1171</v>
      </c>
      <c r="Z439" t="s">
        <v>1171</v>
      </c>
      <c r="AA439" t="s">
        <v>1171</v>
      </c>
      <c r="AB439" t="s">
        <v>1171</v>
      </c>
      <c r="AC439" t="s">
        <v>1171</v>
      </c>
      <c r="AD439" t="s">
        <v>1171</v>
      </c>
      <c r="AE439" t="s">
        <v>1171</v>
      </c>
    </row>
    <row r="440" spans="1:31" ht="52" thickBot="1" x14ac:dyDescent="0.25">
      <c r="A440" t="s">
        <v>1171</v>
      </c>
      <c r="B440" t="s">
        <v>1612</v>
      </c>
      <c r="C440" t="str">
        <f>"CONF-"&amp;TEXT(us_core_reqs[[#This Row],[ID*]], "0000")</f>
        <v>CONF-0439</v>
      </c>
      <c r="D440" s="11" t="s">
        <v>2250</v>
      </c>
      <c r="E440" s="73" t="str" cm="1">
        <f t="array" ref="E440">_xlfn.TEXTJOIN(", ", TRUE, _xlfn.TEXTAFTER(_xlfn.TEXTSPLIT(us_core_reqs[[#This Row],[URL*]], ", "), "/", -1))</f>
        <v>StructureDefinition-us-core-observation-screening-assessment.html#profile-specific-implementation-guidance</v>
      </c>
      <c r="F440" s="11" t="s">
        <v>2123</v>
      </c>
      <c r="G440" t="s">
        <v>29</v>
      </c>
      <c r="H440" cm="1">
        <f t="array" ref="H440">_xlfn.SWITCH(G440, "SHALL", 1, "SHOULD", 3, "MAY", 5, "SHOULD-NOT", 4, "SHALL-NOT", 2, "DEPRECATED", 6, 99)</f>
        <v>1</v>
      </c>
      <c r="J440" t="s">
        <v>30</v>
      </c>
      <c r="K440" t="s">
        <v>1171</v>
      </c>
      <c r="L440" t="s">
        <v>1171</v>
      </c>
      <c r="M440" t="s">
        <v>1176</v>
      </c>
      <c r="N440" t="s">
        <v>1065</v>
      </c>
      <c r="O440" t="s">
        <v>1171</v>
      </c>
      <c r="P440" t="s">
        <v>1171</v>
      </c>
      <c r="Q440" t="s">
        <v>1171</v>
      </c>
      <c r="R440" t="s">
        <v>1171</v>
      </c>
      <c r="S440" s="70" t="str" cm="1">
        <f t="array" ref="S440">_xlfn.TEXTJOIN(",",TRUE,LEFT(TRIM(_xlfn.TEXTSPLIT(us_core_reqs[[#This Row],[reference]],",")),FIND(".html",TRIM(_xlfn.TEXTSPLIT(us_core_reqs[[#This Row],[reference]],",")))-1))</f>
        <v>StructureDefinition-us-core-observation-screening-assessment</v>
      </c>
      <c r="T440" s="70" t="str" cm="1">
        <f t="array" ref="T440">_xlfn.TEXTJOIN(",",TRUE,MID(TRIM(_xlfn.TEXTSPLIT(us_core_reqs[[#This Row],[reference]],",")),FIND("#",TRIM(_xlfn.TEXTSPLIT(us_core_reqs[[#This Row],[reference]],","))&amp;"#")+1,1000))</f>
        <v>profile-specific-implementation-guidance</v>
      </c>
      <c r="U440"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t="s">
        <v>29</v>
      </c>
      <c r="W440" t="s">
        <v>30</v>
      </c>
      <c r="X440" t="s">
        <v>1171</v>
      </c>
      <c r="Y440" t="s">
        <v>1171</v>
      </c>
      <c r="Z440" t="s">
        <v>1171</v>
      </c>
      <c r="AA440" t="s">
        <v>1171</v>
      </c>
      <c r="AB440" t="s">
        <v>1171</v>
      </c>
      <c r="AC440" t="s">
        <v>784</v>
      </c>
      <c r="AD440" t="s">
        <v>1140</v>
      </c>
      <c r="AE440" t="s">
        <v>1171</v>
      </c>
    </row>
    <row r="441" spans="1:31" ht="52" thickBot="1" x14ac:dyDescent="0.25">
      <c r="A441" t="s">
        <v>1171</v>
      </c>
      <c r="B441" t="s">
        <v>1613</v>
      </c>
      <c r="C441" t="str">
        <f>"CONF-"&amp;TEXT(us_core_reqs[[#This Row],[ID*]], "0000")</f>
        <v>CONF-0440</v>
      </c>
      <c r="D441" s="11" t="s">
        <v>2251</v>
      </c>
      <c r="E441" s="73" t="str" cm="1">
        <f t="array" ref="E441">_xlfn.TEXTJOIN(", ", TRUE, _xlfn.TEXTAFTER(_xlfn.TEXTSPLIT(us_core_reqs[[#This Row],[URL*]], ", "), "/", -1))</f>
        <v>StructureDefinition-us-core-observation-sexual-orientation.html#profile-specific-implementation-guidance</v>
      </c>
      <c r="F441" s="11" t="s">
        <v>457</v>
      </c>
      <c r="G441" t="s">
        <v>64</v>
      </c>
      <c r="H441" cm="1">
        <f t="array" ref="H441">_xlfn.SWITCH(G441, "SHALL", 1, "SHOULD", 3, "MAY", 5, "SHOULD-NOT", 4, "SHALL-NOT", 2, "DEPRECATED", 6, 99)</f>
        <v>6</v>
      </c>
      <c r="J441" t="s">
        <v>30</v>
      </c>
      <c r="K441" t="s">
        <v>1171</v>
      </c>
      <c r="L441" t="s">
        <v>1171</v>
      </c>
      <c r="M441" t="s">
        <v>1176</v>
      </c>
      <c r="N441" t="s">
        <v>458</v>
      </c>
      <c r="O441" t="s">
        <v>1171</v>
      </c>
      <c r="P441" t="s">
        <v>1171</v>
      </c>
      <c r="Q441" t="s">
        <v>1171</v>
      </c>
      <c r="R441" t="s">
        <v>1171</v>
      </c>
      <c r="S441" s="70" t="str" cm="1">
        <f t="array" ref="S441">_xlfn.TEXTJOIN(",",TRUE,LEFT(TRIM(_xlfn.TEXTSPLIT(us_core_reqs[[#This Row],[reference]],",")),FIND(".html",TRIM(_xlfn.TEXTSPLIT(us_core_reqs[[#This Row],[reference]],",")))-1))</f>
        <v>StructureDefinition-us-core-observation-sexual-orientation</v>
      </c>
      <c r="T441" s="70" t="str" cm="1">
        <f t="array" ref="T441">_xlfn.TEXTJOIN(",",TRUE,MID(TRIM(_xlfn.TEXTSPLIT(us_core_reqs[[#This Row],[reference]],",")),FIND("#",TRIM(_xlfn.TEXTSPLIT(us_core_reqs[[#This Row],[reference]],","))&amp;"#")+1,1000))</f>
        <v>profile-specific-implementation-guidance</v>
      </c>
      <c r="U441"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t="s">
        <v>1171</v>
      </c>
      <c r="W441" t="s">
        <v>1171</v>
      </c>
      <c r="X441" t="s">
        <v>1171</v>
      </c>
      <c r="Y441" t="s">
        <v>1171</v>
      </c>
      <c r="Z441" t="s">
        <v>1171</v>
      </c>
      <c r="AA441" t="s">
        <v>1171</v>
      </c>
      <c r="AB441" t="s">
        <v>1171</v>
      </c>
      <c r="AC441" t="s">
        <v>1171</v>
      </c>
      <c r="AD441" t="s">
        <v>1171</v>
      </c>
      <c r="AE441" t="s">
        <v>1171</v>
      </c>
    </row>
    <row r="442" spans="1:31" ht="69" thickBot="1" x14ac:dyDescent="0.25">
      <c r="A442" t="s">
        <v>1171</v>
      </c>
      <c r="B442" t="s">
        <v>1614</v>
      </c>
      <c r="C442" t="str">
        <f>"CONF-"&amp;TEXT(us_core_reqs[[#This Row],[ID*]], "0000")</f>
        <v>CONF-0441</v>
      </c>
      <c r="D442" s="11" t="s">
        <v>2252</v>
      </c>
      <c r="E442" s="73" t="str" cm="1">
        <f t="array" ref="E442">_xlfn.TEXTJOIN(", ", TRUE, _xlfn.TEXTAFTER(_xlfn.TEXTSPLIT(us_core_reqs[[#This Row],[URL*]], ", "), "/", -1))</f>
        <v>StructureDefinition-us-core-simple-observation.html#profile-specific-implementation-guidance</v>
      </c>
      <c r="F442" s="11" t="s">
        <v>1985</v>
      </c>
      <c r="G442" t="s">
        <v>32</v>
      </c>
      <c r="H442" cm="1">
        <f t="array" ref="H442">_xlfn.SWITCH(G442, "SHALL", 1, "SHOULD", 3, "MAY", 5, "SHOULD-NOT", 4, "SHALL-NOT", 2, "DEPRECATED", 6, 99)</f>
        <v>3</v>
      </c>
      <c r="J442" t="s">
        <v>30</v>
      </c>
      <c r="K442" t="s">
        <v>1171</v>
      </c>
      <c r="L442" t="s">
        <v>1171</v>
      </c>
      <c r="M442" t="s">
        <v>1173</v>
      </c>
      <c r="N442" t="s">
        <v>1171</v>
      </c>
      <c r="O442" t="s">
        <v>1171</v>
      </c>
      <c r="P442" t="s">
        <v>1171</v>
      </c>
      <c r="Q442" t="s">
        <v>1171</v>
      </c>
      <c r="R442" t="s">
        <v>1171</v>
      </c>
      <c r="S442" s="70" t="str" cm="1">
        <f t="array" ref="S442">_xlfn.TEXTJOIN(",",TRUE,LEFT(TRIM(_xlfn.TEXTSPLIT(us_core_reqs[[#This Row],[reference]],",")),FIND(".html",TRIM(_xlfn.TEXTSPLIT(us_core_reqs[[#This Row],[reference]],",")))-1))</f>
        <v>StructureDefinition-us-core-simple-observation</v>
      </c>
      <c r="T442" s="70" t="str" cm="1">
        <f t="array" ref="T442">_xlfn.TEXTJOIN(",",TRUE,MID(TRIM(_xlfn.TEXTSPLIT(us_core_reqs[[#This Row],[reference]],",")),FIND("#",TRIM(_xlfn.TEXTSPLIT(us_core_reqs[[#This Row],[reference]],","))&amp;"#")+1,1000))</f>
        <v>profile-specific-implementation-guidance</v>
      </c>
      <c r="U442"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t="s">
        <v>32</v>
      </c>
      <c r="W442" t="s">
        <v>1171</v>
      </c>
      <c r="X442" t="s">
        <v>1171</v>
      </c>
      <c r="Y442" t="s">
        <v>1171</v>
      </c>
      <c r="Z442" t="s">
        <v>1171</v>
      </c>
      <c r="AA442" t="s">
        <v>1171</v>
      </c>
      <c r="AB442" t="s">
        <v>1171</v>
      </c>
      <c r="AC442" t="s">
        <v>1171</v>
      </c>
      <c r="AD442" t="s">
        <v>1171</v>
      </c>
      <c r="AE442" t="s">
        <v>1171</v>
      </c>
    </row>
    <row r="443" spans="1:31" ht="52" thickBot="1" x14ac:dyDescent="0.25">
      <c r="A443" t="s">
        <v>1171</v>
      </c>
      <c r="B443" t="s">
        <v>1615</v>
      </c>
      <c r="C443" t="str">
        <f>"CONF-"&amp;TEXT(us_core_reqs[[#This Row],[ID*]], "0000")</f>
        <v>CONF-0442</v>
      </c>
      <c r="D443" s="11" t="s">
        <v>2252</v>
      </c>
      <c r="E443" s="73" t="str" cm="1">
        <f t="array" ref="E443">_xlfn.TEXTJOIN(", ", TRUE, _xlfn.TEXTAFTER(_xlfn.TEXTSPLIT(us_core_reqs[[#This Row],[URL*]], ", "), "/", -1))</f>
        <v>StructureDefinition-us-core-simple-observation.html#profile-specific-implementation-guidance</v>
      </c>
      <c r="F443" s="11" t="s">
        <v>1986</v>
      </c>
      <c r="G443" t="s">
        <v>32</v>
      </c>
      <c r="H443" cm="1">
        <f t="array" ref="H443">_xlfn.SWITCH(G443, "SHALL", 1, "SHOULD", 3, "MAY", 5, "SHOULD-NOT", 4, "SHALL-NOT", 2, "DEPRECATED", 6, 99)</f>
        <v>3</v>
      </c>
      <c r="J443" t="s">
        <v>30</v>
      </c>
      <c r="K443" t="s">
        <v>1171</v>
      </c>
      <c r="L443" t="s">
        <v>1171</v>
      </c>
      <c r="M443" t="s">
        <v>1173</v>
      </c>
      <c r="N443" t="s">
        <v>1171</v>
      </c>
      <c r="O443" t="s">
        <v>1171</v>
      </c>
      <c r="P443" t="s">
        <v>1171</v>
      </c>
      <c r="Q443" t="s">
        <v>1171</v>
      </c>
      <c r="R443" t="s">
        <v>1171</v>
      </c>
      <c r="S443" s="70" t="str" cm="1">
        <f t="array" ref="S443">_xlfn.TEXTJOIN(",",TRUE,LEFT(TRIM(_xlfn.TEXTSPLIT(us_core_reqs[[#This Row],[reference]],",")),FIND(".html",TRIM(_xlfn.TEXTSPLIT(us_core_reqs[[#This Row],[reference]],",")))-1))</f>
        <v>StructureDefinition-us-core-simple-observation</v>
      </c>
      <c r="T443" s="70" t="str" cm="1">
        <f t="array" ref="T443">_xlfn.TEXTJOIN(",",TRUE,MID(TRIM(_xlfn.TEXTSPLIT(us_core_reqs[[#This Row],[reference]],",")),FIND("#",TRIM(_xlfn.TEXTSPLIT(us_core_reqs[[#This Row],[reference]],","))&amp;"#")+1,1000))</f>
        <v>profile-specific-implementation-guidance</v>
      </c>
      <c r="U443"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t="s">
        <v>32</v>
      </c>
      <c r="W443" t="s">
        <v>1171</v>
      </c>
      <c r="X443" t="s">
        <v>1171</v>
      </c>
      <c r="Y443" t="s">
        <v>1171</v>
      </c>
      <c r="Z443" t="s">
        <v>1171</v>
      </c>
      <c r="AA443" t="s">
        <v>1171</v>
      </c>
      <c r="AB443" t="s">
        <v>1171</v>
      </c>
      <c r="AC443" t="s">
        <v>1171</v>
      </c>
      <c r="AD443" t="s">
        <v>1171</v>
      </c>
      <c r="AE443" t="s">
        <v>1171</v>
      </c>
    </row>
    <row r="444" spans="1:31" ht="52" thickBot="1" x14ac:dyDescent="0.25">
      <c r="A444" t="s">
        <v>1171</v>
      </c>
      <c r="B444" t="s">
        <v>1616</v>
      </c>
      <c r="C444" t="str">
        <f>"CONF-"&amp;TEXT(us_core_reqs[[#This Row],[ID*]], "0000")</f>
        <v>CONF-0443</v>
      </c>
      <c r="D444" s="11" t="s">
        <v>2252</v>
      </c>
      <c r="E444" s="73" t="str" cm="1">
        <f t="array" ref="E444">_xlfn.TEXTJOIN(", ", TRUE, _xlfn.TEXTAFTER(_xlfn.TEXTSPLIT(us_core_reqs[[#This Row],[URL*]], ", "), "/", -1))</f>
        <v>StructureDefinition-us-core-simple-observation.html#profile-specific-implementation-guidance</v>
      </c>
      <c r="F444" s="11" t="s">
        <v>1987</v>
      </c>
      <c r="G444" t="s">
        <v>32</v>
      </c>
      <c r="H444" cm="1">
        <f t="array" ref="H444">_xlfn.SWITCH(G444, "SHALL", 1, "SHOULD", 3, "MAY", 5, "SHOULD-NOT", 4, "SHALL-NOT", 2, "DEPRECATED", 6, 99)</f>
        <v>3</v>
      </c>
      <c r="J444" t="s">
        <v>30</v>
      </c>
      <c r="K444" t="s">
        <v>2305</v>
      </c>
      <c r="L444" t="s">
        <v>1171</v>
      </c>
      <c r="M444" t="s">
        <v>1173</v>
      </c>
      <c r="N444" t="s">
        <v>1171</v>
      </c>
      <c r="O444" t="s">
        <v>1171</v>
      </c>
      <c r="P444" t="s">
        <v>1171</v>
      </c>
      <c r="Q444" t="s">
        <v>1171</v>
      </c>
      <c r="R444" t="s">
        <v>1171</v>
      </c>
      <c r="S444" s="70" t="str" cm="1">
        <f t="array" ref="S444">_xlfn.TEXTJOIN(",",TRUE,LEFT(TRIM(_xlfn.TEXTSPLIT(us_core_reqs[[#This Row],[reference]],",")),FIND(".html",TRIM(_xlfn.TEXTSPLIT(us_core_reqs[[#This Row],[reference]],",")))-1))</f>
        <v>StructureDefinition-us-core-simple-observation</v>
      </c>
      <c r="T444" s="70" t="str" cm="1">
        <f t="array" ref="T444">_xlfn.TEXTJOIN(",",TRUE,MID(TRIM(_xlfn.TEXTSPLIT(us_core_reqs[[#This Row],[reference]],",")),FIND("#",TRIM(_xlfn.TEXTSPLIT(us_core_reqs[[#This Row],[reference]],","))&amp;"#")+1,1000))</f>
        <v>profile-specific-implementation-guidance</v>
      </c>
      <c r="U444"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t="s">
        <v>32</v>
      </c>
      <c r="W444" t="s">
        <v>1171</v>
      </c>
      <c r="X444" t="s">
        <v>1171</v>
      </c>
      <c r="Y444" t="s">
        <v>1171</v>
      </c>
      <c r="Z444" t="s">
        <v>1171</v>
      </c>
      <c r="AA444" t="s">
        <v>1171</v>
      </c>
      <c r="AB444" t="s">
        <v>1171</v>
      </c>
      <c r="AC444" t="s">
        <v>1171</v>
      </c>
      <c r="AD444" t="s">
        <v>1171</v>
      </c>
      <c r="AE444" t="s">
        <v>1171</v>
      </c>
    </row>
    <row r="445" spans="1:31" ht="69" thickBot="1" x14ac:dyDescent="0.25">
      <c r="A445" t="s">
        <v>1171</v>
      </c>
      <c r="B445" t="s">
        <v>1617</v>
      </c>
      <c r="C445" t="str">
        <f>"CONF-"&amp;TEXT(us_core_reqs[[#This Row],[ID*]], "0000")</f>
        <v>CONF-0444</v>
      </c>
      <c r="D445" s="11" t="s">
        <v>2252</v>
      </c>
      <c r="E445" s="73" t="str" cm="1">
        <f t="array" ref="E445">_xlfn.TEXTJOIN(", ", TRUE, _xlfn.TEXTAFTER(_xlfn.TEXTSPLIT(us_core_reqs[[#This Row],[URL*]], ", "), "/", -1))</f>
        <v>StructureDefinition-us-core-simple-observation.html#profile-specific-implementation-guidance</v>
      </c>
      <c r="F445" s="11" t="s">
        <v>2306</v>
      </c>
      <c r="G445" t="s">
        <v>29</v>
      </c>
      <c r="H445" cm="1">
        <f t="array" ref="H445">_xlfn.SWITCH(G445, "SHALL", 1, "SHOULD", 3, "MAY", 5, "SHOULD-NOT", 4, "SHALL-NOT", 2, "DEPRECATED", 6, 99)</f>
        <v>1</v>
      </c>
      <c r="J445" t="s">
        <v>30</v>
      </c>
      <c r="K445" t="b">
        <v>1</v>
      </c>
      <c r="L445" t="s">
        <v>1171</v>
      </c>
      <c r="M445" t="s">
        <v>1176</v>
      </c>
      <c r="N445" t="s">
        <v>461</v>
      </c>
      <c r="O445" t="s">
        <v>1171</v>
      </c>
      <c r="P445" t="s">
        <v>1171</v>
      </c>
      <c r="Q445" t="s">
        <v>1171</v>
      </c>
      <c r="R445" t="s">
        <v>1171</v>
      </c>
      <c r="S445" s="70" t="str" cm="1">
        <f t="array" ref="S445">_xlfn.TEXTJOIN(",",TRUE,LEFT(TRIM(_xlfn.TEXTSPLIT(us_core_reqs[[#This Row],[reference]],",")),FIND(".html",TRIM(_xlfn.TEXTSPLIT(us_core_reqs[[#This Row],[reference]],",")))-1))</f>
        <v>StructureDefinition-us-core-simple-observation</v>
      </c>
      <c r="T445" s="70" t="str" cm="1">
        <f t="array" ref="T445">_xlfn.TEXTJOIN(",",TRUE,MID(TRIM(_xlfn.TEXTSPLIT(us_core_reqs[[#This Row],[reference]],",")),FIND("#",TRIM(_xlfn.TEXTSPLIT(us_core_reqs[[#This Row],[reference]],","))&amp;"#")+1,1000))</f>
        <v>profile-specific-implementation-guidance</v>
      </c>
      <c r="U445"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t="s">
        <v>29</v>
      </c>
      <c r="W445" t="s">
        <v>30</v>
      </c>
      <c r="X445" t="s">
        <v>1171</v>
      </c>
      <c r="Y445" t="s">
        <v>1171</v>
      </c>
      <c r="Z445" t="s">
        <v>1171</v>
      </c>
      <c r="AA445" t="s">
        <v>1171</v>
      </c>
      <c r="AB445" t="s">
        <v>1171</v>
      </c>
      <c r="AC445" t="s">
        <v>1171</v>
      </c>
      <c r="AD445" t="s">
        <v>1140</v>
      </c>
      <c r="AE445" t="s">
        <v>1171</v>
      </c>
    </row>
    <row r="446" spans="1:31" ht="52" thickBot="1" x14ac:dyDescent="0.25">
      <c r="A446" t="s">
        <v>1171</v>
      </c>
      <c r="B446" t="s">
        <v>1618</v>
      </c>
      <c r="C446" t="str">
        <f>"CONF-"&amp;TEXT(us_core_reqs[[#This Row],[ID*]], "0000")</f>
        <v>CONF-0445</v>
      </c>
      <c r="D446" s="11" t="s">
        <v>2253</v>
      </c>
      <c r="E446" s="73" t="str" cm="1">
        <f t="array" ref="E446">_xlfn.TEXTJOIN(", ", TRUE, _xlfn.TEXTAFTER(_xlfn.TEXTSPLIT(us_core_reqs[[#This Row],[URL*]], ", "), "/", -1))</f>
        <v>StructureDefinition-us-core-treatment-intervention-preference.html#profile-specific-implementation-guidance</v>
      </c>
      <c r="F446" s="11" t="s">
        <v>462</v>
      </c>
      <c r="G446" t="s">
        <v>35</v>
      </c>
      <c r="H446" cm="1">
        <f t="array" ref="H446">_xlfn.SWITCH(G446, "SHALL", 1, "SHOULD", 3, "MAY", 5, "SHOULD-NOT", 4, "SHALL-NOT", 2, "DEPRECATED", 6, 99)</f>
        <v>5</v>
      </c>
      <c r="I446" t="s">
        <v>1878</v>
      </c>
      <c r="J446" t="s">
        <v>30</v>
      </c>
      <c r="K446" t="s">
        <v>1171</v>
      </c>
      <c r="L446" t="s">
        <v>1171</v>
      </c>
      <c r="M446" t="s">
        <v>1176</v>
      </c>
      <c r="N446" t="s">
        <v>463</v>
      </c>
      <c r="O446" t="s">
        <v>1171</v>
      </c>
      <c r="P446" t="s">
        <v>1171</v>
      </c>
      <c r="Q446" t="s">
        <v>1171</v>
      </c>
      <c r="R446" t="s">
        <v>1171</v>
      </c>
      <c r="S446" s="70" t="str" cm="1">
        <f t="array" ref="S446">_xlfn.TEXTJOIN(",",TRUE,LEFT(TRIM(_xlfn.TEXTSPLIT(us_core_reqs[[#This Row],[reference]],",")),FIND(".html",TRIM(_xlfn.TEXTSPLIT(us_core_reqs[[#This Row],[reference]],",")))-1))</f>
        <v>StructureDefinition-us-core-treatment-intervention-preference</v>
      </c>
      <c r="T446" s="70" t="str" cm="1">
        <f t="array" ref="T446">_xlfn.TEXTJOIN(",",TRUE,MID(TRIM(_xlfn.TEXTSPLIT(us_core_reqs[[#This Row],[reference]],",")),FIND("#",TRIM(_xlfn.TEXTSPLIT(us_core_reqs[[#This Row],[reference]],","))&amp;"#")+1,1000))</f>
        <v>profile-specific-implementation-guidance</v>
      </c>
      <c r="U446"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t="s">
        <v>35</v>
      </c>
      <c r="W446" t="s">
        <v>1171</v>
      </c>
      <c r="X446" t="s">
        <v>1171</v>
      </c>
      <c r="Y446" t="s">
        <v>1171</v>
      </c>
      <c r="Z446" t="s">
        <v>1171</v>
      </c>
      <c r="AA446" t="s">
        <v>1171</v>
      </c>
      <c r="AB446" t="s">
        <v>1171</v>
      </c>
      <c r="AC446" t="s">
        <v>1171</v>
      </c>
      <c r="AD446" t="s">
        <v>1171</v>
      </c>
      <c r="AE446" t="s">
        <v>1171</v>
      </c>
    </row>
    <row r="447" spans="1:31" ht="52" thickBot="1" x14ac:dyDescent="0.25">
      <c r="A447" t="s">
        <v>1171</v>
      </c>
      <c r="B447" t="s">
        <v>1619</v>
      </c>
      <c r="C447" t="str">
        <f>"CONF-"&amp;TEXT(us_core_reqs[[#This Row],[ID*]], "0000")</f>
        <v>CONF-0446</v>
      </c>
      <c r="D447" s="69" t="s">
        <v>2253</v>
      </c>
      <c r="E447" s="73" t="str" cm="1">
        <f t="array" ref="E447">_xlfn.TEXTJOIN(", ", TRUE, _xlfn.TEXTAFTER(_xlfn.TEXTSPLIT(us_core_reqs[[#This Row],[URL*]], ", "), "/", -1))</f>
        <v>StructureDefinition-us-core-treatment-intervention-preference.html#profile-specific-implementation-guidance</v>
      </c>
      <c r="F447" s="11" t="s">
        <v>1988</v>
      </c>
      <c r="G447" t="s">
        <v>32</v>
      </c>
      <c r="H447" cm="1">
        <f t="array" ref="H447">_xlfn.SWITCH(G447, "SHALL", 1, "SHOULD", 3, "MAY", 5, "SHOULD-NOT", 4, "SHALL-NOT", 2, "DEPRECATED", 6, 99)</f>
        <v>3</v>
      </c>
      <c r="I447" t="s">
        <v>2307</v>
      </c>
      <c r="J447" t="s">
        <v>30</v>
      </c>
      <c r="K447" t="s">
        <v>1171</v>
      </c>
      <c r="L447" t="s">
        <v>1171</v>
      </c>
      <c r="M447" t="s">
        <v>1176</v>
      </c>
      <c r="N447" t="s">
        <v>465</v>
      </c>
      <c r="O447" t="s">
        <v>1171</v>
      </c>
      <c r="P447" t="s">
        <v>1171</v>
      </c>
      <c r="Q447" t="s">
        <v>1171</v>
      </c>
      <c r="R447" t="s">
        <v>1171</v>
      </c>
      <c r="S447" s="70" t="str" cm="1">
        <f t="array" ref="S447">_xlfn.TEXTJOIN(",",TRUE,LEFT(TRIM(_xlfn.TEXTSPLIT(us_core_reqs[[#This Row],[reference]],",")),FIND(".html",TRIM(_xlfn.TEXTSPLIT(us_core_reqs[[#This Row],[reference]],",")))-1))</f>
        <v>StructureDefinition-us-core-treatment-intervention-preference</v>
      </c>
      <c r="T447" s="70" t="str" cm="1">
        <f t="array" ref="T447">_xlfn.TEXTJOIN(",",TRUE,MID(TRIM(_xlfn.TEXTSPLIT(us_core_reqs[[#This Row],[reference]],",")),FIND("#",TRIM(_xlfn.TEXTSPLIT(us_core_reqs[[#This Row],[reference]],","))&amp;"#")+1,1000))</f>
        <v>profile-specific-implementation-guidance</v>
      </c>
      <c r="U447"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t="s">
        <v>32</v>
      </c>
      <c r="W447" t="s">
        <v>1171</v>
      </c>
      <c r="X447" t="s">
        <v>1171</v>
      </c>
      <c r="Y447" t="s">
        <v>1171</v>
      </c>
      <c r="Z447" t="s">
        <v>1171</v>
      </c>
      <c r="AA447" t="s">
        <v>1171</v>
      </c>
      <c r="AB447" t="s">
        <v>1171</v>
      </c>
      <c r="AC447" t="s">
        <v>1171</v>
      </c>
      <c r="AD447" t="s">
        <v>1171</v>
      </c>
      <c r="AE447" t="s">
        <v>1171</v>
      </c>
    </row>
    <row r="448" spans="1:31" ht="86" thickBot="1" x14ac:dyDescent="0.25">
      <c r="A448" t="s">
        <v>1171</v>
      </c>
      <c r="B448" t="s">
        <v>1620</v>
      </c>
      <c r="C448" t="str">
        <f>"CONF-"&amp;TEXT(us_core_reqs[[#This Row],[ID*]], "0000")</f>
        <v>CONF-0447</v>
      </c>
      <c r="D448" s="11" t="s">
        <v>2254</v>
      </c>
      <c r="E448" s="73" t="str" cm="1">
        <f t="array" ref="E448">_xlfn.TEXTJOIN(", ", TRUE, _xlfn.TEXTAFTER(_xlfn.TEXTSPLIT(us_core_reqs[[#This Row],[URL*]], ", "), "/", -1))</f>
        <v>StructureDefinition-us-core-vital-signs.html#profile-specific-implementation-guidance</v>
      </c>
      <c r="F448" s="11" t="s">
        <v>2182</v>
      </c>
      <c r="G448" t="s">
        <v>35</v>
      </c>
      <c r="H448" cm="1">
        <f t="array" ref="H448">_xlfn.SWITCH(G448, "SHALL", 1, "SHOULD", 3, "MAY", 5, "SHOULD-NOT", 4, "SHALL-NOT", 2, "DEPRECATED", 6, 99)</f>
        <v>5</v>
      </c>
      <c r="J448" t="s">
        <v>30</v>
      </c>
      <c r="K448" t="s">
        <v>1171</v>
      </c>
      <c r="L448" t="s">
        <v>1171</v>
      </c>
      <c r="M448" t="s">
        <v>1173</v>
      </c>
      <c r="N448" t="s">
        <v>1171</v>
      </c>
      <c r="O448" t="s">
        <v>1171</v>
      </c>
      <c r="P448" t="s">
        <v>1171</v>
      </c>
      <c r="Q448" t="s">
        <v>1171</v>
      </c>
      <c r="R448" t="s">
        <v>1171</v>
      </c>
      <c r="S448" s="70" t="str" cm="1">
        <f t="array" ref="S448">_xlfn.TEXTJOIN(",",TRUE,LEFT(TRIM(_xlfn.TEXTSPLIT(us_core_reqs[[#This Row],[reference]],",")),FIND(".html",TRIM(_xlfn.TEXTSPLIT(us_core_reqs[[#This Row],[reference]],",")))-1))</f>
        <v>StructureDefinition-us-core-vital-signs</v>
      </c>
      <c r="T448" s="70" t="str" cm="1">
        <f t="array" ref="T448">_xlfn.TEXTJOIN(",",TRUE,MID(TRIM(_xlfn.TEXTSPLIT(us_core_reqs[[#This Row],[reference]],",")),FIND("#",TRIM(_xlfn.TEXTSPLIT(us_core_reqs[[#This Row],[reference]],","))&amp;"#")+1,1000))</f>
        <v>profile-specific-implementation-guidance</v>
      </c>
      <c r="U448"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t="s">
        <v>35</v>
      </c>
      <c r="W448" t="s">
        <v>1171</v>
      </c>
      <c r="X448" t="s">
        <v>1171</v>
      </c>
      <c r="Y448" t="s">
        <v>1171</v>
      </c>
      <c r="Z448" t="s">
        <v>1171</v>
      </c>
      <c r="AA448" t="s">
        <v>1171</v>
      </c>
      <c r="AB448" t="s">
        <v>1171</v>
      </c>
      <c r="AC448" t="s">
        <v>1171</v>
      </c>
      <c r="AD448" t="s">
        <v>1171</v>
      </c>
      <c r="AE448" t="s">
        <v>1171</v>
      </c>
    </row>
    <row r="449" spans="1:31" ht="120" thickBot="1" x14ac:dyDescent="0.25">
      <c r="A449" t="s">
        <v>1171</v>
      </c>
      <c r="B449" t="s">
        <v>1621</v>
      </c>
      <c r="C449" t="str">
        <f>"CONF-"&amp;TEXT(us_core_reqs[[#This Row],[ID*]], "0000")</f>
        <v>CONF-0448</v>
      </c>
      <c r="D449" s="11" t="s">
        <v>2255</v>
      </c>
      <c r="E449" s="73"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11" t="s">
        <v>1989</v>
      </c>
      <c r="G449" t="s">
        <v>32</v>
      </c>
      <c r="H449" cm="1">
        <f t="array" ref="H449">_xlfn.SWITCH(G449, "SHALL", 1, "SHOULD", 3, "MAY", 5, "SHOULD-NOT", 4, "SHALL-NOT", 2, "DEPRECATED", 6, 99)</f>
        <v>3</v>
      </c>
      <c r="J449" t="s">
        <v>30</v>
      </c>
      <c r="K449" t="s">
        <v>1171</v>
      </c>
      <c r="L449" t="s">
        <v>1171</v>
      </c>
      <c r="M449" t="s">
        <v>1173</v>
      </c>
      <c r="N449" t="s">
        <v>1171</v>
      </c>
      <c r="O449" t="s">
        <v>1171</v>
      </c>
      <c r="P449" t="s">
        <v>1171</v>
      </c>
      <c r="Q449" t="s">
        <v>1171</v>
      </c>
      <c r="R449" t="s">
        <v>1171</v>
      </c>
      <c r="S449" s="70"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70" t="str" cm="1">
        <f t="array" ref="T449">_xlfn.TEXTJOIN(",",TRUE,MID(TRIM(_xlfn.TEXTSPLIT(us_core_reqs[[#This Row],[reference]],",")),FIND("#",TRIM(_xlfn.TEXTSPLIT(us_core_reqs[[#This Row],[reference]],","))&amp;"#")+1,1000))</f>
        <v>profile-specific-implementation-guidance,profile-specific-implementation-guidance,profile-specific-implementation-guidance</v>
      </c>
      <c r="U449"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t="s">
        <v>32</v>
      </c>
      <c r="W449" t="s">
        <v>1171</v>
      </c>
      <c r="X449" t="s">
        <v>1171</v>
      </c>
      <c r="Y449" t="s">
        <v>1171</v>
      </c>
      <c r="Z449" t="s">
        <v>1171</v>
      </c>
      <c r="AA449" t="s">
        <v>1171</v>
      </c>
      <c r="AB449" t="s">
        <v>1171</v>
      </c>
      <c r="AC449" t="s">
        <v>1171</v>
      </c>
      <c r="AD449" t="s">
        <v>1171</v>
      </c>
      <c r="AE449" t="s">
        <v>1171</v>
      </c>
    </row>
    <row r="450" spans="1:31" ht="69" thickBot="1" x14ac:dyDescent="0.25">
      <c r="A450" t="s">
        <v>1171</v>
      </c>
      <c r="B450" t="s">
        <v>1622</v>
      </c>
      <c r="C450" t="str">
        <f>"CONF-"&amp;TEXT(us_core_reqs[[#This Row],[ID*]], "0000")</f>
        <v>CONF-0449</v>
      </c>
      <c r="D450" s="11" t="s">
        <v>2256</v>
      </c>
      <c r="E450" s="73" t="str" cm="1">
        <f t="array" ref="E450">_xlfn.TEXTJOIN(", ", TRUE, _xlfn.TEXTAFTER(_xlfn.TEXTSPLIT(us_core_reqs[[#This Row],[URL*]], ", "), "/", -1))</f>
        <v>StructureDefinition-us-core-blood-pressure.html#profile-specific-implementation-guidance</v>
      </c>
      <c r="F450" s="11" t="s">
        <v>1990</v>
      </c>
      <c r="G450" t="s">
        <v>32</v>
      </c>
      <c r="H450" cm="1">
        <f t="array" ref="H450">_xlfn.SWITCH(G450, "SHALL", 1, "SHOULD", 3, "MAY", 5, "SHOULD-NOT", 4, "SHALL-NOT", 2, "DEPRECATED", 6, 99)</f>
        <v>3</v>
      </c>
      <c r="J450" t="s">
        <v>30</v>
      </c>
      <c r="K450" t="s">
        <v>1171</v>
      </c>
      <c r="L450" t="s">
        <v>1171</v>
      </c>
      <c r="M450" t="s">
        <v>1176</v>
      </c>
      <c r="N450" t="s">
        <v>469</v>
      </c>
      <c r="O450" t="s">
        <v>1171</v>
      </c>
      <c r="P450" t="s">
        <v>1171</v>
      </c>
      <c r="Q450" t="s">
        <v>1171</v>
      </c>
      <c r="R450" t="s">
        <v>1171</v>
      </c>
      <c r="S450" s="70" t="str" cm="1">
        <f t="array" ref="S450">_xlfn.TEXTJOIN(",",TRUE,LEFT(TRIM(_xlfn.TEXTSPLIT(us_core_reqs[[#This Row],[reference]],",")),FIND(".html",TRIM(_xlfn.TEXTSPLIT(us_core_reqs[[#This Row],[reference]],",")))-1))</f>
        <v>StructureDefinition-us-core-blood-pressure</v>
      </c>
      <c r="T450" s="70" t="str" cm="1">
        <f t="array" ref="T450">_xlfn.TEXTJOIN(",",TRUE,MID(TRIM(_xlfn.TEXTSPLIT(us_core_reqs[[#This Row],[reference]],",")),FIND("#",TRIM(_xlfn.TEXTSPLIT(us_core_reqs[[#This Row],[reference]],","))&amp;"#")+1,1000))</f>
        <v>profile-specific-implementation-guidance</v>
      </c>
      <c r="U450"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t="s">
        <v>32</v>
      </c>
      <c r="W450" t="s">
        <v>1171</v>
      </c>
      <c r="X450" t="s">
        <v>1171</v>
      </c>
      <c r="Y450" t="s">
        <v>1171</v>
      </c>
      <c r="Z450" t="s">
        <v>1171</v>
      </c>
      <c r="AA450" t="s">
        <v>1171</v>
      </c>
      <c r="AB450" t="s">
        <v>1171</v>
      </c>
      <c r="AC450" t="s">
        <v>1171</v>
      </c>
      <c r="AD450" t="s">
        <v>1171</v>
      </c>
      <c r="AE450" t="s">
        <v>1171</v>
      </c>
    </row>
    <row r="451" spans="1:31" ht="86" thickBot="1" x14ac:dyDescent="0.25">
      <c r="A451" t="s">
        <v>1171</v>
      </c>
      <c r="B451" t="s">
        <v>1623</v>
      </c>
      <c r="C451" t="str">
        <f>"CONF-"&amp;TEXT(us_core_reqs[[#This Row],[ID*]], "0000")</f>
        <v>CONF-0450</v>
      </c>
      <c r="D451" s="11" t="s">
        <v>2256</v>
      </c>
      <c r="E451" s="73" t="str" cm="1">
        <f t="array" ref="E451">_xlfn.TEXTJOIN(", ", TRUE, _xlfn.TEXTAFTER(_xlfn.TEXTSPLIT(us_core_reqs[[#This Row],[URL*]], ", "), "/", -1))</f>
        <v>StructureDefinition-us-core-blood-pressure.html#profile-specific-implementation-guidance</v>
      </c>
      <c r="F451" s="11" t="s">
        <v>2169</v>
      </c>
      <c r="G451" t="s">
        <v>29</v>
      </c>
      <c r="H451" cm="1">
        <f t="array" ref="H451">_xlfn.SWITCH(G451, "SHALL", 1, "SHOULD", 3, "MAY", 5, "SHOULD-NOT", 4, "SHALL-NOT", 2, "DEPRECATED", 6, 99)</f>
        <v>1</v>
      </c>
      <c r="J451" t="s">
        <v>30</v>
      </c>
      <c r="K451" t="s">
        <v>1171</v>
      </c>
      <c r="L451" t="s">
        <v>1171</v>
      </c>
      <c r="M451" t="s">
        <v>1176</v>
      </c>
      <c r="N451" t="s">
        <v>469</v>
      </c>
      <c r="O451" t="s">
        <v>1171</v>
      </c>
      <c r="P451" t="s">
        <v>1171</v>
      </c>
      <c r="Q451" t="s">
        <v>1171</v>
      </c>
      <c r="R451" t="s">
        <v>1171</v>
      </c>
      <c r="S451" s="70" t="str" cm="1">
        <f t="array" ref="S451">_xlfn.TEXTJOIN(",",TRUE,LEFT(TRIM(_xlfn.TEXTSPLIT(us_core_reqs[[#This Row],[reference]],",")),FIND(".html",TRIM(_xlfn.TEXTSPLIT(us_core_reqs[[#This Row],[reference]],",")))-1))</f>
        <v>StructureDefinition-us-core-blood-pressure</v>
      </c>
      <c r="T451" s="70" t="str" cm="1">
        <f t="array" ref="T451">_xlfn.TEXTJOIN(",",TRUE,MID(TRIM(_xlfn.TEXTSPLIT(us_core_reqs[[#This Row],[reference]],",")),FIND("#",TRIM(_xlfn.TEXTSPLIT(us_core_reqs[[#This Row],[reference]],","))&amp;"#")+1,1000))</f>
        <v>profile-specific-implementation-guidance</v>
      </c>
      <c r="U451"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t="s">
        <v>29</v>
      </c>
      <c r="W451" t="s">
        <v>1171</v>
      </c>
      <c r="X451" t="s">
        <v>1171</v>
      </c>
      <c r="Y451" t="s">
        <v>1171</v>
      </c>
      <c r="Z451" t="s">
        <v>1171</v>
      </c>
      <c r="AA451" t="s">
        <v>1171</v>
      </c>
      <c r="AB451" t="s">
        <v>1171</v>
      </c>
      <c r="AC451" t="s">
        <v>1171</v>
      </c>
      <c r="AD451" t="s">
        <v>1140</v>
      </c>
      <c r="AE451" t="s">
        <v>1171</v>
      </c>
    </row>
    <row r="452" spans="1:31" ht="86" thickBot="1" x14ac:dyDescent="0.25">
      <c r="A452" t="s">
        <v>1171</v>
      </c>
      <c r="B452" t="s">
        <v>1624</v>
      </c>
      <c r="C452" t="str">
        <f>"CONF-"&amp;TEXT(us_core_reqs[[#This Row],[ID*]], "0000")</f>
        <v>CONF-0451</v>
      </c>
      <c r="D452" s="11" t="s">
        <v>2256</v>
      </c>
      <c r="E452" s="73" t="str" cm="1">
        <f t="array" ref="E452">_xlfn.TEXTJOIN(", ", TRUE, _xlfn.TEXTAFTER(_xlfn.TEXTSPLIT(us_core_reqs[[#This Row],[URL*]], ", "), "/", -1))</f>
        <v>StructureDefinition-us-core-blood-pressure.html#profile-specific-implementation-guidance</v>
      </c>
      <c r="F452" s="11" t="s">
        <v>2124</v>
      </c>
      <c r="G452" t="s">
        <v>29</v>
      </c>
      <c r="H452" cm="1">
        <f t="array" ref="H452">_xlfn.SWITCH(G452, "SHALL", 1, "SHOULD", 3, "MAY", 5, "SHOULD-NOT", 4, "SHALL-NOT", 2, "DEPRECATED", 6, 99)</f>
        <v>1</v>
      </c>
      <c r="J452" t="s">
        <v>30</v>
      </c>
      <c r="K452" t="s">
        <v>1171</v>
      </c>
      <c r="L452" t="s">
        <v>1171</v>
      </c>
      <c r="M452" t="s">
        <v>1176</v>
      </c>
      <c r="N452" t="s">
        <v>469</v>
      </c>
      <c r="O452" t="s">
        <v>1171</v>
      </c>
      <c r="P452" t="s">
        <v>1171</v>
      </c>
      <c r="Q452" t="s">
        <v>1171</v>
      </c>
      <c r="R452" t="s">
        <v>1171</v>
      </c>
      <c r="S452" s="70" t="str" cm="1">
        <f t="array" ref="S452">_xlfn.TEXTJOIN(",",TRUE,LEFT(TRIM(_xlfn.TEXTSPLIT(us_core_reqs[[#This Row],[reference]],",")),FIND(".html",TRIM(_xlfn.TEXTSPLIT(us_core_reqs[[#This Row],[reference]],",")))-1))</f>
        <v>StructureDefinition-us-core-blood-pressure</v>
      </c>
      <c r="T452" s="70" t="str" cm="1">
        <f t="array" ref="T452">_xlfn.TEXTJOIN(",",TRUE,MID(TRIM(_xlfn.TEXTSPLIT(us_core_reqs[[#This Row],[reference]],",")),FIND("#",TRIM(_xlfn.TEXTSPLIT(us_core_reqs[[#This Row],[reference]],","))&amp;"#")+1,1000))</f>
        <v>profile-specific-implementation-guidance</v>
      </c>
      <c r="U452"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t="s">
        <v>29</v>
      </c>
      <c r="W452" t="s">
        <v>30</v>
      </c>
      <c r="X452" t="s">
        <v>1171</v>
      </c>
      <c r="Y452" t="s">
        <v>1171</v>
      </c>
      <c r="Z452" t="s">
        <v>1171</v>
      </c>
      <c r="AA452" t="s">
        <v>1171</v>
      </c>
      <c r="AB452" t="s">
        <v>1171</v>
      </c>
      <c r="AC452" t="s">
        <v>1171</v>
      </c>
      <c r="AD452" t="s">
        <v>1140</v>
      </c>
      <c r="AE452" t="s">
        <v>1171</v>
      </c>
    </row>
    <row r="453" spans="1:31" ht="69" thickBot="1" x14ac:dyDescent="0.25">
      <c r="A453" t="s">
        <v>1171</v>
      </c>
      <c r="B453" t="s">
        <v>1625</v>
      </c>
      <c r="C453" t="str">
        <f>"CONF-"&amp;TEXT(us_core_reqs[[#This Row],[ID*]], "0000")</f>
        <v>CONF-0452</v>
      </c>
      <c r="D453" s="11" t="s">
        <v>2257</v>
      </c>
      <c r="E453" s="73" t="str" cm="1">
        <f t="array" ref="E453">_xlfn.TEXTJOIN(", ", TRUE, _xlfn.TEXTAFTER(_xlfn.TEXTSPLIT(us_core_reqs[[#This Row],[URL*]], ", "), "/", -1))</f>
        <v>StructureDefinition-us-core-pulse-oximetry.html#profile-specific-implementation-guidance</v>
      </c>
      <c r="F453" s="11" t="s">
        <v>471</v>
      </c>
      <c r="G453" t="s">
        <v>35</v>
      </c>
      <c r="H453" cm="1">
        <f t="array" ref="H453">_xlfn.SWITCH(G453, "SHALL", 1, "SHOULD", 3, "MAY", 5, "SHOULD-NOT", 4, "SHALL-NOT", 2, "DEPRECATED", 6, 99)</f>
        <v>5</v>
      </c>
      <c r="I453" t="s">
        <v>1878</v>
      </c>
      <c r="J453" t="s">
        <v>30</v>
      </c>
      <c r="K453" t="s">
        <v>1171</v>
      </c>
      <c r="L453" t="s">
        <v>1171</v>
      </c>
      <c r="M453" t="s">
        <v>1176</v>
      </c>
      <c r="N453" t="s">
        <v>472</v>
      </c>
      <c r="O453" t="s">
        <v>1171</v>
      </c>
      <c r="P453" t="s">
        <v>1171</v>
      </c>
      <c r="Q453" t="s">
        <v>1171</v>
      </c>
      <c r="R453" t="s">
        <v>1171</v>
      </c>
      <c r="S453" s="70" t="str" cm="1">
        <f t="array" ref="S453">_xlfn.TEXTJOIN(",",TRUE,LEFT(TRIM(_xlfn.TEXTSPLIT(us_core_reqs[[#This Row],[reference]],",")),FIND(".html",TRIM(_xlfn.TEXTSPLIT(us_core_reqs[[#This Row],[reference]],",")))-1))</f>
        <v>StructureDefinition-us-core-pulse-oximetry</v>
      </c>
      <c r="T453" s="70" t="str" cm="1">
        <f t="array" ref="T453">_xlfn.TEXTJOIN(",",TRUE,MID(TRIM(_xlfn.TEXTSPLIT(us_core_reqs[[#This Row],[reference]],",")),FIND("#",TRIM(_xlfn.TEXTSPLIT(us_core_reqs[[#This Row],[reference]],","))&amp;"#")+1,1000))</f>
        <v>profile-specific-implementation-guidance</v>
      </c>
      <c r="U453"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t="s">
        <v>35</v>
      </c>
      <c r="W453" t="s">
        <v>1171</v>
      </c>
      <c r="X453" t="s">
        <v>1171</v>
      </c>
      <c r="Y453" t="s">
        <v>1171</v>
      </c>
      <c r="Z453" t="s">
        <v>1171</v>
      </c>
      <c r="AA453" t="s">
        <v>1171</v>
      </c>
      <c r="AB453" t="s">
        <v>1171</v>
      </c>
      <c r="AC453" t="s">
        <v>1171</v>
      </c>
      <c r="AD453" t="s">
        <v>1171</v>
      </c>
      <c r="AE453" t="s">
        <v>1171</v>
      </c>
    </row>
    <row r="454" spans="1:31" ht="69" thickBot="1" x14ac:dyDescent="0.25">
      <c r="A454" t="s">
        <v>1171</v>
      </c>
      <c r="B454" t="s">
        <v>1626</v>
      </c>
      <c r="C454" t="str">
        <f>"CONF-"&amp;TEXT(us_core_reqs[[#This Row],[ID*]], "0000")</f>
        <v>CONF-0453</v>
      </c>
      <c r="D454" s="11" t="s">
        <v>2257</v>
      </c>
      <c r="E454" s="73" t="str" cm="1">
        <f t="array" ref="E454">_xlfn.TEXTJOIN(", ", TRUE, _xlfn.TEXTAFTER(_xlfn.TEXTSPLIT(us_core_reqs[[#This Row],[URL*]], ", "), "/", -1))</f>
        <v>StructureDefinition-us-core-pulse-oximetry.html#profile-specific-implementation-guidance</v>
      </c>
      <c r="F454" s="11" t="s">
        <v>1991</v>
      </c>
      <c r="G454" t="s">
        <v>32</v>
      </c>
      <c r="H454" cm="1">
        <f t="array" ref="H454">_xlfn.SWITCH(G454, "SHALL", 1, "SHOULD", 3, "MAY", 5, "SHOULD-NOT", 4, "SHALL-NOT", 2, "DEPRECATED", 6, 99)</f>
        <v>3</v>
      </c>
      <c r="J454" t="s">
        <v>30</v>
      </c>
      <c r="K454" t="s">
        <v>1171</v>
      </c>
      <c r="L454" t="s">
        <v>1171</v>
      </c>
      <c r="M454" t="s">
        <v>1176</v>
      </c>
      <c r="N454" t="s">
        <v>474</v>
      </c>
      <c r="O454" t="s">
        <v>1171</v>
      </c>
      <c r="P454" t="s">
        <v>1171</v>
      </c>
      <c r="Q454" t="s">
        <v>1171</v>
      </c>
      <c r="R454" t="s">
        <v>1171</v>
      </c>
      <c r="S454" s="70" t="str" cm="1">
        <f t="array" ref="S454">_xlfn.TEXTJOIN(",",TRUE,LEFT(TRIM(_xlfn.TEXTSPLIT(us_core_reqs[[#This Row],[reference]],",")),FIND(".html",TRIM(_xlfn.TEXTSPLIT(us_core_reqs[[#This Row],[reference]],",")))-1))</f>
        <v>StructureDefinition-us-core-pulse-oximetry</v>
      </c>
      <c r="T454" s="70" t="str" cm="1">
        <f t="array" ref="T454">_xlfn.TEXTJOIN(",",TRUE,MID(TRIM(_xlfn.TEXTSPLIT(us_core_reqs[[#This Row],[reference]],",")),FIND("#",TRIM(_xlfn.TEXTSPLIT(us_core_reqs[[#This Row],[reference]],","))&amp;"#")+1,1000))</f>
        <v>profile-specific-implementation-guidance</v>
      </c>
      <c r="U454"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t="s">
        <v>32</v>
      </c>
      <c r="W454" t="s">
        <v>1171</v>
      </c>
      <c r="X454" t="s">
        <v>1171</v>
      </c>
      <c r="Y454" t="s">
        <v>1171</v>
      </c>
      <c r="Z454" t="s">
        <v>1171</v>
      </c>
      <c r="AA454" t="s">
        <v>1171</v>
      </c>
      <c r="AB454" t="s">
        <v>1171</v>
      </c>
      <c r="AC454" t="s">
        <v>1171</v>
      </c>
      <c r="AD454" t="s">
        <v>1171</v>
      </c>
      <c r="AE454" t="s">
        <v>1171</v>
      </c>
    </row>
    <row r="455" spans="1:31" ht="120" thickBot="1" x14ac:dyDescent="0.25">
      <c r="A455" t="s">
        <v>1171</v>
      </c>
      <c r="B455" t="s">
        <v>1627</v>
      </c>
      <c r="C455" t="str">
        <f>"CONF-"&amp;TEXT(us_core_reqs[[#This Row],[ID*]], "0000")</f>
        <v>CONF-0454</v>
      </c>
      <c r="D455" s="11" t="s">
        <v>2257</v>
      </c>
      <c r="E455" s="73" t="str" cm="1">
        <f t="array" ref="E455">_xlfn.TEXTJOIN(", ", TRUE, _xlfn.TEXTAFTER(_xlfn.TEXTSPLIT(us_core_reqs[[#This Row],[URL*]], ", "), "/", -1))</f>
        <v>StructureDefinition-us-core-pulse-oximetry.html#profile-specific-implementation-guidance</v>
      </c>
      <c r="F455" s="11" t="s">
        <v>1992</v>
      </c>
      <c r="G455" t="s">
        <v>32</v>
      </c>
      <c r="H455" cm="1">
        <f t="array" ref="H455">_xlfn.SWITCH(G455, "SHALL", 1, "SHOULD", 3, "MAY", 5, "SHOULD-NOT", 4, "SHALL-NOT", 2, "DEPRECATED", 6, 99)</f>
        <v>3</v>
      </c>
      <c r="J455" t="s">
        <v>30</v>
      </c>
      <c r="K455" t="s">
        <v>1171</v>
      </c>
      <c r="L455" t="s">
        <v>1171</v>
      </c>
      <c r="M455" t="s">
        <v>1176</v>
      </c>
      <c r="N455" t="s">
        <v>472</v>
      </c>
      <c r="O455" t="s">
        <v>1171</v>
      </c>
      <c r="P455" t="s">
        <v>1171</v>
      </c>
      <c r="Q455" t="s">
        <v>1171</v>
      </c>
      <c r="R455" t="s">
        <v>1171</v>
      </c>
      <c r="S455" s="70" t="str" cm="1">
        <f t="array" ref="S455">_xlfn.TEXTJOIN(",",TRUE,LEFT(TRIM(_xlfn.TEXTSPLIT(us_core_reqs[[#This Row],[reference]],",")),FIND(".html",TRIM(_xlfn.TEXTSPLIT(us_core_reqs[[#This Row],[reference]],",")))-1))</f>
        <v>StructureDefinition-us-core-pulse-oximetry</v>
      </c>
      <c r="T455" s="70" t="str" cm="1">
        <f t="array" ref="T455">_xlfn.TEXTJOIN(",",TRUE,MID(TRIM(_xlfn.TEXTSPLIT(us_core_reqs[[#This Row],[reference]],",")),FIND("#",TRIM(_xlfn.TEXTSPLIT(us_core_reqs[[#This Row],[reference]],","))&amp;"#")+1,1000))</f>
        <v>profile-specific-implementation-guidance</v>
      </c>
      <c r="U455"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t="s">
        <v>35</v>
      </c>
      <c r="W455" t="s">
        <v>1171</v>
      </c>
      <c r="X455" t="s">
        <v>1171</v>
      </c>
      <c r="Y455" t="s">
        <v>1171</v>
      </c>
      <c r="Z455" t="s">
        <v>1171</v>
      </c>
      <c r="AA455" t="s">
        <v>1171</v>
      </c>
      <c r="AB455" t="s">
        <v>1171</v>
      </c>
      <c r="AC455" t="s">
        <v>1171</v>
      </c>
      <c r="AD455" t="s">
        <v>1171</v>
      </c>
      <c r="AE455" t="s">
        <v>1171</v>
      </c>
    </row>
    <row r="456" spans="1:31" ht="35" thickBot="1" x14ac:dyDescent="0.25">
      <c r="A456" t="s">
        <v>1171</v>
      </c>
      <c r="B456" t="s">
        <v>1628</v>
      </c>
      <c r="C456" t="str">
        <f>"CONF-"&amp;TEXT(us_core_reqs[[#This Row],[ID*]], "0000")</f>
        <v>CONF-0455</v>
      </c>
      <c r="D456" s="11" t="s">
        <v>2258</v>
      </c>
      <c r="E456" s="73" t="str" cm="1">
        <f t="array" ref="E456">_xlfn.TEXTJOIN(", ", TRUE, _xlfn.TEXTAFTER(_xlfn.TEXTSPLIT(us_core_reqs[[#This Row],[URL*]], ", "), "/", -1))</f>
        <v>StructureDefinition-us-core-organization.html#profile-specific-implementation-guidance</v>
      </c>
      <c r="F456" s="11" t="s">
        <v>2125</v>
      </c>
      <c r="G456" t="s">
        <v>29</v>
      </c>
      <c r="H456" cm="1">
        <f t="array" ref="H456">_xlfn.SWITCH(G456, "SHALL", 1, "SHOULD", 3, "MAY", 5, "SHOULD-NOT", 4, "SHALL-NOT", 2, "DEPRECATED", 6, 99)</f>
        <v>1</v>
      </c>
      <c r="J456" t="s">
        <v>30</v>
      </c>
      <c r="K456" t="s">
        <v>1171</v>
      </c>
      <c r="L456" t="s">
        <v>1171</v>
      </c>
      <c r="M456" t="s">
        <v>1173</v>
      </c>
      <c r="N456" t="s">
        <v>1171</v>
      </c>
      <c r="O456" t="s">
        <v>1171</v>
      </c>
      <c r="P456" t="s">
        <v>1171</v>
      </c>
      <c r="Q456" t="s">
        <v>1171</v>
      </c>
      <c r="R456" t="s">
        <v>1171</v>
      </c>
      <c r="S456" s="70" t="str" cm="1">
        <f t="array" ref="S456">_xlfn.TEXTJOIN(",",TRUE,LEFT(TRIM(_xlfn.TEXTSPLIT(us_core_reqs[[#This Row],[reference]],",")),FIND(".html",TRIM(_xlfn.TEXTSPLIT(us_core_reqs[[#This Row],[reference]],",")))-1))</f>
        <v>StructureDefinition-us-core-organization</v>
      </c>
      <c r="T456" s="70" t="str" cm="1">
        <f t="array" ref="T456">_xlfn.TEXTJOIN(",",TRUE,MID(TRIM(_xlfn.TEXTSPLIT(us_core_reqs[[#This Row],[reference]],",")),FIND("#",TRIM(_xlfn.TEXTSPLIT(us_core_reqs[[#This Row],[reference]],","))&amp;"#")+1,1000))</f>
        <v>profile-specific-implementation-guidance</v>
      </c>
      <c r="U456"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t="s">
        <v>29</v>
      </c>
      <c r="W456" t="s">
        <v>1171</v>
      </c>
      <c r="X456" t="s">
        <v>1171</v>
      </c>
      <c r="Y456" t="s">
        <v>1171</v>
      </c>
      <c r="Z456" t="s">
        <v>1171</v>
      </c>
      <c r="AA456" t="s">
        <v>1171</v>
      </c>
      <c r="AB456" t="s">
        <v>1171</v>
      </c>
      <c r="AC456" t="s">
        <v>1171</v>
      </c>
      <c r="AD456" t="s">
        <v>1140</v>
      </c>
      <c r="AE456" t="s">
        <v>1171</v>
      </c>
    </row>
    <row r="457" spans="1:31" ht="52" thickBot="1" x14ac:dyDescent="0.25">
      <c r="A457" t="s">
        <v>1171</v>
      </c>
      <c r="B457" t="s">
        <v>1629</v>
      </c>
      <c r="C457" t="str">
        <f>"CONF-"&amp;TEXT(us_core_reqs[[#This Row],[ID*]], "0000")</f>
        <v>CONF-0456</v>
      </c>
      <c r="D457" s="11" t="s">
        <v>2258</v>
      </c>
      <c r="E457" s="73" t="str" cm="1">
        <f t="array" ref="E457">_xlfn.TEXTJOIN(", ", TRUE, _xlfn.TEXTAFTER(_xlfn.TEXTSPLIT(us_core_reqs[[#This Row],[URL*]], ", "), "/", -1))</f>
        <v>StructureDefinition-us-core-organization.html#profile-specific-implementation-guidance</v>
      </c>
      <c r="F457" s="11" t="s">
        <v>1993</v>
      </c>
      <c r="G457" t="s">
        <v>32</v>
      </c>
      <c r="H457" cm="1">
        <f t="array" ref="H457">_xlfn.SWITCH(G457, "SHALL", 1, "SHOULD", 3, "MAY", 5, "SHOULD-NOT", 4, "SHALL-NOT", 2, "DEPRECATED", 6, 99)</f>
        <v>3</v>
      </c>
      <c r="J457" t="s">
        <v>30</v>
      </c>
      <c r="K457" t="s">
        <v>1171</v>
      </c>
      <c r="L457" t="s">
        <v>1171</v>
      </c>
      <c r="M457" t="s">
        <v>1173</v>
      </c>
      <c r="N457" t="s">
        <v>1171</v>
      </c>
      <c r="O457" t="s">
        <v>1171</v>
      </c>
      <c r="P457" t="s">
        <v>1171</v>
      </c>
      <c r="Q457" t="s">
        <v>1171</v>
      </c>
      <c r="R457" t="s">
        <v>1171</v>
      </c>
      <c r="S457" s="70" t="str" cm="1">
        <f t="array" ref="S457">_xlfn.TEXTJOIN(",",TRUE,LEFT(TRIM(_xlfn.TEXTSPLIT(us_core_reqs[[#This Row],[reference]],",")),FIND(".html",TRIM(_xlfn.TEXTSPLIT(us_core_reqs[[#This Row],[reference]],",")))-1))</f>
        <v>StructureDefinition-us-core-organization</v>
      </c>
      <c r="T457" s="70" t="str" cm="1">
        <f t="array" ref="T457">_xlfn.TEXTJOIN(",",TRUE,MID(TRIM(_xlfn.TEXTSPLIT(us_core_reqs[[#This Row],[reference]],",")),FIND("#",TRIM(_xlfn.TEXTSPLIT(us_core_reqs[[#This Row],[reference]],","))&amp;"#")+1,1000))</f>
        <v>profile-specific-implementation-guidance</v>
      </c>
      <c r="U457"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t="s">
        <v>32</v>
      </c>
      <c r="W457" t="s">
        <v>1171</v>
      </c>
      <c r="X457" t="s">
        <v>1171</v>
      </c>
      <c r="Y457" t="s">
        <v>1171</v>
      </c>
      <c r="Z457" t="s">
        <v>1171</v>
      </c>
      <c r="AA457" t="s">
        <v>1171</v>
      </c>
      <c r="AB457" t="s">
        <v>1171</v>
      </c>
      <c r="AC457" t="s">
        <v>1171</v>
      </c>
      <c r="AD457" t="s">
        <v>1171</v>
      </c>
      <c r="AE457" t="s">
        <v>1171</v>
      </c>
    </row>
    <row r="458" spans="1:31" ht="35" thickBot="1" x14ac:dyDescent="0.25">
      <c r="A458" t="s">
        <v>1171</v>
      </c>
      <c r="B458" t="s">
        <v>1630</v>
      </c>
      <c r="C458" t="str">
        <f>"CONF-"&amp;TEXT(us_core_reqs[[#This Row],[ID*]], "0000")</f>
        <v>CONF-0457</v>
      </c>
      <c r="D458" s="11" t="s">
        <v>2258</v>
      </c>
      <c r="E458" s="73" t="str" cm="1">
        <f t="array" ref="E458">_xlfn.TEXTJOIN(", ", TRUE, _xlfn.TEXTAFTER(_xlfn.TEXTSPLIT(us_core_reqs[[#This Row],[URL*]], ", "), "/", -1))</f>
        <v>StructureDefinition-us-core-organization.html#profile-specific-implementation-guidance</v>
      </c>
      <c r="F458" s="11" t="s">
        <v>1994</v>
      </c>
      <c r="G458" t="s">
        <v>32</v>
      </c>
      <c r="H458" cm="1">
        <f t="array" ref="H458">_xlfn.SWITCH(G458, "SHALL", 1, "SHOULD", 3, "MAY", 5, "SHOULD-NOT", 4, "SHALL-NOT", 2, "DEPRECATED", 6, 99)</f>
        <v>3</v>
      </c>
      <c r="J458" t="s">
        <v>30</v>
      </c>
      <c r="K458" t="s">
        <v>1171</v>
      </c>
      <c r="L458" t="s">
        <v>1171</v>
      </c>
      <c r="M458" t="s">
        <v>1173</v>
      </c>
      <c r="N458" t="s">
        <v>1171</v>
      </c>
      <c r="O458" t="s">
        <v>1171</v>
      </c>
      <c r="P458" t="s">
        <v>1171</v>
      </c>
      <c r="Q458" t="s">
        <v>1171</v>
      </c>
      <c r="R458" t="s">
        <v>1171</v>
      </c>
      <c r="S458" s="70" t="str" cm="1">
        <f t="array" ref="S458">_xlfn.TEXTJOIN(",",TRUE,LEFT(TRIM(_xlfn.TEXTSPLIT(us_core_reqs[[#This Row],[reference]],",")),FIND(".html",TRIM(_xlfn.TEXTSPLIT(us_core_reqs[[#This Row],[reference]],",")))-1))</f>
        <v>StructureDefinition-us-core-organization</v>
      </c>
      <c r="T458" s="70" t="str" cm="1">
        <f t="array" ref="T458">_xlfn.TEXTJOIN(",",TRUE,MID(TRIM(_xlfn.TEXTSPLIT(us_core_reqs[[#This Row],[reference]],",")),FIND("#",TRIM(_xlfn.TEXTSPLIT(us_core_reqs[[#This Row],[reference]],","))&amp;"#")+1,1000))</f>
        <v>profile-specific-implementation-guidance</v>
      </c>
      <c r="U458"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t="s">
        <v>32</v>
      </c>
      <c r="W458" t="s">
        <v>1171</v>
      </c>
      <c r="X458" t="s">
        <v>1171</v>
      </c>
      <c r="Y458" t="s">
        <v>1171</v>
      </c>
      <c r="Z458" t="s">
        <v>1171</v>
      </c>
      <c r="AA458" t="s">
        <v>1171</v>
      </c>
      <c r="AB458" t="s">
        <v>1171</v>
      </c>
      <c r="AC458" t="s">
        <v>1171</v>
      </c>
      <c r="AD458" t="s">
        <v>1171</v>
      </c>
      <c r="AE458" t="s">
        <v>1171</v>
      </c>
    </row>
    <row r="459" spans="1:31" ht="103" thickBot="1" x14ac:dyDescent="0.25">
      <c r="A459" t="s">
        <v>1171</v>
      </c>
      <c r="B459" t="s">
        <v>1631</v>
      </c>
      <c r="C459" t="str">
        <f>"CONF-"&amp;TEXT(us_core_reqs[[#This Row],[ID*]], "0000")</f>
        <v>CONF-0458</v>
      </c>
      <c r="D459" s="11" t="s">
        <v>2258</v>
      </c>
      <c r="E459" s="73" t="str" cm="1">
        <f t="array" ref="E459">_xlfn.TEXTJOIN(", ", TRUE, _xlfn.TEXTAFTER(_xlfn.TEXTSPLIT(us_core_reqs[[#This Row],[URL*]], ", "), "/", -1))</f>
        <v>StructureDefinition-us-core-organization.html#profile-specific-implementation-guidance</v>
      </c>
      <c r="F459" s="11" t="s">
        <v>1995</v>
      </c>
      <c r="G459" t="s">
        <v>64</v>
      </c>
      <c r="H459" cm="1">
        <f t="array" ref="H459">_xlfn.SWITCH(G459, "SHALL", 1, "SHOULD", 3, "MAY", 5, "SHOULD-NOT", 4, "SHALL-NOT", 2, "DEPRECATED", 6, 99)</f>
        <v>6</v>
      </c>
      <c r="J459" t="s">
        <v>30</v>
      </c>
      <c r="K459" t="s">
        <v>1171</v>
      </c>
      <c r="L459" t="s">
        <v>1171</v>
      </c>
      <c r="M459" t="s">
        <v>1173</v>
      </c>
      <c r="N459" t="s">
        <v>1171</v>
      </c>
      <c r="O459" t="s">
        <v>1171</v>
      </c>
      <c r="P459" t="s">
        <v>1171</v>
      </c>
      <c r="Q459" t="s">
        <v>1171</v>
      </c>
      <c r="R459" t="s">
        <v>1171</v>
      </c>
      <c r="S459" s="70" t="str" cm="1">
        <f t="array" ref="S459">_xlfn.TEXTJOIN(",",TRUE,LEFT(TRIM(_xlfn.TEXTSPLIT(us_core_reqs[[#This Row],[reference]],",")),FIND(".html",TRIM(_xlfn.TEXTSPLIT(us_core_reqs[[#This Row],[reference]],",")))-1))</f>
        <v>StructureDefinition-us-core-organization</v>
      </c>
      <c r="T459" s="70" t="str" cm="1">
        <f t="array" ref="T459">_xlfn.TEXTJOIN(",",TRUE,MID(TRIM(_xlfn.TEXTSPLIT(us_core_reqs[[#This Row],[reference]],",")),FIND("#",TRIM(_xlfn.TEXTSPLIT(us_core_reqs[[#This Row],[reference]],","))&amp;"#")+1,1000))</f>
        <v>profile-specific-implementation-guidance</v>
      </c>
      <c r="U459"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t="s">
        <v>32</v>
      </c>
      <c r="W459" t="s">
        <v>1171</v>
      </c>
      <c r="X459" t="s">
        <v>1171</v>
      </c>
      <c r="Y459" t="s">
        <v>1171</v>
      </c>
      <c r="Z459" t="s">
        <v>1171</v>
      </c>
      <c r="AA459" t="s">
        <v>1171</v>
      </c>
      <c r="AB459" t="s">
        <v>1171</v>
      </c>
      <c r="AC459" t="s">
        <v>1171</v>
      </c>
      <c r="AD459" t="s">
        <v>1171</v>
      </c>
      <c r="AE459" t="s">
        <v>1171</v>
      </c>
    </row>
    <row r="460" spans="1:31" ht="137" thickBot="1" x14ac:dyDescent="0.25">
      <c r="A460" t="s">
        <v>1171</v>
      </c>
      <c r="B460" t="s">
        <v>1632</v>
      </c>
      <c r="C460" t="str">
        <f>"CONF-"&amp;TEXT(us_core_reqs[[#This Row],[ID*]], "0000")</f>
        <v>CONF-0459</v>
      </c>
      <c r="D460" s="11" t="s">
        <v>2259</v>
      </c>
      <c r="E460" s="73" t="str" cm="1">
        <f t="array" ref="E460">_xlfn.TEXTJOIN(", ", TRUE, _xlfn.TEXTAFTER(_xlfn.TEXTSPLIT(us_core_reqs[[#This Row],[URL*]], ", "), "/", -1))</f>
        <v>StructureDefinition-us-core-patient.html#profile-specific-implementation-guidance, StructureDefinition-us-core-race.html#profile-specific-implementation-guidance</v>
      </c>
      <c r="F460" s="11" t="s">
        <v>888</v>
      </c>
      <c r="G460" t="s">
        <v>64</v>
      </c>
      <c r="H460" cm="1">
        <f t="array" ref="H460">_xlfn.SWITCH(G460, "SHALL", 1, "SHOULD", 3, "MAY", 5, "SHOULD-NOT", 4, "SHALL-NOT", 2, "DEPRECATED", 6, 99)</f>
        <v>6</v>
      </c>
      <c r="I460" s="11" t="s">
        <v>2310</v>
      </c>
      <c r="J460" t="s">
        <v>30</v>
      </c>
      <c r="K460" t="s">
        <v>1171</v>
      </c>
      <c r="L460" t="s">
        <v>1171</v>
      </c>
      <c r="M460" t="s">
        <v>1176</v>
      </c>
      <c r="N460" t="s">
        <v>790</v>
      </c>
      <c r="O460" t="s">
        <v>1171</v>
      </c>
      <c r="P460" t="s">
        <v>1171</v>
      </c>
      <c r="Q460" t="s">
        <v>1171</v>
      </c>
      <c r="R460" t="s">
        <v>1171</v>
      </c>
      <c r="S460" s="70" t="str" cm="1">
        <f t="array" ref="S460">_xlfn.TEXTJOIN(",",TRUE,LEFT(TRIM(_xlfn.TEXTSPLIT(us_core_reqs[[#This Row],[reference]],",")),FIND(".html",TRIM(_xlfn.TEXTSPLIT(us_core_reqs[[#This Row],[reference]],",")))-1))</f>
        <v>StructureDefinition-us-core-patient,StructureDefinition-us-core-race</v>
      </c>
      <c r="T460" s="70" t="str" cm="1">
        <f t="array" ref="T460">_xlfn.TEXTJOIN(",",TRUE,MID(TRIM(_xlfn.TEXTSPLIT(us_core_reqs[[#This Row],[reference]],",")),FIND("#",TRIM(_xlfn.TEXTSPLIT(us_core_reqs[[#This Row],[reference]],","))&amp;"#")+1,1000))</f>
        <v>profile-specific-implementation-guidance,profile-specific-implementation-guidance</v>
      </c>
      <c r="U460"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t="s">
        <v>1171</v>
      </c>
      <c r="W460" t="s">
        <v>1171</v>
      </c>
      <c r="X460" t="s">
        <v>1171</v>
      </c>
      <c r="Y460" t="s">
        <v>1171</v>
      </c>
      <c r="Z460" t="s">
        <v>1171</v>
      </c>
      <c r="AA460" t="s">
        <v>1171</v>
      </c>
      <c r="AB460" t="s">
        <v>1171</v>
      </c>
      <c r="AC460" t="s">
        <v>789</v>
      </c>
      <c r="AD460" t="s">
        <v>1140</v>
      </c>
      <c r="AE460" t="s">
        <v>1171</v>
      </c>
    </row>
    <row r="461" spans="1:31" ht="137" thickBot="1" x14ac:dyDescent="0.25">
      <c r="A461" t="s">
        <v>1171</v>
      </c>
      <c r="B461" t="s">
        <v>1633</v>
      </c>
      <c r="C461" t="str">
        <f>"CONF-"&amp;TEXT(us_core_reqs[[#This Row],[ID*]], "0000")</f>
        <v>CONF-0460</v>
      </c>
      <c r="D461" s="11" t="s">
        <v>2260</v>
      </c>
      <c r="E461" s="73" t="str" cm="1">
        <f t="array" ref="E461">_xlfn.TEXTJOIN(", ", TRUE, _xlfn.TEXTAFTER(_xlfn.TEXTSPLIT(us_core_reqs[[#This Row],[URL*]], ", "), "/", -1))</f>
        <v>StructureDefinition-us-core-patient.html#profile-specific-implementation-guidance, StructureDefinition-us-core-ethnicity.html#profile-specific-implementation-guidance</v>
      </c>
      <c r="F461" s="11" t="s">
        <v>890</v>
      </c>
      <c r="G461" t="s">
        <v>64</v>
      </c>
      <c r="H461" cm="1">
        <f t="array" ref="H461">_xlfn.SWITCH(G461, "SHALL", 1, "SHOULD", 3, "MAY", 5, "SHOULD-NOT", 4, "SHALL-NOT", 2, "DEPRECATED", 6, 99)</f>
        <v>6</v>
      </c>
      <c r="I461" s="11" t="s">
        <v>2310</v>
      </c>
      <c r="J461" t="s">
        <v>30</v>
      </c>
      <c r="K461" t="s">
        <v>1171</v>
      </c>
      <c r="L461" t="s">
        <v>1171</v>
      </c>
      <c r="M461" t="s">
        <v>1176</v>
      </c>
      <c r="N461" t="s">
        <v>791</v>
      </c>
      <c r="O461" t="s">
        <v>1171</v>
      </c>
      <c r="P461" t="s">
        <v>1171</v>
      </c>
      <c r="Q461" t="s">
        <v>1171</v>
      </c>
      <c r="R461" t="s">
        <v>1171</v>
      </c>
      <c r="S461" s="70" t="str" cm="1">
        <f t="array" ref="S461">_xlfn.TEXTJOIN(",",TRUE,LEFT(TRIM(_xlfn.TEXTSPLIT(us_core_reqs[[#This Row],[reference]],",")),FIND(".html",TRIM(_xlfn.TEXTSPLIT(us_core_reqs[[#This Row],[reference]],",")))-1))</f>
        <v>StructureDefinition-us-core-patient,StructureDefinition-us-core-ethnicity</v>
      </c>
      <c r="T461" s="70" t="str" cm="1">
        <f t="array" ref="T461">_xlfn.TEXTJOIN(",",TRUE,MID(TRIM(_xlfn.TEXTSPLIT(us_core_reqs[[#This Row],[reference]],",")),FIND("#",TRIM(_xlfn.TEXTSPLIT(us_core_reqs[[#This Row],[reference]],","))&amp;"#")+1,1000))</f>
        <v>profile-specific-implementation-guidance,profile-specific-implementation-guidance</v>
      </c>
      <c r="U461"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t="s">
        <v>1171</v>
      </c>
      <c r="W461" t="s">
        <v>1171</v>
      </c>
      <c r="X461" t="s">
        <v>1171</v>
      </c>
      <c r="Y461" t="s">
        <v>1171</v>
      </c>
      <c r="Z461" t="s">
        <v>1171</v>
      </c>
      <c r="AA461" t="s">
        <v>1171</v>
      </c>
      <c r="AB461" t="s">
        <v>1171</v>
      </c>
      <c r="AC461" t="s">
        <v>789</v>
      </c>
      <c r="AD461" t="s">
        <v>1140</v>
      </c>
      <c r="AE461" t="s">
        <v>1171</v>
      </c>
    </row>
    <row r="462" spans="1:31" ht="137" thickBot="1" x14ac:dyDescent="0.25">
      <c r="A462" t="s">
        <v>1171</v>
      </c>
      <c r="B462" t="s">
        <v>1634</v>
      </c>
      <c r="C462" t="str">
        <f>"CONF-"&amp;TEXT(us_core_reqs[[#This Row],[ID*]], "0000")</f>
        <v>CONF-0461</v>
      </c>
      <c r="D462" s="11" t="s">
        <v>2259</v>
      </c>
      <c r="E462" s="73" t="str" cm="1">
        <f t="array" ref="E462">_xlfn.TEXTJOIN(", ", TRUE, _xlfn.TEXTAFTER(_xlfn.TEXTSPLIT(us_core_reqs[[#This Row],[URL*]], ", "), "/", -1))</f>
        <v>StructureDefinition-us-core-patient.html#profile-specific-implementation-guidance, StructureDefinition-us-core-race.html#profile-specific-implementation-guidance</v>
      </c>
      <c r="F462" s="11" t="s">
        <v>2174</v>
      </c>
      <c r="G462" t="s">
        <v>35</v>
      </c>
      <c r="H462" cm="1">
        <f t="array" ref="H462">_xlfn.SWITCH(G462, "SHALL", 1, "SHOULD", 3, "MAY", 5, "SHOULD-NOT", 4, "SHALL-NOT", 2, "DEPRECATED", 6, 99)</f>
        <v>5</v>
      </c>
      <c r="J462" t="s">
        <v>30</v>
      </c>
      <c r="K462" t="s">
        <v>1171</v>
      </c>
      <c r="L462" t="s">
        <v>1171</v>
      </c>
      <c r="M462" t="s">
        <v>1176</v>
      </c>
      <c r="N462" t="s">
        <v>792</v>
      </c>
      <c r="O462" t="s">
        <v>1171</v>
      </c>
      <c r="P462" t="s">
        <v>1171</v>
      </c>
      <c r="Q462" t="s">
        <v>1171</v>
      </c>
      <c r="R462" t="s">
        <v>1171</v>
      </c>
      <c r="S462" s="70" t="str" cm="1">
        <f t="array" ref="S462">_xlfn.TEXTJOIN(",",TRUE,LEFT(TRIM(_xlfn.TEXTSPLIT(us_core_reqs[[#This Row],[reference]],",")),FIND(".html",TRIM(_xlfn.TEXTSPLIT(us_core_reqs[[#This Row],[reference]],",")))-1))</f>
        <v>StructureDefinition-us-core-patient,StructureDefinition-us-core-race</v>
      </c>
      <c r="T462" s="70" t="str" cm="1">
        <f t="array" ref="T462">_xlfn.TEXTJOIN(",",TRUE,MID(TRIM(_xlfn.TEXTSPLIT(us_core_reqs[[#This Row],[reference]],",")),FIND("#",TRIM(_xlfn.TEXTSPLIT(us_core_reqs[[#This Row],[reference]],","))&amp;"#")+1,1000))</f>
        <v>profile-specific-implementation-guidance,profile-specific-implementation-guidance</v>
      </c>
      <c r="U462"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2" t="s">
        <v>1171</v>
      </c>
      <c r="W462" t="s">
        <v>1171</v>
      </c>
      <c r="X462" t="s">
        <v>1171</v>
      </c>
      <c r="Y462" t="s">
        <v>1171</v>
      </c>
      <c r="Z462" t="s">
        <v>1171</v>
      </c>
      <c r="AA462" t="s">
        <v>1171</v>
      </c>
      <c r="AB462" t="s">
        <v>1171</v>
      </c>
      <c r="AC462" t="s">
        <v>788</v>
      </c>
      <c r="AD462" t="s">
        <v>1171</v>
      </c>
      <c r="AE462" t="s">
        <v>1171</v>
      </c>
    </row>
    <row r="463" spans="1:31" ht="86" thickBot="1" x14ac:dyDescent="0.25">
      <c r="A463" t="s">
        <v>1171</v>
      </c>
      <c r="B463" t="s">
        <v>1635</v>
      </c>
      <c r="C463" t="str">
        <f>"CONF-"&amp;TEXT(us_core_reqs[[#This Row],[ID*]], "0000")</f>
        <v>CONF-0462</v>
      </c>
      <c r="D463" s="11" t="s">
        <v>2260</v>
      </c>
      <c r="E463" s="73" t="str" cm="1">
        <f t="array" ref="E463">_xlfn.TEXTJOIN(", ", TRUE, _xlfn.TEXTAFTER(_xlfn.TEXTSPLIT(us_core_reqs[[#This Row],[URL*]], ", "), "/", -1))</f>
        <v>StructureDefinition-us-core-patient.html#profile-specific-implementation-guidance, StructureDefinition-us-core-ethnicity.html#profile-specific-implementation-guidance</v>
      </c>
      <c r="F463" s="11" t="s">
        <v>2170</v>
      </c>
      <c r="G463" t="s">
        <v>29</v>
      </c>
      <c r="H463" cm="1">
        <f t="array" ref="H463">_xlfn.SWITCH(G463, "SHALL", 1, "SHOULD", 3, "MAY", 5, "SHOULD-NOT", 4, "SHALL-NOT", 2, "DEPRECATED", 6, 99)</f>
        <v>1</v>
      </c>
      <c r="J463" t="s">
        <v>30</v>
      </c>
      <c r="K463" t="s">
        <v>1171</v>
      </c>
      <c r="L463" t="s">
        <v>1171</v>
      </c>
      <c r="M463" t="s">
        <v>1176</v>
      </c>
      <c r="N463" t="s">
        <v>791</v>
      </c>
      <c r="O463" t="s">
        <v>1171</v>
      </c>
      <c r="P463" t="s">
        <v>1171</v>
      </c>
      <c r="Q463" t="s">
        <v>1171</v>
      </c>
      <c r="R463" t="s">
        <v>1171</v>
      </c>
      <c r="S463" s="70" t="str" cm="1">
        <f t="array" ref="S463">_xlfn.TEXTJOIN(",",TRUE,LEFT(TRIM(_xlfn.TEXTSPLIT(us_core_reqs[[#This Row],[reference]],",")),FIND(".html",TRIM(_xlfn.TEXTSPLIT(us_core_reqs[[#This Row],[reference]],",")))-1))</f>
        <v>StructureDefinition-us-core-patient,StructureDefinition-us-core-ethnicity</v>
      </c>
      <c r="T463" s="70" t="str" cm="1">
        <f t="array" ref="T463">_xlfn.TEXTJOIN(",",TRUE,MID(TRIM(_xlfn.TEXTSPLIT(us_core_reqs[[#This Row],[reference]],",")),FIND("#",TRIM(_xlfn.TEXTSPLIT(us_core_reqs[[#This Row],[reference]],","))&amp;"#")+1,1000))</f>
        <v>profile-specific-implementation-guidance,profile-specific-implementation-guidance</v>
      </c>
      <c r="U463"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3" t="s">
        <v>29</v>
      </c>
      <c r="W463" t="s">
        <v>1171</v>
      </c>
      <c r="X463" t="s">
        <v>1171</v>
      </c>
      <c r="Y463" t="s">
        <v>1171</v>
      </c>
      <c r="Z463" t="s">
        <v>1171</v>
      </c>
      <c r="AA463" t="s">
        <v>1171</v>
      </c>
      <c r="AB463" t="s">
        <v>1171</v>
      </c>
      <c r="AC463" t="s">
        <v>788</v>
      </c>
      <c r="AD463" t="s">
        <v>1171</v>
      </c>
      <c r="AE463" t="s">
        <v>1171</v>
      </c>
    </row>
    <row r="464" spans="1:31" ht="137" thickBot="1" x14ac:dyDescent="0.25">
      <c r="A464" t="s">
        <v>1171</v>
      </c>
      <c r="B464" t="s">
        <v>1636</v>
      </c>
      <c r="C464" t="str">
        <f>"CONF-"&amp;TEXT(us_core_reqs[[#This Row],[ID*]], "0000")</f>
        <v>CONF-0463</v>
      </c>
      <c r="D464" s="11" t="s">
        <v>2259</v>
      </c>
      <c r="E464" s="73" t="str" cm="1">
        <f t="array" ref="E464">_xlfn.TEXTJOIN(", ", TRUE, _xlfn.TEXTAFTER(_xlfn.TEXTSPLIT(us_core_reqs[[#This Row],[URL*]], ", "), "/", -1))</f>
        <v>StructureDefinition-us-core-patient.html#profile-specific-implementation-guidance, StructureDefinition-us-core-race.html#profile-specific-implementation-guidance</v>
      </c>
      <c r="F464" s="11" t="s">
        <v>2175</v>
      </c>
      <c r="G464" t="s">
        <v>35</v>
      </c>
      <c r="H464" cm="1">
        <f t="array" ref="H464">_xlfn.SWITCH(G464, "SHALL", 1, "SHOULD", 3, "MAY", 5, "SHOULD-NOT", 4, "SHALL-NOT", 2, "DEPRECATED", 6, 99)</f>
        <v>5</v>
      </c>
      <c r="J464" t="s">
        <v>30</v>
      </c>
      <c r="K464" t="s">
        <v>1171</v>
      </c>
      <c r="L464" t="s">
        <v>1171</v>
      </c>
      <c r="M464" t="s">
        <v>1176</v>
      </c>
      <c r="N464" t="s">
        <v>792</v>
      </c>
      <c r="O464" t="s">
        <v>1171</v>
      </c>
      <c r="P464" t="s">
        <v>1171</v>
      </c>
      <c r="Q464" t="s">
        <v>1171</v>
      </c>
      <c r="R464" t="s">
        <v>1171</v>
      </c>
      <c r="S464" s="70" t="str" cm="1">
        <f t="array" ref="S464">_xlfn.TEXTJOIN(",",TRUE,LEFT(TRIM(_xlfn.TEXTSPLIT(us_core_reqs[[#This Row],[reference]],",")),FIND(".html",TRIM(_xlfn.TEXTSPLIT(us_core_reqs[[#This Row],[reference]],",")))-1))</f>
        <v>StructureDefinition-us-core-patient,StructureDefinition-us-core-race</v>
      </c>
      <c r="T464" s="70" t="str" cm="1">
        <f t="array" ref="T464">_xlfn.TEXTJOIN(",",TRUE,MID(TRIM(_xlfn.TEXTSPLIT(us_core_reqs[[#This Row],[reference]],",")),FIND("#",TRIM(_xlfn.TEXTSPLIT(us_core_reqs[[#This Row],[reference]],","))&amp;"#")+1,1000))</f>
        <v>profile-specific-implementation-guidance,profile-specific-implementation-guidance</v>
      </c>
      <c r="U464"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4" t="s">
        <v>35</v>
      </c>
      <c r="W464" t="s">
        <v>1171</v>
      </c>
      <c r="X464" t="s">
        <v>1171</v>
      </c>
      <c r="Y464" t="s">
        <v>1171</v>
      </c>
      <c r="Z464" t="s">
        <v>1171</v>
      </c>
      <c r="AA464" t="s">
        <v>1171</v>
      </c>
      <c r="AB464" t="s">
        <v>1171</v>
      </c>
      <c r="AC464" t="s">
        <v>788</v>
      </c>
      <c r="AD464" t="s">
        <v>1140</v>
      </c>
      <c r="AE464" t="s">
        <v>1171</v>
      </c>
    </row>
    <row r="465" spans="1:31" ht="86" thickBot="1" x14ac:dyDescent="0.25">
      <c r="A465" t="s">
        <v>1171</v>
      </c>
      <c r="B465" t="s">
        <v>1637</v>
      </c>
      <c r="C465" t="str">
        <f>"CONF-"&amp;TEXT(us_core_reqs[[#This Row],[ID*]], "0000")</f>
        <v>CONF-0464</v>
      </c>
      <c r="D465" s="11" t="s">
        <v>2260</v>
      </c>
      <c r="E465" s="73" t="str" cm="1">
        <f t="array" ref="E465">_xlfn.TEXTJOIN(", ", TRUE, _xlfn.TEXTAFTER(_xlfn.TEXTSPLIT(us_core_reqs[[#This Row],[URL*]], ", "), "/", -1))</f>
        <v>StructureDefinition-us-core-patient.html#profile-specific-implementation-guidance, StructureDefinition-us-core-ethnicity.html#profile-specific-implementation-guidance</v>
      </c>
      <c r="F465" s="11" t="s">
        <v>2171</v>
      </c>
      <c r="G465" t="s">
        <v>29</v>
      </c>
      <c r="H465" cm="1">
        <f t="array" ref="H465">_xlfn.SWITCH(G465, "SHALL", 1, "SHOULD", 3, "MAY", 5, "SHOULD-NOT", 4, "SHALL-NOT", 2, "DEPRECATED", 6, 99)</f>
        <v>1</v>
      </c>
      <c r="J465" t="s">
        <v>30</v>
      </c>
      <c r="K465" t="s">
        <v>1171</v>
      </c>
      <c r="L465" t="s">
        <v>1171</v>
      </c>
      <c r="M465" t="s">
        <v>1176</v>
      </c>
      <c r="N465" t="s">
        <v>791</v>
      </c>
      <c r="O465" t="s">
        <v>1171</v>
      </c>
      <c r="P465" t="s">
        <v>1171</v>
      </c>
      <c r="Q465" t="s">
        <v>1171</v>
      </c>
      <c r="R465" t="s">
        <v>1171</v>
      </c>
      <c r="S465" s="70" t="str" cm="1">
        <f t="array" ref="S465">_xlfn.TEXTJOIN(",",TRUE,LEFT(TRIM(_xlfn.TEXTSPLIT(us_core_reqs[[#This Row],[reference]],",")),FIND(".html",TRIM(_xlfn.TEXTSPLIT(us_core_reqs[[#This Row],[reference]],",")))-1))</f>
        <v>StructureDefinition-us-core-patient,StructureDefinition-us-core-ethnicity</v>
      </c>
      <c r="T465" s="70" t="str" cm="1">
        <f t="array" ref="T465">_xlfn.TEXTJOIN(",",TRUE,MID(TRIM(_xlfn.TEXTSPLIT(us_core_reqs[[#This Row],[reference]],",")),FIND("#",TRIM(_xlfn.TEXTSPLIT(us_core_reqs[[#This Row],[reference]],","))&amp;"#")+1,1000))</f>
        <v>profile-specific-implementation-guidance,profile-specific-implementation-guidance</v>
      </c>
      <c r="U465"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5" t="s">
        <v>29</v>
      </c>
      <c r="W465" t="s">
        <v>1171</v>
      </c>
      <c r="X465" t="s">
        <v>1171</v>
      </c>
      <c r="Y465" t="s">
        <v>1171</v>
      </c>
      <c r="Z465" t="s">
        <v>1171</v>
      </c>
      <c r="AA465" t="s">
        <v>1171</v>
      </c>
      <c r="AB465" t="s">
        <v>1171</v>
      </c>
      <c r="AC465" t="s">
        <v>788</v>
      </c>
      <c r="AD465" t="s">
        <v>1140</v>
      </c>
      <c r="AE465" t="s">
        <v>1171</v>
      </c>
    </row>
    <row r="466" spans="1:31" ht="69" thickBot="1" x14ac:dyDescent="0.25">
      <c r="A466" t="s">
        <v>1171</v>
      </c>
      <c r="B466" t="s">
        <v>1638</v>
      </c>
      <c r="C466" t="str">
        <f>"CONF-"&amp;TEXT(us_core_reqs[[#This Row],[ID*]], "0000")</f>
        <v>CONF-0465</v>
      </c>
      <c r="D466" s="11" t="s">
        <v>2261</v>
      </c>
      <c r="E466" s="73" t="str" cm="1">
        <f t="array" ref="E466">_xlfn.TEXTJOIN(", ", TRUE, _xlfn.TEXTAFTER(_xlfn.TEXTSPLIT(us_core_reqs[[#This Row],[URL*]], ", "), "/", -1))</f>
        <v>StructureDefinition-us-core-patient.html#profile-specific-implementation-guidance</v>
      </c>
      <c r="F466" s="11" t="s">
        <v>2126</v>
      </c>
      <c r="G466" t="s">
        <v>29</v>
      </c>
      <c r="H466" cm="1">
        <f t="array" ref="H466">_xlfn.SWITCH(G466, "SHALL", 1, "SHOULD", 3, "MAY", 5, "SHOULD-NOT", 4, "SHALL-NOT", 2, "DEPRECATED", 6, 99)</f>
        <v>1</v>
      </c>
      <c r="J466" t="s">
        <v>30</v>
      </c>
      <c r="K466" t="b">
        <v>1</v>
      </c>
      <c r="L466" t="s">
        <v>1171</v>
      </c>
      <c r="M466" t="s">
        <v>1171</v>
      </c>
      <c r="N466" t="s">
        <v>793</v>
      </c>
      <c r="O466" t="s">
        <v>1171</v>
      </c>
      <c r="P466" t="s">
        <v>1171</v>
      </c>
      <c r="Q466" t="s">
        <v>1171</v>
      </c>
      <c r="R466" t="s">
        <v>1171</v>
      </c>
      <c r="S466" s="70" t="str" cm="1">
        <f t="array" ref="S466">_xlfn.TEXTJOIN(",",TRUE,LEFT(TRIM(_xlfn.TEXTSPLIT(us_core_reqs[[#This Row],[reference]],",")),FIND(".html",TRIM(_xlfn.TEXTSPLIT(us_core_reqs[[#This Row],[reference]],",")))-1))</f>
        <v>StructureDefinition-us-core-patient</v>
      </c>
      <c r="T466" s="70" t="str" cm="1">
        <f t="array" ref="T466">_xlfn.TEXTJOIN(",",TRUE,MID(TRIM(_xlfn.TEXTSPLIT(us_core_reqs[[#This Row],[reference]],",")),FIND("#",TRIM(_xlfn.TEXTSPLIT(us_core_reqs[[#This Row],[reference]],","))&amp;"#")+1,1000))</f>
        <v>profile-specific-implementation-guidance</v>
      </c>
      <c r="U466"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t="s">
        <v>29</v>
      </c>
      <c r="W466" t="s">
        <v>1171</v>
      </c>
      <c r="X466" t="s">
        <v>1171</v>
      </c>
      <c r="Y466" t="s">
        <v>1171</v>
      </c>
      <c r="Z466" t="s">
        <v>1171</v>
      </c>
      <c r="AA466" t="s">
        <v>1171</v>
      </c>
      <c r="AB466" t="s">
        <v>480</v>
      </c>
      <c r="AC466" t="s">
        <v>1171</v>
      </c>
      <c r="AD466" t="s">
        <v>1140</v>
      </c>
      <c r="AE466" t="s">
        <v>1171</v>
      </c>
    </row>
    <row r="467" spans="1:31" ht="35" thickBot="1" x14ac:dyDescent="0.25">
      <c r="A467" t="s">
        <v>1171</v>
      </c>
      <c r="B467" t="s">
        <v>1639</v>
      </c>
      <c r="C467" t="str">
        <f>"CONF-"&amp;TEXT(us_core_reqs[[#This Row],[ID*]], "0000")</f>
        <v>CONF-0466</v>
      </c>
      <c r="D467" s="11" t="s">
        <v>2261</v>
      </c>
      <c r="E467" s="73" t="str" cm="1">
        <f t="array" ref="E467">_xlfn.TEXTJOIN(", ", TRUE, _xlfn.TEXTAFTER(_xlfn.TEXTSPLIT(us_core_reqs[[#This Row],[URL*]], ", "), "/", -1))</f>
        <v>StructureDefinition-us-core-patient.html#profile-specific-implementation-guidance</v>
      </c>
      <c r="F467" s="11" t="s">
        <v>481</v>
      </c>
      <c r="G467" t="s">
        <v>32</v>
      </c>
      <c r="H467" cm="1">
        <f t="array" ref="H467">_xlfn.SWITCH(G467, "SHALL", 1, "SHOULD", 3, "MAY", 5, "SHOULD-NOT", 4, "SHALL-NOT", 2, "DEPRECATED", 6, 99)</f>
        <v>3</v>
      </c>
      <c r="I467" t="s">
        <v>2311</v>
      </c>
      <c r="J467" t="s">
        <v>30</v>
      </c>
      <c r="K467" t="s">
        <v>1171</v>
      </c>
      <c r="L467" t="s">
        <v>1171</v>
      </c>
      <c r="M467" t="s">
        <v>1176</v>
      </c>
      <c r="N467" t="s">
        <v>482</v>
      </c>
      <c r="O467" t="s">
        <v>1171</v>
      </c>
      <c r="P467" t="s">
        <v>1171</v>
      </c>
      <c r="Q467" t="s">
        <v>1171</v>
      </c>
      <c r="R467" t="s">
        <v>1171</v>
      </c>
      <c r="S467" s="70" t="str" cm="1">
        <f t="array" ref="S467">_xlfn.TEXTJOIN(",",TRUE,LEFT(TRIM(_xlfn.TEXTSPLIT(us_core_reqs[[#This Row],[reference]],",")),FIND(".html",TRIM(_xlfn.TEXTSPLIT(us_core_reqs[[#This Row],[reference]],",")))-1))</f>
        <v>StructureDefinition-us-core-patient</v>
      </c>
      <c r="T467" s="70" t="str" cm="1">
        <f t="array" ref="T467">_xlfn.TEXTJOIN(",",TRUE,MID(TRIM(_xlfn.TEXTSPLIT(us_core_reqs[[#This Row],[reference]],",")),FIND("#",TRIM(_xlfn.TEXTSPLIT(us_core_reqs[[#This Row],[reference]],","))&amp;"#")+1,1000))</f>
        <v>profile-specific-implementation-guidance</v>
      </c>
      <c r="U467"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t="s">
        <v>1171</v>
      </c>
      <c r="W467" t="s">
        <v>1171</v>
      </c>
      <c r="X467" t="s">
        <v>1171</v>
      </c>
      <c r="Y467" t="s">
        <v>1171</v>
      </c>
      <c r="Z467" t="s">
        <v>1171</v>
      </c>
      <c r="AA467" t="s">
        <v>1171</v>
      </c>
      <c r="AB467" t="s">
        <v>1171</v>
      </c>
      <c r="AC467" t="s">
        <v>1171</v>
      </c>
      <c r="AD467" t="s">
        <v>1171</v>
      </c>
      <c r="AE467" t="s">
        <v>1171</v>
      </c>
    </row>
    <row r="468" spans="1:31" ht="35" thickBot="1" x14ac:dyDescent="0.25">
      <c r="A468" t="s">
        <v>1171</v>
      </c>
      <c r="B468" t="s">
        <v>1640</v>
      </c>
      <c r="C468" t="str">
        <f>"CONF-"&amp;TEXT(us_core_reqs[[#This Row],[ID*]], "0000")</f>
        <v>CONF-0467</v>
      </c>
      <c r="D468" s="11" t="s">
        <v>2261</v>
      </c>
      <c r="E468" s="73" t="str" cm="1">
        <f t="array" ref="E468">_xlfn.TEXTJOIN(", ", TRUE, _xlfn.TEXTAFTER(_xlfn.TEXTSPLIT(us_core_reqs[[#This Row],[URL*]], ", "), "/", -1))</f>
        <v>StructureDefinition-us-core-patient.html#profile-specific-implementation-guidance</v>
      </c>
      <c r="F468" s="11" t="s">
        <v>483</v>
      </c>
      <c r="G468" t="s">
        <v>32</v>
      </c>
      <c r="H468" cm="1">
        <f t="array" ref="H468">_xlfn.SWITCH(G468, "SHALL", 1, "SHOULD", 3, "MAY", 5, "SHOULD-NOT", 4, "SHALL-NOT", 2, "DEPRECATED", 6, 99)</f>
        <v>3</v>
      </c>
      <c r="I468" t="s">
        <v>2311</v>
      </c>
      <c r="J468" t="s">
        <v>30</v>
      </c>
      <c r="K468" t="s">
        <v>1171</v>
      </c>
      <c r="L468" t="s">
        <v>1171</v>
      </c>
      <c r="M468" t="s">
        <v>1176</v>
      </c>
      <c r="N468" t="s">
        <v>484</v>
      </c>
      <c r="O468" t="s">
        <v>1171</v>
      </c>
      <c r="P468" t="s">
        <v>1171</v>
      </c>
      <c r="Q468" t="s">
        <v>1171</v>
      </c>
      <c r="R468" t="s">
        <v>1171</v>
      </c>
      <c r="S468" s="70" t="str" cm="1">
        <f t="array" ref="S468">_xlfn.TEXTJOIN(",",TRUE,LEFT(TRIM(_xlfn.TEXTSPLIT(us_core_reqs[[#This Row],[reference]],",")),FIND(".html",TRIM(_xlfn.TEXTSPLIT(us_core_reqs[[#This Row],[reference]],",")))-1))</f>
        <v>StructureDefinition-us-core-patient</v>
      </c>
      <c r="T468" s="70" t="str" cm="1">
        <f t="array" ref="T468">_xlfn.TEXTJOIN(",",TRUE,MID(TRIM(_xlfn.TEXTSPLIT(us_core_reqs[[#This Row],[reference]],",")),FIND("#",TRIM(_xlfn.TEXTSPLIT(us_core_reqs[[#This Row],[reference]],","))&amp;"#")+1,1000))</f>
        <v>profile-specific-implementation-guidance</v>
      </c>
      <c r="U468"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t="s">
        <v>1171</v>
      </c>
      <c r="W468" t="s">
        <v>1171</v>
      </c>
      <c r="X468" t="s">
        <v>1171</v>
      </c>
      <c r="Y468" t="s">
        <v>1171</v>
      </c>
      <c r="Z468" t="s">
        <v>1171</v>
      </c>
      <c r="AA468" t="s">
        <v>1171</v>
      </c>
      <c r="AB468" t="s">
        <v>1171</v>
      </c>
      <c r="AC468" t="s">
        <v>1171</v>
      </c>
      <c r="AD468" t="s">
        <v>1171</v>
      </c>
      <c r="AE468" t="s">
        <v>1171</v>
      </c>
    </row>
    <row r="469" spans="1:31" ht="35" thickBot="1" x14ac:dyDescent="0.25">
      <c r="A469" t="s">
        <v>1171</v>
      </c>
      <c r="B469" t="s">
        <v>1641</v>
      </c>
      <c r="C469" t="str">
        <f>"CONF-"&amp;TEXT(us_core_reqs[[#This Row],[ID*]], "0000")</f>
        <v>CONF-0468</v>
      </c>
      <c r="D469" s="11" t="s">
        <v>2261</v>
      </c>
      <c r="E469" s="73" t="str" cm="1">
        <f t="array" ref="E469">_xlfn.TEXTJOIN(", ", TRUE, _xlfn.TEXTAFTER(_xlfn.TEXTSPLIT(us_core_reqs[[#This Row],[URL*]], ", "), "/", -1))</f>
        <v>StructureDefinition-us-core-patient.html#profile-specific-implementation-guidance</v>
      </c>
      <c r="F469" s="11" t="s">
        <v>2178</v>
      </c>
      <c r="G469" t="s">
        <v>64</v>
      </c>
      <c r="H469" cm="1">
        <f t="array" ref="H469">_xlfn.SWITCH(G469, "SHALL", 1, "SHOULD", 3, "MAY", 5, "SHOULD-NOT", 4, "SHALL-NOT", 2, "DEPRECATED", 6, 99)</f>
        <v>6</v>
      </c>
      <c r="J469" t="s">
        <v>30</v>
      </c>
      <c r="K469" t="s">
        <v>1171</v>
      </c>
      <c r="L469" t="s">
        <v>1171</v>
      </c>
      <c r="M469" t="s">
        <v>1173</v>
      </c>
      <c r="N469" t="s">
        <v>1171</v>
      </c>
      <c r="O469" t="s">
        <v>1171</v>
      </c>
      <c r="P469" t="s">
        <v>1171</v>
      </c>
      <c r="Q469" t="s">
        <v>1171</v>
      </c>
      <c r="R469" t="s">
        <v>1171</v>
      </c>
      <c r="S469" s="70" t="str" cm="1">
        <f t="array" ref="S469">_xlfn.TEXTJOIN(",",TRUE,LEFT(TRIM(_xlfn.TEXTSPLIT(us_core_reqs[[#This Row],[reference]],",")),FIND(".html",TRIM(_xlfn.TEXTSPLIT(us_core_reqs[[#This Row],[reference]],",")))-1))</f>
        <v>StructureDefinition-us-core-patient</v>
      </c>
      <c r="T469" s="70" t="str" cm="1">
        <f t="array" ref="T469">_xlfn.TEXTJOIN(",",TRUE,MID(TRIM(_xlfn.TEXTSPLIT(us_core_reqs[[#This Row],[reference]],",")),FIND("#",TRIM(_xlfn.TEXTSPLIT(us_core_reqs[[#This Row],[reference]],","))&amp;"#")+1,1000))</f>
        <v>profile-specific-implementation-guidance</v>
      </c>
      <c r="U469"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t="s">
        <v>35</v>
      </c>
      <c r="W469" t="s">
        <v>1171</v>
      </c>
      <c r="X469" t="s">
        <v>1171</v>
      </c>
      <c r="Y469" t="s">
        <v>1171</v>
      </c>
      <c r="Z469" t="s">
        <v>1171</v>
      </c>
      <c r="AA469" t="s">
        <v>1171</v>
      </c>
      <c r="AB469" t="s">
        <v>1171</v>
      </c>
      <c r="AC469" t="s">
        <v>646</v>
      </c>
      <c r="AD469" t="s">
        <v>1171</v>
      </c>
      <c r="AE469" t="s">
        <v>1171</v>
      </c>
    </row>
    <row r="470" spans="1:31" ht="137" thickBot="1" x14ac:dyDescent="0.25">
      <c r="A470" t="s">
        <v>1171</v>
      </c>
      <c r="B470" t="s">
        <v>1642</v>
      </c>
      <c r="C470" t="str">
        <f>"CONF-"&amp;TEXT(us_core_reqs[[#This Row],[ID*]], "0000")</f>
        <v>CONF-0469</v>
      </c>
      <c r="D470" s="11" t="s">
        <v>2261</v>
      </c>
      <c r="E470" s="73" t="str" cm="1">
        <f t="array" ref="E470">_xlfn.TEXTJOIN(", ", TRUE, _xlfn.TEXTAFTER(_xlfn.TEXTSPLIT(us_core_reqs[[#This Row],[URL*]], ", "), "/", -1))</f>
        <v>StructureDefinition-us-core-patient.html#profile-specific-implementation-guidance</v>
      </c>
      <c r="F470" s="11" t="s">
        <v>1899</v>
      </c>
      <c r="G470" t="s">
        <v>29</v>
      </c>
      <c r="H470" cm="1">
        <f t="array" ref="H470">_xlfn.SWITCH(G470, "SHALL", 1, "SHOULD", 3, "MAY", 5, "SHOULD-NOT", 4, "SHALL-NOT", 2, "DEPRECATED", 6, 99)</f>
        <v>1</v>
      </c>
      <c r="J470" t="s">
        <v>30</v>
      </c>
      <c r="K470" t="b">
        <v>1</v>
      </c>
      <c r="L470" t="s">
        <v>1171</v>
      </c>
      <c r="M470" t="s">
        <v>1173</v>
      </c>
      <c r="N470" t="s">
        <v>1171</v>
      </c>
      <c r="O470" t="s">
        <v>1171</v>
      </c>
      <c r="P470" t="s">
        <v>1171</v>
      </c>
      <c r="Q470" t="s">
        <v>1171</v>
      </c>
      <c r="R470" t="s">
        <v>1171</v>
      </c>
      <c r="S470" s="70" t="str" cm="1">
        <f t="array" ref="S470">_xlfn.TEXTJOIN(",",TRUE,LEFT(TRIM(_xlfn.TEXTSPLIT(us_core_reqs[[#This Row],[reference]],",")),FIND(".html",TRIM(_xlfn.TEXTSPLIT(us_core_reqs[[#This Row],[reference]],",")))-1))</f>
        <v>StructureDefinition-us-core-patient</v>
      </c>
      <c r="T470" s="70" t="str" cm="1">
        <f t="array" ref="T470">_xlfn.TEXTJOIN(",",TRUE,MID(TRIM(_xlfn.TEXTSPLIT(us_core_reqs[[#This Row],[reference]],",")),FIND("#",TRIM(_xlfn.TEXTSPLIT(us_core_reqs[[#This Row],[reference]],","))&amp;"#")+1,1000))</f>
        <v>profile-specific-implementation-guidance</v>
      </c>
      <c r="U470"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t="s">
        <v>29</v>
      </c>
      <c r="W470" t="s">
        <v>1171</v>
      </c>
      <c r="X470" t="s">
        <v>1171</v>
      </c>
      <c r="Y470" t="s">
        <v>1171</v>
      </c>
      <c r="Z470" t="s">
        <v>1171</v>
      </c>
      <c r="AA470" t="s">
        <v>1171</v>
      </c>
      <c r="AB470" t="s">
        <v>1171</v>
      </c>
      <c r="AC470" t="s">
        <v>802</v>
      </c>
      <c r="AD470" t="s">
        <v>1141</v>
      </c>
      <c r="AE470" t="s">
        <v>1171</v>
      </c>
    </row>
    <row r="471" spans="1:31" ht="120" thickBot="1" x14ac:dyDescent="0.25">
      <c r="A471" t="s">
        <v>1171</v>
      </c>
      <c r="B471" t="s">
        <v>1643</v>
      </c>
      <c r="C471" t="str">
        <f>"CONF-"&amp;TEXT(us_core_reqs[[#This Row],[ID*]], "0000")</f>
        <v>CONF-0470</v>
      </c>
      <c r="D471" s="11" t="s">
        <v>2261</v>
      </c>
      <c r="E471" s="73" t="str" cm="1">
        <f t="array" ref="E471">_xlfn.TEXTJOIN(", ", TRUE, _xlfn.TEXTAFTER(_xlfn.TEXTSPLIT(us_core_reqs[[#This Row],[URL*]], ", "), "/", -1))</f>
        <v>StructureDefinition-us-core-patient.html#profile-specific-implementation-guidance</v>
      </c>
      <c r="F471" s="11" t="s">
        <v>1996</v>
      </c>
      <c r="G471" t="s">
        <v>32</v>
      </c>
      <c r="H471" cm="1">
        <f t="array" ref="H471">_xlfn.SWITCH(G471, "SHALL", 1, "SHOULD", 3, "MAY", 5, "SHOULD-NOT", 4, "SHALL-NOT", 2, "DEPRECATED", 6, 99)</f>
        <v>3</v>
      </c>
      <c r="J471" t="s">
        <v>30</v>
      </c>
      <c r="K471" t="s">
        <v>1171</v>
      </c>
      <c r="L471" t="s">
        <v>1171</v>
      </c>
      <c r="M471" t="s">
        <v>1173</v>
      </c>
      <c r="N471" t="s">
        <v>1171</v>
      </c>
      <c r="O471" t="s">
        <v>1171</v>
      </c>
      <c r="P471" t="s">
        <v>1171</v>
      </c>
      <c r="Q471" t="s">
        <v>1171</v>
      </c>
      <c r="R471" t="s">
        <v>1171</v>
      </c>
      <c r="S471" s="70" t="str" cm="1">
        <f t="array" ref="S471">_xlfn.TEXTJOIN(",",TRUE,LEFT(TRIM(_xlfn.TEXTSPLIT(us_core_reqs[[#This Row],[reference]],",")),FIND(".html",TRIM(_xlfn.TEXTSPLIT(us_core_reqs[[#This Row],[reference]],",")))-1))</f>
        <v>StructureDefinition-us-core-patient</v>
      </c>
      <c r="T471" s="70" t="str" cm="1">
        <f t="array" ref="T471">_xlfn.TEXTJOIN(",",TRUE,MID(TRIM(_xlfn.TEXTSPLIT(us_core_reqs[[#This Row],[reference]],",")),FIND("#",TRIM(_xlfn.TEXTSPLIT(us_core_reqs[[#This Row],[reference]],","))&amp;"#")+1,1000))</f>
        <v>profile-specific-implementation-guidance</v>
      </c>
      <c r="U471"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t="s">
        <v>32</v>
      </c>
      <c r="W471" t="s">
        <v>1171</v>
      </c>
      <c r="X471" t="s">
        <v>1171</v>
      </c>
      <c r="Y471" t="s">
        <v>1171</v>
      </c>
      <c r="Z471" t="s">
        <v>1171</v>
      </c>
      <c r="AA471" t="s">
        <v>1171</v>
      </c>
      <c r="AB471" t="s">
        <v>1171</v>
      </c>
      <c r="AC471" t="s">
        <v>803</v>
      </c>
      <c r="AD471" t="s">
        <v>1171</v>
      </c>
      <c r="AE471" t="s">
        <v>1171</v>
      </c>
    </row>
    <row r="472" spans="1:31" ht="171" thickBot="1" x14ac:dyDescent="0.25">
      <c r="A472" t="s">
        <v>1171</v>
      </c>
      <c r="B472" t="s">
        <v>1644</v>
      </c>
      <c r="C472" t="str">
        <f>"CONF-"&amp;TEXT(us_core_reqs[[#This Row],[ID*]], "0000")</f>
        <v>CONF-0471</v>
      </c>
      <c r="D472" s="11" t="s">
        <v>2261</v>
      </c>
      <c r="E472" s="73" t="str" cm="1">
        <f t="array" ref="E472">_xlfn.TEXTJOIN(", ", TRUE, _xlfn.TEXTAFTER(_xlfn.TEXTSPLIT(us_core_reqs[[#This Row],[URL*]], ", "), "/", -1))</f>
        <v>StructureDefinition-us-core-patient.html#profile-specific-implementation-guidance</v>
      </c>
      <c r="F472" s="11" t="s">
        <v>2196</v>
      </c>
      <c r="G472" t="s">
        <v>35</v>
      </c>
      <c r="H472" cm="1">
        <f t="array" ref="H472">_xlfn.SWITCH(G472, "SHALL", 1, "SHOULD", 3, "MAY", 5, "SHOULD-NOT", 4, "SHALL-NOT", 2, "DEPRECATED", 6, 99)</f>
        <v>5</v>
      </c>
      <c r="I472" t="s">
        <v>1878</v>
      </c>
      <c r="J472" t="s">
        <v>30</v>
      </c>
      <c r="K472" t="s">
        <v>1171</v>
      </c>
      <c r="L472" t="s">
        <v>1171</v>
      </c>
      <c r="M472" t="s">
        <v>1176</v>
      </c>
      <c r="N472" t="s">
        <v>489</v>
      </c>
      <c r="O472" t="s">
        <v>1171</v>
      </c>
      <c r="P472" t="s">
        <v>1171</v>
      </c>
      <c r="Q472" t="s">
        <v>1171</v>
      </c>
      <c r="R472" t="s">
        <v>1171</v>
      </c>
      <c r="S472" s="70" t="str" cm="1">
        <f t="array" ref="S472">_xlfn.TEXTJOIN(",",TRUE,LEFT(TRIM(_xlfn.TEXTSPLIT(us_core_reqs[[#This Row],[reference]],",")),FIND(".html",TRIM(_xlfn.TEXTSPLIT(us_core_reqs[[#This Row],[reference]],",")))-1))</f>
        <v>StructureDefinition-us-core-patient</v>
      </c>
      <c r="T472" s="70" t="str" cm="1">
        <f t="array" ref="T472">_xlfn.TEXTJOIN(",",TRUE,MID(TRIM(_xlfn.TEXTSPLIT(us_core_reqs[[#This Row],[reference]],",")),FIND("#",TRIM(_xlfn.TEXTSPLIT(us_core_reqs[[#This Row],[reference]],","))&amp;"#")+1,1000))</f>
        <v>profile-specific-implementation-guidance</v>
      </c>
      <c r="U472"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t="s">
        <v>35</v>
      </c>
      <c r="W472" t="s">
        <v>1171</v>
      </c>
      <c r="X472" t="s">
        <v>1171</v>
      </c>
      <c r="Y472" t="s">
        <v>1171</v>
      </c>
      <c r="Z472" t="s">
        <v>1171</v>
      </c>
      <c r="AA472" t="s">
        <v>1171</v>
      </c>
      <c r="AB472" t="s">
        <v>1171</v>
      </c>
      <c r="AC472" t="s">
        <v>804</v>
      </c>
      <c r="AD472" t="s">
        <v>1171</v>
      </c>
      <c r="AE472" t="s">
        <v>1171</v>
      </c>
    </row>
    <row r="473" spans="1:31" ht="35" thickBot="1" x14ac:dyDescent="0.25">
      <c r="A473" t="s">
        <v>1171</v>
      </c>
      <c r="B473" t="s">
        <v>1645</v>
      </c>
      <c r="C473" t="str">
        <f>"CONF-"&amp;TEXT(us_core_reqs[[#This Row],[ID*]], "0000")</f>
        <v>CONF-0472</v>
      </c>
      <c r="D473" s="11" t="s">
        <v>2261</v>
      </c>
      <c r="E473" s="73" t="str" cm="1">
        <f t="array" ref="E473">_xlfn.TEXTJOIN(", ", TRUE, _xlfn.TEXTAFTER(_xlfn.TEXTSPLIT(us_core_reqs[[#This Row],[URL*]], ", "), "/", -1))</f>
        <v>StructureDefinition-us-core-patient.html#profile-specific-implementation-guidance</v>
      </c>
      <c r="F473" s="11" t="s">
        <v>2026</v>
      </c>
      <c r="G473" t="s">
        <v>1834</v>
      </c>
      <c r="H473" cm="1">
        <f t="array" ref="H473">_xlfn.SWITCH(G473, "SHALL", 1, "SHOULD", 3, "MAY", 5, "SHOULD-NOT", 4, "SHALL-NOT", 2, "DEPRECATED", 6, 99)</f>
        <v>4</v>
      </c>
      <c r="J473" t="s">
        <v>30</v>
      </c>
      <c r="K473" t="s">
        <v>1171</v>
      </c>
      <c r="L473" t="s">
        <v>1171</v>
      </c>
      <c r="M473" t="s">
        <v>1173</v>
      </c>
      <c r="N473" t="s">
        <v>1171</v>
      </c>
      <c r="O473" t="s">
        <v>1171</v>
      </c>
      <c r="P473" t="s">
        <v>1171</v>
      </c>
      <c r="Q473" t="s">
        <v>1171</v>
      </c>
      <c r="R473" t="s">
        <v>1171</v>
      </c>
      <c r="S473" s="70" t="str" cm="1">
        <f t="array" ref="S473">_xlfn.TEXTJOIN(",",TRUE,LEFT(TRIM(_xlfn.TEXTSPLIT(us_core_reqs[[#This Row],[reference]],",")),FIND(".html",TRIM(_xlfn.TEXTSPLIT(us_core_reqs[[#This Row],[reference]],",")))-1))</f>
        <v>StructureDefinition-us-core-patient</v>
      </c>
      <c r="T473" s="70" t="str" cm="1">
        <f t="array" ref="T473">_xlfn.TEXTJOIN(",",TRUE,MID(TRIM(_xlfn.TEXTSPLIT(us_core_reqs[[#This Row],[reference]],",")),FIND("#",TRIM(_xlfn.TEXTSPLIT(us_core_reqs[[#This Row],[reference]],","))&amp;"#")+1,1000))</f>
        <v>profile-specific-implementation-guidance</v>
      </c>
      <c r="U473"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t="s">
        <v>32</v>
      </c>
      <c r="W473" t="s">
        <v>1171</v>
      </c>
      <c r="X473" t="s">
        <v>1171</v>
      </c>
      <c r="Y473" t="s">
        <v>1171</v>
      </c>
      <c r="Z473" t="s">
        <v>1171</v>
      </c>
      <c r="AA473" t="s">
        <v>1171</v>
      </c>
      <c r="AB473" t="s">
        <v>1171</v>
      </c>
      <c r="AC473" t="s">
        <v>1171</v>
      </c>
      <c r="AD473" t="s">
        <v>1171</v>
      </c>
      <c r="AE473" t="s">
        <v>1171</v>
      </c>
    </row>
    <row r="474" spans="1:31" ht="103" thickBot="1" x14ac:dyDescent="0.25">
      <c r="A474" t="s">
        <v>1171</v>
      </c>
      <c r="B474" t="s">
        <v>1646</v>
      </c>
      <c r="C474" t="str">
        <f>"CONF-"&amp;TEXT(us_core_reqs[[#This Row],[ID*]], "0000")</f>
        <v>CONF-0473</v>
      </c>
      <c r="D474" s="11" t="s">
        <v>2262</v>
      </c>
      <c r="E474" s="73" t="str" cm="1">
        <f t="array" ref="E474">_xlfn.TEXTJOIN(", ", TRUE, _xlfn.TEXTAFTER(_xlfn.TEXTSPLIT(us_core_reqs[[#This Row],[URL*]], ", "), "/", -1))</f>
        <v>StructureDefinition-us-core-practitioner.html#profile-specific-implementation-guidance</v>
      </c>
      <c r="F474" s="11" t="s">
        <v>2162</v>
      </c>
      <c r="G474" t="s">
        <v>29</v>
      </c>
      <c r="H474" cm="1">
        <f t="array" ref="H474">_xlfn.SWITCH(G474, "SHALL", 1, "SHOULD", 3, "MAY", 5, "SHOULD-NOT", 4, "SHALL-NOT", 2, "DEPRECATED", 6, 99)</f>
        <v>1</v>
      </c>
      <c r="J474" t="s">
        <v>30</v>
      </c>
      <c r="K474" t="s">
        <v>1171</v>
      </c>
      <c r="L474" t="s">
        <v>1171</v>
      </c>
      <c r="M474" t="s">
        <v>1176</v>
      </c>
      <c r="N474" t="s">
        <v>491</v>
      </c>
      <c r="O474" t="s">
        <v>1171</v>
      </c>
      <c r="P474" t="s">
        <v>1171</v>
      </c>
      <c r="Q474" t="s">
        <v>1171</v>
      </c>
      <c r="R474" t="s">
        <v>1171</v>
      </c>
      <c r="S474" s="70" t="str" cm="1">
        <f t="array" ref="S474">_xlfn.TEXTJOIN(",",TRUE,LEFT(TRIM(_xlfn.TEXTSPLIT(us_core_reqs[[#This Row],[reference]],",")),FIND(".html",TRIM(_xlfn.TEXTSPLIT(us_core_reqs[[#This Row],[reference]],",")))-1))</f>
        <v>StructureDefinition-us-core-practitioner</v>
      </c>
      <c r="T474" s="70" t="str" cm="1">
        <f t="array" ref="T474">_xlfn.TEXTJOIN(",",TRUE,MID(TRIM(_xlfn.TEXTSPLIT(us_core_reqs[[#This Row],[reference]],",")),FIND("#",TRIM(_xlfn.TEXTSPLIT(us_core_reqs[[#This Row],[reference]],","))&amp;"#")+1,1000))</f>
        <v>profile-specific-implementation-guidance</v>
      </c>
      <c r="U474"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t="s">
        <v>29</v>
      </c>
      <c r="W474" t="s">
        <v>30</v>
      </c>
      <c r="X474" t="s">
        <v>1171</v>
      </c>
      <c r="Y474" t="s">
        <v>1171</v>
      </c>
      <c r="Z474" t="s">
        <v>1171</v>
      </c>
      <c r="AA474" t="s">
        <v>1171</v>
      </c>
      <c r="AB474" t="s">
        <v>1171</v>
      </c>
      <c r="AC474" t="s">
        <v>1171</v>
      </c>
      <c r="AD474" t="s">
        <v>1141</v>
      </c>
      <c r="AE474" t="s">
        <v>1171</v>
      </c>
    </row>
    <row r="475" spans="1:31" ht="52" thickBot="1" x14ac:dyDescent="0.25">
      <c r="A475" t="s">
        <v>1171</v>
      </c>
      <c r="B475" t="s">
        <v>1647</v>
      </c>
      <c r="C475" t="str">
        <f>"CONF-"&amp;TEXT(us_core_reqs[[#This Row],[ID*]], "0000")</f>
        <v>CONF-0474</v>
      </c>
      <c r="D475" s="11" t="s">
        <v>2262</v>
      </c>
      <c r="E475" s="73" t="str" cm="1">
        <f t="array" ref="E475">_xlfn.TEXTJOIN(", ", TRUE, _xlfn.TEXTAFTER(_xlfn.TEXTSPLIT(us_core_reqs[[#This Row],[URL*]], ", "), "/", -1))</f>
        <v>StructureDefinition-us-core-practitioner.html#profile-specific-implementation-guidance</v>
      </c>
      <c r="F475" s="11" t="s">
        <v>2315</v>
      </c>
      <c r="G475" t="s">
        <v>35</v>
      </c>
      <c r="H475" cm="1">
        <f t="array" ref="H475">_xlfn.SWITCH(G475, "SHALL", 1, "SHOULD", 3, "MAY", 5, "SHOULD-NOT", 4, "SHALL-NOT", 2, "DEPRECATED", 6, 99)</f>
        <v>5</v>
      </c>
      <c r="I475" t="s">
        <v>2314</v>
      </c>
      <c r="J475" t="s">
        <v>30</v>
      </c>
      <c r="K475" t="s">
        <v>1171</v>
      </c>
      <c r="L475" t="s">
        <v>1171</v>
      </c>
      <c r="M475" t="s">
        <v>1176</v>
      </c>
      <c r="N475" t="s">
        <v>492</v>
      </c>
      <c r="O475" t="s">
        <v>1171</v>
      </c>
      <c r="P475" t="s">
        <v>1171</v>
      </c>
      <c r="Q475" t="s">
        <v>1171</v>
      </c>
      <c r="R475" t="s">
        <v>1171</v>
      </c>
      <c r="S475" s="70" t="str" cm="1">
        <f t="array" ref="S475">_xlfn.TEXTJOIN(",",TRUE,LEFT(TRIM(_xlfn.TEXTSPLIT(us_core_reqs[[#This Row],[reference]],",")),FIND(".html",TRIM(_xlfn.TEXTSPLIT(us_core_reqs[[#This Row],[reference]],",")))-1))</f>
        <v>StructureDefinition-us-core-practitioner</v>
      </c>
      <c r="T475" s="70" t="str" cm="1">
        <f t="array" ref="T475">_xlfn.TEXTJOIN(",",TRUE,MID(TRIM(_xlfn.TEXTSPLIT(us_core_reqs[[#This Row],[reference]],",")),FIND("#",TRIM(_xlfn.TEXTSPLIT(us_core_reqs[[#This Row],[reference]],","))&amp;"#")+1,1000))</f>
        <v>profile-specific-implementation-guidance</v>
      </c>
      <c r="U475"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t="s">
        <v>35</v>
      </c>
      <c r="W475" t="s">
        <v>30</v>
      </c>
      <c r="X475" t="s">
        <v>1171</v>
      </c>
      <c r="Y475" t="s">
        <v>1171</v>
      </c>
      <c r="Z475" t="s">
        <v>1171</v>
      </c>
      <c r="AA475" t="s">
        <v>1171</v>
      </c>
      <c r="AB475" t="s">
        <v>1171</v>
      </c>
      <c r="AC475" t="s">
        <v>1171</v>
      </c>
      <c r="AD475" t="s">
        <v>1171</v>
      </c>
      <c r="AE475" t="s">
        <v>1171</v>
      </c>
    </row>
    <row r="476" spans="1:31" ht="52" thickBot="1" x14ac:dyDescent="0.25">
      <c r="A476" t="s">
        <v>1171</v>
      </c>
      <c r="B476" t="s">
        <v>1648</v>
      </c>
      <c r="C476" t="str">
        <f>"CONF-"&amp;TEXT(us_core_reqs[[#This Row],[ID*]], "0000")</f>
        <v>CONF-0475</v>
      </c>
      <c r="D476" s="11" t="s">
        <v>2262</v>
      </c>
      <c r="E476" s="73" t="str" cm="1">
        <f t="array" ref="E476">_xlfn.TEXTJOIN(", ", TRUE, _xlfn.TEXTAFTER(_xlfn.TEXTSPLIT(us_core_reqs[[#This Row],[URL*]], ", "), "/", -1))</f>
        <v>StructureDefinition-us-core-practitioner.html#profile-specific-implementation-guidance</v>
      </c>
      <c r="F476" s="11" t="s">
        <v>1900</v>
      </c>
      <c r="G476" t="s">
        <v>29</v>
      </c>
      <c r="H476" cm="1">
        <f t="array" ref="H476">_xlfn.SWITCH(G476, "SHALL", 1, "SHOULD", 3, "MAY", 5, "SHOULD-NOT", 4, "SHALL-NOT", 2, "DEPRECATED", 6, 99)</f>
        <v>1</v>
      </c>
      <c r="J476" t="s">
        <v>30</v>
      </c>
      <c r="K476" t="s">
        <v>1171</v>
      </c>
      <c r="L476" t="s">
        <v>1171</v>
      </c>
      <c r="M476" t="s">
        <v>1176</v>
      </c>
      <c r="N476" t="s">
        <v>493</v>
      </c>
      <c r="O476" t="s">
        <v>1171</v>
      </c>
      <c r="P476" t="s">
        <v>1171</v>
      </c>
      <c r="Q476" t="s">
        <v>1171</v>
      </c>
      <c r="R476" t="s">
        <v>1171</v>
      </c>
      <c r="S476" s="70" t="str" cm="1">
        <f t="array" ref="S476">_xlfn.TEXTJOIN(",",TRUE,LEFT(TRIM(_xlfn.TEXTSPLIT(us_core_reqs[[#This Row],[reference]],",")),FIND(".html",TRIM(_xlfn.TEXTSPLIT(us_core_reqs[[#This Row],[reference]],",")))-1))</f>
        <v>StructureDefinition-us-core-practitioner</v>
      </c>
      <c r="T476" s="70" t="str" cm="1">
        <f t="array" ref="T476">_xlfn.TEXTJOIN(",",TRUE,MID(TRIM(_xlfn.TEXTSPLIT(us_core_reqs[[#This Row],[reference]],",")),FIND("#",TRIM(_xlfn.TEXTSPLIT(us_core_reqs[[#This Row],[reference]],","))&amp;"#")+1,1000))</f>
        <v>profile-specific-implementation-guidance</v>
      </c>
      <c r="U476"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t="s">
        <v>29</v>
      </c>
      <c r="W476" t="s">
        <v>30</v>
      </c>
      <c r="X476" t="s">
        <v>1171</v>
      </c>
      <c r="Y476" t="s">
        <v>1171</v>
      </c>
      <c r="Z476" t="s">
        <v>1171</v>
      </c>
      <c r="AA476" t="s">
        <v>1171</v>
      </c>
      <c r="AB476" t="s">
        <v>1171</v>
      </c>
      <c r="AC476" t="s">
        <v>1171</v>
      </c>
      <c r="AD476" t="s">
        <v>1140</v>
      </c>
      <c r="AE476" t="s">
        <v>1171</v>
      </c>
    </row>
    <row r="477" spans="1:31" ht="35" thickBot="1" x14ac:dyDescent="0.25">
      <c r="A477" t="s">
        <v>1171</v>
      </c>
      <c r="B477" t="s">
        <v>1649</v>
      </c>
      <c r="C477" t="str">
        <f>"CONF-"&amp;TEXT(us_core_reqs[[#This Row],[ID*]], "0000")</f>
        <v>CONF-0476</v>
      </c>
      <c r="D477" s="11" t="s">
        <v>2262</v>
      </c>
      <c r="E477" s="73" t="str" cm="1">
        <f t="array" ref="E477">_xlfn.TEXTJOIN(", ", TRUE, _xlfn.TEXTAFTER(_xlfn.TEXTSPLIT(us_core_reqs[[#This Row],[URL*]], ", "), "/", -1))</f>
        <v>StructureDefinition-us-core-practitioner.html#profile-specific-implementation-guidance</v>
      </c>
      <c r="F477" s="11" t="s">
        <v>2127</v>
      </c>
      <c r="G477" t="s">
        <v>29</v>
      </c>
      <c r="H477" cm="1">
        <f t="array" ref="H477">_xlfn.SWITCH(G477, "SHALL", 1, "SHOULD", 3, "MAY", 5, "SHOULD-NOT", 4, "SHALL-NOT", 2, "DEPRECATED", 6, 99)</f>
        <v>1</v>
      </c>
      <c r="J477" t="s">
        <v>58</v>
      </c>
      <c r="K477" t="s">
        <v>1171</v>
      </c>
      <c r="L477" t="s">
        <v>1171</v>
      </c>
      <c r="M477" t="s">
        <v>1171</v>
      </c>
      <c r="N477" t="s">
        <v>1171</v>
      </c>
      <c r="O477" t="s">
        <v>1171</v>
      </c>
      <c r="P477" t="s">
        <v>1171</v>
      </c>
      <c r="Q477" t="s">
        <v>1171</v>
      </c>
      <c r="R477" t="s">
        <v>1171</v>
      </c>
      <c r="S477" s="70" t="str" cm="1">
        <f t="array" ref="S477">_xlfn.TEXTJOIN(",",TRUE,LEFT(TRIM(_xlfn.TEXTSPLIT(us_core_reqs[[#This Row],[reference]],",")),FIND(".html",TRIM(_xlfn.TEXTSPLIT(us_core_reqs[[#This Row],[reference]],",")))-1))</f>
        <v>StructureDefinition-us-core-practitioner</v>
      </c>
      <c r="T477" s="70" t="str" cm="1">
        <f t="array" ref="T477">_xlfn.TEXTJOIN(",",TRUE,MID(TRIM(_xlfn.TEXTSPLIT(us_core_reqs[[#This Row],[reference]],",")),FIND("#",TRIM(_xlfn.TEXTSPLIT(us_core_reqs[[#This Row],[reference]],","))&amp;"#")+1,1000))</f>
        <v>profile-specific-implementation-guidance</v>
      </c>
      <c r="U477"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t="s">
        <v>29</v>
      </c>
      <c r="W477" t="s">
        <v>58</v>
      </c>
      <c r="X477" t="s">
        <v>1171</v>
      </c>
      <c r="Y477" t="s">
        <v>1171</v>
      </c>
      <c r="Z477" t="s">
        <v>1171</v>
      </c>
      <c r="AA477" t="s">
        <v>1171</v>
      </c>
      <c r="AB477" t="s">
        <v>1171</v>
      </c>
      <c r="AC477" t="s">
        <v>1171</v>
      </c>
      <c r="AD477" t="s">
        <v>1171</v>
      </c>
      <c r="AE477" t="s">
        <v>1171</v>
      </c>
    </row>
    <row r="478" spans="1:31" ht="35" thickBot="1" x14ac:dyDescent="0.25">
      <c r="A478" t="s">
        <v>1171</v>
      </c>
      <c r="B478" t="s">
        <v>1650</v>
      </c>
      <c r="C478" t="str">
        <f>"CONF-"&amp;TEXT(us_core_reqs[[#This Row],[ID*]], "0000")</f>
        <v>CONF-0477</v>
      </c>
      <c r="D478" s="11" t="s">
        <v>2262</v>
      </c>
      <c r="E478" s="73" t="str" cm="1">
        <f t="array" ref="E478">_xlfn.TEXTJOIN(", ", TRUE, _xlfn.TEXTAFTER(_xlfn.TEXTSPLIT(us_core_reqs[[#This Row],[URL*]], ", "), "/", -1))</f>
        <v>StructureDefinition-us-core-practitioner.html#profile-specific-implementation-guidance</v>
      </c>
      <c r="F478" s="11" t="s">
        <v>1997</v>
      </c>
      <c r="G478" t="s">
        <v>32</v>
      </c>
      <c r="H478" cm="1">
        <f t="array" ref="H478">_xlfn.SWITCH(G478, "SHALL", 1, "SHOULD", 3, "MAY", 5, "SHOULD-NOT", 4, "SHALL-NOT", 2, "DEPRECATED", 6, 99)</f>
        <v>3</v>
      </c>
      <c r="J478" t="s">
        <v>30</v>
      </c>
      <c r="K478" t="s">
        <v>1171</v>
      </c>
      <c r="L478" t="s">
        <v>1171</v>
      </c>
      <c r="M478" t="s">
        <v>1173</v>
      </c>
      <c r="N478" t="s">
        <v>1171</v>
      </c>
      <c r="O478" t="s">
        <v>1171</v>
      </c>
      <c r="P478" t="s">
        <v>1171</v>
      </c>
      <c r="Q478" t="s">
        <v>1171</v>
      </c>
      <c r="R478" t="s">
        <v>1171</v>
      </c>
      <c r="S478" s="70" t="str" cm="1">
        <f t="array" ref="S478">_xlfn.TEXTJOIN(",",TRUE,LEFT(TRIM(_xlfn.TEXTSPLIT(us_core_reqs[[#This Row],[reference]],",")),FIND(".html",TRIM(_xlfn.TEXTSPLIT(us_core_reqs[[#This Row],[reference]],",")))-1))</f>
        <v>StructureDefinition-us-core-practitioner</v>
      </c>
      <c r="T478" s="70" t="str" cm="1">
        <f t="array" ref="T478">_xlfn.TEXTJOIN(",",TRUE,MID(TRIM(_xlfn.TEXTSPLIT(us_core_reqs[[#This Row],[reference]],",")),FIND("#",TRIM(_xlfn.TEXTSPLIT(us_core_reqs[[#This Row],[reference]],","))&amp;"#")+1,1000))</f>
        <v>profile-specific-implementation-guidance</v>
      </c>
      <c r="U478"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t="s">
        <v>32</v>
      </c>
      <c r="W478" t="s">
        <v>1171</v>
      </c>
      <c r="X478" t="s">
        <v>1171</v>
      </c>
      <c r="Y478" t="s">
        <v>1171</v>
      </c>
      <c r="Z478" t="s">
        <v>1171</v>
      </c>
      <c r="AA478" t="s">
        <v>1171</v>
      </c>
      <c r="AB478" t="s">
        <v>1171</v>
      </c>
      <c r="AC478" t="s">
        <v>1171</v>
      </c>
      <c r="AD478" t="s">
        <v>1171</v>
      </c>
      <c r="AE478" t="s">
        <v>1171</v>
      </c>
    </row>
    <row r="479" spans="1:31" ht="103" thickBot="1" x14ac:dyDescent="0.25">
      <c r="A479" t="s">
        <v>1171</v>
      </c>
      <c r="B479" t="s">
        <v>1651</v>
      </c>
      <c r="C479" t="str">
        <f>"CONF-"&amp;TEXT(us_core_reqs[[#This Row],[ID*]], "0000")</f>
        <v>CONF-0478</v>
      </c>
      <c r="D479" s="11" t="s">
        <v>2262</v>
      </c>
      <c r="E479" s="73" t="str" cm="1">
        <f t="array" ref="E479">_xlfn.TEXTJOIN(", ", TRUE, _xlfn.TEXTAFTER(_xlfn.TEXTSPLIT(us_core_reqs[[#This Row],[URL*]], ", "), "/", -1))</f>
        <v>StructureDefinition-us-core-practitioner.html#profile-specific-implementation-guidance</v>
      </c>
      <c r="F479" s="11" t="s">
        <v>1998</v>
      </c>
      <c r="G479" t="s">
        <v>64</v>
      </c>
      <c r="H479" cm="1">
        <f t="array" ref="H479">_xlfn.SWITCH(G479, "SHALL", 1, "SHOULD", 3, "MAY", 5, "SHOULD-NOT", 4, "SHALL-NOT", 2, "DEPRECATED", 6, 99)</f>
        <v>6</v>
      </c>
      <c r="J479" t="s">
        <v>30</v>
      </c>
      <c r="K479" t="s">
        <v>1171</v>
      </c>
      <c r="L479" t="s">
        <v>1171</v>
      </c>
      <c r="M479" t="s">
        <v>1173</v>
      </c>
      <c r="N479" t="s">
        <v>1171</v>
      </c>
      <c r="O479" t="s">
        <v>1171</v>
      </c>
      <c r="P479" t="s">
        <v>1171</v>
      </c>
      <c r="Q479" t="s">
        <v>1171</v>
      </c>
      <c r="R479" t="s">
        <v>1171</v>
      </c>
      <c r="S479" s="70" t="str" cm="1">
        <f t="array" ref="S479">_xlfn.TEXTJOIN(",",TRUE,LEFT(TRIM(_xlfn.TEXTSPLIT(us_core_reqs[[#This Row],[reference]],",")),FIND(".html",TRIM(_xlfn.TEXTSPLIT(us_core_reqs[[#This Row],[reference]],",")))-1))</f>
        <v>StructureDefinition-us-core-practitioner</v>
      </c>
      <c r="T479" s="70" t="str" cm="1">
        <f t="array" ref="T479">_xlfn.TEXTJOIN(",",TRUE,MID(TRIM(_xlfn.TEXTSPLIT(us_core_reqs[[#This Row],[reference]],",")),FIND("#",TRIM(_xlfn.TEXTSPLIT(us_core_reqs[[#This Row],[reference]],","))&amp;"#")+1,1000))</f>
        <v>profile-specific-implementation-guidance</v>
      </c>
      <c r="U479"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t="s">
        <v>32</v>
      </c>
      <c r="W479" t="s">
        <v>1171</v>
      </c>
      <c r="X479" t="s">
        <v>1171</v>
      </c>
      <c r="Y479" t="s">
        <v>1171</v>
      </c>
      <c r="Z479" t="s">
        <v>1171</v>
      </c>
      <c r="AA479" t="s">
        <v>1171</v>
      </c>
      <c r="AB479" t="s">
        <v>1171</v>
      </c>
      <c r="AC479" t="s">
        <v>1171</v>
      </c>
      <c r="AD479" t="s">
        <v>1171</v>
      </c>
      <c r="AE479" t="s">
        <v>1171</v>
      </c>
    </row>
    <row r="480" spans="1:31" ht="35" thickBot="1" x14ac:dyDescent="0.25">
      <c r="A480" t="s">
        <v>1171</v>
      </c>
      <c r="B480" t="s">
        <v>1652</v>
      </c>
      <c r="C480" t="str">
        <f>"CONF-"&amp;TEXT(us_core_reqs[[#This Row],[ID*]], "0000")</f>
        <v>CONF-0479</v>
      </c>
      <c r="D480" s="11" t="s">
        <v>2263</v>
      </c>
      <c r="E480" s="73" t="str" cm="1">
        <f t="array" ref="E480">_xlfn.TEXTJOIN(", ", TRUE, _xlfn.TEXTAFTER(_xlfn.TEXTSPLIT(us_core_reqs[[#This Row],[URL*]], ", "), "/", -1))</f>
        <v>StructureDefinition-us-core-procedure.html#profile-specific-implementation-guidance</v>
      </c>
      <c r="F480" s="11" t="s">
        <v>496</v>
      </c>
      <c r="G480" t="s">
        <v>64</v>
      </c>
      <c r="H480" cm="1">
        <f t="array" ref="H480">_xlfn.SWITCH(G480, "SHALL", 1, "SHOULD", 3, "MAY", 5, "SHOULD-NOT", 4, "SHALL-NOT", 2, "DEPRECATED", 6, 99)</f>
        <v>6</v>
      </c>
      <c r="I480" t="s">
        <v>2322</v>
      </c>
      <c r="J480" t="s">
        <v>30</v>
      </c>
      <c r="K480" t="s">
        <v>1171</v>
      </c>
      <c r="L480" t="s">
        <v>1171</v>
      </c>
      <c r="M480" t="s">
        <v>1173</v>
      </c>
      <c r="N480" t="s">
        <v>1171</v>
      </c>
      <c r="O480" t="s">
        <v>1171</v>
      </c>
      <c r="P480" t="s">
        <v>1171</v>
      </c>
      <c r="Q480" t="s">
        <v>1171</v>
      </c>
      <c r="R480" t="s">
        <v>1171</v>
      </c>
      <c r="S480" s="70" t="str" cm="1">
        <f t="array" ref="S480">_xlfn.TEXTJOIN(",",TRUE,LEFT(TRIM(_xlfn.TEXTSPLIT(us_core_reqs[[#This Row],[reference]],",")),FIND(".html",TRIM(_xlfn.TEXTSPLIT(us_core_reqs[[#This Row],[reference]],",")))-1))</f>
        <v>StructureDefinition-us-core-procedure</v>
      </c>
      <c r="T480" s="70" t="str" cm="1">
        <f t="array" ref="T480">_xlfn.TEXTJOIN(",",TRUE,MID(TRIM(_xlfn.TEXTSPLIT(us_core_reqs[[#This Row],[reference]],",")),FIND("#",TRIM(_xlfn.TEXTSPLIT(us_core_reqs[[#This Row],[reference]],","))&amp;"#")+1,1000))</f>
        <v>profile-specific-implementation-guidance</v>
      </c>
      <c r="U480"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t="s">
        <v>35</v>
      </c>
      <c r="W480" t="s">
        <v>1171</v>
      </c>
      <c r="X480" t="s">
        <v>1171</v>
      </c>
      <c r="Y480" t="s">
        <v>1171</v>
      </c>
      <c r="Z480" t="s">
        <v>1171</v>
      </c>
      <c r="AA480" t="s">
        <v>1171</v>
      </c>
      <c r="AB480" t="s">
        <v>1171</v>
      </c>
      <c r="AC480" t="s">
        <v>1171</v>
      </c>
      <c r="AD480" t="s">
        <v>1171</v>
      </c>
      <c r="AE480" t="s">
        <v>1171</v>
      </c>
    </row>
    <row r="481" spans="1:31" ht="35" thickBot="1" x14ac:dyDescent="0.25">
      <c r="A481" t="s">
        <v>1171</v>
      </c>
      <c r="B481" t="s">
        <v>1653</v>
      </c>
      <c r="C481" t="str">
        <f>"CONF-"&amp;TEXT(us_core_reqs[[#This Row],[ID*]], "0000")</f>
        <v>CONF-0480</v>
      </c>
      <c r="D481" s="11" t="s">
        <v>2263</v>
      </c>
      <c r="E481" s="73" t="str" cm="1">
        <f t="array" ref="E481">_xlfn.TEXTJOIN(", ", TRUE, _xlfn.TEXTAFTER(_xlfn.TEXTSPLIT(us_core_reqs[[#This Row],[URL*]], ", "), "/", -1))</f>
        <v>StructureDefinition-us-core-procedure.html#profile-specific-implementation-guidance</v>
      </c>
      <c r="F481" s="11" t="s">
        <v>1999</v>
      </c>
      <c r="G481" t="s">
        <v>32</v>
      </c>
      <c r="H481" cm="1">
        <f t="array" ref="H481">_xlfn.SWITCH(G481, "SHALL", 1, "SHOULD", 3, "MAY", 5, "SHOULD-NOT", 4, "SHALL-NOT", 2, "DEPRECATED", 6, 99)</f>
        <v>3</v>
      </c>
      <c r="J481" t="s">
        <v>30</v>
      </c>
      <c r="K481" t="s">
        <v>1171</v>
      </c>
      <c r="L481" t="s">
        <v>1171</v>
      </c>
      <c r="M481" t="s">
        <v>1176</v>
      </c>
      <c r="N481" t="s">
        <v>498</v>
      </c>
      <c r="O481" t="s">
        <v>1171</v>
      </c>
      <c r="P481" t="s">
        <v>1171</v>
      </c>
      <c r="Q481" t="s">
        <v>1171</v>
      </c>
      <c r="R481" t="s">
        <v>1171</v>
      </c>
      <c r="S481" s="70" t="str" cm="1">
        <f t="array" ref="S481">_xlfn.TEXTJOIN(",",TRUE,LEFT(TRIM(_xlfn.TEXTSPLIT(us_core_reqs[[#This Row],[reference]],",")),FIND(".html",TRIM(_xlfn.TEXTSPLIT(us_core_reqs[[#This Row],[reference]],",")))-1))</f>
        <v>StructureDefinition-us-core-procedure</v>
      </c>
      <c r="T481" s="70" t="str" cm="1">
        <f t="array" ref="T481">_xlfn.TEXTJOIN(",",TRUE,MID(TRIM(_xlfn.TEXTSPLIT(us_core_reqs[[#This Row],[reference]],",")),FIND("#",TRIM(_xlfn.TEXTSPLIT(us_core_reqs[[#This Row],[reference]],","))&amp;"#")+1,1000))</f>
        <v>profile-specific-implementation-guidance</v>
      </c>
      <c r="U481"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t="s">
        <v>32</v>
      </c>
      <c r="W481" t="s">
        <v>1171</v>
      </c>
      <c r="X481" t="s">
        <v>1171</v>
      </c>
      <c r="Y481" t="s">
        <v>1171</v>
      </c>
      <c r="Z481" t="s">
        <v>1171</v>
      </c>
      <c r="AA481" t="s">
        <v>1171</v>
      </c>
      <c r="AB481" t="s">
        <v>1171</v>
      </c>
      <c r="AC481" t="s">
        <v>1171</v>
      </c>
      <c r="AD481" t="s">
        <v>1171</v>
      </c>
      <c r="AE481" t="s">
        <v>1171</v>
      </c>
    </row>
    <row r="482" spans="1:31" ht="35" thickBot="1" x14ac:dyDescent="0.25">
      <c r="A482" t="s">
        <v>1171</v>
      </c>
      <c r="B482" t="s">
        <v>1654</v>
      </c>
      <c r="C482" t="str">
        <f>"CONF-"&amp;TEXT(us_core_reqs[[#This Row],[ID*]], "0000")</f>
        <v>CONF-0481</v>
      </c>
      <c r="D482" s="11" t="s">
        <v>2263</v>
      </c>
      <c r="E482" s="73" t="str" cm="1">
        <f t="array" ref="E482">_xlfn.TEXTJOIN(", ", TRUE, _xlfn.TEXTAFTER(_xlfn.TEXTSPLIT(us_core_reqs[[#This Row],[URL*]], ", "), "/", -1))</f>
        <v>StructureDefinition-us-core-procedure.html#profile-specific-implementation-guidance</v>
      </c>
      <c r="F482" s="11" t="s">
        <v>2179</v>
      </c>
      <c r="G482" t="s">
        <v>64</v>
      </c>
      <c r="H482" cm="1">
        <f t="array" ref="H482">_xlfn.SWITCH(G482, "SHALL", 1, "SHOULD", 3, "MAY", 5, "SHOULD-NOT", 4, "SHALL-NOT", 2, "DEPRECATED", 6, 99)</f>
        <v>6</v>
      </c>
      <c r="I482" t="s">
        <v>2320</v>
      </c>
      <c r="J482" t="s">
        <v>30</v>
      </c>
      <c r="K482" t="s">
        <v>1171</v>
      </c>
      <c r="L482" t="s">
        <v>1171</v>
      </c>
      <c r="M482" t="s">
        <v>1173</v>
      </c>
      <c r="N482" t="s">
        <v>1171</v>
      </c>
      <c r="O482" t="s">
        <v>1171</v>
      </c>
      <c r="P482" t="s">
        <v>1171</v>
      </c>
      <c r="Q482" t="s">
        <v>1171</v>
      </c>
      <c r="R482" t="s">
        <v>1171</v>
      </c>
      <c r="S482" s="70" t="str" cm="1">
        <f t="array" ref="S482">_xlfn.TEXTJOIN(",",TRUE,LEFT(TRIM(_xlfn.TEXTSPLIT(us_core_reqs[[#This Row],[reference]],",")),FIND(".html",TRIM(_xlfn.TEXTSPLIT(us_core_reqs[[#This Row],[reference]],",")))-1))</f>
        <v>StructureDefinition-us-core-procedure</v>
      </c>
      <c r="T482" s="70" t="str" cm="1">
        <f t="array" ref="T482">_xlfn.TEXTJOIN(",",TRUE,MID(TRIM(_xlfn.TEXTSPLIT(us_core_reqs[[#This Row],[reference]],",")),FIND("#",TRIM(_xlfn.TEXTSPLIT(us_core_reqs[[#This Row],[reference]],","))&amp;"#")+1,1000))</f>
        <v>profile-specific-implementation-guidance</v>
      </c>
      <c r="U482"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t="s">
        <v>35</v>
      </c>
      <c r="W482" t="s">
        <v>1171</v>
      </c>
      <c r="X482" t="s">
        <v>1171</v>
      </c>
      <c r="Y482" t="s">
        <v>1171</v>
      </c>
      <c r="Z482" t="s">
        <v>1171</v>
      </c>
      <c r="AA482" t="s">
        <v>1171</v>
      </c>
      <c r="AB482" t="s">
        <v>1171</v>
      </c>
      <c r="AC482" t="s">
        <v>1171</v>
      </c>
      <c r="AD482" t="s">
        <v>1171</v>
      </c>
      <c r="AE482" t="s">
        <v>1171</v>
      </c>
    </row>
    <row r="483" spans="1:31" ht="69" thickBot="1" x14ac:dyDescent="0.25">
      <c r="A483" t="s">
        <v>1171</v>
      </c>
      <c r="B483" t="s">
        <v>1655</v>
      </c>
      <c r="C483" t="str">
        <f>"CONF-"&amp;TEXT(us_core_reqs[[#This Row],[ID*]], "0000")</f>
        <v>CONF-0482</v>
      </c>
      <c r="D483" s="11" t="s">
        <v>2263</v>
      </c>
      <c r="E483" s="73" t="str" cm="1">
        <f t="array" ref="E483">_xlfn.TEXTJOIN(", ", TRUE, _xlfn.TEXTAFTER(_xlfn.TEXTSPLIT(us_core_reqs[[#This Row],[URL*]], ", "), "/", -1))</f>
        <v>StructureDefinition-us-core-procedure.html#profile-specific-implementation-guidance</v>
      </c>
      <c r="F483" s="11" t="s">
        <v>2128</v>
      </c>
      <c r="G483" t="s">
        <v>29</v>
      </c>
      <c r="H483" cm="1">
        <f t="array" ref="H483">_xlfn.SWITCH(G483, "SHALL", 1, "SHOULD", 3, "MAY", 5, "SHOULD-NOT", 4, "SHALL-NOT", 2, "DEPRECATED", 6, 99)</f>
        <v>1</v>
      </c>
      <c r="J483" t="s">
        <v>30</v>
      </c>
      <c r="K483" t="b">
        <v>1</v>
      </c>
      <c r="L483" t="s">
        <v>1171</v>
      </c>
      <c r="M483" t="s">
        <v>1176</v>
      </c>
      <c r="N483" t="s">
        <v>500</v>
      </c>
      <c r="O483" t="s">
        <v>1171</v>
      </c>
      <c r="P483" t="s">
        <v>1171</v>
      </c>
      <c r="Q483" t="s">
        <v>1171</v>
      </c>
      <c r="R483" t="s">
        <v>1171</v>
      </c>
      <c r="S483" s="70" t="str" cm="1">
        <f t="array" ref="S483">_xlfn.TEXTJOIN(",",TRUE,LEFT(TRIM(_xlfn.TEXTSPLIT(us_core_reqs[[#This Row],[reference]],",")),FIND(".html",TRIM(_xlfn.TEXTSPLIT(us_core_reqs[[#This Row],[reference]],",")))-1))</f>
        <v>StructureDefinition-us-core-procedure</v>
      </c>
      <c r="T483" s="70" t="str" cm="1">
        <f t="array" ref="T483">_xlfn.TEXTJOIN(",",TRUE,MID(TRIM(_xlfn.TEXTSPLIT(us_core_reqs[[#This Row],[reference]],",")),FIND("#",TRIM(_xlfn.TEXTSPLIT(us_core_reqs[[#This Row],[reference]],","))&amp;"#")+1,1000))</f>
        <v>profile-specific-implementation-guidance</v>
      </c>
      <c r="U483"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t="s">
        <v>29</v>
      </c>
      <c r="W483" t="s">
        <v>30</v>
      </c>
      <c r="X483" t="s">
        <v>1171</v>
      </c>
      <c r="Y483" t="s">
        <v>1171</v>
      </c>
      <c r="Z483" t="s">
        <v>1171</v>
      </c>
      <c r="AA483" t="s">
        <v>1171</v>
      </c>
      <c r="AB483" t="s">
        <v>1171</v>
      </c>
      <c r="AC483" t="s">
        <v>405</v>
      </c>
      <c r="AD483" t="s">
        <v>1140</v>
      </c>
      <c r="AE483" t="s">
        <v>1171</v>
      </c>
    </row>
    <row r="484" spans="1:31" ht="69" thickBot="1" x14ac:dyDescent="0.25">
      <c r="A484" t="s">
        <v>1171</v>
      </c>
      <c r="B484" t="s">
        <v>1656</v>
      </c>
      <c r="C484" t="str">
        <f>"CONF-"&amp;TEXT(us_core_reqs[[#This Row],[ID*]], "0000")</f>
        <v>CONF-0483</v>
      </c>
      <c r="D484" s="11" t="s">
        <v>2263</v>
      </c>
      <c r="E484" s="73" t="str" cm="1">
        <f t="array" ref="E484">_xlfn.TEXTJOIN(", ", TRUE, _xlfn.TEXTAFTER(_xlfn.TEXTSPLIT(us_core_reqs[[#This Row],[URL*]], ", "), "/", -1))</f>
        <v>StructureDefinition-us-core-procedure.html#profile-specific-implementation-guidance</v>
      </c>
      <c r="F484" s="11" t="s">
        <v>2129</v>
      </c>
      <c r="G484" t="s">
        <v>29</v>
      </c>
      <c r="H484" cm="1">
        <f t="array" ref="H484">_xlfn.SWITCH(G484, "SHALL", 1, "SHOULD", 3, "MAY", 5, "SHOULD-NOT", 4, "SHALL-NOT", 2, "DEPRECATED", 6, 99)</f>
        <v>1</v>
      </c>
      <c r="J484" t="s">
        <v>58</v>
      </c>
      <c r="K484" t="s">
        <v>1171</v>
      </c>
      <c r="L484" t="s">
        <v>1171</v>
      </c>
      <c r="M484" t="s">
        <v>1176</v>
      </c>
      <c r="N484" t="s">
        <v>500</v>
      </c>
      <c r="O484" t="s">
        <v>1171</v>
      </c>
      <c r="P484" t="s">
        <v>1171</v>
      </c>
      <c r="Q484" t="s">
        <v>1171</v>
      </c>
      <c r="R484" t="s">
        <v>1171</v>
      </c>
      <c r="S484" s="70" t="str" cm="1">
        <f t="array" ref="S484">_xlfn.TEXTJOIN(",",TRUE,LEFT(TRIM(_xlfn.TEXTSPLIT(us_core_reqs[[#This Row],[reference]],",")),FIND(".html",TRIM(_xlfn.TEXTSPLIT(us_core_reqs[[#This Row],[reference]],",")))-1))</f>
        <v>StructureDefinition-us-core-procedure</v>
      </c>
      <c r="T484" s="70" t="str" cm="1">
        <f t="array" ref="T484">_xlfn.TEXTJOIN(",",TRUE,MID(TRIM(_xlfn.TEXTSPLIT(us_core_reqs[[#This Row],[reference]],",")),FIND("#",TRIM(_xlfn.TEXTSPLIT(us_core_reqs[[#This Row],[reference]],","))&amp;"#")+1,1000))</f>
        <v>profile-specific-implementation-guidance</v>
      </c>
      <c r="U484"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t="s">
        <v>29</v>
      </c>
      <c r="W484" t="s">
        <v>58</v>
      </c>
      <c r="X484" t="s">
        <v>1171</v>
      </c>
      <c r="Y484" t="s">
        <v>1171</v>
      </c>
      <c r="Z484" t="s">
        <v>1171</v>
      </c>
      <c r="AA484" t="s">
        <v>1171</v>
      </c>
      <c r="AB484" t="s">
        <v>1171</v>
      </c>
      <c r="AC484" t="s">
        <v>405</v>
      </c>
      <c r="AD484" t="s">
        <v>1171</v>
      </c>
      <c r="AE484" t="s">
        <v>1171</v>
      </c>
    </row>
    <row r="485" spans="1:31" ht="86" thickBot="1" x14ac:dyDescent="0.25">
      <c r="A485" t="s">
        <v>1171</v>
      </c>
      <c r="B485" t="s">
        <v>1657</v>
      </c>
      <c r="C485" t="str">
        <f>"CONF-"&amp;TEXT(us_core_reqs[[#This Row],[ID*]], "0000")</f>
        <v>CONF-0484</v>
      </c>
      <c r="D485" s="11" t="s">
        <v>2263</v>
      </c>
      <c r="E485" s="73" t="str" cm="1">
        <f t="array" ref="E485">_xlfn.TEXTJOIN(", ", TRUE, _xlfn.TEXTAFTER(_xlfn.TEXTSPLIT(us_core_reqs[[#This Row],[URL*]], ", "), "/", -1))</f>
        <v>StructureDefinition-us-core-procedure.html#profile-specific-implementation-guidance</v>
      </c>
      <c r="F485" s="11" t="s">
        <v>2130</v>
      </c>
      <c r="G485" t="s">
        <v>29</v>
      </c>
      <c r="H485" cm="1">
        <f t="array" ref="H485">_xlfn.SWITCH(G485, "SHALL", 1, "SHOULD", 3, "MAY", 5, "SHOULD-NOT", 4, "SHALL-NOT", 2, "DEPRECATED", 6, 99)</f>
        <v>1</v>
      </c>
      <c r="J485" t="s">
        <v>30</v>
      </c>
      <c r="K485" t="b">
        <v>1</v>
      </c>
      <c r="L485" t="s">
        <v>1171</v>
      </c>
      <c r="M485" t="s">
        <v>1176</v>
      </c>
      <c r="N485" t="s">
        <v>1071</v>
      </c>
      <c r="O485" t="s">
        <v>1171</v>
      </c>
      <c r="P485" t="s">
        <v>1171</v>
      </c>
      <c r="Q485" t="s">
        <v>1171</v>
      </c>
      <c r="R485" t="s">
        <v>1171</v>
      </c>
      <c r="S485" s="70" t="str" cm="1">
        <f t="array" ref="S485">_xlfn.TEXTJOIN(",",TRUE,LEFT(TRIM(_xlfn.TEXTSPLIT(us_core_reqs[[#This Row],[reference]],",")),FIND(".html",TRIM(_xlfn.TEXTSPLIT(us_core_reqs[[#This Row],[reference]],",")))-1))</f>
        <v>StructureDefinition-us-core-procedure</v>
      </c>
      <c r="T485" s="70" t="str" cm="1">
        <f t="array" ref="T485">_xlfn.TEXTJOIN(",",TRUE,MID(TRIM(_xlfn.TEXTSPLIT(us_core_reqs[[#This Row],[reference]],",")),FIND("#",TRIM(_xlfn.TEXTSPLIT(us_core_reqs[[#This Row],[reference]],","))&amp;"#")+1,1000))</f>
        <v>profile-specific-implementation-guidance</v>
      </c>
      <c r="U485"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t="s">
        <v>29</v>
      </c>
      <c r="W485" t="s">
        <v>30</v>
      </c>
      <c r="X485" t="s">
        <v>1171</v>
      </c>
      <c r="Y485" t="s">
        <v>1171</v>
      </c>
      <c r="Z485" t="s">
        <v>1171</v>
      </c>
      <c r="AA485" t="s">
        <v>1171</v>
      </c>
      <c r="AB485" t="s">
        <v>1171</v>
      </c>
      <c r="AC485" t="s">
        <v>405</v>
      </c>
      <c r="AD485" t="s">
        <v>1140</v>
      </c>
      <c r="AE485" t="s">
        <v>1171</v>
      </c>
    </row>
    <row r="486" spans="1:31" ht="52" thickBot="1" x14ac:dyDescent="0.25">
      <c r="A486" t="s">
        <v>1171</v>
      </c>
      <c r="B486" t="s">
        <v>1658</v>
      </c>
      <c r="C486" t="str">
        <f>"CONF-"&amp;TEXT(us_core_reqs[[#This Row],[ID*]], "0000")</f>
        <v>CONF-0485</v>
      </c>
      <c r="D486" s="11" t="s">
        <v>2263</v>
      </c>
      <c r="E486" s="73" t="str" cm="1">
        <f t="array" ref="E486">_xlfn.TEXTJOIN(", ", TRUE, _xlfn.TEXTAFTER(_xlfn.TEXTSPLIT(us_core_reqs[[#This Row],[URL*]], ", "), "/", -1))</f>
        <v>StructureDefinition-us-core-procedure.html#profile-specific-implementation-guidance</v>
      </c>
      <c r="F486" s="11" t="s">
        <v>2131</v>
      </c>
      <c r="G486" t="s">
        <v>29</v>
      </c>
      <c r="H486" cm="1">
        <f t="array" ref="H486">_xlfn.SWITCH(G486, "SHALL", 1, "SHOULD", 3, "MAY", 5, "SHOULD-NOT", 4, "SHALL-NOT", 2, "DEPRECATED", 6, 99)</f>
        <v>1</v>
      </c>
      <c r="J486" t="s">
        <v>58</v>
      </c>
      <c r="K486" t="s">
        <v>1171</v>
      </c>
      <c r="L486" t="s">
        <v>1171</v>
      </c>
      <c r="M486" t="s">
        <v>1176</v>
      </c>
      <c r="N486" t="s">
        <v>500</v>
      </c>
      <c r="O486" t="s">
        <v>1171</v>
      </c>
      <c r="P486" t="s">
        <v>1171</v>
      </c>
      <c r="Q486" t="s">
        <v>1171</v>
      </c>
      <c r="R486" t="s">
        <v>1171</v>
      </c>
      <c r="S486" s="70" t="str" cm="1">
        <f t="array" ref="S486">_xlfn.TEXTJOIN(",",TRUE,LEFT(TRIM(_xlfn.TEXTSPLIT(us_core_reqs[[#This Row],[reference]],",")),FIND(".html",TRIM(_xlfn.TEXTSPLIT(us_core_reqs[[#This Row],[reference]],",")))-1))</f>
        <v>StructureDefinition-us-core-procedure</v>
      </c>
      <c r="T486" s="70" t="str" cm="1">
        <f t="array" ref="T486">_xlfn.TEXTJOIN(",",TRUE,MID(TRIM(_xlfn.TEXTSPLIT(us_core_reqs[[#This Row],[reference]],",")),FIND("#",TRIM(_xlfn.TEXTSPLIT(us_core_reqs[[#This Row],[reference]],","))&amp;"#")+1,1000))</f>
        <v>profile-specific-implementation-guidance</v>
      </c>
      <c r="U486"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t="s">
        <v>29</v>
      </c>
      <c r="W486" t="s">
        <v>58</v>
      </c>
      <c r="X486" t="s">
        <v>1171</v>
      </c>
      <c r="Y486" t="s">
        <v>1171</v>
      </c>
      <c r="Z486" t="s">
        <v>1171</v>
      </c>
      <c r="AA486" t="s">
        <v>1171</v>
      </c>
      <c r="AB486" t="s">
        <v>1171</v>
      </c>
      <c r="AC486" t="s">
        <v>405</v>
      </c>
      <c r="AD486" t="s">
        <v>1171</v>
      </c>
      <c r="AE486" t="s">
        <v>1171</v>
      </c>
    </row>
    <row r="487" spans="1:31" ht="52" thickBot="1" x14ac:dyDescent="0.25">
      <c r="A487" t="s">
        <v>1171</v>
      </c>
      <c r="B487" t="s">
        <v>1659</v>
      </c>
      <c r="C487" t="str">
        <f>"CONF-"&amp;TEXT(us_core_reqs[[#This Row],[ID*]], "0000")</f>
        <v>CONF-0486</v>
      </c>
      <c r="D487" s="11" t="s">
        <v>2263</v>
      </c>
      <c r="E487" s="73" t="str" cm="1">
        <f t="array" ref="E487">_xlfn.TEXTJOIN(", ", TRUE, _xlfn.TEXTAFTER(_xlfn.TEXTSPLIT(us_core_reqs[[#This Row],[URL*]], ", "), "/", -1))</f>
        <v>StructureDefinition-us-core-procedure.html#profile-specific-implementation-guidance</v>
      </c>
      <c r="F487" s="11" t="s">
        <v>2132</v>
      </c>
      <c r="G487" t="s">
        <v>29</v>
      </c>
      <c r="H487" cm="1">
        <f t="array" ref="H487">_xlfn.SWITCH(G487, "SHALL", 1, "SHOULD", 3, "MAY", 5, "SHOULD-NOT", 4, "SHALL-NOT", 2, "DEPRECATED", 6, 99)</f>
        <v>1</v>
      </c>
      <c r="J487" t="s">
        <v>30</v>
      </c>
      <c r="K487" t="s">
        <v>1171</v>
      </c>
      <c r="L487" t="s">
        <v>1171</v>
      </c>
      <c r="M487" t="s">
        <v>1176</v>
      </c>
      <c r="N487" t="s">
        <v>503</v>
      </c>
      <c r="O487" t="s">
        <v>1171</v>
      </c>
      <c r="P487" t="s">
        <v>1171</v>
      </c>
      <c r="Q487" t="s">
        <v>1171</v>
      </c>
      <c r="R487" t="s">
        <v>1171</v>
      </c>
      <c r="S487" s="70" t="str" cm="1">
        <f t="array" ref="S487">_xlfn.TEXTJOIN(",",TRUE,LEFT(TRIM(_xlfn.TEXTSPLIT(us_core_reqs[[#This Row],[reference]],",")),FIND(".html",TRIM(_xlfn.TEXTSPLIT(us_core_reqs[[#This Row],[reference]],",")))-1))</f>
        <v>StructureDefinition-us-core-procedure</v>
      </c>
      <c r="T487" s="70" t="str" cm="1">
        <f t="array" ref="T487">_xlfn.TEXTJOIN(",",TRUE,MID(TRIM(_xlfn.TEXTSPLIT(us_core_reqs[[#This Row],[reference]],",")),FIND("#",TRIM(_xlfn.TEXTSPLIT(us_core_reqs[[#This Row],[reference]],","))&amp;"#")+1,1000))</f>
        <v>profile-specific-implementation-guidance</v>
      </c>
      <c r="U487"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t="s">
        <v>29</v>
      </c>
      <c r="W487" t="s">
        <v>30</v>
      </c>
      <c r="X487" t="s">
        <v>1171</v>
      </c>
      <c r="Y487" t="s">
        <v>1171</v>
      </c>
      <c r="Z487" t="s">
        <v>1171</v>
      </c>
      <c r="AA487" t="s">
        <v>1171</v>
      </c>
      <c r="AB487" t="s">
        <v>1171</v>
      </c>
      <c r="AC487" t="s">
        <v>405</v>
      </c>
      <c r="AD487" t="s">
        <v>1140</v>
      </c>
      <c r="AE487" t="s">
        <v>1171</v>
      </c>
    </row>
    <row r="488" spans="1:31" ht="69" thickBot="1" x14ac:dyDescent="0.25">
      <c r="A488" t="s">
        <v>1171</v>
      </c>
      <c r="B488" t="s">
        <v>1660</v>
      </c>
      <c r="C488" t="str">
        <f>"CONF-"&amp;TEXT(us_core_reqs[[#This Row],[ID*]], "0000")</f>
        <v>CONF-0487</v>
      </c>
      <c r="D488" s="11" t="s">
        <v>2263</v>
      </c>
      <c r="E488" s="73" t="str" cm="1">
        <f t="array" ref="E488">_xlfn.TEXTJOIN(", ", TRUE, _xlfn.TEXTAFTER(_xlfn.TEXTSPLIT(us_core_reqs[[#This Row],[URL*]], ", "), "/", -1))</f>
        <v>StructureDefinition-us-core-procedure.html#profile-specific-implementation-guidance</v>
      </c>
      <c r="F488" s="11" t="s">
        <v>2133</v>
      </c>
      <c r="G488" t="s">
        <v>29</v>
      </c>
      <c r="H488" cm="1">
        <f t="array" ref="H488">_xlfn.SWITCH(G488, "SHALL", 1, "SHOULD", 3, "MAY", 5, "SHOULD-NOT", 4, "SHALL-NOT", 2, "DEPRECATED", 6, 99)</f>
        <v>1</v>
      </c>
      <c r="J488" t="s">
        <v>58</v>
      </c>
      <c r="K488" t="s">
        <v>1171</v>
      </c>
      <c r="L488" t="s">
        <v>1171</v>
      </c>
      <c r="M488" t="s">
        <v>1176</v>
      </c>
      <c r="N488" t="s">
        <v>503</v>
      </c>
      <c r="O488" t="s">
        <v>1171</v>
      </c>
      <c r="P488" t="s">
        <v>1171</v>
      </c>
      <c r="Q488" t="s">
        <v>1171</v>
      </c>
      <c r="R488" t="s">
        <v>1171</v>
      </c>
      <c r="S488" s="70" t="str" cm="1">
        <f t="array" ref="S488">_xlfn.TEXTJOIN(",",TRUE,LEFT(TRIM(_xlfn.TEXTSPLIT(us_core_reqs[[#This Row],[reference]],",")),FIND(".html",TRIM(_xlfn.TEXTSPLIT(us_core_reqs[[#This Row],[reference]],",")))-1))</f>
        <v>StructureDefinition-us-core-procedure</v>
      </c>
      <c r="T488" s="70" t="str" cm="1">
        <f t="array" ref="T488">_xlfn.TEXTJOIN(",",TRUE,MID(TRIM(_xlfn.TEXTSPLIT(us_core_reqs[[#This Row],[reference]],",")),FIND("#",TRIM(_xlfn.TEXTSPLIT(us_core_reqs[[#This Row],[reference]],","))&amp;"#")+1,1000))</f>
        <v>profile-specific-implementation-guidance</v>
      </c>
      <c r="U488"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t="s">
        <v>29</v>
      </c>
      <c r="W488" t="s">
        <v>58</v>
      </c>
      <c r="X488" t="s">
        <v>1171</v>
      </c>
      <c r="Y488" t="s">
        <v>1171</v>
      </c>
      <c r="Z488" t="s">
        <v>1171</v>
      </c>
      <c r="AA488" t="s">
        <v>1171</v>
      </c>
      <c r="AB488" t="s">
        <v>1171</v>
      </c>
      <c r="AC488" t="s">
        <v>405</v>
      </c>
      <c r="AD488" t="s">
        <v>1171</v>
      </c>
      <c r="AE488" t="s">
        <v>1171</v>
      </c>
    </row>
    <row r="489" spans="1:31" ht="103" thickBot="1" x14ac:dyDescent="0.25">
      <c r="A489" t="s">
        <v>1171</v>
      </c>
      <c r="B489" t="s">
        <v>1661</v>
      </c>
      <c r="C489" t="str">
        <f>"CONF-"&amp;TEXT(us_core_reqs[[#This Row],[ID*]], "0000")</f>
        <v>CONF-0488</v>
      </c>
      <c r="D489" s="11" t="s">
        <v>2263</v>
      </c>
      <c r="E489" s="73" t="str" cm="1">
        <f t="array" ref="E489">_xlfn.TEXTJOIN(", ", TRUE, _xlfn.TEXTAFTER(_xlfn.TEXTSPLIT(us_core_reqs[[#This Row],[URL*]], ", "), "/", -1))</f>
        <v>StructureDefinition-us-core-procedure.html#profile-specific-implementation-guidance</v>
      </c>
      <c r="F489" s="11" t="s">
        <v>2000</v>
      </c>
      <c r="G489" t="s">
        <v>32</v>
      </c>
      <c r="H489" cm="1">
        <f t="array" ref="H489">_xlfn.SWITCH(G489, "SHALL", 1, "SHOULD", 3, "MAY", 5, "SHOULD-NOT", 4, "SHALL-NOT", 2, "DEPRECATED", 6, 99)</f>
        <v>3</v>
      </c>
      <c r="J489" t="s">
        <v>30</v>
      </c>
      <c r="K489" t="s">
        <v>1171</v>
      </c>
      <c r="L489" t="s">
        <v>1171</v>
      </c>
      <c r="M489" t="s">
        <v>1176</v>
      </c>
      <c r="N489" t="s">
        <v>503</v>
      </c>
      <c r="O489" t="s">
        <v>1171</v>
      </c>
      <c r="P489" t="s">
        <v>1171</v>
      </c>
      <c r="Q489" t="s">
        <v>1171</v>
      </c>
      <c r="R489" t="s">
        <v>1171</v>
      </c>
      <c r="S489" s="70" t="str" cm="1">
        <f t="array" ref="S489">_xlfn.TEXTJOIN(",",TRUE,LEFT(TRIM(_xlfn.TEXTSPLIT(us_core_reqs[[#This Row],[reference]],",")),FIND(".html",TRIM(_xlfn.TEXTSPLIT(us_core_reqs[[#This Row],[reference]],",")))-1))</f>
        <v>StructureDefinition-us-core-procedure</v>
      </c>
      <c r="T489" s="70" t="str" cm="1">
        <f t="array" ref="T489">_xlfn.TEXTJOIN(",",TRUE,MID(TRIM(_xlfn.TEXTSPLIT(us_core_reqs[[#This Row],[reference]],",")),FIND("#",TRIM(_xlfn.TEXTSPLIT(us_core_reqs[[#This Row],[reference]],","))&amp;"#")+1,1000))</f>
        <v>profile-specific-implementation-guidance</v>
      </c>
      <c r="U489"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t="s">
        <v>32</v>
      </c>
      <c r="W489" t="s">
        <v>1171</v>
      </c>
      <c r="X489" t="s">
        <v>1171</v>
      </c>
      <c r="Y489" t="s">
        <v>1171</v>
      </c>
      <c r="Z489" t="s">
        <v>1171</v>
      </c>
      <c r="AA489" t="s">
        <v>1171</v>
      </c>
      <c r="AB489" t="s">
        <v>1171</v>
      </c>
      <c r="AC489" t="s">
        <v>405</v>
      </c>
      <c r="AD489" t="s">
        <v>1171</v>
      </c>
      <c r="AE489" t="s">
        <v>1171</v>
      </c>
    </row>
    <row r="490" spans="1:31" ht="120" thickBot="1" x14ac:dyDescent="0.25">
      <c r="A490" t="s">
        <v>1171</v>
      </c>
      <c r="B490" t="s">
        <v>1662</v>
      </c>
      <c r="C490" t="str">
        <f>"CONF-"&amp;TEXT(us_core_reqs[[#This Row],[ID*]], "0000")</f>
        <v>CONF-0489</v>
      </c>
      <c r="D490" s="11" t="s">
        <v>2264</v>
      </c>
      <c r="E490" s="73" t="str" cm="1">
        <f t="array" ref="E490">_xlfn.TEXTJOIN(", ", TRUE, _xlfn.TEXTAFTER(_xlfn.TEXTSPLIT(us_core_reqs[[#This Row],[URL*]], ", "), "/", -1))</f>
        <v>StructureDefinition-us-core-provenance.html#profile-specific-implementation-guidance</v>
      </c>
      <c r="F490" s="11" t="s">
        <v>2325</v>
      </c>
      <c r="G490" t="s">
        <v>29</v>
      </c>
      <c r="H490" cm="1">
        <f t="array" ref="H490">_xlfn.SWITCH(G490, "SHALL", 1, "SHOULD", 3, "MAY", 5, "SHOULD-NOT", 4, "SHALL-NOT", 2, "DEPRECATED", 6, 99)</f>
        <v>1</v>
      </c>
      <c r="J490" t="s">
        <v>30</v>
      </c>
      <c r="K490" t="s">
        <v>1171</v>
      </c>
      <c r="L490" t="s">
        <v>1171</v>
      </c>
      <c r="M490" t="s">
        <v>1173</v>
      </c>
      <c r="N490" t="s">
        <v>1171</v>
      </c>
      <c r="O490" t="s">
        <v>1171</v>
      </c>
      <c r="P490" t="s">
        <v>1171</v>
      </c>
      <c r="Q490" t="s">
        <v>1171</v>
      </c>
      <c r="R490" t="s">
        <v>1171</v>
      </c>
      <c r="S490" s="70" t="str" cm="1">
        <f t="array" ref="S490">_xlfn.TEXTJOIN(",",TRUE,LEFT(TRIM(_xlfn.TEXTSPLIT(us_core_reqs[[#This Row],[reference]],",")),FIND(".html",TRIM(_xlfn.TEXTSPLIT(us_core_reqs[[#This Row],[reference]],",")))-1))</f>
        <v>StructureDefinition-us-core-provenance</v>
      </c>
      <c r="T490" s="70" t="str" cm="1">
        <f t="array" ref="T490">_xlfn.TEXTJOIN(",",TRUE,MID(TRIM(_xlfn.TEXTSPLIT(us_core_reqs[[#This Row],[reference]],",")),FIND("#",TRIM(_xlfn.TEXTSPLIT(us_core_reqs[[#This Row],[reference]],","))&amp;"#")+1,1000))</f>
        <v>profile-specific-implementation-guidance</v>
      </c>
      <c r="U490"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t="s">
        <v>29</v>
      </c>
      <c r="W490" t="s">
        <v>1171</v>
      </c>
      <c r="X490" t="s">
        <v>1171</v>
      </c>
      <c r="Y490" t="s">
        <v>1171</v>
      </c>
      <c r="Z490" t="s">
        <v>1171</v>
      </c>
      <c r="AA490" t="s">
        <v>1171</v>
      </c>
      <c r="AB490" t="s">
        <v>1171</v>
      </c>
      <c r="AC490" t="s">
        <v>1171</v>
      </c>
      <c r="AD490" t="s">
        <v>1140</v>
      </c>
      <c r="AE490" t="s">
        <v>1171</v>
      </c>
    </row>
    <row r="491" spans="1:31" ht="35" thickBot="1" x14ac:dyDescent="0.25">
      <c r="A491" t="s">
        <v>1171</v>
      </c>
      <c r="B491" t="s">
        <v>1663</v>
      </c>
      <c r="C491" t="str">
        <f>"CONF-"&amp;TEXT(us_core_reqs[[#This Row],[ID*]], "0000")</f>
        <v>CONF-0490</v>
      </c>
      <c r="D491" s="11" t="s">
        <v>2264</v>
      </c>
      <c r="E491" s="73" t="str" cm="1">
        <f t="array" ref="E491">_xlfn.TEXTJOIN(", ", TRUE, _xlfn.TEXTAFTER(_xlfn.TEXTSPLIT(us_core_reqs[[#This Row],[URL*]], ", "), "/", -1))</f>
        <v>StructureDefinition-us-core-provenance.html#profile-specific-implementation-guidance</v>
      </c>
      <c r="F491" s="11" t="s">
        <v>2053</v>
      </c>
      <c r="G491" t="s">
        <v>64</v>
      </c>
      <c r="H491" cm="1">
        <f t="array" ref="H491">_xlfn.SWITCH(G491, "SHALL", 1, "SHOULD", 3, "MAY", 5, "SHOULD-NOT", 4, "SHALL-NOT", 2, "DEPRECATED", 6, 99)</f>
        <v>6</v>
      </c>
      <c r="J491" t="s">
        <v>30</v>
      </c>
      <c r="K491" t="s">
        <v>1171</v>
      </c>
      <c r="L491" t="s">
        <v>1171</v>
      </c>
      <c r="M491" t="s">
        <v>1173</v>
      </c>
      <c r="N491" t="s">
        <v>1171</v>
      </c>
      <c r="O491" t="s">
        <v>1171</v>
      </c>
      <c r="P491" t="s">
        <v>1171</v>
      </c>
      <c r="Q491" t="s">
        <v>1171</v>
      </c>
      <c r="R491" t="s">
        <v>1171</v>
      </c>
      <c r="S491" s="70" t="str" cm="1">
        <f t="array" ref="S491">_xlfn.TEXTJOIN(",",TRUE,LEFT(TRIM(_xlfn.TEXTSPLIT(us_core_reqs[[#This Row],[reference]],",")),FIND(".html",TRIM(_xlfn.TEXTSPLIT(us_core_reqs[[#This Row],[reference]],",")))-1))</f>
        <v>StructureDefinition-us-core-provenance</v>
      </c>
      <c r="T491" s="70" t="str" cm="1">
        <f t="array" ref="T491">_xlfn.TEXTJOIN(",",TRUE,MID(TRIM(_xlfn.TEXTSPLIT(us_core_reqs[[#This Row],[reference]],",")),FIND("#",TRIM(_xlfn.TEXTSPLIT(us_core_reqs[[#This Row],[reference]],","))&amp;"#")+1,1000))</f>
        <v>profile-specific-implementation-guidance</v>
      </c>
      <c r="U491"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t="s">
        <v>29</v>
      </c>
      <c r="W491" t="s">
        <v>1171</v>
      </c>
      <c r="X491" t="s">
        <v>1171</v>
      </c>
      <c r="Y491" t="s">
        <v>1171</v>
      </c>
      <c r="Z491" t="s">
        <v>1171</v>
      </c>
      <c r="AA491" t="s">
        <v>1171</v>
      </c>
      <c r="AB491" t="s">
        <v>1171</v>
      </c>
      <c r="AC491" t="s">
        <v>1171</v>
      </c>
      <c r="AD491" t="s">
        <v>1140</v>
      </c>
      <c r="AE491" t="s">
        <v>1171</v>
      </c>
    </row>
    <row r="492" spans="1:31" ht="35" thickBot="1" x14ac:dyDescent="0.25">
      <c r="A492" t="s">
        <v>1171</v>
      </c>
      <c r="B492" t="s">
        <v>1664</v>
      </c>
      <c r="C492" t="str">
        <f>"CONF-"&amp;TEXT(us_core_reqs[[#This Row],[ID*]], "0000")</f>
        <v>CONF-0491</v>
      </c>
      <c r="D492" s="11" t="s">
        <v>2264</v>
      </c>
      <c r="E492" s="73" t="str" cm="1">
        <f t="array" ref="E492">_xlfn.TEXTJOIN(", ", TRUE, _xlfn.TEXTAFTER(_xlfn.TEXTSPLIT(us_core_reqs[[#This Row],[URL*]], ", "), "/", -1))</f>
        <v>StructureDefinition-us-core-provenance.html#profile-specific-implementation-guidance</v>
      </c>
      <c r="F492" s="11" t="s">
        <v>2054</v>
      </c>
      <c r="G492" t="s">
        <v>64</v>
      </c>
      <c r="H492" cm="1">
        <f t="array" ref="H492">_xlfn.SWITCH(G492, "SHALL", 1, "SHOULD", 3, "MAY", 5, "SHOULD-NOT", 4, "SHALL-NOT", 2, "DEPRECATED", 6, 99)</f>
        <v>6</v>
      </c>
      <c r="J492" t="s">
        <v>30</v>
      </c>
      <c r="K492" t="s">
        <v>1171</v>
      </c>
      <c r="L492" t="s">
        <v>1171</v>
      </c>
      <c r="M492" t="s">
        <v>1173</v>
      </c>
      <c r="N492" t="s">
        <v>1171</v>
      </c>
      <c r="O492" t="s">
        <v>1171</v>
      </c>
      <c r="P492" t="s">
        <v>1171</v>
      </c>
      <c r="Q492" t="s">
        <v>1171</v>
      </c>
      <c r="R492" t="s">
        <v>1171</v>
      </c>
      <c r="S492" s="70" t="str" cm="1">
        <f t="array" ref="S492">_xlfn.TEXTJOIN(",",TRUE,LEFT(TRIM(_xlfn.TEXTSPLIT(us_core_reqs[[#This Row],[reference]],",")),FIND(".html",TRIM(_xlfn.TEXTSPLIT(us_core_reqs[[#This Row],[reference]],",")))-1))</f>
        <v>StructureDefinition-us-core-provenance</v>
      </c>
      <c r="T492" s="70" t="str" cm="1">
        <f t="array" ref="T492">_xlfn.TEXTJOIN(",",TRUE,MID(TRIM(_xlfn.TEXTSPLIT(us_core_reqs[[#This Row],[reference]],",")),FIND("#",TRIM(_xlfn.TEXTSPLIT(us_core_reqs[[#This Row],[reference]],","))&amp;"#")+1,1000))</f>
        <v>profile-specific-implementation-guidance</v>
      </c>
      <c r="U492"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t="s">
        <v>29</v>
      </c>
      <c r="W492" t="s">
        <v>1171</v>
      </c>
      <c r="X492" t="s">
        <v>1171</v>
      </c>
      <c r="Y492" t="s">
        <v>1171</v>
      </c>
      <c r="Z492" t="s">
        <v>1171</v>
      </c>
      <c r="AA492" t="s">
        <v>1171</v>
      </c>
      <c r="AB492" t="s">
        <v>1171</v>
      </c>
      <c r="AC492" t="s">
        <v>1171</v>
      </c>
      <c r="AD492" t="s">
        <v>1140</v>
      </c>
      <c r="AE492" t="s">
        <v>1171</v>
      </c>
    </row>
    <row r="493" spans="1:31" ht="35" thickBot="1" x14ac:dyDescent="0.25">
      <c r="A493" t="s">
        <v>1171</v>
      </c>
      <c r="B493" t="s">
        <v>1665</v>
      </c>
      <c r="C493" t="str">
        <f>"CONF-"&amp;TEXT(us_core_reqs[[#This Row],[ID*]], "0000")</f>
        <v>CONF-0492</v>
      </c>
      <c r="D493" s="11" t="s">
        <v>2264</v>
      </c>
      <c r="E493" s="73" t="str" cm="1">
        <f t="array" ref="E493">_xlfn.TEXTJOIN(", ", TRUE, _xlfn.TEXTAFTER(_xlfn.TEXTSPLIT(us_core_reqs[[#This Row],[URL*]], ", "), "/", -1))</f>
        <v>StructureDefinition-us-core-provenance.html#profile-specific-implementation-guidance</v>
      </c>
      <c r="F493" s="11" t="s">
        <v>2055</v>
      </c>
      <c r="G493" t="s">
        <v>64</v>
      </c>
      <c r="H493" cm="1">
        <f t="array" ref="H493">_xlfn.SWITCH(G493, "SHALL", 1, "SHOULD", 3, "MAY", 5, "SHOULD-NOT", 4, "SHALL-NOT", 2, "DEPRECATED", 6, 99)</f>
        <v>6</v>
      </c>
      <c r="J493" t="s">
        <v>30</v>
      </c>
      <c r="K493" t="s">
        <v>1171</v>
      </c>
      <c r="L493" t="s">
        <v>1171</v>
      </c>
      <c r="M493" t="s">
        <v>1173</v>
      </c>
      <c r="N493" t="s">
        <v>1171</v>
      </c>
      <c r="O493" t="s">
        <v>1171</v>
      </c>
      <c r="P493" t="s">
        <v>1171</v>
      </c>
      <c r="Q493" t="s">
        <v>1171</v>
      </c>
      <c r="R493" t="s">
        <v>1171</v>
      </c>
      <c r="S493" s="70" t="str" cm="1">
        <f t="array" ref="S493">_xlfn.TEXTJOIN(",",TRUE,LEFT(TRIM(_xlfn.TEXTSPLIT(us_core_reqs[[#This Row],[reference]],",")),FIND(".html",TRIM(_xlfn.TEXTSPLIT(us_core_reqs[[#This Row],[reference]],",")))-1))</f>
        <v>StructureDefinition-us-core-provenance</v>
      </c>
      <c r="T493" s="70" t="str" cm="1">
        <f t="array" ref="T493">_xlfn.TEXTJOIN(",",TRUE,MID(TRIM(_xlfn.TEXTSPLIT(us_core_reqs[[#This Row],[reference]],",")),FIND("#",TRIM(_xlfn.TEXTSPLIT(us_core_reqs[[#This Row],[reference]],","))&amp;"#")+1,1000))</f>
        <v>profile-specific-implementation-guidance</v>
      </c>
      <c r="U493"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t="s">
        <v>29</v>
      </c>
      <c r="W493" t="s">
        <v>1171</v>
      </c>
      <c r="X493" t="s">
        <v>1171</v>
      </c>
      <c r="Y493" t="s">
        <v>1171</v>
      </c>
      <c r="Z493" t="s">
        <v>1171</v>
      </c>
      <c r="AA493" t="s">
        <v>1171</v>
      </c>
      <c r="AB493" t="s">
        <v>1171</v>
      </c>
      <c r="AC493" t="s">
        <v>1171</v>
      </c>
      <c r="AD493" t="s">
        <v>1140</v>
      </c>
      <c r="AE493" t="s">
        <v>1171</v>
      </c>
    </row>
    <row r="494" spans="1:31" ht="35" thickBot="1" x14ac:dyDescent="0.25">
      <c r="A494" t="s">
        <v>1171</v>
      </c>
      <c r="B494" t="s">
        <v>1666</v>
      </c>
      <c r="C494" t="str">
        <f>"CONF-"&amp;TEXT(us_core_reqs[[#This Row],[ID*]], "0000")</f>
        <v>CONF-0493</v>
      </c>
      <c r="D494" s="11" t="s">
        <v>2264</v>
      </c>
      <c r="E494" s="73" t="str" cm="1">
        <f t="array" ref="E494">_xlfn.TEXTJOIN(", ", TRUE, _xlfn.TEXTAFTER(_xlfn.TEXTSPLIT(us_core_reqs[[#This Row],[URL*]], ", "), "/", -1))</f>
        <v>StructureDefinition-us-core-provenance.html#profile-specific-implementation-guidance</v>
      </c>
      <c r="F494" s="11" t="s">
        <v>2056</v>
      </c>
      <c r="G494" t="s">
        <v>64</v>
      </c>
      <c r="H494" cm="1">
        <f t="array" ref="H494">_xlfn.SWITCH(G494, "SHALL", 1, "SHOULD", 3, "MAY", 5, "SHOULD-NOT", 4, "SHALL-NOT", 2, "DEPRECATED", 6, 99)</f>
        <v>6</v>
      </c>
      <c r="J494" t="s">
        <v>30</v>
      </c>
      <c r="K494" t="s">
        <v>1171</v>
      </c>
      <c r="L494" t="s">
        <v>1171</v>
      </c>
      <c r="M494" t="s">
        <v>1173</v>
      </c>
      <c r="N494" t="s">
        <v>1171</v>
      </c>
      <c r="O494" t="s">
        <v>1171</v>
      </c>
      <c r="P494" t="s">
        <v>1171</v>
      </c>
      <c r="Q494" t="s">
        <v>1171</v>
      </c>
      <c r="R494" t="s">
        <v>1171</v>
      </c>
      <c r="S494" s="70" t="str" cm="1">
        <f t="array" ref="S494">_xlfn.TEXTJOIN(",",TRUE,LEFT(TRIM(_xlfn.TEXTSPLIT(us_core_reqs[[#This Row],[reference]],",")),FIND(".html",TRIM(_xlfn.TEXTSPLIT(us_core_reqs[[#This Row],[reference]],",")))-1))</f>
        <v>StructureDefinition-us-core-provenance</v>
      </c>
      <c r="T494" s="70" t="str" cm="1">
        <f t="array" ref="T494">_xlfn.TEXTJOIN(",",TRUE,MID(TRIM(_xlfn.TEXTSPLIT(us_core_reqs[[#This Row],[reference]],",")),FIND("#",TRIM(_xlfn.TEXTSPLIT(us_core_reqs[[#This Row],[reference]],","))&amp;"#")+1,1000))</f>
        <v>profile-specific-implementation-guidance</v>
      </c>
      <c r="U494"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t="s">
        <v>29</v>
      </c>
      <c r="W494" t="s">
        <v>1171</v>
      </c>
      <c r="X494" t="s">
        <v>1171</v>
      </c>
      <c r="Y494" t="s">
        <v>1171</v>
      </c>
      <c r="Z494" t="s">
        <v>1171</v>
      </c>
      <c r="AA494" t="s">
        <v>1171</v>
      </c>
      <c r="AB494" t="s">
        <v>1171</v>
      </c>
      <c r="AC494" t="s">
        <v>1171</v>
      </c>
      <c r="AD494" t="s">
        <v>1140</v>
      </c>
      <c r="AE494" t="s">
        <v>1171</v>
      </c>
    </row>
    <row r="495" spans="1:31" ht="35" thickBot="1" x14ac:dyDescent="0.25">
      <c r="A495" t="s">
        <v>1171</v>
      </c>
      <c r="B495" t="s">
        <v>1667</v>
      </c>
      <c r="C495" t="str">
        <f>"CONF-"&amp;TEXT(us_core_reqs[[#This Row],[ID*]], "0000")</f>
        <v>CONF-0494</v>
      </c>
      <c r="D495" s="11" t="s">
        <v>2264</v>
      </c>
      <c r="E495" s="73" t="str" cm="1">
        <f t="array" ref="E495">_xlfn.TEXTJOIN(", ", TRUE, _xlfn.TEXTAFTER(_xlfn.TEXTSPLIT(us_core_reqs[[#This Row],[URL*]], ", "), "/", -1))</f>
        <v>StructureDefinition-us-core-provenance.html#profile-specific-implementation-guidance</v>
      </c>
      <c r="F495" s="11" t="s">
        <v>2057</v>
      </c>
      <c r="G495" t="s">
        <v>64</v>
      </c>
      <c r="H495" cm="1">
        <f t="array" ref="H495">_xlfn.SWITCH(G495, "SHALL", 1, "SHOULD", 3, "MAY", 5, "SHOULD-NOT", 4, "SHALL-NOT", 2, "DEPRECATED", 6, 99)</f>
        <v>6</v>
      </c>
      <c r="J495" t="s">
        <v>30</v>
      </c>
      <c r="K495" t="s">
        <v>1171</v>
      </c>
      <c r="L495" t="s">
        <v>1171</v>
      </c>
      <c r="M495" t="s">
        <v>1173</v>
      </c>
      <c r="N495" t="s">
        <v>1171</v>
      </c>
      <c r="O495" t="s">
        <v>1171</v>
      </c>
      <c r="P495" t="s">
        <v>1171</v>
      </c>
      <c r="Q495" t="s">
        <v>1171</v>
      </c>
      <c r="R495" t="s">
        <v>1171</v>
      </c>
      <c r="S495" s="70" t="str" cm="1">
        <f t="array" ref="S495">_xlfn.TEXTJOIN(",",TRUE,LEFT(TRIM(_xlfn.TEXTSPLIT(us_core_reqs[[#This Row],[reference]],",")),FIND(".html",TRIM(_xlfn.TEXTSPLIT(us_core_reqs[[#This Row],[reference]],",")))-1))</f>
        <v>StructureDefinition-us-core-provenance</v>
      </c>
      <c r="T495" s="70" t="str" cm="1">
        <f t="array" ref="T495">_xlfn.TEXTJOIN(",",TRUE,MID(TRIM(_xlfn.TEXTSPLIT(us_core_reqs[[#This Row],[reference]],",")),FIND("#",TRIM(_xlfn.TEXTSPLIT(us_core_reqs[[#This Row],[reference]],","))&amp;"#")+1,1000))</f>
        <v>profile-specific-implementation-guidance</v>
      </c>
      <c r="U495"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t="s">
        <v>29</v>
      </c>
      <c r="W495" t="s">
        <v>1171</v>
      </c>
      <c r="X495" t="s">
        <v>1171</v>
      </c>
      <c r="Y495" t="s">
        <v>1171</v>
      </c>
      <c r="Z495" t="s">
        <v>1171</v>
      </c>
      <c r="AA495" t="s">
        <v>1171</v>
      </c>
      <c r="AB495" t="s">
        <v>1171</v>
      </c>
      <c r="AC495" t="s">
        <v>1171</v>
      </c>
      <c r="AD495" t="s">
        <v>1140</v>
      </c>
      <c r="AE495" t="s">
        <v>1171</v>
      </c>
    </row>
    <row r="496" spans="1:31" ht="35" thickBot="1" x14ac:dyDescent="0.25">
      <c r="A496" t="s">
        <v>1171</v>
      </c>
      <c r="B496" t="s">
        <v>1668</v>
      </c>
      <c r="C496" t="str">
        <f>"CONF-"&amp;TEXT(us_core_reqs[[#This Row],[ID*]], "0000")</f>
        <v>CONF-0495</v>
      </c>
      <c r="D496" s="11" t="s">
        <v>2264</v>
      </c>
      <c r="E496" s="73" t="str" cm="1">
        <f t="array" ref="E496">_xlfn.TEXTJOIN(", ", TRUE, _xlfn.TEXTAFTER(_xlfn.TEXTSPLIT(us_core_reqs[[#This Row],[URL*]], ", "), "/", -1))</f>
        <v>StructureDefinition-us-core-provenance.html#profile-specific-implementation-guidance</v>
      </c>
      <c r="F496" s="11" t="s">
        <v>2058</v>
      </c>
      <c r="G496" t="s">
        <v>64</v>
      </c>
      <c r="H496" cm="1">
        <f t="array" ref="H496">_xlfn.SWITCH(G496, "SHALL", 1, "SHOULD", 3, "MAY", 5, "SHOULD-NOT", 4, "SHALL-NOT", 2, "DEPRECATED", 6, 99)</f>
        <v>6</v>
      </c>
      <c r="J496" t="s">
        <v>30</v>
      </c>
      <c r="K496" t="s">
        <v>1171</v>
      </c>
      <c r="L496" t="s">
        <v>1171</v>
      </c>
      <c r="M496" t="s">
        <v>1173</v>
      </c>
      <c r="N496" t="s">
        <v>1171</v>
      </c>
      <c r="O496" t="s">
        <v>1171</v>
      </c>
      <c r="P496" t="s">
        <v>1171</v>
      </c>
      <c r="Q496" t="s">
        <v>1171</v>
      </c>
      <c r="R496" t="s">
        <v>1171</v>
      </c>
      <c r="S496" s="70" t="str" cm="1">
        <f t="array" ref="S496">_xlfn.TEXTJOIN(",",TRUE,LEFT(TRIM(_xlfn.TEXTSPLIT(us_core_reqs[[#This Row],[reference]],",")),FIND(".html",TRIM(_xlfn.TEXTSPLIT(us_core_reqs[[#This Row],[reference]],",")))-1))</f>
        <v>StructureDefinition-us-core-provenance</v>
      </c>
      <c r="T496" s="70" t="str" cm="1">
        <f t="array" ref="T496">_xlfn.TEXTJOIN(",",TRUE,MID(TRIM(_xlfn.TEXTSPLIT(us_core_reqs[[#This Row],[reference]],",")),FIND("#",TRIM(_xlfn.TEXTSPLIT(us_core_reqs[[#This Row],[reference]],","))&amp;"#")+1,1000))</f>
        <v>profile-specific-implementation-guidance</v>
      </c>
      <c r="U496"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t="s">
        <v>29</v>
      </c>
      <c r="W496" t="s">
        <v>1171</v>
      </c>
      <c r="X496" t="s">
        <v>1171</v>
      </c>
      <c r="Y496" t="s">
        <v>1171</v>
      </c>
      <c r="Z496" t="s">
        <v>1171</v>
      </c>
      <c r="AA496" t="s">
        <v>1171</v>
      </c>
      <c r="AB496" t="s">
        <v>1171</v>
      </c>
      <c r="AC496" t="s">
        <v>1171</v>
      </c>
      <c r="AD496" t="s">
        <v>1140</v>
      </c>
      <c r="AE496" t="s">
        <v>1171</v>
      </c>
    </row>
    <row r="497" spans="1:31" ht="35" thickBot="1" x14ac:dyDescent="0.25">
      <c r="A497" t="s">
        <v>1171</v>
      </c>
      <c r="B497" t="s">
        <v>1669</v>
      </c>
      <c r="C497" t="str">
        <f>"CONF-"&amp;TEXT(us_core_reqs[[#This Row],[ID*]], "0000")</f>
        <v>CONF-0496</v>
      </c>
      <c r="D497" s="11" t="s">
        <v>2264</v>
      </c>
      <c r="E497" s="73" t="str" cm="1">
        <f t="array" ref="E497">_xlfn.TEXTJOIN(", ", TRUE, _xlfn.TEXTAFTER(_xlfn.TEXTSPLIT(us_core_reqs[[#This Row],[URL*]], ", "), "/", -1))</f>
        <v>StructureDefinition-us-core-provenance.html#profile-specific-implementation-guidance</v>
      </c>
      <c r="F497" s="11" t="s">
        <v>2059</v>
      </c>
      <c r="G497" t="s">
        <v>64</v>
      </c>
      <c r="H497" cm="1">
        <f t="array" ref="H497">_xlfn.SWITCH(G497, "SHALL", 1, "SHOULD", 3, "MAY", 5, "SHOULD-NOT", 4, "SHALL-NOT", 2, "DEPRECATED", 6, 99)</f>
        <v>6</v>
      </c>
      <c r="J497" t="s">
        <v>30</v>
      </c>
      <c r="K497" t="s">
        <v>1171</v>
      </c>
      <c r="L497" t="s">
        <v>1171</v>
      </c>
      <c r="M497" t="s">
        <v>1173</v>
      </c>
      <c r="N497" t="s">
        <v>1171</v>
      </c>
      <c r="O497" t="s">
        <v>1171</v>
      </c>
      <c r="P497" t="s">
        <v>1171</v>
      </c>
      <c r="Q497" t="s">
        <v>1171</v>
      </c>
      <c r="R497" t="s">
        <v>1171</v>
      </c>
      <c r="S497" s="70" t="str" cm="1">
        <f t="array" ref="S497">_xlfn.TEXTJOIN(",",TRUE,LEFT(TRIM(_xlfn.TEXTSPLIT(us_core_reqs[[#This Row],[reference]],",")),FIND(".html",TRIM(_xlfn.TEXTSPLIT(us_core_reqs[[#This Row],[reference]],",")))-1))</f>
        <v>StructureDefinition-us-core-provenance</v>
      </c>
      <c r="T497" s="70" t="str" cm="1">
        <f t="array" ref="T497">_xlfn.TEXTJOIN(",",TRUE,MID(TRIM(_xlfn.TEXTSPLIT(us_core_reqs[[#This Row],[reference]],",")),FIND("#",TRIM(_xlfn.TEXTSPLIT(us_core_reqs[[#This Row],[reference]],","))&amp;"#")+1,1000))</f>
        <v>profile-specific-implementation-guidance</v>
      </c>
      <c r="U497"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t="s">
        <v>29</v>
      </c>
      <c r="W497" t="s">
        <v>1171</v>
      </c>
      <c r="X497" t="s">
        <v>1171</v>
      </c>
      <c r="Y497" t="s">
        <v>1171</v>
      </c>
      <c r="Z497" t="s">
        <v>1171</v>
      </c>
      <c r="AA497" t="s">
        <v>1171</v>
      </c>
      <c r="AB497" t="s">
        <v>1171</v>
      </c>
      <c r="AC497" t="s">
        <v>1171</v>
      </c>
      <c r="AD497" t="s">
        <v>1140</v>
      </c>
      <c r="AE497" t="s">
        <v>1171</v>
      </c>
    </row>
    <row r="498" spans="1:31" ht="35" thickBot="1" x14ac:dyDescent="0.25">
      <c r="A498" t="s">
        <v>1171</v>
      </c>
      <c r="B498" t="s">
        <v>1670</v>
      </c>
      <c r="C498" t="str">
        <f>"CONF-"&amp;TEXT(us_core_reqs[[#This Row],[ID*]], "0000")</f>
        <v>CONF-0497</v>
      </c>
      <c r="D498" s="11" t="s">
        <v>2264</v>
      </c>
      <c r="E498" s="73" t="str" cm="1">
        <f t="array" ref="E498">_xlfn.TEXTJOIN(", ", TRUE, _xlfn.TEXTAFTER(_xlfn.TEXTSPLIT(us_core_reqs[[#This Row],[URL*]], ", "), "/", -1))</f>
        <v>StructureDefinition-us-core-provenance.html#profile-specific-implementation-guidance</v>
      </c>
      <c r="F498" s="11" t="s">
        <v>2060</v>
      </c>
      <c r="G498" t="s">
        <v>64</v>
      </c>
      <c r="H498" cm="1">
        <f t="array" ref="H498">_xlfn.SWITCH(G498, "SHALL", 1, "SHOULD", 3, "MAY", 5, "SHOULD-NOT", 4, "SHALL-NOT", 2, "DEPRECATED", 6, 99)</f>
        <v>6</v>
      </c>
      <c r="J498" t="s">
        <v>30</v>
      </c>
      <c r="K498" t="s">
        <v>1171</v>
      </c>
      <c r="L498" t="s">
        <v>1171</v>
      </c>
      <c r="M498" t="s">
        <v>1173</v>
      </c>
      <c r="N498" t="s">
        <v>1171</v>
      </c>
      <c r="O498" t="s">
        <v>1171</v>
      </c>
      <c r="P498" t="s">
        <v>1171</v>
      </c>
      <c r="Q498" t="s">
        <v>1171</v>
      </c>
      <c r="R498" t="s">
        <v>1171</v>
      </c>
      <c r="S498" s="70" t="str" cm="1">
        <f t="array" ref="S498">_xlfn.TEXTJOIN(",",TRUE,LEFT(TRIM(_xlfn.TEXTSPLIT(us_core_reqs[[#This Row],[reference]],",")),FIND(".html",TRIM(_xlfn.TEXTSPLIT(us_core_reqs[[#This Row],[reference]],",")))-1))</f>
        <v>StructureDefinition-us-core-provenance</v>
      </c>
      <c r="T498" s="70" t="str" cm="1">
        <f t="array" ref="T498">_xlfn.TEXTJOIN(",",TRUE,MID(TRIM(_xlfn.TEXTSPLIT(us_core_reqs[[#This Row],[reference]],",")),FIND("#",TRIM(_xlfn.TEXTSPLIT(us_core_reqs[[#This Row],[reference]],","))&amp;"#")+1,1000))</f>
        <v>profile-specific-implementation-guidance</v>
      </c>
      <c r="U498"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t="s">
        <v>29</v>
      </c>
      <c r="W498" t="s">
        <v>1171</v>
      </c>
      <c r="X498" t="s">
        <v>1171</v>
      </c>
      <c r="Y498" t="s">
        <v>1171</v>
      </c>
      <c r="Z498" t="s">
        <v>1171</v>
      </c>
      <c r="AA498" t="s">
        <v>1171</v>
      </c>
      <c r="AB498" t="s">
        <v>1171</v>
      </c>
      <c r="AC498" t="s">
        <v>1171</v>
      </c>
      <c r="AD498" t="s">
        <v>1140</v>
      </c>
      <c r="AE498" t="s">
        <v>1171</v>
      </c>
    </row>
    <row r="499" spans="1:31" ht="35" thickBot="1" x14ac:dyDescent="0.25">
      <c r="A499" t="s">
        <v>1171</v>
      </c>
      <c r="B499" t="s">
        <v>1671</v>
      </c>
      <c r="C499" t="str">
        <f>"CONF-"&amp;TEXT(us_core_reqs[[#This Row],[ID*]], "0000")</f>
        <v>CONF-0498</v>
      </c>
      <c r="D499" s="11" t="s">
        <v>2264</v>
      </c>
      <c r="E499" s="73" t="str" cm="1">
        <f t="array" ref="E499">_xlfn.TEXTJOIN(", ", TRUE, _xlfn.TEXTAFTER(_xlfn.TEXTSPLIT(us_core_reqs[[#This Row],[URL*]], ", "), "/", -1))</f>
        <v>StructureDefinition-us-core-provenance.html#profile-specific-implementation-guidance</v>
      </c>
      <c r="F499" s="11" t="s">
        <v>2061</v>
      </c>
      <c r="G499" t="s">
        <v>64</v>
      </c>
      <c r="H499" cm="1">
        <f t="array" ref="H499">_xlfn.SWITCH(G499, "SHALL", 1, "SHOULD", 3, "MAY", 5, "SHOULD-NOT", 4, "SHALL-NOT", 2, "DEPRECATED", 6, 99)</f>
        <v>6</v>
      </c>
      <c r="J499" t="s">
        <v>30</v>
      </c>
      <c r="K499" t="s">
        <v>1171</v>
      </c>
      <c r="L499" t="s">
        <v>1171</v>
      </c>
      <c r="M499" t="s">
        <v>1173</v>
      </c>
      <c r="N499" t="s">
        <v>1171</v>
      </c>
      <c r="O499" t="s">
        <v>1171</v>
      </c>
      <c r="P499" t="s">
        <v>1171</v>
      </c>
      <c r="Q499" t="s">
        <v>1171</v>
      </c>
      <c r="R499" t="s">
        <v>1171</v>
      </c>
      <c r="S499" s="70" t="str" cm="1">
        <f t="array" ref="S499">_xlfn.TEXTJOIN(",",TRUE,LEFT(TRIM(_xlfn.TEXTSPLIT(us_core_reqs[[#This Row],[reference]],",")),FIND(".html",TRIM(_xlfn.TEXTSPLIT(us_core_reqs[[#This Row],[reference]],",")))-1))</f>
        <v>StructureDefinition-us-core-provenance</v>
      </c>
      <c r="T499" s="70" t="str" cm="1">
        <f t="array" ref="T499">_xlfn.TEXTJOIN(",",TRUE,MID(TRIM(_xlfn.TEXTSPLIT(us_core_reqs[[#This Row],[reference]],",")),FIND("#",TRIM(_xlfn.TEXTSPLIT(us_core_reqs[[#This Row],[reference]],","))&amp;"#")+1,1000))</f>
        <v>profile-specific-implementation-guidance</v>
      </c>
      <c r="U499"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t="s">
        <v>29</v>
      </c>
      <c r="W499" t="s">
        <v>1171</v>
      </c>
      <c r="X499" t="s">
        <v>1171</v>
      </c>
      <c r="Y499" t="s">
        <v>1171</v>
      </c>
      <c r="Z499" t="s">
        <v>1171</v>
      </c>
      <c r="AA499" t="s">
        <v>1171</v>
      </c>
      <c r="AB499" t="s">
        <v>1171</v>
      </c>
      <c r="AC499" t="s">
        <v>1171</v>
      </c>
      <c r="AD499" t="s">
        <v>1140</v>
      </c>
      <c r="AE499" t="s">
        <v>1171</v>
      </c>
    </row>
    <row r="500" spans="1:31" ht="35" thickBot="1" x14ac:dyDescent="0.25">
      <c r="A500" t="s">
        <v>1171</v>
      </c>
      <c r="B500" t="s">
        <v>1672</v>
      </c>
      <c r="C500" t="str">
        <f>"CONF-"&amp;TEXT(us_core_reqs[[#This Row],[ID*]], "0000")</f>
        <v>CONF-0499</v>
      </c>
      <c r="D500" s="11" t="s">
        <v>2264</v>
      </c>
      <c r="E500" s="73" t="str" cm="1">
        <f t="array" ref="E500">_xlfn.TEXTJOIN(", ", TRUE, _xlfn.TEXTAFTER(_xlfn.TEXTSPLIT(us_core_reqs[[#This Row],[URL*]], ", "), "/", -1))</f>
        <v>StructureDefinition-us-core-provenance.html#profile-specific-implementation-guidance</v>
      </c>
      <c r="F500" s="11" t="s">
        <v>2062</v>
      </c>
      <c r="G500" t="s">
        <v>64</v>
      </c>
      <c r="H500" cm="1">
        <f t="array" ref="H500">_xlfn.SWITCH(G500, "SHALL", 1, "SHOULD", 3, "MAY", 5, "SHOULD-NOT", 4, "SHALL-NOT", 2, "DEPRECATED", 6, 99)</f>
        <v>6</v>
      </c>
      <c r="J500" t="s">
        <v>30</v>
      </c>
      <c r="K500" t="s">
        <v>1171</v>
      </c>
      <c r="L500" t="s">
        <v>1171</v>
      </c>
      <c r="M500" t="s">
        <v>1173</v>
      </c>
      <c r="N500" t="s">
        <v>1171</v>
      </c>
      <c r="O500" t="s">
        <v>1171</v>
      </c>
      <c r="P500" t="s">
        <v>1171</v>
      </c>
      <c r="Q500" t="s">
        <v>1171</v>
      </c>
      <c r="R500" t="s">
        <v>1171</v>
      </c>
      <c r="S500" s="70" t="str" cm="1">
        <f t="array" ref="S500">_xlfn.TEXTJOIN(",",TRUE,LEFT(TRIM(_xlfn.TEXTSPLIT(us_core_reqs[[#This Row],[reference]],",")),FIND(".html",TRIM(_xlfn.TEXTSPLIT(us_core_reqs[[#This Row],[reference]],",")))-1))</f>
        <v>StructureDefinition-us-core-provenance</v>
      </c>
      <c r="T500" s="70" t="str" cm="1">
        <f t="array" ref="T500">_xlfn.TEXTJOIN(",",TRUE,MID(TRIM(_xlfn.TEXTSPLIT(us_core_reqs[[#This Row],[reference]],",")),FIND("#",TRIM(_xlfn.TEXTSPLIT(us_core_reqs[[#This Row],[reference]],","))&amp;"#")+1,1000))</f>
        <v>profile-specific-implementation-guidance</v>
      </c>
      <c r="U500"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t="s">
        <v>29</v>
      </c>
      <c r="W500" t="s">
        <v>1171</v>
      </c>
      <c r="X500" t="s">
        <v>1171</v>
      </c>
      <c r="Y500" t="s">
        <v>1171</v>
      </c>
      <c r="Z500" t="s">
        <v>1171</v>
      </c>
      <c r="AA500" t="s">
        <v>1171</v>
      </c>
      <c r="AB500" t="s">
        <v>1171</v>
      </c>
      <c r="AC500" t="s">
        <v>1171</v>
      </c>
      <c r="AD500" t="s">
        <v>1140</v>
      </c>
      <c r="AE500" t="s">
        <v>1171</v>
      </c>
    </row>
    <row r="501" spans="1:31" ht="35" thickBot="1" x14ac:dyDescent="0.25">
      <c r="A501" t="s">
        <v>1171</v>
      </c>
      <c r="B501" t="s">
        <v>1673</v>
      </c>
      <c r="C501" t="str">
        <f>"CONF-"&amp;TEXT(us_core_reqs[[#This Row],[ID*]], "0000")</f>
        <v>CONF-0500</v>
      </c>
      <c r="D501" s="11" t="s">
        <v>2264</v>
      </c>
      <c r="E501" s="73" t="str" cm="1">
        <f t="array" ref="E501">_xlfn.TEXTJOIN(", ", TRUE, _xlfn.TEXTAFTER(_xlfn.TEXTSPLIT(us_core_reqs[[#This Row],[URL*]], ", "), "/", -1))</f>
        <v>StructureDefinition-us-core-provenance.html#profile-specific-implementation-guidance</v>
      </c>
      <c r="F501" s="11" t="s">
        <v>2063</v>
      </c>
      <c r="G501" t="s">
        <v>64</v>
      </c>
      <c r="H501" cm="1">
        <f t="array" ref="H501">_xlfn.SWITCH(G501, "SHALL", 1, "SHOULD", 3, "MAY", 5, "SHOULD-NOT", 4, "SHALL-NOT", 2, "DEPRECATED", 6, 99)</f>
        <v>6</v>
      </c>
      <c r="J501" t="s">
        <v>30</v>
      </c>
      <c r="K501" t="s">
        <v>1171</v>
      </c>
      <c r="L501" t="s">
        <v>1171</v>
      </c>
      <c r="M501" t="s">
        <v>1173</v>
      </c>
      <c r="N501" t="s">
        <v>1171</v>
      </c>
      <c r="O501" t="s">
        <v>1171</v>
      </c>
      <c r="P501" t="s">
        <v>1171</v>
      </c>
      <c r="Q501" t="s">
        <v>1171</v>
      </c>
      <c r="R501" t="s">
        <v>1171</v>
      </c>
      <c r="S501" s="70" t="str" cm="1">
        <f t="array" ref="S501">_xlfn.TEXTJOIN(",",TRUE,LEFT(TRIM(_xlfn.TEXTSPLIT(us_core_reqs[[#This Row],[reference]],",")),FIND(".html",TRIM(_xlfn.TEXTSPLIT(us_core_reqs[[#This Row],[reference]],",")))-1))</f>
        <v>StructureDefinition-us-core-provenance</v>
      </c>
      <c r="T501" s="70" t="str" cm="1">
        <f t="array" ref="T501">_xlfn.TEXTJOIN(",",TRUE,MID(TRIM(_xlfn.TEXTSPLIT(us_core_reqs[[#This Row],[reference]],",")),FIND("#",TRIM(_xlfn.TEXTSPLIT(us_core_reqs[[#This Row],[reference]],","))&amp;"#")+1,1000))</f>
        <v>profile-specific-implementation-guidance</v>
      </c>
      <c r="U501"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t="s">
        <v>29</v>
      </c>
      <c r="W501" t="s">
        <v>1171</v>
      </c>
      <c r="X501" t="s">
        <v>1171</v>
      </c>
      <c r="Y501" t="s">
        <v>1171</v>
      </c>
      <c r="Z501" t="s">
        <v>1171</v>
      </c>
      <c r="AA501" t="s">
        <v>1171</v>
      </c>
      <c r="AB501" t="s">
        <v>1171</v>
      </c>
      <c r="AC501" t="s">
        <v>1171</v>
      </c>
      <c r="AD501" t="s">
        <v>1140</v>
      </c>
      <c r="AE501" t="s">
        <v>1171</v>
      </c>
    </row>
    <row r="502" spans="1:31" ht="35" thickBot="1" x14ac:dyDescent="0.25">
      <c r="A502" t="s">
        <v>1171</v>
      </c>
      <c r="B502" t="s">
        <v>1674</v>
      </c>
      <c r="C502" t="str">
        <f>"CONF-"&amp;TEXT(us_core_reqs[[#This Row],[ID*]], "0000")</f>
        <v>CONF-0501</v>
      </c>
      <c r="D502" s="11" t="s">
        <v>2264</v>
      </c>
      <c r="E502" s="73" t="str" cm="1">
        <f t="array" ref="E502">_xlfn.TEXTJOIN(", ", TRUE, _xlfn.TEXTAFTER(_xlfn.TEXTSPLIT(us_core_reqs[[#This Row],[URL*]], ", "), "/", -1))</f>
        <v>StructureDefinition-us-core-provenance.html#profile-specific-implementation-guidance</v>
      </c>
      <c r="F502" s="11" t="s">
        <v>2064</v>
      </c>
      <c r="G502" t="s">
        <v>64</v>
      </c>
      <c r="H502" cm="1">
        <f t="array" ref="H502">_xlfn.SWITCH(G502, "SHALL", 1, "SHOULD", 3, "MAY", 5, "SHOULD-NOT", 4, "SHALL-NOT", 2, "DEPRECATED", 6, 99)</f>
        <v>6</v>
      </c>
      <c r="J502" t="s">
        <v>30</v>
      </c>
      <c r="K502" t="s">
        <v>1171</v>
      </c>
      <c r="L502" t="s">
        <v>1171</v>
      </c>
      <c r="M502" t="s">
        <v>1173</v>
      </c>
      <c r="N502" t="s">
        <v>1171</v>
      </c>
      <c r="O502" t="s">
        <v>1171</v>
      </c>
      <c r="P502" t="s">
        <v>1171</v>
      </c>
      <c r="Q502" t="s">
        <v>1171</v>
      </c>
      <c r="R502" t="s">
        <v>1171</v>
      </c>
      <c r="S502" s="70" t="str" cm="1">
        <f t="array" ref="S502">_xlfn.TEXTJOIN(",",TRUE,LEFT(TRIM(_xlfn.TEXTSPLIT(us_core_reqs[[#This Row],[reference]],",")),FIND(".html",TRIM(_xlfn.TEXTSPLIT(us_core_reqs[[#This Row],[reference]],",")))-1))</f>
        <v>StructureDefinition-us-core-provenance</v>
      </c>
      <c r="T502" s="70" t="str" cm="1">
        <f t="array" ref="T502">_xlfn.TEXTJOIN(",",TRUE,MID(TRIM(_xlfn.TEXTSPLIT(us_core_reqs[[#This Row],[reference]],",")),FIND("#",TRIM(_xlfn.TEXTSPLIT(us_core_reqs[[#This Row],[reference]],","))&amp;"#")+1,1000))</f>
        <v>profile-specific-implementation-guidance</v>
      </c>
      <c r="U502"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t="s">
        <v>29</v>
      </c>
      <c r="W502" t="s">
        <v>1171</v>
      </c>
      <c r="X502" t="s">
        <v>1171</v>
      </c>
      <c r="Y502" t="s">
        <v>1171</v>
      </c>
      <c r="Z502" t="s">
        <v>1171</v>
      </c>
      <c r="AA502" t="s">
        <v>1171</v>
      </c>
      <c r="AB502" t="s">
        <v>1171</v>
      </c>
      <c r="AC502" t="s">
        <v>1171</v>
      </c>
      <c r="AD502" t="s">
        <v>1140</v>
      </c>
      <c r="AE502" t="s">
        <v>1171</v>
      </c>
    </row>
    <row r="503" spans="1:31" ht="35" thickBot="1" x14ac:dyDescent="0.25">
      <c r="A503" t="s">
        <v>1171</v>
      </c>
      <c r="B503" t="s">
        <v>1675</v>
      </c>
      <c r="C503" t="str">
        <f>"CONF-"&amp;TEXT(us_core_reqs[[#This Row],[ID*]], "0000")</f>
        <v>CONF-0502</v>
      </c>
      <c r="D503" s="11" t="s">
        <v>2264</v>
      </c>
      <c r="E503" s="73" t="str" cm="1">
        <f t="array" ref="E503">_xlfn.TEXTJOIN(", ", TRUE, _xlfn.TEXTAFTER(_xlfn.TEXTSPLIT(us_core_reqs[[#This Row],[URL*]], ", "), "/", -1))</f>
        <v>StructureDefinition-us-core-provenance.html#profile-specific-implementation-guidance</v>
      </c>
      <c r="F503" s="11" t="s">
        <v>2065</v>
      </c>
      <c r="G503" t="s">
        <v>64</v>
      </c>
      <c r="H503" cm="1">
        <f t="array" ref="H503">_xlfn.SWITCH(G503, "SHALL", 1, "SHOULD", 3, "MAY", 5, "SHOULD-NOT", 4, "SHALL-NOT", 2, "DEPRECATED", 6, 99)</f>
        <v>6</v>
      </c>
      <c r="J503" t="s">
        <v>30</v>
      </c>
      <c r="K503" t="s">
        <v>1171</v>
      </c>
      <c r="L503" t="s">
        <v>1171</v>
      </c>
      <c r="M503" t="s">
        <v>1173</v>
      </c>
      <c r="N503" t="s">
        <v>1171</v>
      </c>
      <c r="O503" t="s">
        <v>1171</v>
      </c>
      <c r="P503" t="s">
        <v>1171</v>
      </c>
      <c r="Q503" t="s">
        <v>1171</v>
      </c>
      <c r="R503" t="s">
        <v>1171</v>
      </c>
      <c r="S503" s="70" t="str" cm="1">
        <f t="array" ref="S503">_xlfn.TEXTJOIN(",",TRUE,LEFT(TRIM(_xlfn.TEXTSPLIT(us_core_reqs[[#This Row],[reference]],",")),FIND(".html",TRIM(_xlfn.TEXTSPLIT(us_core_reqs[[#This Row],[reference]],",")))-1))</f>
        <v>StructureDefinition-us-core-provenance</v>
      </c>
      <c r="T503" s="70" t="str" cm="1">
        <f t="array" ref="T503">_xlfn.TEXTJOIN(",",TRUE,MID(TRIM(_xlfn.TEXTSPLIT(us_core_reqs[[#This Row],[reference]],",")),FIND("#",TRIM(_xlfn.TEXTSPLIT(us_core_reqs[[#This Row],[reference]],","))&amp;"#")+1,1000))</f>
        <v>profile-specific-implementation-guidance</v>
      </c>
      <c r="U503"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t="s">
        <v>29</v>
      </c>
      <c r="W503" t="s">
        <v>1171</v>
      </c>
      <c r="X503" t="s">
        <v>1171</v>
      </c>
      <c r="Y503" t="s">
        <v>1171</v>
      </c>
      <c r="Z503" t="s">
        <v>1171</v>
      </c>
      <c r="AA503" t="s">
        <v>1171</v>
      </c>
      <c r="AB503" t="s">
        <v>1171</v>
      </c>
      <c r="AC503" t="s">
        <v>1171</v>
      </c>
      <c r="AD503" t="s">
        <v>1140</v>
      </c>
      <c r="AE503" t="s">
        <v>1171</v>
      </c>
    </row>
    <row r="504" spans="1:31" ht="35" thickBot="1" x14ac:dyDescent="0.25">
      <c r="A504" t="s">
        <v>1171</v>
      </c>
      <c r="B504" t="s">
        <v>1676</v>
      </c>
      <c r="C504" t="str">
        <f>"CONF-"&amp;TEXT(us_core_reqs[[#This Row],[ID*]], "0000")</f>
        <v>CONF-0503</v>
      </c>
      <c r="D504" s="11" t="s">
        <v>2264</v>
      </c>
      <c r="E504" s="73" t="str" cm="1">
        <f t="array" ref="E504">_xlfn.TEXTJOIN(", ", TRUE, _xlfn.TEXTAFTER(_xlfn.TEXTSPLIT(us_core_reqs[[#This Row],[URL*]], ", "), "/", -1))</f>
        <v>StructureDefinition-us-core-provenance.html#profile-specific-implementation-guidance</v>
      </c>
      <c r="F504" s="11" t="s">
        <v>2066</v>
      </c>
      <c r="G504" t="s">
        <v>64</v>
      </c>
      <c r="H504" cm="1">
        <f t="array" ref="H504">_xlfn.SWITCH(G504, "SHALL", 1, "SHOULD", 3, "MAY", 5, "SHOULD-NOT", 4, "SHALL-NOT", 2, "DEPRECATED", 6, 99)</f>
        <v>6</v>
      </c>
      <c r="J504" t="s">
        <v>30</v>
      </c>
      <c r="K504" t="s">
        <v>1171</v>
      </c>
      <c r="L504" t="s">
        <v>1171</v>
      </c>
      <c r="M504" t="s">
        <v>1173</v>
      </c>
      <c r="N504" t="s">
        <v>1171</v>
      </c>
      <c r="O504" t="s">
        <v>1171</v>
      </c>
      <c r="P504" t="s">
        <v>1171</v>
      </c>
      <c r="Q504" t="s">
        <v>1171</v>
      </c>
      <c r="R504" t="s">
        <v>1171</v>
      </c>
      <c r="S504" s="70" t="str" cm="1">
        <f t="array" ref="S504">_xlfn.TEXTJOIN(",",TRUE,LEFT(TRIM(_xlfn.TEXTSPLIT(us_core_reqs[[#This Row],[reference]],",")),FIND(".html",TRIM(_xlfn.TEXTSPLIT(us_core_reqs[[#This Row],[reference]],",")))-1))</f>
        <v>StructureDefinition-us-core-provenance</v>
      </c>
      <c r="T504" s="70" t="str" cm="1">
        <f t="array" ref="T504">_xlfn.TEXTJOIN(",",TRUE,MID(TRIM(_xlfn.TEXTSPLIT(us_core_reqs[[#This Row],[reference]],",")),FIND("#",TRIM(_xlfn.TEXTSPLIT(us_core_reqs[[#This Row],[reference]],","))&amp;"#")+1,1000))</f>
        <v>profile-specific-implementation-guidance</v>
      </c>
      <c r="U504"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t="s">
        <v>29</v>
      </c>
      <c r="W504" t="s">
        <v>1171</v>
      </c>
      <c r="X504" t="s">
        <v>1171</v>
      </c>
      <c r="Y504" t="s">
        <v>1171</v>
      </c>
      <c r="Z504" t="s">
        <v>1171</v>
      </c>
      <c r="AA504" t="s">
        <v>1171</v>
      </c>
      <c r="AB504" t="s">
        <v>1171</v>
      </c>
      <c r="AC504" t="s">
        <v>1171</v>
      </c>
      <c r="AD504" t="s">
        <v>1140</v>
      </c>
      <c r="AE504" t="s">
        <v>1171</v>
      </c>
    </row>
    <row r="505" spans="1:31" ht="35" thickBot="1" x14ac:dyDescent="0.25">
      <c r="A505" t="s">
        <v>1171</v>
      </c>
      <c r="B505" t="s">
        <v>1677</v>
      </c>
      <c r="C505" t="str">
        <f>"CONF-"&amp;TEXT(us_core_reqs[[#This Row],[ID*]], "0000")</f>
        <v>CONF-0504</v>
      </c>
      <c r="D505" s="11" t="s">
        <v>2264</v>
      </c>
      <c r="E505" s="73" t="str" cm="1">
        <f t="array" ref="E505">_xlfn.TEXTJOIN(", ", TRUE, _xlfn.TEXTAFTER(_xlfn.TEXTSPLIT(us_core_reqs[[#This Row],[URL*]], ", "), "/", -1))</f>
        <v>StructureDefinition-us-core-provenance.html#profile-specific-implementation-guidance</v>
      </c>
      <c r="F505" s="11" t="s">
        <v>2067</v>
      </c>
      <c r="G505" t="s">
        <v>64</v>
      </c>
      <c r="H505" cm="1">
        <f t="array" ref="H505">_xlfn.SWITCH(G505, "SHALL", 1, "SHOULD", 3, "MAY", 5, "SHOULD-NOT", 4, "SHALL-NOT", 2, "DEPRECATED", 6, 99)</f>
        <v>6</v>
      </c>
      <c r="J505" t="s">
        <v>30</v>
      </c>
      <c r="K505" t="s">
        <v>1171</v>
      </c>
      <c r="L505" t="s">
        <v>1171</v>
      </c>
      <c r="M505" t="s">
        <v>1173</v>
      </c>
      <c r="N505" t="s">
        <v>1171</v>
      </c>
      <c r="O505" t="s">
        <v>1171</v>
      </c>
      <c r="P505" t="s">
        <v>1171</v>
      </c>
      <c r="Q505" t="s">
        <v>1171</v>
      </c>
      <c r="R505" t="s">
        <v>1171</v>
      </c>
      <c r="S505" s="70" t="str" cm="1">
        <f t="array" ref="S505">_xlfn.TEXTJOIN(",",TRUE,LEFT(TRIM(_xlfn.TEXTSPLIT(us_core_reqs[[#This Row],[reference]],",")),FIND(".html",TRIM(_xlfn.TEXTSPLIT(us_core_reqs[[#This Row],[reference]],",")))-1))</f>
        <v>StructureDefinition-us-core-provenance</v>
      </c>
      <c r="T505" s="70" t="str" cm="1">
        <f t="array" ref="T505">_xlfn.TEXTJOIN(",",TRUE,MID(TRIM(_xlfn.TEXTSPLIT(us_core_reqs[[#This Row],[reference]],",")),FIND("#",TRIM(_xlfn.TEXTSPLIT(us_core_reqs[[#This Row],[reference]],","))&amp;"#")+1,1000))</f>
        <v>profile-specific-implementation-guidance</v>
      </c>
      <c r="U505"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t="s">
        <v>29</v>
      </c>
      <c r="W505" t="s">
        <v>1171</v>
      </c>
      <c r="X505" t="s">
        <v>1171</v>
      </c>
      <c r="Y505" t="s">
        <v>1171</v>
      </c>
      <c r="Z505" t="s">
        <v>1171</v>
      </c>
      <c r="AA505" t="s">
        <v>1171</v>
      </c>
      <c r="AB505" t="s">
        <v>1171</v>
      </c>
      <c r="AC505" t="s">
        <v>1171</v>
      </c>
      <c r="AD505" t="s">
        <v>1140</v>
      </c>
      <c r="AE505" t="s">
        <v>1171</v>
      </c>
    </row>
    <row r="506" spans="1:31" ht="35" thickBot="1" x14ac:dyDescent="0.25">
      <c r="A506" t="s">
        <v>1171</v>
      </c>
      <c r="B506" t="s">
        <v>1678</v>
      </c>
      <c r="C506" t="str">
        <f>"CONF-"&amp;TEXT(us_core_reqs[[#This Row],[ID*]], "0000")</f>
        <v>CONF-0505</v>
      </c>
      <c r="D506" s="11" t="s">
        <v>2264</v>
      </c>
      <c r="E506" s="73" t="str" cm="1">
        <f t="array" ref="E506">_xlfn.TEXTJOIN(", ", TRUE, _xlfn.TEXTAFTER(_xlfn.TEXTSPLIT(us_core_reqs[[#This Row],[URL*]], ", "), "/", -1))</f>
        <v>StructureDefinition-us-core-provenance.html#profile-specific-implementation-guidance</v>
      </c>
      <c r="F506" s="11" t="s">
        <v>2068</v>
      </c>
      <c r="G506" t="s">
        <v>64</v>
      </c>
      <c r="H506" cm="1">
        <f t="array" ref="H506">_xlfn.SWITCH(G506, "SHALL", 1, "SHOULD", 3, "MAY", 5, "SHOULD-NOT", 4, "SHALL-NOT", 2, "DEPRECATED", 6, 99)</f>
        <v>6</v>
      </c>
      <c r="J506" t="s">
        <v>30</v>
      </c>
      <c r="K506" t="s">
        <v>1171</v>
      </c>
      <c r="L506" t="s">
        <v>1171</v>
      </c>
      <c r="M506" t="s">
        <v>1173</v>
      </c>
      <c r="N506" t="s">
        <v>1171</v>
      </c>
      <c r="O506" t="s">
        <v>1171</v>
      </c>
      <c r="P506" t="s">
        <v>1171</v>
      </c>
      <c r="Q506" t="s">
        <v>1171</v>
      </c>
      <c r="R506" t="s">
        <v>1171</v>
      </c>
      <c r="S506" s="70" t="str" cm="1">
        <f t="array" ref="S506">_xlfn.TEXTJOIN(",",TRUE,LEFT(TRIM(_xlfn.TEXTSPLIT(us_core_reqs[[#This Row],[reference]],",")),FIND(".html",TRIM(_xlfn.TEXTSPLIT(us_core_reqs[[#This Row],[reference]],",")))-1))</f>
        <v>StructureDefinition-us-core-provenance</v>
      </c>
      <c r="T506" s="70" t="str" cm="1">
        <f t="array" ref="T506">_xlfn.TEXTJOIN(",",TRUE,MID(TRIM(_xlfn.TEXTSPLIT(us_core_reqs[[#This Row],[reference]],",")),FIND("#",TRIM(_xlfn.TEXTSPLIT(us_core_reqs[[#This Row],[reference]],","))&amp;"#")+1,1000))</f>
        <v>profile-specific-implementation-guidance</v>
      </c>
      <c r="U506"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t="s">
        <v>29</v>
      </c>
      <c r="W506" t="s">
        <v>1171</v>
      </c>
      <c r="X506" t="s">
        <v>1171</v>
      </c>
      <c r="Y506" t="s">
        <v>1171</v>
      </c>
      <c r="Z506" t="s">
        <v>1171</v>
      </c>
      <c r="AA506" t="s">
        <v>1171</v>
      </c>
      <c r="AB506" t="s">
        <v>1171</v>
      </c>
      <c r="AC506" t="s">
        <v>1171</v>
      </c>
      <c r="AD506" t="s">
        <v>1140</v>
      </c>
      <c r="AE506" t="s">
        <v>1171</v>
      </c>
    </row>
    <row r="507" spans="1:31" ht="35" thickBot="1" x14ac:dyDescent="0.25">
      <c r="A507" t="s">
        <v>1171</v>
      </c>
      <c r="B507" t="s">
        <v>1679</v>
      </c>
      <c r="C507" t="str">
        <f>"CONF-"&amp;TEXT(us_core_reqs[[#This Row],[ID*]], "0000")</f>
        <v>CONF-0506</v>
      </c>
      <c r="D507" s="11" t="s">
        <v>2264</v>
      </c>
      <c r="E507" s="73" t="str" cm="1">
        <f t="array" ref="E507">_xlfn.TEXTJOIN(", ", TRUE, _xlfn.TEXTAFTER(_xlfn.TEXTSPLIT(us_core_reqs[[#This Row],[URL*]], ", "), "/", -1))</f>
        <v>StructureDefinition-us-core-provenance.html#profile-specific-implementation-guidance</v>
      </c>
      <c r="F507" s="11" t="s">
        <v>2069</v>
      </c>
      <c r="G507" t="s">
        <v>64</v>
      </c>
      <c r="H507" cm="1">
        <f t="array" ref="H507">_xlfn.SWITCH(G507, "SHALL", 1, "SHOULD", 3, "MAY", 5, "SHOULD-NOT", 4, "SHALL-NOT", 2, "DEPRECATED", 6, 99)</f>
        <v>6</v>
      </c>
      <c r="J507" t="s">
        <v>30</v>
      </c>
      <c r="K507" t="s">
        <v>1171</v>
      </c>
      <c r="L507" t="s">
        <v>1171</v>
      </c>
      <c r="M507" t="s">
        <v>1173</v>
      </c>
      <c r="N507" t="s">
        <v>1171</v>
      </c>
      <c r="O507" t="s">
        <v>1171</v>
      </c>
      <c r="P507" t="s">
        <v>1171</v>
      </c>
      <c r="Q507" t="s">
        <v>1171</v>
      </c>
      <c r="R507" t="s">
        <v>1171</v>
      </c>
      <c r="S507" s="70" t="str" cm="1">
        <f t="array" ref="S507">_xlfn.TEXTJOIN(",",TRUE,LEFT(TRIM(_xlfn.TEXTSPLIT(us_core_reqs[[#This Row],[reference]],",")),FIND(".html",TRIM(_xlfn.TEXTSPLIT(us_core_reqs[[#This Row],[reference]],",")))-1))</f>
        <v>StructureDefinition-us-core-provenance</v>
      </c>
      <c r="T507" s="70" t="str" cm="1">
        <f t="array" ref="T507">_xlfn.TEXTJOIN(",",TRUE,MID(TRIM(_xlfn.TEXTSPLIT(us_core_reqs[[#This Row],[reference]],",")),FIND("#",TRIM(_xlfn.TEXTSPLIT(us_core_reqs[[#This Row],[reference]],","))&amp;"#")+1,1000))</f>
        <v>profile-specific-implementation-guidance</v>
      </c>
      <c r="U507"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t="s">
        <v>29</v>
      </c>
      <c r="W507" t="s">
        <v>1171</v>
      </c>
      <c r="X507" t="s">
        <v>1171</v>
      </c>
      <c r="Y507" t="s">
        <v>1171</v>
      </c>
      <c r="Z507" t="s">
        <v>1171</v>
      </c>
      <c r="AA507" t="s">
        <v>1171</v>
      </c>
      <c r="AB507" t="s">
        <v>1171</v>
      </c>
      <c r="AC507" t="s">
        <v>1171</v>
      </c>
      <c r="AD507" t="s">
        <v>1140</v>
      </c>
      <c r="AE507" t="s">
        <v>1171</v>
      </c>
    </row>
    <row r="508" spans="1:31" ht="35" thickBot="1" x14ac:dyDescent="0.25">
      <c r="A508" t="s">
        <v>1171</v>
      </c>
      <c r="B508" t="s">
        <v>1680</v>
      </c>
      <c r="C508" t="str">
        <f>"CONF-"&amp;TEXT(us_core_reqs[[#This Row],[ID*]], "0000")</f>
        <v>CONF-0507</v>
      </c>
      <c r="D508" s="11" t="s">
        <v>2264</v>
      </c>
      <c r="E508" s="73" t="str" cm="1">
        <f t="array" ref="E508">_xlfn.TEXTJOIN(", ", TRUE, _xlfn.TEXTAFTER(_xlfn.TEXTSPLIT(us_core_reqs[[#This Row],[URL*]], ", "), "/", -1))</f>
        <v>StructureDefinition-us-core-provenance.html#profile-specific-implementation-guidance</v>
      </c>
      <c r="F508" s="11" t="s">
        <v>2070</v>
      </c>
      <c r="G508" t="s">
        <v>64</v>
      </c>
      <c r="H508" cm="1">
        <f t="array" ref="H508">_xlfn.SWITCH(G508, "SHALL", 1, "SHOULD", 3, "MAY", 5, "SHOULD-NOT", 4, "SHALL-NOT", 2, "DEPRECATED", 6, 99)</f>
        <v>6</v>
      </c>
      <c r="J508" t="s">
        <v>30</v>
      </c>
      <c r="K508" t="s">
        <v>1171</v>
      </c>
      <c r="L508" t="s">
        <v>1171</v>
      </c>
      <c r="M508" t="s">
        <v>1173</v>
      </c>
      <c r="N508" t="s">
        <v>1171</v>
      </c>
      <c r="O508" t="s">
        <v>1171</v>
      </c>
      <c r="P508" t="s">
        <v>1171</v>
      </c>
      <c r="Q508" t="s">
        <v>1171</v>
      </c>
      <c r="R508" t="s">
        <v>1171</v>
      </c>
      <c r="S508" s="70" t="str" cm="1">
        <f t="array" ref="S508">_xlfn.TEXTJOIN(",",TRUE,LEFT(TRIM(_xlfn.TEXTSPLIT(us_core_reqs[[#This Row],[reference]],",")),FIND(".html",TRIM(_xlfn.TEXTSPLIT(us_core_reqs[[#This Row],[reference]],",")))-1))</f>
        <v>StructureDefinition-us-core-provenance</v>
      </c>
      <c r="T508" s="70" t="str" cm="1">
        <f t="array" ref="T508">_xlfn.TEXTJOIN(",",TRUE,MID(TRIM(_xlfn.TEXTSPLIT(us_core_reqs[[#This Row],[reference]],",")),FIND("#",TRIM(_xlfn.TEXTSPLIT(us_core_reqs[[#This Row],[reference]],","))&amp;"#")+1,1000))</f>
        <v>profile-specific-implementation-guidance</v>
      </c>
      <c r="U508"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t="s">
        <v>29</v>
      </c>
      <c r="W508" t="s">
        <v>1171</v>
      </c>
      <c r="X508" t="s">
        <v>1171</v>
      </c>
      <c r="Y508" t="s">
        <v>1171</v>
      </c>
      <c r="Z508" t="s">
        <v>1171</v>
      </c>
      <c r="AA508" t="s">
        <v>1171</v>
      </c>
      <c r="AB508" t="s">
        <v>1171</v>
      </c>
      <c r="AC508" t="s">
        <v>1171</v>
      </c>
      <c r="AD508" t="s">
        <v>1140</v>
      </c>
      <c r="AE508" t="s">
        <v>1171</v>
      </c>
    </row>
    <row r="509" spans="1:31" ht="69" thickBot="1" x14ac:dyDescent="0.25">
      <c r="A509" t="s">
        <v>1171</v>
      </c>
      <c r="B509" t="s">
        <v>1681</v>
      </c>
      <c r="C509" t="str">
        <f>"CONF-"&amp;TEXT(us_core_reqs[[#This Row],[ID*]], "0000")</f>
        <v>CONF-0508</v>
      </c>
      <c r="D509" s="11" t="s">
        <v>2264</v>
      </c>
      <c r="E509" s="73" t="str" cm="1">
        <f t="array" ref="E509">_xlfn.TEXTJOIN(", ", TRUE, _xlfn.TEXTAFTER(_xlfn.TEXTSPLIT(us_core_reqs[[#This Row],[URL*]], ", "), "/", -1))</f>
        <v>StructureDefinition-us-core-provenance.html#profile-specific-implementation-guidance</v>
      </c>
      <c r="F509" s="11" t="s">
        <v>2163</v>
      </c>
      <c r="G509" t="s">
        <v>29</v>
      </c>
      <c r="H509" cm="1">
        <f t="array" ref="H509">_xlfn.SWITCH(G509, "SHALL", 1, "SHOULD", 3, "MAY", 5, "SHOULD-NOT", 4, "SHALL-NOT", 2, "DEPRECATED", 6, 99)</f>
        <v>1</v>
      </c>
      <c r="J509" t="s">
        <v>30</v>
      </c>
      <c r="K509" t="s">
        <v>1171</v>
      </c>
      <c r="L509" t="s">
        <v>1171</v>
      </c>
      <c r="M509" t="s">
        <v>1176</v>
      </c>
      <c r="N509" t="s">
        <v>525</v>
      </c>
      <c r="O509" t="s">
        <v>1171</v>
      </c>
      <c r="P509" t="s">
        <v>1171</v>
      </c>
      <c r="Q509" t="s">
        <v>1171</v>
      </c>
      <c r="R509" t="s">
        <v>1171</v>
      </c>
      <c r="S509" s="70" t="str" cm="1">
        <f t="array" ref="S509">_xlfn.TEXTJOIN(",",TRUE,LEFT(TRIM(_xlfn.TEXTSPLIT(us_core_reqs[[#This Row],[reference]],",")),FIND(".html",TRIM(_xlfn.TEXTSPLIT(us_core_reqs[[#This Row],[reference]],",")))-1))</f>
        <v>StructureDefinition-us-core-provenance</v>
      </c>
      <c r="T509" s="70" t="str" cm="1">
        <f t="array" ref="T509">_xlfn.TEXTJOIN(",",TRUE,MID(TRIM(_xlfn.TEXTSPLIT(us_core_reqs[[#This Row],[reference]],",")),FIND("#",TRIM(_xlfn.TEXTSPLIT(us_core_reqs[[#This Row],[reference]],","))&amp;"#")+1,1000))</f>
        <v>profile-specific-implementation-guidance</v>
      </c>
      <c r="U509"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t="s">
        <v>29</v>
      </c>
      <c r="W509" t="s">
        <v>1171</v>
      </c>
      <c r="X509" t="s">
        <v>1171</v>
      </c>
      <c r="Y509" t="s">
        <v>1171</v>
      </c>
      <c r="Z509" t="s">
        <v>1171</v>
      </c>
      <c r="AA509" t="s">
        <v>1171</v>
      </c>
      <c r="AB509" t="s">
        <v>1171</v>
      </c>
      <c r="AC509" t="s">
        <v>1171</v>
      </c>
      <c r="AD509" t="s">
        <v>1140</v>
      </c>
      <c r="AE509" t="s">
        <v>1171</v>
      </c>
    </row>
    <row r="510" spans="1:31" ht="35" thickBot="1" x14ac:dyDescent="0.25">
      <c r="A510" t="s">
        <v>1171</v>
      </c>
      <c r="B510" t="s">
        <v>1682</v>
      </c>
      <c r="C510" t="str">
        <f>"CONF-"&amp;TEXT(us_core_reqs[[#This Row],[ID*]], "0000")</f>
        <v>CONF-0509</v>
      </c>
      <c r="D510" s="11" t="s">
        <v>2264</v>
      </c>
      <c r="E510" s="73" t="str" cm="1">
        <f t="array" ref="E510">_xlfn.TEXTJOIN(", ", TRUE, _xlfn.TEXTAFTER(_xlfn.TEXTSPLIT(us_core_reqs[[#This Row],[URL*]], ", "), "/", -1))</f>
        <v>StructureDefinition-us-core-provenance.html#profile-specific-implementation-guidance</v>
      </c>
      <c r="F510" s="11" t="s">
        <v>2176</v>
      </c>
      <c r="G510" t="s">
        <v>35</v>
      </c>
      <c r="H510" cm="1">
        <f t="array" ref="H510">_xlfn.SWITCH(G510, "SHALL", 1, "SHOULD", 3, "MAY", 5, "SHOULD-NOT", 4, "SHALL-NOT", 2, "DEPRECATED", 6, 99)</f>
        <v>5</v>
      </c>
      <c r="J510" t="s">
        <v>30</v>
      </c>
      <c r="K510" t="s">
        <v>1171</v>
      </c>
      <c r="L510" t="s">
        <v>1171</v>
      </c>
      <c r="M510" t="s">
        <v>1176</v>
      </c>
      <c r="N510" t="s">
        <v>527</v>
      </c>
      <c r="O510" t="s">
        <v>1171</v>
      </c>
      <c r="P510" t="s">
        <v>1171</v>
      </c>
      <c r="Q510" t="s">
        <v>1171</v>
      </c>
      <c r="R510" t="s">
        <v>1171</v>
      </c>
      <c r="S510" s="70" t="str" cm="1">
        <f t="array" ref="S510">_xlfn.TEXTJOIN(",",TRUE,LEFT(TRIM(_xlfn.TEXTSPLIT(us_core_reqs[[#This Row],[reference]],",")),FIND(".html",TRIM(_xlfn.TEXTSPLIT(us_core_reqs[[#This Row],[reference]],",")))-1))</f>
        <v>StructureDefinition-us-core-provenance</v>
      </c>
      <c r="T510" s="70" t="str" cm="1">
        <f t="array" ref="T510">_xlfn.TEXTJOIN(",",TRUE,MID(TRIM(_xlfn.TEXTSPLIT(us_core_reqs[[#This Row],[reference]],",")),FIND("#",TRIM(_xlfn.TEXTSPLIT(us_core_reqs[[#This Row],[reference]],","))&amp;"#")+1,1000))</f>
        <v>profile-specific-implementation-guidance</v>
      </c>
      <c r="U510"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t="s">
        <v>35</v>
      </c>
      <c r="W510" t="s">
        <v>1171</v>
      </c>
      <c r="X510" t="s">
        <v>1171</v>
      </c>
      <c r="Y510" t="s">
        <v>1171</v>
      </c>
      <c r="Z510" t="s">
        <v>1171</v>
      </c>
      <c r="AA510" t="s">
        <v>1171</v>
      </c>
      <c r="AB510" t="s">
        <v>1171</v>
      </c>
      <c r="AC510" t="s">
        <v>1171</v>
      </c>
      <c r="AD510" t="s">
        <v>1141</v>
      </c>
      <c r="AE510" t="s">
        <v>1171</v>
      </c>
    </row>
    <row r="511" spans="1:31" ht="35" thickBot="1" x14ac:dyDescent="0.25">
      <c r="A511" t="s">
        <v>1171</v>
      </c>
      <c r="B511" t="s">
        <v>1683</v>
      </c>
      <c r="C511" t="str">
        <f>"CONF-"&amp;TEXT(us_core_reqs[[#This Row],[ID*]], "0000")</f>
        <v>CONF-0510</v>
      </c>
      <c r="D511" s="11" t="s">
        <v>2264</v>
      </c>
      <c r="E511" s="73" t="str" cm="1">
        <f t="array" ref="E511">_xlfn.TEXTJOIN(", ", TRUE, _xlfn.TEXTAFTER(_xlfn.TEXTSPLIT(us_core_reqs[[#This Row],[URL*]], ", "), "/", -1))</f>
        <v>StructureDefinition-us-core-provenance.html#profile-specific-implementation-guidance</v>
      </c>
      <c r="F511" s="11" t="s">
        <v>2001</v>
      </c>
      <c r="G511" t="s">
        <v>64</v>
      </c>
      <c r="H511" cm="1">
        <f t="array" ref="H511">_xlfn.SWITCH(G511, "SHALL", 1, "SHOULD", 3, "MAY", 5, "SHOULD-NOT", 4, "SHALL-NOT", 2, "DEPRECATED", 6, 99)</f>
        <v>6</v>
      </c>
      <c r="J511" t="s">
        <v>30</v>
      </c>
      <c r="K511" t="s">
        <v>1171</v>
      </c>
      <c r="L511" t="s">
        <v>1171</v>
      </c>
      <c r="M511" t="s">
        <v>1173</v>
      </c>
      <c r="N511" t="s">
        <v>1171</v>
      </c>
      <c r="O511" t="s">
        <v>1171</v>
      </c>
      <c r="P511" t="s">
        <v>1171</v>
      </c>
      <c r="Q511" t="s">
        <v>1171</v>
      </c>
      <c r="R511" t="s">
        <v>1171</v>
      </c>
      <c r="S511" s="70" t="str" cm="1">
        <f t="array" ref="S511">_xlfn.TEXTJOIN(",",TRUE,LEFT(TRIM(_xlfn.TEXTSPLIT(us_core_reqs[[#This Row],[reference]],",")),FIND(".html",TRIM(_xlfn.TEXTSPLIT(us_core_reqs[[#This Row],[reference]],",")))-1))</f>
        <v>StructureDefinition-us-core-provenance</v>
      </c>
      <c r="T511" s="70" t="str" cm="1">
        <f t="array" ref="T511">_xlfn.TEXTJOIN(",",TRUE,MID(TRIM(_xlfn.TEXTSPLIT(us_core_reqs[[#This Row],[reference]],",")),FIND("#",TRIM(_xlfn.TEXTSPLIT(us_core_reqs[[#This Row],[reference]],","))&amp;"#")+1,1000))</f>
        <v>profile-specific-implementation-guidance</v>
      </c>
      <c r="U511"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t="s">
        <v>32</v>
      </c>
      <c r="W511" t="s">
        <v>1171</v>
      </c>
      <c r="X511" t="s">
        <v>1171</v>
      </c>
      <c r="Y511" t="s">
        <v>1171</v>
      </c>
      <c r="Z511" t="s">
        <v>1171</v>
      </c>
      <c r="AA511" t="s">
        <v>1171</v>
      </c>
      <c r="AB511" t="s">
        <v>1171</v>
      </c>
      <c r="AC511" t="s">
        <v>1171</v>
      </c>
      <c r="AD511" t="s">
        <v>1171</v>
      </c>
      <c r="AE511" t="s">
        <v>1171</v>
      </c>
    </row>
    <row r="512" spans="1:31" ht="52" thickBot="1" x14ac:dyDescent="0.25">
      <c r="A512" t="s">
        <v>1171</v>
      </c>
      <c r="B512" t="s">
        <v>1684</v>
      </c>
      <c r="C512" t="str">
        <f>"CONF-"&amp;TEXT(us_core_reqs[[#This Row],[ID*]], "0000")</f>
        <v>CONF-0511</v>
      </c>
      <c r="D512" s="11" t="s">
        <v>2265</v>
      </c>
      <c r="E512" s="73" t="str" cm="1">
        <f t="array" ref="E512">_xlfn.TEXTJOIN(", ", TRUE, _xlfn.TEXTAFTER(_xlfn.TEXTSPLIT(us_core_reqs[[#This Row],[URL*]], ", "), "/", -1))</f>
        <v>StructureDefinition-us-core-questionnaireresponse.html#profile-specific-implementation-guidance</v>
      </c>
      <c r="F512" s="11" t="s">
        <v>529</v>
      </c>
      <c r="G512" t="s">
        <v>64</v>
      </c>
      <c r="H512" cm="1">
        <f t="array" ref="H512">_xlfn.SWITCH(G512, "SHALL", 1, "SHOULD", 3, "MAY", 5, "SHOULD-NOT", 4, "SHALL-NOT", 2, "DEPRECATED", 6, 99)</f>
        <v>6</v>
      </c>
      <c r="I512" t="s">
        <v>2329</v>
      </c>
      <c r="J512" t="s">
        <v>30</v>
      </c>
      <c r="K512" t="s">
        <v>1171</v>
      </c>
      <c r="L512" t="s">
        <v>1171</v>
      </c>
      <c r="M512" t="s">
        <v>1176</v>
      </c>
      <c r="N512" t="s">
        <v>530</v>
      </c>
      <c r="O512" t="s">
        <v>1171</v>
      </c>
      <c r="P512" t="s">
        <v>1171</v>
      </c>
      <c r="Q512" t="s">
        <v>1171</v>
      </c>
      <c r="R512" t="s">
        <v>1171</v>
      </c>
      <c r="S512" s="70" t="str" cm="1">
        <f t="array" ref="S512">_xlfn.TEXTJOIN(",",TRUE,LEFT(TRIM(_xlfn.TEXTSPLIT(us_core_reqs[[#This Row],[reference]],",")),FIND(".html",TRIM(_xlfn.TEXTSPLIT(us_core_reqs[[#This Row],[reference]],",")))-1))</f>
        <v>StructureDefinition-us-core-questionnaireresponse</v>
      </c>
      <c r="T512" s="70" t="str" cm="1">
        <f t="array" ref="T512">_xlfn.TEXTJOIN(",",TRUE,MID(TRIM(_xlfn.TEXTSPLIT(us_core_reqs[[#This Row],[reference]],",")),FIND("#",TRIM(_xlfn.TEXTSPLIT(us_core_reqs[[#This Row],[reference]],","))&amp;"#")+1,1000))</f>
        <v>profile-specific-implementation-guidance</v>
      </c>
      <c r="U512"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t="s">
        <v>1171</v>
      </c>
      <c r="W512" t="s">
        <v>1171</v>
      </c>
      <c r="X512" t="s">
        <v>1171</v>
      </c>
      <c r="Y512" t="s">
        <v>1171</v>
      </c>
      <c r="Z512" t="s">
        <v>1171</v>
      </c>
      <c r="AA512" t="s">
        <v>1171</v>
      </c>
      <c r="AB512" t="s">
        <v>1171</v>
      </c>
      <c r="AC512" t="s">
        <v>1171</v>
      </c>
      <c r="AD512" t="s">
        <v>1141</v>
      </c>
      <c r="AE512" t="s">
        <v>1171</v>
      </c>
    </row>
    <row r="513" spans="1:31" ht="52" thickBot="1" x14ac:dyDescent="0.25">
      <c r="A513" t="s">
        <v>1171</v>
      </c>
      <c r="B513" t="s">
        <v>1685</v>
      </c>
      <c r="C513" t="str">
        <f>"CONF-"&amp;TEXT(us_core_reqs[[#This Row],[ID*]], "0000")</f>
        <v>CONF-0512</v>
      </c>
      <c r="D513" s="11" t="s">
        <v>2265</v>
      </c>
      <c r="E513" s="73" t="str" cm="1">
        <f t="array" ref="E513">_xlfn.TEXTJOIN(", ", TRUE, _xlfn.TEXTAFTER(_xlfn.TEXTSPLIT(us_core_reqs[[#This Row],[URL*]], ", "), "/", -1))</f>
        <v>StructureDefinition-us-core-questionnaireresponse.html#profile-specific-implementation-guidance</v>
      </c>
      <c r="F513" s="11" t="s">
        <v>531</v>
      </c>
      <c r="G513" t="s">
        <v>64</v>
      </c>
      <c r="H513" cm="1">
        <f t="array" ref="H513">_xlfn.SWITCH(G513, "SHALL", 1, "SHOULD", 3, "MAY", 5, "SHOULD-NOT", 4, "SHALL-NOT", 2, "DEPRECATED", 6, 99)</f>
        <v>6</v>
      </c>
      <c r="I513" s="78" t="s">
        <v>2329</v>
      </c>
      <c r="J513" t="s">
        <v>30</v>
      </c>
      <c r="K513" t="s">
        <v>1171</v>
      </c>
      <c r="L513" t="s">
        <v>1171</v>
      </c>
      <c r="M513" t="s">
        <v>1176</v>
      </c>
      <c r="N513" t="s">
        <v>530</v>
      </c>
      <c r="O513" t="s">
        <v>1171</v>
      </c>
      <c r="P513" t="s">
        <v>1171</v>
      </c>
      <c r="Q513" t="s">
        <v>1171</v>
      </c>
      <c r="R513" t="s">
        <v>1171</v>
      </c>
      <c r="S513" s="70" t="str" cm="1">
        <f t="array" ref="S513">_xlfn.TEXTJOIN(",",TRUE,LEFT(TRIM(_xlfn.TEXTSPLIT(us_core_reqs[[#This Row],[reference]],",")),FIND(".html",TRIM(_xlfn.TEXTSPLIT(us_core_reqs[[#This Row],[reference]],",")))-1))</f>
        <v>StructureDefinition-us-core-questionnaireresponse</v>
      </c>
      <c r="T513" s="70" t="str" cm="1">
        <f t="array" ref="T513">_xlfn.TEXTJOIN(",",TRUE,MID(TRIM(_xlfn.TEXTSPLIT(us_core_reqs[[#This Row],[reference]],",")),FIND("#",TRIM(_xlfn.TEXTSPLIT(us_core_reqs[[#This Row],[reference]],","))&amp;"#")+1,1000))</f>
        <v>profile-specific-implementation-guidance</v>
      </c>
      <c r="U513"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t="s">
        <v>35</v>
      </c>
      <c r="W513" t="s">
        <v>1171</v>
      </c>
      <c r="X513" t="s">
        <v>1171</v>
      </c>
      <c r="Y513" t="s">
        <v>1171</v>
      </c>
      <c r="Z513" t="s">
        <v>1171</v>
      </c>
      <c r="AA513" t="s">
        <v>1171</v>
      </c>
      <c r="AB513" t="s">
        <v>1171</v>
      </c>
      <c r="AC513" t="s">
        <v>1171</v>
      </c>
      <c r="AD513" t="s">
        <v>1171</v>
      </c>
      <c r="AE513" t="s">
        <v>1171</v>
      </c>
    </row>
    <row r="514" spans="1:31" ht="103" thickBot="1" x14ac:dyDescent="0.25">
      <c r="A514" t="s">
        <v>1171</v>
      </c>
      <c r="B514" t="s">
        <v>1686</v>
      </c>
      <c r="C514" t="str">
        <f>"CONF-"&amp;TEXT(us_core_reqs[[#This Row],[ID*]], "0000")</f>
        <v>CONF-0513</v>
      </c>
      <c r="D514" s="11" t="s">
        <v>2266</v>
      </c>
      <c r="E514" s="73" t="str" cm="1">
        <f t="array" ref="E514">_xlfn.TEXTJOIN(", ", TRUE, _xlfn.TEXTAFTER(_xlfn.TEXTSPLIT(us_core_reqs[[#This Row],[URL*]], ", "), "/", -1))</f>
        <v>StructureDefinition-us-core-relatedperson.html#profile-specific-implementation-guidance</v>
      </c>
      <c r="F514" s="11" t="s">
        <v>2002</v>
      </c>
      <c r="G514" t="s">
        <v>64</v>
      </c>
      <c r="H514" cm="1">
        <f t="array" ref="H514">_xlfn.SWITCH(G514, "SHALL", 1, "SHOULD", 3, "MAY", 5, "SHOULD-NOT", 4, "SHALL-NOT", 2, "DEPRECATED", 6, 99)</f>
        <v>6</v>
      </c>
      <c r="J514" t="s">
        <v>30</v>
      </c>
      <c r="K514" t="s">
        <v>1171</v>
      </c>
      <c r="L514" t="s">
        <v>1171</v>
      </c>
      <c r="M514" t="s">
        <v>1173</v>
      </c>
      <c r="N514" t="s">
        <v>1171</v>
      </c>
      <c r="O514" t="s">
        <v>1171</v>
      </c>
      <c r="P514" t="s">
        <v>1171</v>
      </c>
      <c r="Q514" t="s">
        <v>1171</v>
      </c>
      <c r="R514" t="s">
        <v>1171</v>
      </c>
      <c r="S514" s="70" t="str" cm="1">
        <f t="array" ref="S514">_xlfn.TEXTJOIN(",",TRUE,LEFT(TRIM(_xlfn.TEXTSPLIT(us_core_reqs[[#This Row],[reference]],",")),FIND(".html",TRIM(_xlfn.TEXTSPLIT(us_core_reqs[[#This Row],[reference]],",")))-1))</f>
        <v>StructureDefinition-us-core-relatedperson</v>
      </c>
      <c r="T514" s="70" t="str" cm="1">
        <f t="array" ref="T514">_xlfn.TEXTJOIN(",",TRUE,MID(TRIM(_xlfn.TEXTSPLIT(us_core_reqs[[#This Row],[reference]],",")),FIND("#",TRIM(_xlfn.TEXTSPLIT(us_core_reqs[[#This Row],[reference]],","))&amp;"#")+1,1000))</f>
        <v>profile-specific-implementation-guidance</v>
      </c>
      <c r="U514"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t="s">
        <v>32</v>
      </c>
      <c r="W514" t="s">
        <v>1171</v>
      </c>
      <c r="X514" t="s">
        <v>1171</v>
      </c>
      <c r="Y514" t="s">
        <v>1171</v>
      </c>
      <c r="Z514" t="s">
        <v>1171</v>
      </c>
      <c r="AA514" t="s">
        <v>1171</v>
      </c>
      <c r="AB514" t="s">
        <v>1171</v>
      </c>
      <c r="AC514" t="s">
        <v>1171</v>
      </c>
      <c r="AD514" t="s">
        <v>1171</v>
      </c>
      <c r="AE514" t="s">
        <v>1171</v>
      </c>
    </row>
    <row r="515" spans="1:31" ht="86" thickBot="1" x14ac:dyDescent="0.25">
      <c r="A515" t="s">
        <v>1171</v>
      </c>
      <c r="B515" t="s">
        <v>1687</v>
      </c>
      <c r="C515" t="str">
        <f>"CONF-"&amp;TEXT(us_core_reqs[[#This Row],[ID*]], "0000")</f>
        <v>CONF-0514</v>
      </c>
      <c r="D515" s="11" t="s">
        <v>2267</v>
      </c>
      <c r="E515" s="73" t="str" cm="1">
        <f t="array" ref="E515">_xlfn.TEXTJOIN(", ", TRUE, _xlfn.TEXTAFTER(_xlfn.TEXTSPLIT(us_core_reqs[[#This Row],[URL*]], ", "), "/", -1))</f>
        <v>StructureDefinition-us-core-servicerequest.html#profile-specific-implementation-guidance</v>
      </c>
      <c r="F515" s="11" t="s">
        <v>809</v>
      </c>
      <c r="G515" t="s">
        <v>35</v>
      </c>
      <c r="H515" cm="1">
        <f t="array" ref="H515">_xlfn.SWITCH(G515, "SHALL", 1, "SHOULD", 3, "MAY", 5, "SHOULD-NOT", 4, "SHALL-NOT", 2, "DEPRECATED", 6, 99)</f>
        <v>5</v>
      </c>
      <c r="I515" t="s">
        <v>2330</v>
      </c>
      <c r="J515" t="s">
        <v>30</v>
      </c>
      <c r="K515" t="s">
        <v>1171</v>
      </c>
      <c r="L515" t="s">
        <v>1171</v>
      </c>
      <c r="M515" t="s">
        <v>1173</v>
      </c>
      <c r="N515" t="s">
        <v>1171</v>
      </c>
      <c r="O515" t="s">
        <v>1171</v>
      </c>
      <c r="P515" t="s">
        <v>1171</v>
      </c>
      <c r="Q515" t="s">
        <v>1171</v>
      </c>
      <c r="R515" t="s">
        <v>1171</v>
      </c>
      <c r="S515" s="70" t="str" cm="1">
        <f t="array" ref="S515">_xlfn.TEXTJOIN(",",TRUE,LEFT(TRIM(_xlfn.TEXTSPLIT(us_core_reqs[[#This Row],[reference]],",")),FIND(".html",TRIM(_xlfn.TEXTSPLIT(us_core_reqs[[#This Row],[reference]],",")))-1))</f>
        <v>StructureDefinition-us-core-servicerequest</v>
      </c>
      <c r="T515" s="70" t="str" cm="1">
        <f t="array" ref="T515">_xlfn.TEXTJOIN(",",TRUE,MID(TRIM(_xlfn.TEXTSPLIT(us_core_reqs[[#This Row],[reference]],",")),FIND("#",TRIM(_xlfn.TEXTSPLIT(us_core_reqs[[#This Row],[reference]],","))&amp;"#")+1,1000))</f>
        <v>profile-specific-implementation-guidance</v>
      </c>
      <c r="U515"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t="s">
        <v>1171</v>
      </c>
      <c r="W515" t="s">
        <v>1171</v>
      </c>
      <c r="X515" t="s">
        <v>1171</v>
      </c>
      <c r="Y515" t="s">
        <v>1171</v>
      </c>
      <c r="Z515" t="s">
        <v>1171</v>
      </c>
      <c r="AA515" t="s">
        <v>1171</v>
      </c>
      <c r="AB515" t="s">
        <v>1171</v>
      </c>
      <c r="AC515" t="s">
        <v>810</v>
      </c>
      <c r="AD515" t="s">
        <v>1171</v>
      </c>
      <c r="AE515" t="s">
        <v>1171</v>
      </c>
    </row>
    <row r="516" spans="1:31" ht="35" thickBot="1" x14ac:dyDescent="0.25">
      <c r="A516" t="s">
        <v>1171</v>
      </c>
      <c r="B516" t="s">
        <v>1688</v>
      </c>
      <c r="C516" t="str">
        <f>"CONF-"&amp;TEXT(us_core_reqs[[#This Row],[ID*]], "0000")</f>
        <v>CONF-0515</v>
      </c>
      <c r="D516" s="11" t="s">
        <v>2267</v>
      </c>
      <c r="E516" s="73" t="str" cm="1">
        <f t="array" ref="E516">_xlfn.TEXTJOIN(", ", TRUE, _xlfn.TEXTAFTER(_xlfn.TEXTSPLIT(us_core_reqs[[#This Row],[URL*]], ", "), "/", -1))</f>
        <v>StructureDefinition-us-core-servicerequest.html#profile-specific-implementation-guidance</v>
      </c>
      <c r="F516" s="11" t="s">
        <v>2003</v>
      </c>
      <c r="G516" t="s">
        <v>32</v>
      </c>
      <c r="H516" cm="1">
        <f t="array" ref="H516">_xlfn.SWITCH(G516, "SHALL", 1, "SHOULD", 3, "MAY", 5, "SHOULD-NOT", 4, "SHALL-NOT", 2, "DEPRECATED", 6, 99)</f>
        <v>3</v>
      </c>
      <c r="J516" t="s">
        <v>30</v>
      </c>
      <c r="K516" t="s">
        <v>1171</v>
      </c>
      <c r="L516" t="s">
        <v>1171</v>
      </c>
      <c r="M516" t="s">
        <v>1173</v>
      </c>
      <c r="N516" t="s">
        <v>1171</v>
      </c>
      <c r="O516" t="s">
        <v>1171</v>
      </c>
      <c r="P516" t="s">
        <v>1171</v>
      </c>
      <c r="Q516" t="s">
        <v>1171</v>
      </c>
      <c r="R516" t="s">
        <v>1171</v>
      </c>
      <c r="S516" s="70" t="str" cm="1">
        <f t="array" ref="S516">_xlfn.TEXTJOIN(",",TRUE,LEFT(TRIM(_xlfn.TEXTSPLIT(us_core_reqs[[#This Row],[reference]],",")),FIND(".html",TRIM(_xlfn.TEXTSPLIT(us_core_reqs[[#This Row],[reference]],",")))-1))</f>
        <v>StructureDefinition-us-core-servicerequest</v>
      </c>
      <c r="T516" s="70" t="str" cm="1">
        <f t="array" ref="T516">_xlfn.TEXTJOIN(",",TRUE,MID(TRIM(_xlfn.TEXTSPLIT(us_core_reqs[[#This Row],[reference]],",")),FIND("#",TRIM(_xlfn.TEXTSPLIT(us_core_reqs[[#This Row],[reference]],","))&amp;"#")+1,1000))</f>
        <v>profile-specific-implementation-guidance</v>
      </c>
      <c r="U516"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t="s">
        <v>1171</v>
      </c>
      <c r="W516" t="s">
        <v>1171</v>
      </c>
      <c r="X516" t="s">
        <v>1171</v>
      </c>
      <c r="Y516" t="s">
        <v>1171</v>
      </c>
      <c r="Z516" t="s">
        <v>1171</v>
      </c>
      <c r="AA516" t="s">
        <v>1171</v>
      </c>
      <c r="AB516" t="s">
        <v>1171</v>
      </c>
      <c r="AC516" t="s">
        <v>816</v>
      </c>
      <c r="AD516" t="s">
        <v>1171</v>
      </c>
      <c r="AE516" t="s">
        <v>1171</v>
      </c>
    </row>
    <row r="517" spans="1:31" ht="69" thickBot="1" x14ac:dyDescent="0.25">
      <c r="A517" t="s">
        <v>1171</v>
      </c>
      <c r="B517" t="s">
        <v>1689</v>
      </c>
      <c r="C517" t="str">
        <f>"CONF-"&amp;TEXT(us_core_reqs[[#This Row],[ID*]], "0000")</f>
        <v>CONF-0516</v>
      </c>
      <c r="D517" s="11" t="s">
        <v>2267</v>
      </c>
      <c r="E517" s="11" t="str" cm="1">
        <f t="array" ref="E517">_xlfn.TEXTJOIN(", ", TRUE, _xlfn.TEXTAFTER(_xlfn.TEXTSPLIT(us_core_reqs[[#This Row],[URL*]], ", "), "/", -1))</f>
        <v>StructureDefinition-us-core-servicerequest.html#profile-specific-implementation-guidance</v>
      </c>
      <c r="F517" s="11" t="s">
        <v>2134</v>
      </c>
      <c r="G517" t="s">
        <v>29</v>
      </c>
      <c r="H517" cm="1">
        <f t="array" ref="H517">_xlfn.SWITCH(G517, "SHALL", 1, "SHOULD", 3, "MAY", 5, "SHOULD-NOT", 4, "SHALL-NOT", 2, "DEPRECATED", 6, 99)</f>
        <v>1</v>
      </c>
      <c r="J517" t="s">
        <v>30</v>
      </c>
      <c r="K517" t="b">
        <v>1</v>
      </c>
      <c r="L517" t="s">
        <v>1171</v>
      </c>
      <c r="M517" t="s">
        <v>1176</v>
      </c>
      <c r="N517" t="s">
        <v>500</v>
      </c>
      <c r="O517" t="s">
        <v>1171</v>
      </c>
      <c r="P517" t="s">
        <v>1171</v>
      </c>
      <c r="Q517" t="s">
        <v>1171</v>
      </c>
      <c r="R517" t="s">
        <v>1171</v>
      </c>
      <c r="S517" s="70" t="str" cm="1">
        <f t="array" ref="S517">_xlfn.TEXTJOIN(",",TRUE,LEFT(TRIM(_xlfn.TEXTSPLIT(us_core_reqs[[#This Row],[reference]],",")),FIND(".html",TRIM(_xlfn.TEXTSPLIT(us_core_reqs[[#This Row],[reference]],",")))-1))</f>
        <v>StructureDefinition-us-core-servicerequest</v>
      </c>
      <c r="T517" s="70" t="str" cm="1">
        <f t="array" ref="T517">_xlfn.TEXTJOIN(",",TRUE,MID(TRIM(_xlfn.TEXTSPLIT(us_core_reqs[[#This Row],[reference]],",")),FIND("#",TRIM(_xlfn.TEXTSPLIT(us_core_reqs[[#This Row],[reference]],","))&amp;"#")+1,1000))</f>
        <v>profile-specific-implementation-guidance</v>
      </c>
      <c r="U517"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t="s">
        <v>29</v>
      </c>
      <c r="W517" t="s">
        <v>30</v>
      </c>
      <c r="X517" t="s">
        <v>1171</v>
      </c>
      <c r="Y517" t="s">
        <v>1171</v>
      </c>
      <c r="Z517" t="s">
        <v>1171</v>
      </c>
      <c r="AA517" t="s">
        <v>1171</v>
      </c>
      <c r="AB517" t="s">
        <v>1171</v>
      </c>
      <c r="AC517" t="s">
        <v>405</v>
      </c>
      <c r="AD517" t="s">
        <v>1140</v>
      </c>
      <c r="AE517" t="s">
        <v>1171</v>
      </c>
    </row>
    <row r="518" spans="1:31" ht="69" thickBot="1" x14ac:dyDescent="0.25">
      <c r="A518" t="s">
        <v>1171</v>
      </c>
      <c r="B518" t="s">
        <v>1690</v>
      </c>
      <c r="C518" t="str">
        <f>"CONF-"&amp;TEXT(us_core_reqs[[#This Row],[ID*]], "0000")</f>
        <v>CONF-0517</v>
      </c>
      <c r="D518" s="11" t="s">
        <v>2267</v>
      </c>
      <c r="E518" s="73" t="str" cm="1">
        <f t="array" ref="E518">_xlfn.TEXTJOIN(", ", TRUE, _xlfn.TEXTAFTER(_xlfn.TEXTSPLIT(us_core_reqs[[#This Row],[URL*]], ", "), "/", -1))</f>
        <v>StructureDefinition-us-core-servicerequest.html#profile-specific-implementation-guidance</v>
      </c>
      <c r="F518" s="11" t="s">
        <v>2135</v>
      </c>
      <c r="G518" t="s">
        <v>29</v>
      </c>
      <c r="H518" cm="1">
        <f t="array" ref="H518">_xlfn.SWITCH(G518, "SHALL", 1, "SHOULD", 3, "MAY", 5, "SHOULD-NOT", 4, "SHALL-NOT", 2, "DEPRECATED", 6, 99)</f>
        <v>1</v>
      </c>
      <c r="J518" t="s">
        <v>58</v>
      </c>
      <c r="L518" t="s">
        <v>1171</v>
      </c>
      <c r="M518" t="s">
        <v>1176</v>
      </c>
      <c r="N518" t="s">
        <v>500</v>
      </c>
      <c r="O518" t="s">
        <v>1171</v>
      </c>
      <c r="P518" t="s">
        <v>1171</v>
      </c>
      <c r="Q518" t="s">
        <v>1171</v>
      </c>
      <c r="R518" t="s">
        <v>1171</v>
      </c>
      <c r="S518" s="70" t="str" cm="1">
        <f t="array" ref="S518">_xlfn.TEXTJOIN(",",TRUE,LEFT(TRIM(_xlfn.TEXTSPLIT(us_core_reqs[[#This Row],[reference]],",")),FIND(".html",TRIM(_xlfn.TEXTSPLIT(us_core_reqs[[#This Row],[reference]],",")))-1))</f>
        <v>StructureDefinition-us-core-servicerequest</v>
      </c>
      <c r="T518" s="70" t="str" cm="1">
        <f t="array" ref="T518">_xlfn.TEXTJOIN(",",TRUE,MID(TRIM(_xlfn.TEXTSPLIT(us_core_reqs[[#This Row],[reference]],",")),FIND("#",TRIM(_xlfn.TEXTSPLIT(us_core_reqs[[#This Row],[reference]],","))&amp;"#")+1,1000))</f>
        <v>profile-specific-implementation-guidance</v>
      </c>
      <c r="U518"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t="s">
        <v>29</v>
      </c>
      <c r="W518" t="s">
        <v>58</v>
      </c>
      <c r="X518" t="s">
        <v>1171</v>
      </c>
      <c r="Y518" t="s">
        <v>1171</v>
      </c>
      <c r="Z518" t="s">
        <v>1171</v>
      </c>
      <c r="AA518" t="s">
        <v>1171</v>
      </c>
      <c r="AB518" t="s">
        <v>1171</v>
      </c>
      <c r="AC518" t="s">
        <v>405</v>
      </c>
      <c r="AD518" t="s">
        <v>1171</v>
      </c>
      <c r="AE518" t="s">
        <v>1171</v>
      </c>
    </row>
    <row r="519" spans="1:31" ht="86" thickBot="1" x14ac:dyDescent="0.25">
      <c r="A519" t="s">
        <v>1171</v>
      </c>
      <c r="B519" t="s">
        <v>1691</v>
      </c>
      <c r="C519" t="str">
        <f>"CONF-"&amp;TEXT(us_core_reqs[[#This Row],[ID*]], "0000")</f>
        <v>CONF-0518</v>
      </c>
      <c r="D519" s="11" t="s">
        <v>2267</v>
      </c>
      <c r="E519" s="73" t="str" cm="1">
        <f t="array" ref="E519">_xlfn.TEXTJOIN(", ", TRUE, _xlfn.TEXTAFTER(_xlfn.TEXTSPLIT(us_core_reqs[[#This Row],[URL*]], ", "), "/", -1))</f>
        <v>StructureDefinition-us-core-servicerequest.html#profile-specific-implementation-guidance</v>
      </c>
      <c r="F519" s="11" t="s">
        <v>2136</v>
      </c>
      <c r="G519" t="s">
        <v>29</v>
      </c>
      <c r="H519" cm="1">
        <f t="array" ref="H519">_xlfn.SWITCH(G519, "SHALL", 1, "SHOULD", 3, "MAY", 5, "SHOULD-NOT", 4, "SHALL-NOT", 2, "DEPRECATED", 6, 99)</f>
        <v>1</v>
      </c>
      <c r="J519" t="s">
        <v>30</v>
      </c>
      <c r="K519" t="b">
        <v>1</v>
      </c>
      <c r="L519" t="s">
        <v>1171</v>
      </c>
      <c r="M519" t="s">
        <v>1176</v>
      </c>
      <c r="N519" t="s">
        <v>1071</v>
      </c>
      <c r="O519" t="s">
        <v>1171</v>
      </c>
      <c r="P519" t="s">
        <v>1171</v>
      </c>
      <c r="Q519" t="s">
        <v>1171</v>
      </c>
      <c r="R519" t="s">
        <v>1171</v>
      </c>
      <c r="S519" s="70" t="str" cm="1">
        <f t="array" ref="S519">_xlfn.TEXTJOIN(",",TRUE,LEFT(TRIM(_xlfn.TEXTSPLIT(us_core_reqs[[#This Row],[reference]],",")),FIND(".html",TRIM(_xlfn.TEXTSPLIT(us_core_reqs[[#This Row],[reference]],",")))-1))</f>
        <v>StructureDefinition-us-core-servicerequest</v>
      </c>
      <c r="T519" s="70" t="str" cm="1">
        <f t="array" ref="T519">_xlfn.TEXTJOIN(",",TRUE,MID(TRIM(_xlfn.TEXTSPLIT(us_core_reqs[[#This Row],[reference]],",")),FIND("#",TRIM(_xlfn.TEXTSPLIT(us_core_reqs[[#This Row],[reference]],","))&amp;"#")+1,1000))</f>
        <v>profile-specific-implementation-guidance</v>
      </c>
      <c r="U519"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t="s">
        <v>29</v>
      </c>
      <c r="W519" t="s">
        <v>30</v>
      </c>
      <c r="X519" t="s">
        <v>1171</v>
      </c>
      <c r="Y519" t="s">
        <v>1171</v>
      </c>
      <c r="Z519" t="s">
        <v>1171</v>
      </c>
      <c r="AA519" t="s">
        <v>1171</v>
      </c>
      <c r="AB519" t="s">
        <v>1171</v>
      </c>
      <c r="AC519" t="s">
        <v>405</v>
      </c>
      <c r="AD519" t="s">
        <v>1140</v>
      </c>
      <c r="AE519" t="s">
        <v>1171</v>
      </c>
    </row>
    <row r="520" spans="1:31" ht="52" thickBot="1" x14ac:dyDescent="0.25">
      <c r="A520" t="s">
        <v>1171</v>
      </c>
      <c r="B520" t="s">
        <v>1692</v>
      </c>
      <c r="C520" t="str">
        <f>"CONF-"&amp;TEXT(us_core_reqs[[#This Row],[ID*]], "0000")</f>
        <v>CONF-0519</v>
      </c>
      <c r="D520" s="11" t="s">
        <v>2267</v>
      </c>
      <c r="E520" s="73" t="str" cm="1">
        <f t="array" ref="E520">_xlfn.TEXTJOIN(", ", TRUE, _xlfn.TEXTAFTER(_xlfn.TEXTSPLIT(us_core_reqs[[#This Row],[URL*]], ", "), "/", -1))</f>
        <v>StructureDefinition-us-core-servicerequest.html#profile-specific-implementation-guidance</v>
      </c>
      <c r="F520" s="11" t="s">
        <v>2137</v>
      </c>
      <c r="G520" t="s">
        <v>29</v>
      </c>
      <c r="H520" cm="1">
        <f t="array" ref="H520">_xlfn.SWITCH(G520, "SHALL", 1, "SHOULD", 3, "MAY", 5, "SHOULD-NOT", 4, "SHALL-NOT", 2, "DEPRECATED", 6, 99)</f>
        <v>1</v>
      </c>
      <c r="J520" t="s">
        <v>58</v>
      </c>
      <c r="K520" t="s">
        <v>1171</v>
      </c>
      <c r="L520" t="s">
        <v>1171</v>
      </c>
      <c r="M520" t="s">
        <v>1176</v>
      </c>
      <c r="N520" t="s">
        <v>500</v>
      </c>
      <c r="O520" t="s">
        <v>1171</v>
      </c>
      <c r="P520" t="s">
        <v>1171</v>
      </c>
      <c r="Q520" t="s">
        <v>1171</v>
      </c>
      <c r="R520" t="s">
        <v>1171</v>
      </c>
      <c r="S520" s="70" t="str" cm="1">
        <f t="array" ref="S520">_xlfn.TEXTJOIN(",",TRUE,LEFT(TRIM(_xlfn.TEXTSPLIT(us_core_reqs[[#This Row],[reference]],",")),FIND(".html",TRIM(_xlfn.TEXTSPLIT(us_core_reqs[[#This Row],[reference]],",")))-1))</f>
        <v>StructureDefinition-us-core-servicerequest</v>
      </c>
      <c r="T520" s="70" t="str" cm="1">
        <f t="array" ref="T520">_xlfn.TEXTJOIN(",",TRUE,MID(TRIM(_xlfn.TEXTSPLIT(us_core_reqs[[#This Row],[reference]],",")),FIND("#",TRIM(_xlfn.TEXTSPLIT(us_core_reqs[[#This Row],[reference]],","))&amp;"#")+1,1000))</f>
        <v>profile-specific-implementation-guidance</v>
      </c>
      <c r="U520"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t="s">
        <v>29</v>
      </c>
      <c r="W520" t="s">
        <v>58</v>
      </c>
      <c r="X520" t="s">
        <v>1171</v>
      </c>
      <c r="Y520" t="s">
        <v>1171</v>
      </c>
      <c r="Z520" t="s">
        <v>1171</v>
      </c>
      <c r="AA520" t="s">
        <v>1171</v>
      </c>
      <c r="AB520" t="s">
        <v>1171</v>
      </c>
      <c r="AC520" t="s">
        <v>405</v>
      </c>
      <c r="AD520" t="s">
        <v>1171</v>
      </c>
      <c r="AE520" t="s">
        <v>1171</v>
      </c>
    </row>
    <row r="521" spans="1:31" ht="69" thickBot="1" x14ac:dyDescent="0.25">
      <c r="A521" t="s">
        <v>1171</v>
      </c>
      <c r="B521" t="s">
        <v>1693</v>
      </c>
      <c r="C521" t="str">
        <f>"CONF-"&amp;TEXT(us_core_reqs[[#This Row],[ID*]], "0000")</f>
        <v>CONF-0520</v>
      </c>
      <c r="D521" s="11" t="s">
        <v>2267</v>
      </c>
      <c r="E521" s="73" t="str" cm="1">
        <f t="array" ref="E521">_xlfn.TEXTJOIN(", ", TRUE, _xlfn.TEXTAFTER(_xlfn.TEXTSPLIT(us_core_reqs[[#This Row],[URL*]], ", "), "/", -1))</f>
        <v>StructureDefinition-us-core-servicerequest.html#profile-specific-implementation-guidance</v>
      </c>
      <c r="F521" s="11" t="s">
        <v>2138</v>
      </c>
      <c r="G521" t="s">
        <v>29</v>
      </c>
      <c r="H521" cm="1">
        <f t="array" ref="H521">_xlfn.SWITCH(G521, "SHALL", 1, "SHOULD", 3, "MAY", 5, "SHOULD-NOT", 4, "SHALL-NOT", 2, "DEPRECATED", 6, 99)</f>
        <v>1</v>
      </c>
      <c r="J521" t="s">
        <v>30</v>
      </c>
      <c r="K521" t="b">
        <v>1</v>
      </c>
      <c r="L521" t="s">
        <v>1171</v>
      </c>
      <c r="M521" t="s">
        <v>1176</v>
      </c>
      <c r="N521" t="s">
        <v>503</v>
      </c>
      <c r="O521" t="s">
        <v>1171</v>
      </c>
      <c r="P521" t="s">
        <v>1171</v>
      </c>
      <c r="Q521" t="s">
        <v>1171</v>
      </c>
      <c r="R521" t="s">
        <v>1171</v>
      </c>
      <c r="S521" s="70" t="str" cm="1">
        <f t="array" ref="S521">_xlfn.TEXTJOIN(",",TRUE,LEFT(TRIM(_xlfn.TEXTSPLIT(us_core_reqs[[#This Row],[reference]],",")),FIND(".html",TRIM(_xlfn.TEXTSPLIT(us_core_reqs[[#This Row],[reference]],",")))-1))</f>
        <v>StructureDefinition-us-core-servicerequest</v>
      </c>
      <c r="T521" s="70" t="str" cm="1">
        <f t="array" ref="T521">_xlfn.TEXTJOIN(",",TRUE,MID(TRIM(_xlfn.TEXTSPLIT(us_core_reqs[[#This Row],[reference]],",")),FIND("#",TRIM(_xlfn.TEXTSPLIT(us_core_reqs[[#This Row],[reference]],","))&amp;"#")+1,1000))</f>
        <v>profile-specific-implementation-guidance</v>
      </c>
      <c r="U521"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t="s">
        <v>29</v>
      </c>
      <c r="W521" t="s">
        <v>30</v>
      </c>
      <c r="X521" t="s">
        <v>1171</v>
      </c>
      <c r="Y521" t="s">
        <v>1171</v>
      </c>
      <c r="Z521" t="s">
        <v>1171</v>
      </c>
      <c r="AA521" t="s">
        <v>1171</v>
      </c>
      <c r="AB521" t="s">
        <v>1171</v>
      </c>
      <c r="AC521" t="s">
        <v>405</v>
      </c>
      <c r="AD521" t="s">
        <v>1140</v>
      </c>
      <c r="AE521" t="s">
        <v>1171</v>
      </c>
    </row>
    <row r="522" spans="1:31" ht="69" thickBot="1" x14ac:dyDescent="0.25">
      <c r="A522" t="s">
        <v>1171</v>
      </c>
      <c r="B522" t="s">
        <v>1694</v>
      </c>
      <c r="C522" t="str">
        <f>"CONF-"&amp;TEXT(us_core_reqs[[#This Row],[ID*]], "0000")</f>
        <v>CONF-0521</v>
      </c>
      <c r="D522" s="11" t="s">
        <v>2267</v>
      </c>
      <c r="E522" s="73" t="str" cm="1">
        <f t="array" ref="E522">_xlfn.TEXTJOIN(", ", TRUE, _xlfn.TEXTAFTER(_xlfn.TEXTSPLIT(us_core_reqs[[#This Row],[URL*]], ", "), "/", -1))</f>
        <v>StructureDefinition-us-core-servicerequest.html#profile-specific-implementation-guidance</v>
      </c>
      <c r="F522" s="11" t="s">
        <v>2139</v>
      </c>
      <c r="G522" t="s">
        <v>29</v>
      </c>
      <c r="H522" cm="1">
        <f t="array" ref="H522">_xlfn.SWITCH(G522, "SHALL", 1, "SHOULD", 3, "MAY", 5, "SHOULD-NOT", 4, "SHALL-NOT", 2, "DEPRECATED", 6, 99)</f>
        <v>1</v>
      </c>
      <c r="J522" t="s">
        <v>58</v>
      </c>
      <c r="K522" t="s">
        <v>1171</v>
      </c>
      <c r="L522" t="s">
        <v>1171</v>
      </c>
      <c r="M522" t="s">
        <v>1176</v>
      </c>
      <c r="N522" t="s">
        <v>503</v>
      </c>
      <c r="O522" t="s">
        <v>1171</v>
      </c>
      <c r="P522" t="s">
        <v>1171</v>
      </c>
      <c r="Q522" t="s">
        <v>1171</v>
      </c>
      <c r="R522" t="s">
        <v>1171</v>
      </c>
      <c r="S522" s="70" t="str" cm="1">
        <f t="array" ref="S522">_xlfn.TEXTJOIN(",",TRUE,LEFT(TRIM(_xlfn.TEXTSPLIT(us_core_reqs[[#This Row],[reference]],",")),FIND(".html",TRIM(_xlfn.TEXTSPLIT(us_core_reqs[[#This Row],[reference]],",")))-1))</f>
        <v>StructureDefinition-us-core-servicerequest</v>
      </c>
      <c r="T522" s="70" t="str" cm="1">
        <f t="array" ref="T522">_xlfn.TEXTJOIN(",",TRUE,MID(TRIM(_xlfn.TEXTSPLIT(us_core_reqs[[#This Row],[reference]],",")),FIND("#",TRIM(_xlfn.TEXTSPLIT(us_core_reqs[[#This Row],[reference]],","))&amp;"#")+1,1000))</f>
        <v>profile-specific-implementation-guidance</v>
      </c>
      <c r="U522"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t="s">
        <v>29</v>
      </c>
      <c r="W522" t="s">
        <v>58</v>
      </c>
      <c r="X522" t="s">
        <v>1171</v>
      </c>
      <c r="Y522" t="s">
        <v>1171</v>
      </c>
      <c r="Z522" t="s">
        <v>1171</v>
      </c>
      <c r="AA522" t="s">
        <v>1171</v>
      </c>
      <c r="AB522" t="s">
        <v>1171</v>
      </c>
      <c r="AC522" t="s">
        <v>405</v>
      </c>
      <c r="AD522" t="s">
        <v>1171</v>
      </c>
      <c r="AE522" t="s">
        <v>1171</v>
      </c>
    </row>
    <row r="523" spans="1:31" ht="103" thickBot="1" x14ac:dyDescent="0.25">
      <c r="A523" t="s">
        <v>1171</v>
      </c>
      <c r="B523" t="s">
        <v>1695</v>
      </c>
      <c r="C523" t="str">
        <f>"CONF-"&amp;TEXT(us_core_reqs[[#This Row],[ID*]], "0000")</f>
        <v>CONF-0522</v>
      </c>
      <c r="D523" s="11" t="s">
        <v>2267</v>
      </c>
      <c r="E523" s="73" t="str" cm="1">
        <f t="array" ref="E523">_xlfn.TEXTJOIN(", ", TRUE, _xlfn.TEXTAFTER(_xlfn.TEXTSPLIT(us_core_reqs[[#This Row],[URL*]], ", "), "/", -1))</f>
        <v>StructureDefinition-us-core-servicerequest.html#profile-specific-implementation-guidance</v>
      </c>
      <c r="F523" s="11" t="s">
        <v>2004</v>
      </c>
      <c r="G523" t="s">
        <v>32</v>
      </c>
      <c r="H523" cm="1">
        <f t="array" ref="H523">_xlfn.SWITCH(G523, "SHALL", 1, "SHOULD", 3, "MAY", 5, "SHOULD-NOT", 4, "SHALL-NOT", 2, "DEPRECATED", 6, 99)</f>
        <v>3</v>
      </c>
      <c r="J523" t="s">
        <v>30</v>
      </c>
      <c r="K523" t="b">
        <v>1</v>
      </c>
      <c r="L523" t="s">
        <v>1171</v>
      </c>
      <c r="M523" t="s">
        <v>1176</v>
      </c>
      <c r="N523" t="s">
        <v>503</v>
      </c>
      <c r="O523" t="s">
        <v>1171</v>
      </c>
      <c r="P523" t="s">
        <v>1171</v>
      </c>
      <c r="Q523" t="s">
        <v>1171</v>
      </c>
      <c r="R523" t="s">
        <v>1171</v>
      </c>
      <c r="S523" s="70" t="str" cm="1">
        <f t="array" ref="S523">_xlfn.TEXTJOIN(",",TRUE,LEFT(TRIM(_xlfn.TEXTSPLIT(us_core_reqs[[#This Row],[reference]],",")),FIND(".html",TRIM(_xlfn.TEXTSPLIT(us_core_reqs[[#This Row],[reference]],",")))-1))</f>
        <v>StructureDefinition-us-core-servicerequest</v>
      </c>
      <c r="T523" s="70" t="str" cm="1">
        <f t="array" ref="T523">_xlfn.TEXTJOIN(",",TRUE,MID(TRIM(_xlfn.TEXTSPLIT(us_core_reqs[[#This Row],[reference]],",")),FIND("#",TRIM(_xlfn.TEXTSPLIT(us_core_reqs[[#This Row],[reference]],","))&amp;"#")+1,1000))</f>
        <v>profile-specific-implementation-guidance</v>
      </c>
      <c r="U523"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t="s">
        <v>32</v>
      </c>
      <c r="W523" t="s">
        <v>1171</v>
      </c>
      <c r="X523" t="s">
        <v>1171</v>
      </c>
      <c r="Y523" t="s">
        <v>1171</v>
      </c>
      <c r="Z523" t="s">
        <v>1171</v>
      </c>
      <c r="AA523" t="s">
        <v>1171</v>
      </c>
      <c r="AB523" t="s">
        <v>1171</v>
      </c>
      <c r="AC523" t="s">
        <v>405</v>
      </c>
      <c r="AD523" t="s">
        <v>1171</v>
      </c>
      <c r="AE523" t="s">
        <v>1171</v>
      </c>
    </row>
    <row r="524" spans="1:31" ht="52" thickBot="1" x14ac:dyDescent="0.25">
      <c r="A524" t="s">
        <v>1171</v>
      </c>
      <c r="B524" t="s">
        <v>1696</v>
      </c>
      <c r="C524" t="str">
        <f>"CONF-"&amp;TEXT(us_core_reqs[[#This Row],[ID*]], "0000")</f>
        <v>CONF-0523</v>
      </c>
      <c r="D524" s="11" t="s">
        <v>2268</v>
      </c>
      <c r="E524" s="73" t="str" cm="1">
        <f t="array" ref="E524">_xlfn.TEXTJOIN(", ", TRUE, _xlfn.TEXTAFTER(_xlfn.TEXTSPLIT(us_core_reqs[[#This Row],[URL*]], ", "), "/", -1))</f>
        <v>StructureDefinition-us-core-specimen.html#profile-specific-implementation-guidance</v>
      </c>
      <c r="F524" s="11" t="s">
        <v>538</v>
      </c>
      <c r="G524" t="s">
        <v>35</v>
      </c>
      <c r="H524" cm="1">
        <f t="array" ref="H524">_xlfn.SWITCH(G524, "SHALL", 1, "SHOULD", 3, "MAY", 5, "SHOULD-NOT", 4, "SHALL-NOT", 2, "DEPRECATED", 6, 99)</f>
        <v>5</v>
      </c>
      <c r="I524" t="s">
        <v>2332</v>
      </c>
      <c r="J524" t="s">
        <v>30</v>
      </c>
      <c r="K524" t="s">
        <v>1171</v>
      </c>
      <c r="L524" t="s">
        <v>1171</v>
      </c>
      <c r="M524" t="s">
        <v>1173</v>
      </c>
      <c r="N524" t="s">
        <v>1171</v>
      </c>
      <c r="O524" t="s">
        <v>1171</v>
      </c>
      <c r="P524" t="s">
        <v>1171</v>
      </c>
      <c r="Q524" t="s">
        <v>1171</v>
      </c>
      <c r="R524" t="s">
        <v>1171</v>
      </c>
      <c r="S524" s="70" t="str" cm="1">
        <f t="array" ref="S524">_xlfn.TEXTJOIN(",",TRUE,LEFT(TRIM(_xlfn.TEXTSPLIT(us_core_reqs[[#This Row],[reference]],",")),FIND(".html",TRIM(_xlfn.TEXTSPLIT(us_core_reqs[[#This Row],[reference]],",")))-1))</f>
        <v>StructureDefinition-us-core-specimen</v>
      </c>
      <c r="T524" s="70" t="str" cm="1">
        <f t="array" ref="T524">_xlfn.TEXTJOIN(",",TRUE,MID(TRIM(_xlfn.TEXTSPLIT(us_core_reqs[[#This Row],[reference]],",")),FIND("#",TRIM(_xlfn.TEXTSPLIT(us_core_reqs[[#This Row],[reference]],","))&amp;"#")+1,1000))</f>
        <v>profile-specific-implementation-guidance</v>
      </c>
      <c r="U524"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t="s">
        <v>1171</v>
      </c>
      <c r="W524" t="s">
        <v>1171</v>
      </c>
      <c r="X524" t="s">
        <v>1171</v>
      </c>
      <c r="Y524" t="s">
        <v>1171</v>
      </c>
      <c r="Z524" t="s">
        <v>1171</v>
      </c>
      <c r="AA524" t="s">
        <v>1171</v>
      </c>
      <c r="AB524" t="s">
        <v>1171</v>
      </c>
      <c r="AC524" t="s">
        <v>1171</v>
      </c>
      <c r="AD524" t="s">
        <v>1171</v>
      </c>
      <c r="AE524" t="s">
        <v>1171</v>
      </c>
    </row>
    <row r="525" spans="1:31" ht="52" thickBot="1" x14ac:dyDescent="0.25">
      <c r="A525" t="s">
        <v>1171</v>
      </c>
      <c r="B525" t="s">
        <v>1697</v>
      </c>
      <c r="C525" t="str">
        <f>"CONF-"&amp;TEXT(us_core_reqs[[#This Row],[ID*]], "0000")</f>
        <v>CONF-0524</v>
      </c>
      <c r="D525" s="11" t="s">
        <v>2268</v>
      </c>
      <c r="E525" s="73" t="str" cm="1">
        <f t="array" ref="E525">_xlfn.TEXTJOIN(", ", TRUE, _xlfn.TEXTAFTER(_xlfn.TEXTSPLIT(us_core_reqs[[#This Row],[URL*]], ", "), "/", -1))</f>
        <v>StructureDefinition-us-core-specimen.html#profile-specific-implementation-guidance</v>
      </c>
      <c r="F525" s="11" t="s">
        <v>2140</v>
      </c>
      <c r="G525" t="s">
        <v>29</v>
      </c>
      <c r="H525" cm="1">
        <f t="array" ref="H525">_xlfn.SWITCH(G525, "SHALL", 1, "SHOULD", 3, "MAY", 5, "SHOULD-NOT", 4, "SHALL-NOT", 2, "DEPRECATED", 6, 99)</f>
        <v>1</v>
      </c>
      <c r="J525" t="s">
        <v>30</v>
      </c>
      <c r="K525" t="s">
        <v>1171</v>
      </c>
      <c r="L525" t="s">
        <v>1171</v>
      </c>
      <c r="M525" t="s">
        <v>1176</v>
      </c>
      <c r="N525" t="s">
        <v>539</v>
      </c>
      <c r="O525" t="s">
        <v>1171</v>
      </c>
      <c r="P525" t="s">
        <v>1171</v>
      </c>
      <c r="Q525" t="s">
        <v>1171</v>
      </c>
      <c r="R525" t="s">
        <v>1171</v>
      </c>
      <c r="S525" s="70" t="str" cm="1">
        <f t="array" ref="S525">_xlfn.TEXTJOIN(",",TRUE,LEFT(TRIM(_xlfn.TEXTSPLIT(us_core_reqs[[#This Row],[reference]],",")),FIND(".html",TRIM(_xlfn.TEXTSPLIT(us_core_reqs[[#This Row],[reference]],",")))-1))</f>
        <v>StructureDefinition-us-core-specimen</v>
      </c>
      <c r="T525" s="70" t="str" cm="1">
        <f t="array" ref="T525">_xlfn.TEXTJOIN(",",TRUE,MID(TRIM(_xlfn.TEXTSPLIT(us_core_reqs[[#This Row],[reference]],",")),FIND("#",TRIM(_xlfn.TEXTSPLIT(us_core_reqs[[#This Row],[reference]],","))&amp;"#")+1,1000))</f>
        <v>profile-specific-implementation-guidance</v>
      </c>
      <c r="U525"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t="s">
        <v>29</v>
      </c>
      <c r="W525" t="s">
        <v>30</v>
      </c>
      <c r="X525" t="s">
        <v>1171</v>
      </c>
      <c r="Y525" t="s">
        <v>1171</v>
      </c>
      <c r="Z525" t="s">
        <v>1171</v>
      </c>
      <c r="AA525" t="s">
        <v>1171</v>
      </c>
      <c r="AB525" t="s">
        <v>1171</v>
      </c>
      <c r="AC525" t="s">
        <v>1171</v>
      </c>
      <c r="AD525" t="s">
        <v>1143</v>
      </c>
      <c r="AE525" t="s">
        <v>1171</v>
      </c>
    </row>
    <row r="526" spans="1:31" ht="35" thickBot="1" x14ac:dyDescent="0.25">
      <c r="A526" t="s">
        <v>1171</v>
      </c>
      <c r="B526" t="s">
        <v>1698</v>
      </c>
      <c r="C526" t="str">
        <f>"CONF-"&amp;TEXT(us_core_reqs[[#This Row],[ID*]], "0000")</f>
        <v>CONF-0525</v>
      </c>
      <c r="D526" s="11" t="s">
        <v>2268</v>
      </c>
      <c r="E526" s="73" t="str" cm="1">
        <f t="array" ref="E526">_xlfn.TEXTJOIN(", ", TRUE, _xlfn.TEXTAFTER(_xlfn.TEXTSPLIT(us_core_reqs[[#This Row],[URL*]], ", "), "/", -1))</f>
        <v>StructureDefinition-us-core-specimen.html#profile-specific-implementation-guidance</v>
      </c>
      <c r="F526" s="11" t="s">
        <v>2141</v>
      </c>
      <c r="G526" t="s">
        <v>29</v>
      </c>
      <c r="H526" cm="1">
        <f t="array" ref="H526">_xlfn.SWITCH(G526, "SHALL", 1, "SHOULD", 3, "MAY", 5, "SHOULD-NOT", 4, "SHALL-NOT", 2, "DEPRECATED", 6, 99)</f>
        <v>1</v>
      </c>
      <c r="J526" t="s">
        <v>58</v>
      </c>
      <c r="K526" t="s">
        <v>1171</v>
      </c>
      <c r="L526" t="s">
        <v>1171</v>
      </c>
      <c r="M526" t="s">
        <v>1176</v>
      </c>
      <c r="N526" t="s">
        <v>1171</v>
      </c>
      <c r="O526" t="s">
        <v>1171</v>
      </c>
      <c r="P526" t="s">
        <v>1171</v>
      </c>
      <c r="Q526" t="s">
        <v>1171</v>
      </c>
      <c r="R526" t="s">
        <v>1171</v>
      </c>
      <c r="S526" s="70" t="str" cm="1">
        <f t="array" ref="S526">_xlfn.TEXTJOIN(",",TRUE,LEFT(TRIM(_xlfn.TEXTSPLIT(us_core_reqs[[#This Row],[reference]],",")),FIND(".html",TRIM(_xlfn.TEXTSPLIT(us_core_reqs[[#This Row],[reference]],",")))-1))</f>
        <v>StructureDefinition-us-core-specimen</v>
      </c>
      <c r="T526" s="70" t="str" cm="1">
        <f t="array" ref="T526">_xlfn.TEXTJOIN(",",TRUE,MID(TRIM(_xlfn.TEXTSPLIT(us_core_reqs[[#This Row],[reference]],",")),FIND("#",TRIM(_xlfn.TEXTSPLIT(us_core_reqs[[#This Row],[reference]],","))&amp;"#")+1,1000))</f>
        <v>profile-specific-implementation-guidance</v>
      </c>
      <c r="U526"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t="s">
        <v>29</v>
      </c>
      <c r="W526" t="s">
        <v>58</v>
      </c>
      <c r="X526" t="s">
        <v>1171</v>
      </c>
      <c r="Y526" t="s">
        <v>1171</v>
      </c>
      <c r="Z526" t="s">
        <v>1171</v>
      </c>
      <c r="AA526" t="s">
        <v>1171</v>
      </c>
      <c r="AB526" t="s">
        <v>1171</v>
      </c>
      <c r="AC526" t="s">
        <v>1171</v>
      </c>
      <c r="AD526" t="s">
        <v>1171</v>
      </c>
      <c r="AE526" t="s">
        <v>1171</v>
      </c>
    </row>
    <row r="527" spans="1:31" ht="35" thickBot="1" x14ac:dyDescent="0.25">
      <c r="A527" t="s">
        <v>1171</v>
      </c>
      <c r="B527" t="s">
        <v>1699</v>
      </c>
      <c r="C527" t="str">
        <f>"CONF-"&amp;TEXT(us_core_reqs[[#This Row],[ID*]], "0000")</f>
        <v>CONF-0526</v>
      </c>
      <c r="D527" s="11" t="s">
        <v>2268</v>
      </c>
      <c r="E527" s="73" t="str" cm="1">
        <f t="array" ref="E527">_xlfn.TEXTJOIN(", ", TRUE, _xlfn.TEXTAFTER(_xlfn.TEXTSPLIT(us_core_reqs[[#This Row],[URL*]], ", "), "/", -1))</f>
        <v>StructureDefinition-us-core-specimen.html#profile-specific-implementation-guidance</v>
      </c>
      <c r="F527" s="11" t="s">
        <v>540</v>
      </c>
      <c r="G527" t="s">
        <v>35</v>
      </c>
      <c r="H527" cm="1">
        <f t="array" ref="H527">_xlfn.SWITCH(G527, "SHALL", 1, "SHOULD", 3, "MAY", 5, "SHOULD-NOT", 4, "SHALL-NOT", 2, "DEPRECATED", 6, 99)</f>
        <v>5</v>
      </c>
      <c r="I527" t="s">
        <v>2333</v>
      </c>
      <c r="J527" t="s">
        <v>58</v>
      </c>
      <c r="K527" t="s">
        <v>1171</v>
      </c>
      <c r="L527" t="s">
        <v>1171</v>
      </c>
      <c r="M527" t="s">
        <v>1173</v>
      </c>
      <c r="N527" t="s">
        <v>1171</v>
      </c>
      <c r="O527" t="s">
        <v>1171</v>
      </c>
      <c r="P527" t="s">
        <v>1171</v>
      </c>
      <c r="Q527" t="s">
        <v>1171</v>
      </c>
      <c r="R527" t="s">
        <v>1171</v>
      </c>
      <c r="S527" s="70" t="str" cm="1">
        <f t="array" ref="S527">_xlfn.TEXTJOIN(",",TRUE,LEFT(TRIM(_xlfn.TEXTSPLIT(us_core_reqs[[#This Row],[reference]],",")),FIND(".html",TRIM(_xlfn.TEXTSPLIT(us_core_reqs[[#This Row],[reference]],",")))-1))</f>
        <v>StructureDefinition-us-core-specimen</v>
      </c>
      <c r="T527" s="70" t="str" cm="1">
        <f t="array" ref="T527">_xlfn.TEXTJOIN(",",TRUE,MID(TRIM(_xlfn.TEXTSPLIT(us_core_reqs[[#This Row],[reference]],",")),FIND("#",TRIM(_xlfn.TEXTSPLIT(us_core_reqs[[#This Row],[reference]],","))&amp;"#")+1,1000))</f>
        <v>profile-specific-implementation-guidance</v>
      </c>
      <c r="U527"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t="s">
        <v>35</v>
      </c>
      <c r="W527" t="s">
        <v>58</v>
      </c>
      <c r="X527" t="s">
        <v>1171</v>
      </c>
      <c r="Y527" t="s">
        <v>1171</v>
      </c>
      <c r="Z527" t="s">
        <v>1171</v>
      </c>
      <c r="AA527" t="s">
        <v>1171</v>
      </c>
      <c r="AB527" t="s">
        <v>1171</v>
      </c>
      <c r="AC527" t="s">
        <v>1171</v>
      </c>
      <c r="AD527" t="s">
        <v>1171</v>
      </c>
      <c r="AE527" t="s">
        <v>1171</v>
      </c>
    </row>
    <row r="528" spans="1:31" ht="52" thickBot="1" x14ac:dyDescent="0.25">
      <c r="A528" t="s">
        <v>1171</v>
      </c>
      <c r="B528" t="s">
        <v>1700</v>
      </c>
      <c r="C528" t="str">
        <f>"CONF-"&amp;TEXT(us_core_reqs[[#This Row],[ID*]], "0000")</f>
        <v>CONF-0527</v>
      </c>
      <c r="D528" t="s">
        <v>958</v>
      </c>
      <c r="E528" s="73" t="str" cm="1">
        <f t="array" ref="E528">_xlfn.TEXTJOIN(", ", TRUE, _xlfn.TEXTAFTER(_xlfn.TEXTSPLIT(us_core_reqs[[#This Row],[URL*]], ", "), "/", -1))</f>
        <v>CapabilityStatement-us-core-Client.html#should_igs</v>
      </c>
      <c r="F528" s="11" t="s">
        <v>2005</v>
      </c>
      <c r="G528" t="s">
        <v>64</v>
      </c>
      <c r="H528" cm="1">
        <f t="array" ref="H528">_xlfn.SWITCH(G528, "SHALL", 1, "SHOULD", 3, "MAY", 5, "SHOULD-NOT", 4, "SHALL-NOT", 2, "DEPRECATED", 6, 99)</f>
        <v>6</v>
      </c>
      <c r="I528" t="s">
        <v>2334</v>
      </c>
      <c r="J528" t="s">
        <v>58</v>
      </c>
      <c r="K528" t="s">
        <v>1171</v>
      </c>
      <c r="L528" t="s">
        <v>1171</v>
      </c>
      <c r="M528" t="s">
        <v>1173</v>
      </c>
      <c r="N528" t="s">
        <v>1171</v>
      </c>
      <c r="O528" t="s">
        <v>1171</v>
      </c>
      <c r="P528" t="s">
        <v>1171</v>
      </c>
      <c r="Q528" t="s">
        <v>1171</v>
      </c>
      <c r="R528" t="s">
        <v>1171</v>
      </c>
      <c r="S528" s="70" t="str" cm="1">
        <f t="array" ref="S528">_xlfn.TEXTJOIN(",",TRUE,LEFT(TRIM(_xlfn.TEXTSPLIT(us_core_reqs[[#This Row],[reference]],",")),FIND(".html",TRIM(_xlfn.TEXTSPLIT(us_core_reqs[[#This Row],[reference]],",")))-1))</f>
        <v>CapabilityStatement-us-core-Client</v>
      </c>
      <c r="T528" s="70" t="str" cm="1">
        <f t="array" ref="T528">_xlfn.TEXTJOIN(",",TRUE,MID(TRIM(_xlfn.TEXTSPLIT(us_core_reqs[[#This Row],[reference]],",")),FIND("#",TRIM(_xlfn.TEXTSPLIT(us_core_reqs[[#This Row],[reference]],","))&amp;"#")+1,1000))</f>
        <v>should_igs</v>
      </c>
      <c r="U528" t="str" cm="1">
        <f t="array" ref="U528">_xlfn.TEXTJOIN(", ",TRUE,SUBSTITUTE(SUBSTITUTE(PROPER(SUBSTITUTE(TRIM(_xlfn.TEXTSPLIT(us_core_reqs[[#This Row],[Page]],","))," -"," "))&amp;": "&amp;PROPER(SUBSTITUTE(TRIM(_xlfn.TEXTSPLIT(us_core_reqs[[#This Row],[Section]],","))," -"," ")),"Us ","US        
  "),"Uscdi","USCDI"))</f>
        <v>Capabilitystatement-Us-Core-Client: Should_Igs</v>
      </c>
      <c r="V528" t="s">
        <v>32</v>
      </c>
      <c r="W528" t="s">
        <v>58</v>
      </c>
      <c r="X528" t="s">
        <v>1171</v>
      </c>
      <c r="Y528" t="s">
        <v>1171</v>
      </c>
      <c r="Z528" t="s">
        <v>1171</v>
      </c>
      <c r="AA528" t="s">
        <v>1171</v>
      </c>
      <c r="AB528" t="s">
        <v>1171</v>
      </c>
      <c r="AC528" t="s">
        <v>745</v>
      </c>
      <c r="AD528" t="s">
        <v>1171</v>
      </c>
      <c r="AE528" t="s">
        <v>1171</v>
      </c>
    </row>
    <row r="529" spans="1:31" ht="35" thickBot="1" x14ac:dyDescent="0.25">
      <c r="A529" t="s">
        <v>1171</v>
      </c>
      <c r="B529" t="s">
        <v>1701</v>
      </c>
      <c r="C529" t="str">
        <f>"CONF-"&amp;TEXT(us_core_reqs[[#This Row],[ID*]], "0000")</f>
        <v>CONF-0528</v>
      </c>
      <c r="D529" s="11" t="s">
        <v>959</v>
      </c>
      <c r="E529" s="73" t="str" cm="1">
        <f t="array" ref="E529">_xlfn.TEXTJOIN(", ", TRUE, _xlfn.TEXTAFTER(_xlfn.TEXTSPLIT(us_core_reqs[[#This Row],[URL*]], ", "), "/", -1))</f>
        <v>CapabilityStatement-us-core-Client.html#behavior</v>
      </c>
      <c r="F529" s="11" t="s">
        <v>2152</v>
      </c>
      <c r="G529" t="s">
        <v>64</v>
      </c>
      <c r="H529" cm="1">
        <f t="array" ref="H529">_xlfn.SWITCH(G529, "SHALL", 1, "SHOULD", 3, "MAY", 5, "SHOULD-NOT", 4, "SHALL-NOT", 2, "DEPRECATED", 6, 99)</f>
        <v>6</v>
      </c>
      <c r="I529" t="s">
        <v>2334</v>
      </c>
      <c r="J529" t="s">
        <v>58</v>
      </c>
      <c r="K529" t="s">
        <v>1171</v>
      </c>
      <c r="L529" t="s">
        <v>1171</v>
      </c>
      <c r="M529" t="s">
        <v>1173</v>
      </c>
      <c r="N529" t="s">
        <v>1171</v>
      </c>
      <c r="O529" t="s">
        <v>1171</v>
      </c>
      <c r="P529" t="s">
        <v>1171</v>
      </c>
      <c r="Q529" t="s">
        <v>1171</v>
      </c>
      <c r="R529" t="s">
        <v>1171</v>
      </c>
      <c r="S529" s="70" t="str" cm="1">
        <f t="array" ref="S529">_xlfn.TEXTJOIN(",",TRUE,LEFT(TRIM(_xlfn.TEXTSPLIT(us_core_reqs[[#This Row],[reference]],",")),FIND(".html",TRIM(_xlfn.TEXTSPLIT(us_core_reqs[[#This Row],[reference]],",")))-1))</f>
        <v>CapabilityStatement-us-core-Client</v>
      </c>
      <c r="T529" s="70" t="str" cm="1">
        <f t="array" ref="T529">_xlfn.TEXTJOIN(",",TRUE,MID(TRIM(_xlfn.TEXTSPLIT(us_core_reqs[[#This Row],[reference]],",")),FIND("#",TRIM(_xlfn.TEXTSPLIT(us_core_reqs[[#This Row],[reference]],","))&amp;"#")+1,1000))</f>
        <v>behavior</v>
      </c>
      <c r="U529" t="str" cm="1">
        <f t="array" ref="U529">_xlfn.TEXTJOIN(", ",TRUE,SUBSTITUTE(SUBSTITUTE(PROPER(SUBSTITUTE(TRIM(_xlfn.TEXTSPLIT(us_core_reqs[[#This Row],[Page]],","))," -"," "))&amp;": "&amp;PROPER(SUBSTITUTE(TRIM(_xlfn.TEXTSPLIT(us_core_reqs[[#This Row],[Section]],","))," -"," ")),"Us ","US        
  "),"Uscdi","USCDI"))</f>
        <v>Capabilitystatement-Us-Core-Client: Behavior</v>
      </c>
      <c r="V529" t="s">
        <v>35</v>
      </c>
      <c r="W529" t="s">
        <v>58</v>
      </c>
      <c r="X529" t="s">
        <v>1171</v>
      </c>
      <c r="Y529" t="s">
        <v>1171</v>
      </c>
      <c r="Z529" t="s">
        <v>1171</v>
      </c>
      <c r="AA529" t="s">
        <v>1171</v>
      </c>
      <c r="AB529" t="s">
        <v>1171</v>
      </c>
      <c r="AC529" t="s">
        <v>1171</v>
      </c>
      <c r="AD529" t="s">
        <v>1171</v>
      </c>
      <c r="AE529" t="s">
        <v>1171</v>
      </c>
    </row>
    <row r="530" spans="1:31" ht="35" thickBot="1" x14ac:dyDescent="0.25">
      <c r="A530" t="s">
        <v>1171</v>
      </c>
      <c r="B530" t="s">
        <v>1702</v>
      </c>
      <c r="C530" t="str">
        <f>"CONF-"&amp;TEXT(us_core_reqs[[#This Row],[ID*]], "0000")</f>
        <v>CONF-0529</v>
      </c>
      <c r="D530" s="11" t="s">
        <v>959</v>
      </c>
      <c r="E530" s="73" t="str" cm="1">
        <f t="array" ref="E530">_xlfn.TEXTJOIN(", ", TRUE, _xlfn.TEXTAFTER(_xlfn.TEXTSPLIT(us_core_reqs[[#This Row],[URL*]], ", "), "/", -1))</f>
        <v>CapabilityStatement-us-core-Client.html#behavior</v>
      </c>
      <c r="F530" s="11" t="s">
        <v>2153</v>
      </c>
      <c r="G530" t="s">
        <v>64</v>
      </c>
      <c r="H530" cm="1">
        <f t="array" ref="H530">_xlfn.SWITCH(G530, "SHALL", 1, "SHOULD", 3, "MAY", 5, "SHOULD-NOT", 4, "SHALL-NOT", 2, "DEPRECATED", 6, 99)</f>
        <v>6</v>
      </c>
      <c r="I530" t="s">
        <v>2334</v>
      </c>
      <c r="J530" t="s">
        <v>58</v>
      </c>
      <c r="K530" t="s">
        <v>1171</v>
      </c>
      <c r="L530" t="s">
        <v>1171</v>
      </c>
      <c r="M530" t="s">
        <v>1173</v>
      </c>
      <c r="N530" t="s">
        <v>1171</v>
      </c>
      <c r="O530" t="s">
        <v>1171</v>
      </c>
      <c r="P530" t="s">
        <v>1171</v>
      </c>
      <c r="Q530" t="s">
        <v>1171</v>
      </c>
      <c r="R530" t="s">
        <v>1171</v>
      </c>
      <c r="S530" s="70" t="str" cm="1">
        <f t="array" ref="S530">_xlfn.TEXTJOIN(",",TRUE,LEFT(TRIM(_xlfn.TEXTSPLIT(us_core_reqs[[#This Row],[reference]],",")),FIND(".html",TRIM(_xlfn.TEXTSPLIT(us_core_reqs[[#This Row],[reference]],",")))-1))</f>
        <v>CapabilityStatement-us-core-Client</v>
      </c>
      <c r="T530" s="70" t="str" cm="1">
        <f t="array" ref="T530">_xlfn.TEXTJOIN(",",TRUE,MID(TRIM(_xlfn.TEXTSPLIT(us_core_reqs[[#This Row],[reference]],",")),FIND("#",TRIM(_xlfn.TEXTSPLIT(us_core_reqs[[#This Row],[reference]],","))&amp;"#")+1,1000))</f>
        <v>behavior</v>
      </c>
      <c r="U530" t="str" cm="1">
        <f t="array" ref="U530">_xlfn.TEXTJOIN(", ",TRUE,SUBSTITUTE(SUBSTITUTE(PROPER(SUBSTITUTE(TRIM(_xlfn.TEXTSPLIT(us_core_reqs[[#This Row],[Page]],","))," -"," "))&amp;": "&amp;PROPER(SUBSTITUTE(TRIM(_xlfn.TEXTSPLIT(us_core_reqs[[#This Row],[Section]],","))," -"," ")),"Us ","US        
  "),"Uscdi","USCDI"))</f>
        <v>Capabilitystatement-Us-Core-Client: Behavior</v>
      </c>
      <c r="V530" t="s">
        <v>35</v>
      </c>
      <c r="W530" t="s">
        <v>58</v>
      </c>
      <c r="X530" t="s">
        <v>1171</v>
      </c>
      <c r="Y530" t="s">
        <v>1171</v>
      </c>
      <c r="Z530" t="s">
        <v>1171</v>
      </c>
      <c r="AA530" t="s">
        <v>1171</v>
      </c>
      <c r="AB530" t="s">
        <v>1171</v>
      </c>
      <c r="AC530" t="s">
        <v>1171</v>
      </c>
      <c r="AD530" t="s">
        <v>1171</v>
      </c>
      <c r="AE530" t="s">
        <v>1171</v>
      </c>
    </row>
    <row r="531" spans="1:31" ht="35" thickBot="1" x14ac:dyDescent="0.25">
      <c r="A531" t="s">
        <v>1171</v>
      </c>
      <c r="B531" t="s">
        <v>1703</v>
      </c>
      <c r="C531" t="str">
        <f>"CONF-"&amp;TEXT(us_core_reqs[[#This Row],[ID*]], "0000")</f>
        <v>CONF-0530</v>
      </c>
      <c r="D531" s="11" t="s">
        <v>959</v>
      </c>
      <c r="E531" s="73" t="str" cm="1">
        <f t="array" ref="E531">_xlfn.TEXTJOIN(", ", TRUE, _xlfn.TEXTAFTER(_xlfn.TEXTSPLIT(us_core_reqs[[#This Row],[URL*]], ", "), "/", -1))</f>
        <v>CapabilityStatement-us-core-Client.html#behavior</v>
      </c>
      <c r="F531" s="11" t="s">
        <v>2154</v>
      </c>
      <c r="G531" t="s">
        <v>64</v>
      </c>
      <c r="H531" cm="1">
        <f t="array" ref="H531">_xlfn.SWITCH(G531, "SHALL", 1, "SHOULD", 3, "MAY", 5, "SHOULD-NOT", 4, "SHALL-NOT", 2, "DEPRECATED", 6, 99)</f>
        <v>6</v>
      </c>
      <c r="I531" t="s">
        <v>2334</v>
      </c>
      <c r="J531" t="s">
        <v>58</v>
      </c>
      <c r="K531" t="s">
        <v>1171</v>
      </c>
      <c r="L531" t="s">
        <v>1171</v>
      </c>
      <c r="M531" t="s">
        <v>1173</v>
      </c>
      <c r="N531" t="s">
        <v>1171</v>
      </c>
      <c r="O531" t="s">
        <v>1171</v>
      </c>
      <c r="P531" t="s">
        <v>1171</v>
      </c>
      <c r="Q531" t="s">
        <v>1171</v>
      </c>
      <c r="R531" t="s">
        <v>1171</v>
      </c>
      <c r="S531" s="70" t="str" cm="1">
        <f t="array" ref="S531">_xlfn.TEXTJOIN(",",TRUE,LEFT(TRIM(_xlfn.TEXTSPLIT(us_core_reqs[[#This Row],[reference]],",")),FIND(".html",TRIM(_xlfn.TEXTSPLIT(us_core_reqs[[#This Row],[reference]],",")))-1))</f>
        <v>CapabilityStatement-us-core-Client</v>
      </c>
      <c r="T531" s="70" t="str" cm="1">
        <f t="array" ref="T531">_xlfn.TEXTJOIN(",",TRUE,MID(TRIM(_xlfn.TEXTSPLIT(us_core_reqs[[#This Row],[reference]],",")),FIND("#",TRIM(_xlfn.TEXTSPLIT(us_core_reqs[[#This Row],[reference]],","))&amp;"#")+1,1000))</f>
        <v>behavior</v>
      </c>
      <c r="U531" t="str" cm="1">
        <f t="array" ref="U531">_xlfn.TEXTJOIN(", ",TRUE,SUBSTITUTE(SUBSTITUTE(PROPER(SUBSTITUTE(TRIM(_xlfn.TEXTSPLIT(us_core_reqs[[#This Row],[Page]],","))," -"," "))&amp;": "&amp;PROPER(SUBSTITUTE(TRIM(_xlfn.TEXTSPLIT(us_core_reqs[[#This Row],[Section]],","))," -"," ")),"Us ","US        
  "),"Uscdi","USCDI"))</f>
        <v>Capabilitystatement-Us-Core-Client: Behavior</v>
      </c>
      <c r="V531" t="s">
        <v>35</v>
      </c>
      <c r="W531" t="s">
        <v>58</v>
      </c>
      <c r="X531" t="s">
        <v>1171</v>
      </c>
      <c r="Y531" t="s">
        <v>1171</v>
      </c>
      <c r="Z531" t="s">
        <v>1171</v>
      </c>
      <c r="AA531" t="s">
        <v>1171</v>
      </c>
      <c r="AB531" t="s">
        <v>1171</v>
      </c>
      <c r="AC531" t="s">
        <v>1171</v>
      </c>
      <c r="AD531" t="s">
        <v>1171</v>
      </c>
      <c r="AE531" t="s">
        <v>1171</v>
      </c>
    </row>
    <row r="532" spans="1:31" ht="35" thickBot="1" x14ac:dyDescent="0.25">
      <c r="A532" t="s">
        <v>1171</v>
      </c>
      <c r="B532" t="s">
        <v>1704</v>
      </c>
      <c r="C532" t="str">
        <f>"CONF-"&amp;TEXT(us_core_reqs[[#This Row],[ID*]], "0000")</f>
        <v>CONF-0531</v>
      </c>
      <c r="D532" s="11" t="s">
        <v>959</v>
      </c>
      <c r="E532" s="73" t="str" cm="1">
        <f t="array" ref="E532">_xlfn.TEXTJOIN(", ", TRUE, _xlfn.TEXTAFTER(_xlfn.TEXTSPLIT(us_core_reqs[[#This Row],[URL*]], ", "), "/", -1))</f>
        <v>CapabilityStatement-us-core-Client.html#behavior</v>
      </c>
      <c r="F532" s="11" t="s">
        <v>2155</v>
      </c>
      <c r="G532" t="s">
        <v>64</v>
      </c>
      <c r="H532" cm="1">
        <f t="array" ref="H532">_xlfn.SWITCH(G532, "SHALL", 1, "SHOULD", 3, "MAY", 5, "SHOULD-NOT", 4, "SHALL-NOT", 2, "DEPRECATED", 6, 99)</f>
        <v>6</v>
      </c>
      <c r="I532" t="s">
        <v>2334</v>
      </c>
      <c r="J532" t="s">
        <v>58</v>
      </c>
      <c r="K532" t="s">
        <v>1171</v>
      </c>
      <c r="L532" t="s">
        <v>1171</v>
      </c>
      <c r="M532" t="s">
        <v>1173</v>
      </c>
      <c r="N532" t="s">
        <v>1171</v>
      </c>
      <c r="O532" t="s">
        <v>1171</v>
      </c>
      <c r="P532" t="s">
        <v>1171</v>
      </c>
      <c r="Q532" t="s">
        <v>1171</v>
      </c>
      <c r="R532" t="s">
        <v>1171</v>
      </c>
      <c r="S532" s="70" t="str" cm="1">
        <f t="array" ref="S532">_xlfn.TEXTJOIN(",",TRUE,LEFT(TRIM(_xlfn.TEXTSPLIT(us_core_reqs[[#This Row],[reference]],",")),FIND(".html",TRIM(_xlfn.TEXTSPLIT(us_core_reqs[[#This Row],[reference]],",")))-1))</f>
        <v>CapabilityStatement-us-core-Client</v>
      </c>
      <c r="T532" s="70" t="str" cm="1">
        <f t="array" ref="T532">_xlfn.TEXTJOIN(",",TRUE,MID(TRIM(_xlfn.TEXTSPLIT(us_core_reqs[[#This Row],[reference]],",")),FIND("#",TRIM(_xlfn.TEXTSPLIT(us_core_reqs[[#This Row],[reference]],","))&amp;"#")+1,1000))</f>
        <v>behavior</v>
      </c>
      <c r="U532" t="str" cm="1">
        <f t="array" ref="U532">_xlfn.TEXTJOIN(", ",TRUE,SUBSTITUTE(SUBSTITUTE(PROPER(SUBSTITUTE(TRIM(_xlfn.TEXTSPLIT(us_core_reqs[[#This Row],[Page]],","))," -"," "))&amp;": "&amp;PROPER(SUBSTITUTE(TRIM(_xlfn.TEXTSPLIT(us_core_reqs[[#This Row],[Section]],","))," -"," ")),"Us ","US        
  "),"Uscdi","USCDI"))</f>
        <v>Capabilitystatement-Us-Core-Client: Behavior</v>
      </c>
      <c r="V532" t="s">
        <v>35</v>
      </c>
      <c r="W532" t="s">
        <v>58</v>
      </c>
      <c r="X532" t="s">
        <v>1171</v>
      </c>
      <c r="Y532" t="s">
        <v>1171</v>
      </c>
      <c r="Z532" t="s">
        <v>1171</v>
      </c>
      <c r="AA532" t="s">
        <v>1171</v>
      </c>
      <c r="AB532" t="s">
        <v>1171</v>
      </c>
      <c r="AC532" t="s">
        <v>1171</v>
      </c>
      <c r="AD532" t="s">
        <v>1171</v>
      </c>
      <c r="AE532" t="s">
        <v>1171</v>
      </c>
    </row>
    <row r="533" spans="1:31" ht="52" thickBot="1" x14ac:dyDescent="0.25">
      <c r="A533" t="s">
        <v>1171</v>
      </c>
      <c r="B533" t="s">
        <v>1705</v>
      </c>
      <c r="C533" t="str">
        <f>"CONF-"&amp;TEXT(us_core_reqs[[#This Row],[ID*]], "0000")</f>
        <v>CONF-0532</v>
      </c>
      <c r="D533" s="11" t="s">
        <v>1074</v>
      </c>
      <c r="E533" s="73" t="str" cm="1">
        <f t="array" ref="E533">_xlfn.TEXTJOIN(", ", TRUE, _xlfn.TEXTAFTER(_xlfn.TEXTSPLIT(us_core_reqs[[#This Row],[URL*]], ", "), "/", -1))</f>
        <v>CapabilityStatement-us-core-Server.html#should_igs</v>
      </c>
      <c r="F533" s="11" t="s">
        <v>2006</v>
      </c>
      <c r="G533" t="s">
        <v>64</v>
      </c>
      <c r="H533" cm="1">
        <f t="array" ref="H533">_xlfn.SWITCH(G533, "SHALL", 1, "SHOULD", 3, "MAY", 5, "SHOULD-NOT", 4, "SHALL-NOT", 2, "DEPRECATED", 6, 99)</f>
        <v>6</v>
      </c>
      <c r="I533" t="s">
        <v>2334</v>
      </c>
      <c r="J533" t="s">
        <v>30</v>
      </c>
      <c r="K533" t="s">
        <v>1171</v>
      </c>
      <c r="L533" t="s">
        <v>1171</v>
      </c>
      <c r="M533" t="s">
        <v>1173</v>
      </c>
      <c r="N533" t="s">
        <v>1171</v>
      </c>
      <c r="O533" t="s">
        <v>1171</v>
      </c>
      <c r="P533" t="s">
        <v>1171</v>
      </c>
      <c r="Q533" t="s">
        <v>1171</v>
      </c>
      <c r="R533" t="s">
        <v>1171</v>
      </c>
      <c r="S533" s="70" t="str" cm="1">
        <f t="array" ref="S533">_xlfn.TEXTJOIN(",",TRUE,LEFT(TRIM(_xlfn.TEXTSPLIT(us_core_reqs[[#This Row],[reference]],",")),FIND(".html",TRIM(_xlfn.TEXTSPLIT(us_core_reqs[[#This Row],[reference]],",")))-1))</f>
        <v>CapabilityStatement-us-core-Server</v>
      </c>
      <c r="T533" s="70" t="str" cm="1">
        <f t="array" ref="T533">_xlfn.TEXTJOIN(",",TRUE,MID(TRIM(_xlfn.TEXTSPLIT(us_core_reqs[[#This Row],[reference]],",")),FIND("#",TRIM(_xlfn.TEXTSPLIT(us_core_reqs[[#This Row],[reference]],","))&amp;"#")+1,1000))</f>
        <v>should_igs</v>
      </c>
      <c r="U533" t="str" cm="1">
        <f t="array" ref="U533">_xlfn.TEXTJOIN(", ",TRUE,SUBSTITUTE(SUBSTITUTE(PROPER(SUBSTITUTE(TRIM(_xlfn.TEXTSPLIT(us_core_reqs[[#This Row],[Page]],","))," -"," "))&amp;": "&amp;PROPER(SUBSTITUTE(TRIM(_xlfn.TEXTSPLIT(us_core_reqs[[#This Row],[Section]],","))," -"," ")),"Us ","US        
  "),"Uscdi","USCDI"))</f>
        <v>Capabilitystatement-Us-Core-Server: Should_Igs</v>
      </c>
      <c r="V533" t="s">
        <v>32</v>
      </c>
      <c r="W533" t="s">
        <v>30</v>
      </c>
      <c r="X533" t="s">
        <v>1171</v>
      </c>
      <c r="Y533" t="s">
        <v>1171</v>
      </c>
      <c r="Z533" t="s">
        <v>1171</v>
      </c>
      <c r="AA533" t="s">
        <v>1171</v>
      </c>
      <c r="AB533" t="s">
        <v>1171</v>
      </c>
      <c r="AC533" t="s">
        <v>745</v>
      </c>
      <c r="AD533" t="s">
        <v>1171</v>
      </c>
      <c r="AE533" t="s">
        <v>1171</v>
      </c>
    </row>
    <row r="534" spans="1:31" ht="35" thickBot="1" x14ac:dyDescent="0.25">
      <c r="A534" t="s">
        <v>1171</v>
      </c>
      <c r="B534" t="s">
        <v>1706</v>
      </c>
      <c r="C534" t="str">
        <f>"CONF-"&amp;TEXT(us_core_reqs[[#This Row],[ID*]], "0000")</f>
        <v>CONF-0533</v>
      </c>
      <c r="D534" s="11" t="s">
        <v>1075</v>
      </c>
      <c r="E534" s="73" t="str" cm="1">
        <f t="array" ref="E534">_xlfn.TEXTJOIN(", ", TRUE, _xlfn.TEXTAFTER(_xlfn.TEXTSPLIT(us_core_reqs[[#This Row],[URL*]], ", "), "/", -1))</f>
        <v>CapabilityStatement-us-core-Server.html#behavior</v>
      </c>
      <c r="F534" s="11" t="s">
        <v>2142</v>
      </c>
      <c r="G534" t="s">
        <v>64</v>
      </c>
      <c r="H534" cm="1">
        <f t="array" ref="H534">_xlfn.SWITCH(G534, "SHALL", 1, "SHOULD", 3, "MAY", 5, "SHOULD-NOT", 4, "SHALL-NOT", 2, "DEPRECATED", 6, 99)</f>
        <v>6</v>
      </c>
      <c r="I534" t="s">
        <v>2334</v>
      </c>
      <c r="J534" t="s">
        <v>30</v>
      </c>
      <c r="K534" t="s">
        <v>1171</v>
      </c>
      <c r="L534" t="s">
        <v>1171</v>
      </c>
      <c r="M534" t="s">
        <v>1173</v>
      </c>
      <c r="N534" t="s">
        <v>1171</v>
      </c>
      <c r="O534" t="s">
        <v>1171</v>
      </c>
      <c r="P534" t="s">
        <v>1171</v>
      </c>
      <c r="Q534" t="s">
        <v>1171</v>
      </c>
      <c r="R534" t="s">
        <v>1171</v>
      </c>
      <c r="S534" s="70" t="str" cm="1">
        <f t="array" ref="S534">_xlfn.TEXTJOIN(",",TRUE,LEFT(TRIM(_xlfn.TEXTSPLIT(us_core_reqs[[#This Row],[reference]],",")),FIND(".html",TRIM(_xlfn.TEXTSPLIT(us_core_reqs[[#This Row],[reference]],",")))-1))</f>
        <v>CapabilityStatement-us-core-Server</v>
      </c>
      <c r="T534" s="70" t="str" cm="1">
        <f t="array" ref="T534">_xlfn.TEXTJOIN(",",TRUE,MID(TRIM(_xlfn.TEXTSPLIT(us_core_reqs[[#This Row],[reference]],",")),FIND("#",TRIM(_xlfn.TEXTSPLIT(us_core_reqs[[#This Row],[reference]],","))&amp;"#")+1,1000))</f>
        <v>behavior</v>
      </c>
      <c r="U534" t="str" cm="1">
        <f t="array" ref="U534">_xlfn.TEXTJOIN(", ",TRUE,SUBSTITUTE(SUBSTITUTE(PROPER(SUBSTITUTE(TRIM(_xlfn.TEXTSPLIT(us_core_reqs[[#This Row],[Page]],","))," -"," "))&amp;": "&amp;PROPER(SUBSTITUTE(TRIM(_xlfn.TEXTSPLIT(us_core_reqs[[#This Row],[Section]],","))," -"," ")),"Us ","US        
  "),"Uscdi","USCDI"))</f>
        <v>Capabilitystatement-Us-Core-Server: Behavior</v>
      </c>
      <c r="V534" t="s">
        <v>29</v>
      </c>
      <c r="W534" t="s">
        <v>30</v>
      </c>
      <c r="X534" t="s">
        <v>1171</v>
      </c>
      <c r="Y534" t="s">
        <v>1171</v>
      </c>
      <c r="Z534" t="s">
        <v>1171</v>
      </c>
      <c r="AA534" t="s">
        <v>1171</v>
      </c>
      <c r="AB534" t="s">
        <v>1171</v>
      </c>
      <c r="AC534" t="s">
        <v>1171</v>
      </c>
      <c r="AD534" t="s">
        <v>1140</v>
      </c>
      <c r="AE534" t="s">
        <v>1171</v>
      </c>
    </row>
    <row r="535" spans="1:31" ht="52" thickBot="1" x14ac:dyDescent="0.25">
      <c r="A535" t="s">
        <v>1171</v>
      </c>
      <c r="B535" t="s">
        <v>1707</v>
      </c>
      <c r="C535" t="str">
        <f>"CONF-"&amp;TEXT(us_core_reqs[[#This Row],[ID*]], "0000")</f>
        <v>CONF-0534</v>
      </c>
      <c r="D535" s="11" t="s">
        <v>1075</v>
      </c>
      <c r="E535" s="73" t="str" cm="1">
        <f t="array" ref="E535">_xlfn.TEXTJOIN(", ", TRUE, _xlfn.TEXTAFTER(_xlfn.TEXTSPLIT(us_core_reqs[[#This Row],[URL*]], ", "), "/", -1))</f>
        <v>CapabilityStatement-us-core-Server.html#behavior</v>
      </c>
      <c r="F535" s="11" t="s">
        <v>2143</v>
      </c>
      <c r="G535" t="s">
        <v>64</v>
      </c>
      <c r="H535" cm="1">
        <f t="array" ref="H535">_xlfn.SWITCH(G535, "SHALL", 1, "SHOULD", 3, "MAY", 5, "SHOULD-NOT", 4, "SHALL-NOT", 2, "DEPRECATED", 6, 99)</f>
        <v>6</v>
      </c>
      <c r="I535" t="s">
        <v>2334</v>
      </c>
      <c r="J535" t="s">
        <v>30</v>
      </c>
      <c r="K535" t="s">
        <v>1171</v>
      </c>
      <c r="L535" t="s">
        <v>1171</v>
      </c>
      <c r="M535" t="s">
        <v>1173</v>
      </c>
      <c r="N535" t="s">
        <v>1171</v>
      </c>
      <c r="O535" t="s">
        <v>1171</v>
      </c>
      <c r="P535" t="s">
        <v>1171</v>
      </c>
      <c r="Q535" t="s">
        <v>1171</v>
      </c>
      <c r="R535" t="s">
        <v>1171</v>
      </c>
      <c r="S535" s="70" t="str" cm="1">
        <f t="array" ref="S535">_xlfn.TEXTJOIN(",",TRUE,LEFT(TRIM(_xlfn.TEXTSPLIT(us_core_reqs[[#This Row],[reference]],",")),FIND(".html",TRIM(_xlfn.TEXTSPLIT(us_core_reqs[[#This Row],[reference]],",")))-1))</f>
        <v>CapabilityStatement-us-core-Server</v>
      </c>
      <c r="T535" s="70" t="str" cm="1">
        <f t="array" ref="T535">_xlfn.TEXTJOIN(",",TRUE,MID(TRIM(_xlfn.TEXTSPLIT(us_core_reqs[[#This Row],[reference]],",")),FIND("#",TRIM(_xlfn.TEXTSPLIT(us_core_reqs[[#This Row],[reference]],","))&amp;"#")+1,1000))</f>
        <v>behavior</v>
      </c>
      <c r="U535" t="str" cm="1">
        <f t="array" ref="U535">_xlfn.TEXTJOIN(", ",TRUE,SUBSTITUTE(SUBSTITUTE(PROPER(SUBSTITUTE(TRIM(_xlfn.TEXTSPLIT(us_core_reqs[[#This Row],[Page]],","))," -"," "))&amp;": "&amp;PROPER(SUBSTITUTE(TRIM(_xlfn.TEXTSPLIT(us_core_reqs[[#This Row],[Section]],","))," -"," ")),"Us ","US        
  "),"Uscdi","USCDI"))</f>
        <v>Capabilitystatement-Us-Core-Server: Behavior</v>
      </c>
      <c r="V535" t="s">
        <v>1171</v>
      </c>
      <c r="W535" t="s">
        <v>1171</v>
      </c>
      <c r="X535" t="s">
        <v>1171</v>
      </c>
      <c r="Y535" t="s">
        <v>1171</v>
      </c>
      <c r="Z535" t="s">
        <v>1171</v>
      </c>
      <c r="AA535" t="s">
        <v>1171</v>
      </c>
      <c r="AB535" t="s">
        <v>1171</v>
      </c>
      <c r="AC535" t="s">
        <v>1171</v>
      </c>
      <c r="AD535" t="s">
        <v>1140</v>
      </c>
      <c r="AE535" t="s">
        <v>1171</v>
      </c>
    </row>
    <row r="536" spans="1:31" ht="35" thickBot="1" x14ac:dyDescent="0.25">
      <c r="A536" t="s">
        <v>1171</v>
      </c>
      <c r="B536" t="s">
        <v>1708</v>
      </c>
      <c r="C536" t="str">
        <f>"CONF-"&amp;TEXT(us_core_reqs[[#This Row],[ID*]], "0000")</f>
        <v>CONF-0535</v>
      </c>
      <c r="D536" s="11" t="s">
        <v>1075</v>
      </c>
      <c r="E536" s="11" t="str" cm="1">
        <f t="array" ref="E536">_xlfn.TEXTJOIN(", ", TRUE, _xlfn.TEXTAFTER(_xlfn.TEXTSPLIT(us_core_reqs[[#This Row],[URL*]], ", "), "/", -1))</f>
        <v>CapabilityStatement-us-core-Server.html#behavior</v>
      </c>
      <c r="F536" s="11" t="s">
        <v>1901</v>
      </c>
      <c r="G536" t="s">
        <v>64</v>
      </c>
      <c r="H536" cm="1">
        <f t="array" ref="H536">_xlfn.SWITCH(G536, "SHALL", 1, "SHOULD", 3, "MAY", 5, "SHOULD-NOT", 4, "SHALL-NOT", 2, "DEPRECATED", 6, 99)</f>
        <v>6</v>
      </c>
      <c r="I536" t="s">
        <v>2334</v>
      </c>
      <c r="J536" t="s">
        <v>30</v>
      </c>
      <c r="K536" t="s">
        <v>1171</v>
      </c>
      <c r="L536" t="s">
        <v>1171</v>
      </c>
      <c r="M536" t="s">
        <v>1173</v>
      </c>
      <c r="N536" t="s">
        <v>1171</v>
      </c>
      <c r="O536" t="s">
        <v>1171</v>
      </c>
      <c r="P536" t="s">
        <v>1171</v>
      </c>
      <c r="Q536" t="s">
        <v>1171</v>
      </c>
      <c r="R536" t="s">
        <v>1171</v>
      </c>
      <c r="S536" s="70" t="str" cm="1">
        <f t="array" ref="S536">_xlfn.TEXTJOIN(",",TRUE,LEFT(TRIM(_xlfn.TEXTSPLIT(us_core_reqs[[#This Row],[reference]],",")),FIND(".html",TRIM(_xlfn.TEXTSPLIT(us_core_reqs[[#This Row],[reference]],",")))-1))</f>
        <v>CapabilityStatement-us-core-Server</v>
      </c>
      <c r="T536" s="70" t="str" cm="1">
        <f t="array" ref="T536">_xlfn.TEXTJOIN(",",TRUE,MID(TRIM(_xlfn.TEXTSPLIT(us_core_reqs[[#This Row],[reference]],",")),FIND("#",TRIM(_xlfn.TEXTSPLIT(us_core_reqs[[#This Row],[reference]],","))&amp;"#")+1,1000))</f>
        <v>behavior</v>
      </c>
      <c r="U536" t="str" cm="1">
        <f t="array" ref="U536">_xlfn.TEXTJOIN(", ",TRUE,SUBSTITUTE(SUBSTITUTE(PROPER(SUBSTITUTE(TRIM(_xlfn.TEXTSPLIT(us_core_reqs[[#This Row],[Page]],","))," -"," "))&amp;": "&amp;PROPER(SUBSTITUTE(TRIM(_xlfn.TEXTSPLIT(us_core_reqs[[#This Row],[Section]],","))," -"," ")),"Us ","US        
  "),"Uscdi","USCDI"))</f>
        <v>Capabilitystatement-Us-Core-Server: Behavior</v>
      </c>
      <c r="V536" t="s">
        <v>1171</v>
      </c>
      <c r="W536" t="s">
        <v>1171</v>
      </c>
      <c r="X536" t="s">
        <v>1171</v>
      </c>
      <c r="Y536" t="s">
        <v>1171</v>
      </c>
      <c r="Z536" t="s">
        <v>1171</v>
      </c>
      <c r="AA536" t="s">
        <v>1171</v>
      </c>
      <c r="AB536" t="s">
        <v>1171</v>
      </c>
      <c r="AC536" t="s">
        <v>1171</v>
      </c>
      <c r="AD536" t="s">
        <v>1140</v>
      </c>
      <c r="AE536" t="s">
        <v>1171</v>
      </c>
    </row>
    <row r="537" spans="1:31" ht="35" thickBot="1" x14ac:dyDescent="0.25">
      <c r="A537" t="s">
        <v>1171</v>
      </c>
      <c r="B537" t="s">
        <v>1709</v>
      </c>
      <c r="C537" t="str">
        <f>"CONF-"&amp;TEXT(us_core_reqs[[#This Row],[ID*]], "0000")</f>
        <v>CONF-0536</v>
      </c>
      <c r="D537" s="11" t="s">
        <v>1075</v>
      </c>
      <c r="E537" s="73" t="str" cm="1">
        <f t="array" ref="E537">_xlfn.TEXTJOIN(", ", TRUE, _xlfn.TEXTAFTER(_xlfn.TEXTSPLIT(us_core_reqs[[#This Row],[URL*]], ", "), "/", -1))</f>
        <v>CapabilityStatement-us-core-Server.html#behavior</v>
      </c>
      <c r="F537" s="11" t="s">
        <v>1902</v>
      </c>
      <c r="G537" t="s">
        <v>64</v>
      </c>
      <c r="H537" cm="1">
        <f t="array" ref="H537">_xlfn.SWITCH(G537, "SHALL", 1, "SHOULD", 3, "MAY", 5, "SHOULD-NOT", 4, "SHALL-NOT", 2, "DEPRECATED", 6, 99)</f>
        <v>6</v>
      </c>
      <c r="I537" t="s">
        <v>2334</v>
      </c>
      <c r="J537" t="s">
        <v>30</v>
      </c>
      <c r="K537" t="s">
        <v>1171</v>
      </c>
      <c r="L537" t="s">
        <v>1171</v>
      </c>
      <c r="M537" t="s">
        <v>1173</v>
      </c>
      <c r="N537" t="s">
        <v>1171</v>
      </c>
      <c r="O537" t="s">
        <v>1171</v>
      </c>
      <c r="P537" t="s">
        <v>1171</v>
      </c>
      <c r="Q537" t="s">
        <v>1171</v>
      </c>
      <c r="R537" t="s">
        <v>1171</v>
      </c>
      <c r="S537" s="70" t="str" cm="1">
        <f t="array" ref="S537">_xlfn.TEXTJOIN(",",TRUE,LEFT(TRIM(_xlfn.TEXTSPLIT(us_core_reqs[[#This Row],[reference]],",")),FIND(".html",TRIM(_xlfn.TEXTSPLIT(us_core_reqs[[#This Row],[reference]],",")))-1))</f>
        <v>CapabilityStatement-us-core-Server</v>
      </c>
      <c r="T537" s="70" t="str" cm="1">
        <f t="array" ref="T537">_xlfn.TEXTJOIN(",",TRUE,MID(TRIM(_xlfn.TEXTSPLIT(us_core_reqs[[#This Row],[reference]],",")),FIND("#",TRIM(_xlfn.TEXTSPLIT(us_core_reqs[[#This Row],[reference]],","))&amp;"#")+1,1000))</f>
        <v>behavior</v>
      </c>
      <c r="U537" t="str" cm="1">
        <f t="array" ref="U537">_xlfn.TEXTJOIN(", ",TRUE,SUBSTITUTE(SUBSTITUTE(PROPER(SUBSTITUTE(TRIM(_xlfn.TEXTSPLIT(us_core_reqs[[#This Row],[Page]],","))," -"," "))&amp;": "&amp;PROPER(SUBSTITUTE(TRIM(_xlfn.TEXTSPLIT(us_core_reqs[[#This Row],[Section]],","))," -"," ")),"Us ","US        
  "),"Uscdi","USCDI"))</f>
        <v>Capabilitystatement-Us-Core-Server: Behavior</v>
      </c>
      <c r="V537" t="s">
        <v>1171</v>
      </c>
      <c r="W537" t="s">
        <v>1171</v>
      </c>
      <c r="X537" t="s">
        <v>1171</v>
      </c>
      <c r="Y537" t="s">
        <v>1171</v>
      </c>
      <c r="Z537" t="s">
        <v>1171</v>
      </c>
      <c r="AA537" t="s">
        <v>1171</v>
      </c>
      <c r="AB537" t="s">
        <v>1171</v>
      </c>
      <c r="AC537" t="s">
        <v>1171</v>
      </c>
      <c r="AD537" t="s">
        <v>1141</v>
      </c>
      <c r="AE537" t="s">
        <v>1171</v>
      </c>
    </row>
    <row r="538" spans="1:31" ht="35" thickBot="1" x14ac:dyDescent="0.25">
      <c r="A538" t="s">
        <v>1171</v>
      </c>
      <c r="B538" t="s">
        <v>1710</v>
      </c>
      <c r="C538" t="str">
        <f>"CONF-"&amp;TEXT(us_core_reqs[[#This Row],[ID*]], "0000")</f>
        <v>CONF-0537</v>
      </c>
      <c r="D538" s="11" t="s">
        <v>1075</v>
      </c>
      <c r="E538" s="73" t="str" cm="1">
        <f t="array" ref="E538">_xlfn.TEXTJOIN(", ", TRUE, _xlfn.TEXTAFTER(_xlfn.TEXTSPLIT(us_core_reqs[[#This Row],[URL*]], ", "), "/", -1))</f>
        <v>CapabilityStatement-us-core-Server.html#behavior</v>
      </c>
      <c r="F538" s="11" t="s">
        <v>1903</v>
      </c>
      <c r="G538" t="s">
        <v>64</v>
      </c>
      <c r="H538" cm="1">
        <f t="array" ref="H538">_xlfn.SWITCH(G538, "SHALL", 1, "SHOULD", 3, "MAY", 5, "SHOULD-NOT", 4, "SHALL-NOT", 2, "DEPRECATED", 6, 99)</f>
        <v>6</v>
      </c>
      <c r="I538" t="s">
        <v>2334</v>
      </c>
      <c r="J538" t="s">
        <v>30</v>
      </c>
      <c r="K538" t="s">
        <v>1171</v>
      </c>
      <c r="L538" t="s">
        <v>1171</v>
      </c>
      <c r="M538" t="s">
        <v>1173</v>
      </c>
      <c r="N538" t="s">
        <v>1171</v>
      </c>
      <c r="O538" t="s">
        <v>1171</v>
      </c>
      <c r="P538" t="s">
        <v>1171</v>
      </c>
      <c r="Q538" t="s">
        <v>1171</v>
      </c>
      <c r="R538" t="s">
        <v>1171</v>
      </c>
      <c r="S538" s="70" t="str" cm="1">
        <f t="array" ref="S538">_xlfn.TEXTJOIN(",",TRUE,LEFT(TRIM(_xlfn.TEXTSPLIT(us_core_reqs[[#This Row],[reference]],",")),FIND(".html",TRIM(_xlfn.TEXTSPLIT(us_core_reqs[[#This Row],[reference]],",")))-1))</f>
        <v>CapabilityStatement-us-core-Server</v>
      </c>
      <c r="T538" s="70" t="str" cm="1">
        <f t="array" ref="T538">_xlfn.TEXTJOIN(",",TRUE,MID(TRIM(_xlfn.TEXTSPLIT(us_core_reqs[[#This Row],[reference]],",")),FIND("#",TRIM(_xlfn.TEXTSPLIT(us_core_reqs[[#This Row],[reference]],","))&amp;"#")+1,1000))</f>
        <v>behavior</v>
      </c>
      <c r="U538" t="str" cm="1">
        <f t="array" ref="U538">_xlfn.TEXTJOIN(", ",TRUE,SUBSTITUTE(SUBSTITUTE(PROPER(SUBSTITUTE(TRIM(_xlfn.TEXTSPLIT(us_core_reqs[[#This Row],[Page]],","))," -"," "))&amp;": "&amp;PROPER(SUBSTITUTE(TRIM(_xlfn.TEXTSPLIT(us_core_reqs[[#This Row],[Section]],","))," -"," ")),"Us ","US        
  "),"Uscdi","USCDI"))</f>
        <v>Capabilitystatement-Us-Core-Server: Behavior</v>
      </c>
      <c r="V538" t="s">
        <v>1171</v>
      </c>
      <c r="W538" t="s">
        <v>1171</v>
      </c>
      <c r="X538" t="s">
        <v>1171</v>
      </c>
      <c r="Y538" t="s">
        <v>1171</v>
      </c>
      <c r="Z538" t="s">
        <v>1171</v>
      </c>
      <c r="AA538" t="s">
        <v>1171</v>
      </c>
      <c r="AB538" t="s">
        <v>1171</v>
      </c>
      <c r="AC538" t="s">
        <v>1171</v>
      </c>
      <c r="AD538" t="s">
        <v>1141</v>
      </c>
      <c r="AE538" t="s">
        <v>1171</v>
      </c>
    </row>
    <row r="539" spans="1:31" ht="35" thickBot="1" x14ac:dyDescent="0.25">
      <c r="A539" t="s">
        <v>1171</v>
      </c>
      <c r="B539" t="s">
        <v>1711</v>
      </c>
      <c r="C539" t="str">
        <f>"CONF-"&amp;TEXT(us_core_reqs[[#This Row],[ID*]], "0000")</f>
        <v>CONF-0538</v>
      </c>
      <c r="D539" s="11" t="s">
        <v>1075</v>
      </c>
      <c r="E539" s="73" t="str" cm="1">
        <f t="array" ref="E539">_xlfn.TEXTJOIN(", ", TRUE, _xlfn.TEXTAFTER(_xlfn.TEXTSPLIT(us_core_reqs[[#This Row],[URL*]], ", "), "/", -1))</f>
        <v>CapabilityStatement-us-core-Server.html#behavior</v>
      </c>
      <c r="F539" s="11" t="s">
        <v>1904</v>
      </c>
      <c r="G539" t="s">
        <v>64</v>
      </c>
      <c r="H539" cm="1">
        <f t="array" ref="H539">_xlfn.SWITCH(G539, "SHALL", 1, "SHOULD", 3, "MAY", 5, "SHOULD-NOT", 4, "SHALL-NOT", 2, "DEPRECATED", 6, 99)</f>
        <v>6</v>
      </c>
      <c r="I539" t="s">
        <v>2334</v>
      </c>
      <c r="J539" t="s">
        <v>30</v>
      </c>
      <c r="K539" t="s">
        <v>1171</v>
      </c>
      <c r="L539" t="s">
        <v>1171</v>
      </c>
      <c r="M539" t="s">
        <v>1173</v>
      </c>
      <c r="N539" t="s">
        <v>1171</v>
      </c>
      <c r="O539" t="s">
        <v>1171</v>
      </c>
      <c r="P539" t="s">
        <v>1171</v>
      </c>
      <c r="Q539" t="s">
        <v>1171</v>
      </c>
      <c r="R539" t="s">
        <v>1171</v>
      </c>
      <c r="S539" s="70" t="str" cm="1">
        <f t="array" ref="S539">_xlfn.TEXTJOIN(",",TRUE,LEFT(TRIM(_xlfn.TEXTSPLIT(us_core_reqs[[#This Row],[reference]],",")),FIND(".html",TRIM(_xlfn.TEXTSPLIT(us_core_reqs[[#This Row],[reference]],",")))-1))</f>
        <v>CapabilityStatement-us-core-Server</v>
      </c>
      <c r="T539" s="70" t="str" cm="1">
        <f t="array" ref="T539">_xlfn.TEXTJOIN(",",TRUE,MID(TRIM(_xlfn.TEXTSPLIT(us_core_reqs[[#This Row],[reference]],",")),FIND("#",TRIM(_xlfn.TEXTSPLIT(us_core_reqs[[#This Row],[reference]],","))&amp;"#")+1,1000))</f>
        <v>behavior</v>
      </c>
      <c r="U539" t="str" cm="1">
        <f t="array" ref="U539">_xlfn.TEXTJOIN(", ",TRUE,SUBSTITUTE(SUBSTITUTE(PROPER(SUBSTITUTE(TRIM(_xlfn.TEXTSPLIT(us_core_reqs[[#This Row],[Page]],","))," -"," "))&amp;": "&amp;PROPER(SUBSTITUTE(TRIM(_xlfn.TEXTSPLIT(us_core_reqs[[#This Row],[Section]],","))," -"," ")),"Us ","US        
  "),"Uscdi","USCDI"))</f>
        <v>Capabilitystatement-Us-Core-Server: Behavior</v>
      </c>
      <c r="V539" t="s">
        <v>1171</v>
      </c>
      <c r="W539" t="s">
        <v>1171</v>
      </c>
      <c r="X539" t="s">
        <v>1171</v>
      </c>
      <c r="Y539" t="s">
        <v>1171</v>
      </c>
      <c r="Z539" t="s">
        <v>1171</v>
      </c>
      <c r="AA539" t="s">
        <v>1171</v>
      </c>
      <c r="AB539" t="s">
        <v>1171</v>
      </c>
      <c r="AC539" t="s">
        <v>1171</v>
      </c>
      <c r="AD539" t="s">
        <v>1141</v>
      </c>
      <c r="AE539" t="s">
        <v>1171</v>
      </c>
    </row>
    <row r="540" spans="1:31" ht="35" thickBot="1" x14ac:dyDescent="0.25">
      <c r="A540" t="s">
        <v>1171</v>
      </c>
      <c r="B540" t="s">
        <v>1712</v>
      </c>
      <c r="C540" t="str">
        <f>"CONF-"&amp;TEXT(us_core_reqs[[#This Row],[ID*]], "0000")</f>
        <v>CONF-0539</v>
      </c>
      <c r="D540" s="11" t="s">
        <v>1075</v>
      </c>
      <c r="E540" s="73" t="str" cm="1">
        <f t="array" ref="E540">_xlfn.TEXTJOIN(", ", TRUE, _xlfn.TEXTAFTER(_xlfn.TEXTSPLIT(us_core_reqs[[#This Row],[URL*]], ", "), "/", -1))</f>
        <v>CapabilityStatement-us-core-Server.html#behavior</v>
      </c>
      <c r="F540" s="11" t="s">
        <v>1905</v>
      </c>
      <c r="G540" t="s">
        <v>64</v>
      </c>
      <c r="H540" cm="1">
        <f t="array" ref="H540">_xlfn.SWITCH(G540, "SHALL", 1, "SHOULD", 3, "MAY", 5, "SHOULD-NOT", 4, "SHALL-NOT", 2, "DEPRECATED", 6, 99)</f>
        <v>6</v>
      </c>
      <c r="I540" t="s">
        <v>2334</v>
      </c>
      <c r="J540" t="s">
        <v>30</v>
      </c>
      <c r="K540" t="s">
        <v>1171</v>
      </c>
      <c r="L540" t="s">
        <v>1171</v>
      </c>
      <c r="M540" t="s">
        <v>1173</v>
      </c>
      <c r="N540" t="s">
        <v>1171</v>
      </c>
      <c r="O540" t="s">
        <v>1171</v>
      </c>
      <c r="P540" t="s">
        <v>1171</v>
      </c>
      <c r="Q540" t="s">
        <v>1171</v>
      </c>
      <c r="R540" t="s">
        <v>1171</v>
      </c>
      <c r="S540" s="70" t="str" cm="1">
        <f t="array" ref="S540">_xlfn.TEXTJOIN(",",TRUE,LEFT(TRIM(_xlfn.TEXTSPLIT(us_core_reqs[[#This Row],[reference]],",")),FIND(".html",TRIM(_xlfn.TEXTSPLIT(us_core_reqs[[#This Row],[reference]],",")))-1))</f>
        <v>CapabilityStatement-us-core-Server</v>
      </c>
      <c r="T540" s="70" t="str" cm="1">
        <f t="array" ref="T540">_xlfn.TEXTJOIN(",",TRUE,MID(TRIM(_xlfn.TEXTSPLIT(us_core_reqs[[#This Row],[reference]],",")),FIND("#",TRIM(_xlfn.TEXTSPLIT(us_core_reqs[[#This Row],[reference]],","))&amp;"#")+1,1000))</f>
        <v>behavior</v>
      </c>
      <c r="U540" t="str" cm="1">
        <f t="array" ref="U540">_xlfn.TEXTJOIN(", ",TRUE,SUBSTITUTE(SUBSTITUTE(PROPER(SUBSTITUTE(TRIM(_xlfn.TEXTSPLIT(us_core_reqs[[#This Row],[Page]],","))," -"," "))&amp;": "&amp;PROPER(SUBSTITUTE(TRIM(_xlfn.TEXTSPLIT(us_core_reqs[[#This Row],[Section]],","))," -"," ")),"Us ","US        
  "),"Uscdi","USCDI"))</f>
        <v>Capabilitystatement-Us-Core-Server: Behavior</v>
      </c>
      <c r="V540" t="s">
        <v>1171</v>
      </c>
      <c r="W540" t="s">
        <v>1171</v>
      </c>
      <c r="X540" t="s">
        <v>1171</v>
      </c>
      <c r="Y540" t="s">
        <v>1171</v>
      </c>
      <c r="Z540" t="s">
        <v>1171</v>
      </c>
      <c r="AA540" t="s">
        <v>1171</v>
      </c>
      <c r="AB540" t="s">
        <v>1171</v>
      </c>
      <c r="AC540" t="s">
        <v>1171</v>
      </c>
      <c r="AD540" t="s">
        <v>1141</v>
      </c>
      <c r="AE540" t="s">
        <v>1171</v>
      </c>
    </row>
    <row r="541" spans="1:31" ht="35" thickBot="1" x14ac:dyDescent="0.25">
      <c r="A541" t="s">
        <v>1171</v>
      </c>
      <c r="B541" t="s">
        <v>1713</v>
      </c>
      <c r="C541" t="str">
        <f>"CONF-"&amp;TEXT(us_core_reqs[[#This Row],[ID*]], "0000")</f>
        <v>CONF-0540</v>
      </c>
      <c r="D541" s="11" t="s">
        <v>1075</v>
      </c>
      <c r="E541" s="73" t="str" cm="1">
        <f t="array" ref="E541">_xlfn.TEXTJOIN(", ", TRUE, _xlfn.TEXTAFTER(_xlfn.TEXTSPLIT(us_core_reqs[[#This Row],[URL*]], ", "), "/", -1))</f>
        <v>CapabilityStatement-us-core-Server.html#behavior</v>
      </c>
      <c r="F541" s="11" t="s">
        <v>1906</v>
      </c>
      <c r="G541" t="s">
        <v>64</v>
      </c>
      <c r="H541" cm="1">
        <f t="array" ref="H541">_xlfn.SWITCH(G541, "SHALL", 1, "SHOULD", 3, "MAY", 5, "SHOULD-NOT", 4, "SHALL-NOT", 2, "DEPRECATED", 6, 99)</f>
        <v>6</v>
      </c>
      <c r="I541" t="s">
        <v>2334</v>
      </c>
      <c r="J541" t="s">
        <v>30</v>
      </c>
      <c r="K541" t="s">
        <v>1171</v>
      </c>
      <c r="L541" t="s">
        <v>1171</v>
      </c>
      <c r="M541" t="s">
        <v>1173</v>
      </c>
      <c r="N541" t="s">
        <v>1171</v>
      </c>
      <c r="O541" t="s">
        <v>1171</v>
      </c>
      <c r="P541" t="s">
        <v>1171</v>
      </c>
      <c r="Q541" t="s">
        <v>1171</v>
      </c>
      <c r="R541" t="s">
        <v>1171</v>
      </c>
      <c r="S541" s="70" t="str" cm="1">
        <f t="array" ref="S541">_xlfn.TEXTJOIN(",",TRUE,LEFT(TRIM(_xlfn.TEXTSPLIT(us_core_reqs[[#This Row],[reference]],",")),FIND(".html",TRIM(_xlfn.TEXTSPLIT(us_core_reqs[[#This Row],[reference]],",")))-1))</f>
        <v>CapabilityStatement-us-core-Server</v>
      </c>
      <c r="T541" s="70" t="str" cm="1">
        <f t="array" ref="T541">_xlfn.TEXTJOIN(",",TRUE,MID(TRIM(_xlfn.TEXTSPLIT(us_core_reqs[[#This Row],[reference]],",")),FIND("#",TRIM(_xlfn.TEXTSPLIT(us_core_reqs[[#This Row],[reference]],","))&amp;"#")+1,1000))</f>
        <v>behavior</v>
      </c>
      <c r="U541" t="str" cm="1">
        <f t="array" ref="U541">_xlfn.TEXTJOIN(", ",TRUE,SUBSTITUTE(SUBSTITUTE(PROPER(SUBSTITUTE(TRIM(_xlfn.TEXTSPLIT(us_core_reqs[[#This Row],[Page]],","))," -"," "))&amp;": "&amp;PROPER(SUBSTITUTE(TRIM(_xlfn.TEXTSPLIT(us_core_reqs[[#This Row],[Section]],","))," -"," ")),"Us ","US        
  "),"Uscdi","USCDI"))</f>
        <v>Capabilitystatement-Us-Core-Server: Behavior</v>
      </c>
      <c r="V541" t="s">
        <v>1171</v>
      </c>
      <c r="W541" t="s">
        <v>1171</v>
      </c>
      <c r="X541" t="s">
        <v>1171</v>
      </c>
      <c r="Y541" t="s">
        <v>1171</v>
      </c>
      <c r="Z541" t="s">
        <v>1171</v>
      </c>
      <c r="AA541" t="s">
        <v>1171</v>
      </c>
      <c r="AB541" t="s">
        <v>1171</v>
      </c>
      <c r="AC541" t="s">
        <v>1171</v>
      </c>
      <c r="AD541" t="s">
        <v>1140</v>
      </c>
      <c r="AE541" t="s">
        <v>1171</v>
      </c>
    </row>
    <row r="542" spans="1:31" ht="35" thickBot="1" x14ac:dyDescent="0.25">
      <c r="A542" t="s">
        <v>1171</v>
      </c>
      <c r="B542" t="s">
        <v>1714</v>
      </c>
      <c r="C542" t="str">
        <f>"CONF-"&amp;TEXT(us_core_reqs[[#This Row],[ID*]], "0000")</f>
        <v>CONF-0541</v>
      </c>
      <c r="D542" s="11" t="s">
        <v>1075</v>
      </c>
      <c r="E542" s="73" t="str" cm="1">
        <f t="array" ref="E542">_xlfn.TEXTJOIN(", ", TRUE, _xlfn.TEXTAFTER(_xlfn.TEXTSPLIT(us_core_reqs[[#This Row],[URL*]], ", "), "/", -1))</f>
        <v>CapabilityStatement-us-core-Server.html#behavior</v>
      </c>
      <c r="F542" s="11" t="s">
        <v>2007</v>
      </c>
      <c r="G542" t="s">
        <v>64</v>
      </c>
      <c r="H542" cm="1">
        <f t="array" ref="H542">_xlfn.SWITCH(G542, "SHALL", 1, "SHOULD", 3, "MAY", 5, "SHOULD-NOT", 4, "SHALL-NOT", 2, "DEPRECATED", 6, 99)</f>
        <v>6</v>
      </c>
      <c r="I542" t="s">
        <v>2334</v>
      </c>
      <c r="J542" t="s">
        <v>30</v>
      </c>
      <c r="K542" t="s">
        <v>1171</v>
      </c>
      <c r="L542" t="s">
        <v>1171</v>
      </c>
      <c r="M542" t="s">
        <v>1173</v>
      </c>
      <c r="N542" t="s">
        <v>1171</v>
      </c>
      <c r="O542" t="s">
        <v>1171</v>
      </c>
      <c r="P542" t="s">
        <v>1171</v>
      </c>
      <c r="Q542" t="s">
        <v>1171</v>
      </c>
      <c r="R542" t="s">
        <v>1171</v>
      </c>
      <c r="S542" s="70" t="str" cm="1">
        <f t="array" ref="S542">_xlfn.TEXTJOIN(",",TRUE,LEFT(TRIM(_xlfn.TEXTSPLIT(us_core_reqs[[#This Row],[reference]],",")),FIND(".html",TRIM(_xlfn.TEXTSPLIT(us_core_reqs[[#This Row],[reference]],",")))-1))</f>
        <v>CapabilityStatement-us-core-Server</v>
      </c>
      <c r="T542" s="70" t="str" cm="1">
        <f t="array" ref="T542">_xlfn.TEXTJOIN(",",TRUE,MID(TRIM(_xlfn.TEXTSPLIT(us_core_reqs[[#This Row],[reference]],",")),FIND("#",TRIM(_xlfn.TEXTSPLIT(us_core_reqs[[#This Row],[reference]],","))&amp;"#")+1,1000))</f>
        <v>behavior</v>
      </c>
      <c r="U542" t="str" cm="1">
        <f t="array" ref="U542">_xlfn.TEXTJOIN(", ",TRUE,SUBSTITUTE(SUBSTITUTE(PROPER(SUBSTITUTE(TRIM(_xlfn.TEXTSPLIT(us_core_reqs[[#This Row],[Page]],","))," -"," "))&amp;": "&amp;PROPER(SUBSTITUTE(TRIM(_xlfn.TEXTSPLIT(us_core_reqs[[#This Row],[Section]],","))," -"," ")),"Us ","US        
  "),"Uscdi","USCDI"))</f>
        <v>Capabilitystatement-Us-Core-Server: Behavior</v>
      </c>
      <c r="V542" t="s">
        <v>1171</v>
      </c>
      <c r="W542" t="s">
        <v>1171</v>
      </c>
      <c r="X542" t="s">
        <v>1171</v>
      </c>
      <c r="Y542" t="s">
        <v>1171</v>
      </c>
      <c r="Z542" t="s">
        <v>1171</v>
      </c>
      <c r="AA542" t="s">
        <v>1171</v>
      </c>
      <c r="AB542" t="s">
        <v>1171</v>
      </c>
      <c r="AC542" t="s">
        <v>1171</v>
      </c>
      <c r="AD542" t="s">
        <v>1171</v>
      </c>
      <c r="AE542" t="s">
        <v>1171</v>
      </c>
    </row>
    <row r="543" spans="1:31" ht="35" thickBot="1" x14ac:dyDescent="0.25">
      <c r="A543" t="s">
        <v>1171</v>
      </c>
      <c r="B543" t="s">
        <v>1715</v>
      </c>
      <c r="C543" t="str">
        <f>"CONF-"&amp;TEXT(us_core_reqs[[#This Row],[ID*]], "0000")</f>
        <v>CONF-0542</v>
      </c>
      <c r="D543" s="11" t="s">
        <v>1075</v>
      </c>
      <c r="E543" s="73" t="str" cm="1">
        <f t="array" ref="E543">_xlfn.TEXTJOIN(", ", TRUE, _xlfn.TEXTAFTER(_xlfn.TEXTSPLIT(us_core_reqs[[#This Row],[URL*]], ", "), "/", -1))</f>
        <v>CapabilityStatement-us-core-Server.html#behavior</v>
      </c>
      <c r="F543" s="11" t="s">
        <v>2008</v>
      </c>
      <c r="G543" t="s">
        <v>64</v>
      </c>
      <c r="H543" cm="1">
        <f t="array" ref="H543">_xlfn.SWITCH(G543, "SHALL", 1, "SHOULD", 3, "MAY", 5, "SHOULD-NOT", 4, "SHALL-NOT", 2, "DEPRECATED", 6, 99)</f>
        <v>6</v>
      </c>
      <c r="I543" t="s">
        <v>2334</v>
      </c>
      <c r="J543" t="s">
        <v>30</v>
      </c>
      <c r="K543" t="s">
        <v>1171</v>
      </c>
      <c r="L543" t="s">
        <v>1171</v>
      </c>
      <c r="M543" t="s">
        <v>1173</v>
      </c>
      <c r="N543" t="s">
        <v>1171</v>
      </c>
      <c r="O543" t="s">
        <v>1171</v>
      </c>
      <c r="P543" t="s">
        <v>1171</v>
      </c>
      <c r="Q543" t="s">
        <v>1171</v>
      </c>
      <c r="R543" t="s">
        <v>1171</v>
      </c>
      <c r="S543" s="70" t="str" cm="1">
        <f t="array" ref="S543">_xlfn.TEXTJOIN(",",TRUE,LEFT(TRIM(_xlfn.TEXTSPLIT(us_core_reqs[[#This Row],[reference]],",")),FIND(".html",TRIM(_xlfn.TEXTSPLIT(us_core_reqs[[#This Row],[reference]],",")))-1))</f>
        <v>CapabilityStatement-us-core-Server</v>
      </c>
      <c r="T543" s="70" t="str" cm="1">
        <f t="array" ref="T543">_xlfn.TEXTJOIN(",",TRUE,MID(TRIM(_xlfn.TEXTSPLIT(us_core_reqs[[#This Row],[reference]],",")),FIND("#",TRIM(_xlfn.TEXTSPLIT(us_core_reqs[[#This Row],[reference]],","))&amp;"#")+1,1000))</f>
        <v>behavior</v>
      </c>
      <c r="U543" t="str" cm="1">
        <f t="array" ref="U543">_xlfn.TEXTJOIN(", ",TRUE,SUBSTITUTE(SUBSTITUTE(PROPER(SUBSTITUTE(TRIM(_xlfn.TEXTSPLIT(us_core_reqs[[#This Row],[Page]],","))," -"," "))&amp;": "&amp;PROPER(SUBSTITUTE(TRIM(_xlfn.TEXTSPLIT(us_core_reqs[[#This Row],[Section]],","))," -"," ")),"Us ","US        
  "),"Uscdi","USCDI"))</f>
        <v>Capabilitystatement-Us-Core-Server: Behavior</v>
      </c>
      <c r="V543" t="s">
        <v>1171</v>
      </c>
      <c r="W543" t="s">
        <v>1171</v>
      </c>
      <c r="X543" t="s">
        <v>1171</v>
      </c>
      <c r="Y543" t="s">
        <v>1171</v>
      </c>
      <c r="Z543" t="s">
        <v>1171</v>
      </c>
      <c r="AA543" t="s">
        <v>1171</v>
      </c>
      <c r="AB543" t="s">
        <v>1171</v>
      </c>
      <c r="AC543" t="s">
        <v>1171</v>
      </c>
      <c r="AD543" t="s">
        <v>1171</v>
      </c>
      <c r="AE543" t="s">
        <v>1171</v>
      </c>
    </row>
    <row r="544" spans="1:31" ht="52" thickBot="1" x14ac:dyDescent="0.25">
      <c r="A544" t="s">
        <v>1171</v>
      </c>
      <c r="B544" t="s">
        <v>1716</v>
      </c>
      <c r="C544" t="str">
        <f>"CONF-"&amp;TEXT(us_core_reqs[[#This Row],[ID*]], "0000")</f>
        <v>CONF-0543</v>
      </c>
      <c r="D544" s="11" t="s">
        <v>1075</v>
      </c>
      <c r="E544" s="73" t="str" cm="1">
        <f t="array" ref="E544">_xlfn.TEXTJOIN(", ", TRUE, _xlfn.TEXTAFTER(_xlfn.TEXTSPLIT(us_core_reqs[[#This Row],[URL*]], ", "), "/", -1))</f>
        <v>CapabilityStatement-us-core-Server.html#behavior</v>
      </c>
      <c r="F544" s="11" t="s">
        <v>2211</v>
      </c>
      <c r="G544" t="s">
        <v>64</v>
      </c>
      <c r="H544" cm="1">
        <f t="array" ref="H544">_xlfn.SWITCH(G544, "SHALL", 1, "SHOULD", 3, "MAY", 5, "SHOULD-NOT", 4, "SHALL-NOT", 2, "DEPRECATED", 6, 99)</f>
        <v>6</v>
      </c>
      <c r="I544" t="s">
        <v>2334</v>
      </c>
      <c r="J544" t="s">
        <v>30</v>
      </c>
      <c r="K544" t="s">
        <v>1171</v>
      </c>
      <c r="L544" t="s">
        <v>1171</v>
      </c>
      <c r="M544" t="s">
        <v>1176</v>
      </c>
      <c r="N544" t="s">
        <v>555</v>
      </c>
      <c r="O544" t="s">
        <v>1171</v>
      </c>
      <c r="P544" t="s">
        <v>1171</v>
      </c>
      <c r="Q544" t="s">
        <v>1171</v>
      </c>
      <c r="R544" t="s">
        <v>1171</v>
      </c>
      <c r="S544" s="70" t="str" cm="1">
        <f t="array" ref="S544">_xlfn.TEXTJOIN(",",TRUE,LEFT(TRIM(_xlfn.TEXTSPLIT(us_core_reqs[[#This Row],[reference]],",")),FIND(".html",TRIM(_xlfn.TEXTSPLIT(us_core_reqs[[#This Row],[reference]],",")))-1))</f>
        <v>CapabilityStatement-us-core-Server</v>
      </c>
      <c r="T544" s="70" t="str" cm="1">
        <f t="array" ref="T544">_xlfn.TEXTJOIN(",",TRUE,MID(TRIM(_xlfn.TEXTSPLIT(us_core_reqs[[#This Row],[reference]],",")),FIND("#",TRIM(_xlfn.TEXTSPLIT(us_core_reqs[[#This Row],[reference]],","))&amp;"#")+1,1000))</f>
        <v>behavior</v>
      </c>
      <c r="U544" t="str" cm="1">
        <f t="array" ref="U544">_xlfn.TEXTJOIN(", ",TRUE,SUBSTITUTE(SUBSTITUTE(PROPER(SUBSTITUTE(TRIM(_xlfn.TEXTSPLIT(us_core_reqs[[#This Row],[Page]],","))," -"," "))&amp;": "&amp;PROPER(SUBSTITUTE(TRIM(_xlfn.TEXTSPLIT(us_core_reqs[[#This Row],[Section]],","))," -"," ")),"Us ","US        
  "),"Uscdi","USCDI"))</f>
        <v>Capabilitystatement-Us-Core-Server: Behavior</v>
      </c>
      <c r="V544" t="s">
        <v>1171</v>
      </c>
      <c r="W544" t="s">
        <v>1171</v>
      </c>
      <c r="X544" t="s">
        <v>1171</v>
      </c>
      <c r="Y544" t="s">
        <v>1171</v>
      </c>
      <c r="Z544" t="s">
        <v>1171</v>
      </c>
      <c r="AA544" t="s">
        <v>1171</v>
      </c>
      <c r="AB544" t="s">
        <v>1171</v>
      </c>
      <c r="AC544" t="s">
        <v>1171</v>
      </c>
      <c r="AD544" t="s">
        <v>1140</v>
      </c>
      <c r="AE544" t="s">
        <v>1171</v>
      </c>
    </row>
    <row r="545" spans="1:31" ht="35" thickBot="1" x14ac:dyDescent="0.25">
      <c r="A545" t="s">
        <v>1171</v>
      </c>
      <c r="B545" t="s">
        <v>1717</v>
      </c>
      <c r="C545" t="str">
        <f>"CONF-"&amp;TEXT(us_core_reqs[[#This Row],[ID*]], "0000")</f>
        <v>CONF-0544</v>
      </c>
      <c r="D545" s="11" t="s">
        <v>1075</v>
      </c>
      <c r="E545" s="73" t="str" cm="1">
        <f t="array" ref="E545">_xlfn.TEXTJOIN(", ", TRUE, _xlfn.TEXTAFTER(_xlfn.TEXTSPLIT(us_core_reqs[[#This Row],[URL*]], ", "), "/", -1))</f>
        <v>CapabilityStatement-us-core-Server.html#behavior</v>
      </c>
      <c r="F545" s="11" t="s">
        <v>2156</v>
      </c>
      <c r="G545" t="s">
        <v>64</v>
      </c>
      <c r="H545" cm="1">
        <f t="array" ref="H545">_xlfn.SWITCH(G545, "SHALL", 1, "SHOULD", 3, "MAY", 5, "SHOULD-NOT", 4, "SHALL-NOT", 2, "DEPRECATED", 6, 99)</f>
        <v>6</v>
      </c>
      <c r="I545" t="s">
        <v>2334</v>
      </c>
      <c r="J545" t="s">
        <v>58</v>
      </c>
      <c r="K545" t="s">
        <v>1171</v>
      </c>
      <c r="L545" t="s">
        <v>1171</v>
      </c>
      <c r="M545" t="s">
        <v>1173</v>
      </c>
      <c r="N545" t="s">
        <v>1171</v>
      </c>
      <c r="O545" t="s">
        <v>1171</v>
      </c>
      <c r="P545" t="s">
        <v>1171</v>
      </c>
      <c r="Q545" t="s">
        <v>1171</v>
      </c>
      <c r="R545" t="s">
        <v>1171</v>
      </c>
      <c r="S545" s="70" t="str" cm="1">
        <f t="array" ref="S545">_xlfn.TEXTJOIN(",",TRUE,LEFT(TRIM(_xlfn.TEXTSPLIT(us_core_reqs[[#This Row],[reference]],",")),FIND(".html",TRIM(_xlfn.TEXTSPLIT(us_core_reqs[[#This Row],[reference]],",")))-1))</f>
        <v>CapabilityStatement-us-core-Server</v>
      </c>
      <c r="T545" s="70" t="str" cm="1">
        <f t="array" ref="T545">_xlfn.TEXTJOIN(",",TRUE,MID(TRIM(_xlfn.TEXTSPLIT(us_core_reqs[[#This Row],[reference]],",")),FIND("#",TRIM(_xlfn.TEXTSPLIT(us_core_reqs[[#This Row],[reference]],","))&amp;"#")+1,1000))</f>
        <v>behavior</v>
      </c>
      <c r="U545" t="str" cm="1">
        <f t="array" ref="U545">_xlfn.TEXTJOIN(", ",TRUE,SUBSTITUTE(SUBSTITUTE(PROPER(SUBSTITUTE(TRIM(_xlfn.TEXTSPLIT(us_core_reqs[[#This Row],[Page]],","))," -"," "))&amp;": "&amp;PROPER(SUBSTITUTE(TRIM(_xlfn.TEXTSPLIT(us_core_reqs[[#This Row],[Section]],","))," -"," ")),"Us ","US        
  "),"Uscdi","USCDI"))</f>
        <v>Capabilitystatement-Us-Core-Server: Behavior</v>
      </c>
      <c r="V545" t="s">
        <v>1171</v>
      </c>
      <c r="W545" t="s">
        <v>1171</v>
      </c>
      <c r="X545" t="s">
        <v>1171</v>
      </c>
      <c r="Y545" t="s">
        <v>1171</v>
      </c>
      <c r="Z545" t="s">
        <v>1171</v>
      </c>
      <c r="AA545" t="s">
        <v>1171</v>
      </c>
      <c r="AB545" t="s">
        <v>1171</v>
      </c>
      <c r="AC545" t="s">
        <v>1171</v>
      </c>
      <c r="AD545" t="s">
        <v>1171</v>
      </c>
      <c r="AE545" t="s">
        <v>1171</v>
      </c>
    </row>
    <row r="546" spans="1:31" ht="35" thickBot="1" x14ac:dyDescent="0.25">
      <c r="A546" t="s">
        <v>1171</v>
      </c>
      <c r="B546" t="s">
        <v>1718</v>
      </c>
      <c r="C546" t="str">
        <f>"CONF-"&amp;TEXT(us_core_reqs[[#This Row],[ID*]], "0000")</f>
        <v>CONF-0545</v>
      </c>
      <c r="D546" s="11" t="s">
        <v>1075</v>
      </c>
      <c r="E546" s="73" t="str" cm="1">
        <f t="array" ref="E546">_xlfn.TEXTJOIN(", ", TRUE, _xlfn.TEXTAFTER(_xlfn.TEXTSPLIT(us_core_reqs[[#This Row],[URL*]], ", "), "/", -1))</f>
        <v>CapabilityStatement-us-core-Server.html#behavior</v>
      </c>
      <c r="F546" s="11" t="s">
        <v>2157</v>
      </c>
      <c r="G546" t="s">
        <v>64</v>
      </c>
      <c r="H546" cm="1">
        <f t="array" ref="H546">_xlfn.SWITCH(G546, "SHALL", 1, "SHOULD", 3, "MAY", 5, "SHOULD-NOT", 4, "SHALL-NOT", 2, "DEPRECATED", 6, 99)</f>
        <v>6</v>
      </c>
      <c r="I546" t="s">
        <v>2334</v>
      </c>
      <c r="J546" t="s">
        <v>58</v>
      </c>
      <c r="K546" t="s">
        <v>1171</v>
      </c>
      <c r="L546" t="s">
        <v>1171</v>
      </c>
      <c r="M546" t="s">
        <v>1173</v>
      </c>
      <c r="N546" t="s">
        <v>1171</v>
      </c>
      <c r="O546" t="s">
        <v>1171</v>
      </c>
      <c r="P546" t="s">
        <v>1171</v>
      </c>
      <c r="Q546" t="s">
        <v>1171</v>
      </c>
      <c r="R546" t="s">
        <v>1171</v>
      </c>
      <c r="S546" s="70" t="str" cm="1">
        <f t="array" ref="S546">_xlfn.TEXTJOIN(",",TRUE,LEFT(TRIM(_xlfn.TEXTSPLIT(us_core_reqs[[#This Row],[reference]],",")),FIND(".html",TRIM(_xlfn.TEXTSPLIT(us_core_reqs[[#This Row],[reference]],",")))-1))</f>
        <v>CapabilityStatement-us-core-Server</v>
      </c>
      <c r="T546" s="70" t="str" cm="1">
        <f t="array" ref="T546">_xlfn.TEXTJOIN(",",TRUE,MID(TRIM(_xlfn.TEXTSPLIT(us_core_reqs[[#This Row],[reference]],",")),FIND("#",TRIM(_xlfn.TEXTSPLIT(us_core_reqs[[#This Row],[reference]],","))&amp;"#")+1,1000))</f>
        <v>behavior</v>
      </c>
      <c r="U546" t="str" cm="1">
        <f t="array" ref="U546">_xlfn.TEXTJOIN(", ",TRUE,SUBSTITUTE(SUBSTITUTE(PROPER(SUBSTITUTE(TRIM(_xlfn.TEXTSPLIT(us_core_reqs[[#This Row],[Page]],","))," -"," "))&amp;": "&amp;PROPER(SUBSTITUTE(TRIM(_xlfn.TEXTSPLIT(us_core_reqs[[#This Row],[Section]],","))," -"," ")),"Us ","US        
  "),"Uscdi","USCDI"))</f>
        <v>Capabilitystatement-Us-Core-Server: Behavior</v>
      </c>
      <c r="V546" t="s">
        <v>1171</v>
      </c>
      <c r="W546" t="s">
        <v>1171</v>
      </c>
      <c r="X546" t="s">
        <v>1171</v>
      </c>
      <c r="Y546" t="s">
        <v>1171</v>
      </c>
      <c r="Z546" t="s">
        <v>1171</v>
      </c>
      <c r="AA546" t="s">
        <v>1171</v>
      </c>
      <c r="AB546" t="s">
        <v>1171</v>
      </c>
      <c r="AC546" t="s">
        <v>1171</v>
      </c>
      <c r="AD546" t="s">
        <v>1171</v>
      </c>
      <c r="AE546" t="s">
        <v>1171</v>
      </c>
    </row>
    <row r="547" spans="1:31" ht="35" thickBot="1" x14ac:dyDescent="0.25">
      <c r="A547" t="s">
        <v>1171</v>
      </c>
      <c r="B547" t="s">
        <v>1719</v>
      </c>
      <c r="C547" t="str">
        <f>"CONF-"&amp;TEXT(us_core_reqs[[#This Row],[ID*]], "0000")</f>
        <v>CONF-0546</v>
      </c>
      <c r="D547" s="11" t="s">
        <v>1075</v>
      </c>
      <c r="E547" s="73" t="str" cm="1">
        <f t="array" ref="E547">_xlfn.TEXTJOIN(", ", TRUE, _xlfn.TEXTAFTER(_xlfn.TEXTSPLIT(us_core_reqs[[#This Row],[URL*]], ", "), "/", -1))</f>
        <v>CapabilityStatement-us-core-Server.html#behavior</v>
      </c>
      <c r="F547" s="11" t="s">
        <v>2158</v>
      </c>
      <c r="G547" t="s">
        <v>64</v>
      </c>
      <c r="H547" cm="1">
        <f t="array" ref="H547">_xlfn.SWITCH(G547, "SHALL", 1, "SHOULD", 3, "MAY", 5, "SHOULD-NOT", 4, "SHALL-NOT", 2, "DEPRECATED", 6, 99)</f>
        <v>6</v>
      </c>
      <c r="I547" t="s">
        <v>2334</v>
      </c>
      <c r="J547" t="s">
        <v>58</v>
      </c>
      <c r="K547" t="s">
        <v>1171</v>
      </c>
      <c r="L547" t="s">
        <v>1171</v>
      </c>
      <c r="M547" t="s">
        <v>1173</v>
      </c>
      <c r="N547" t="s">
        <v>1171</v>
      </c>
      <c r="O547" t="s">
        <v>1171</v>
      </c>
      <c r="P547" t="s">
        <v>1171</v>
      </c>
      <c r="Q547" t="s">
        <v>1171</v>
      </c>
      <c r="R547" t="s">
        <v>1171</v>
      </c>
      <c r="S547" s="70" t="str" cm="1">
        <f t="array" ref="S547">_xlfn.TEXTJOIN(",",TRUE,LEFT(TRIM(_xlfn.TEXTSPLIT(us_core_reqs[[#This Row],[reference]],",")),FIND(".html",TRIM(_xlfn.TEXTSPLIT(us_core_reqs[[#This Row],[reference]],",")))-1))</f>
        <v>CapabilityStatement-us-core-Server</v>
      </c>
      <c r="T547" s="70" t="str" cm="1">
        <f t="array" ref="T547">_xlfn.TEXTJOIN(",",TRUE,MID(TRIM(_xlfn.TEXTSPLIT(us_core_reqs[[#This Row],[reference]],",")),FIND("#",TRIM(_xlfn.TEXTSPLIT(us_core_reqs[[#This Row],[reference]],","))&amp;"#")+1,1000))</f>
        <v>behavior</v>
      </c>
      <c r="U547" t="str" cm="1">
        <f t="array" ref="U547">_xlfn.TEXTJOIN(", ",TRUE,SUBSTITUTE(SUBSTITUTE(PROPER(SUBSTITUTE(TRIM(_xlfn.TEXTSPLIT(us_core_reqs[[#This Row],[Page]],","))," -"," "))&amp;": "&amp;PROPER(SUBSTITUTE(TRIM(_xlfn.TEXTSPLIT(us_core_reqs[[#This Row],[Section]],","))," -"," ")),"Us ","US        
  "),"Uscdi","USCDI"))</f>
        <v>Capabilitystatement-Us-Core-Server: Behavior</v>
      </c>
      <c r="V547" t="s">
        <v>1171</v>
      </c>
      <c r="W547" t="s">
        <v>1171</v>
      </c>
      <c r="X547" t="s">
        <v>1171</v>
      </c>
      <c r="Y547" t="s">
        <v>1171</v>
      </c>
      <c r="Z547" t="s">
        <v>1171</v>
      </c>
      <c r="AA547" t="s">
        <v>1171</v>
      </c>
      <c r="AB547" t="s">
        <v>1171</v>
      </c>
      <c r="AC547" t="s">
        <v>1171</v>
      </c>
      <c r="AD547" t="s">
        <v>1171</v>
      </c>
      <c r="AE547" t="s">
        <v>1171</v>
      </c>
    </row>
    <row r="548" spans="1:31" ht="35" thickBot="1" x14ac:dyDescent="0.25">
      <c r="A548" t="s">
        <v>1171</v>
      </c>
      <c r="B548" t="s">
        <v>1720</v>
      </c>
      <c r="C548" t="str">
        <f>"CONF-"&amp;TEXT(us_core_reqs[[#This Row],[ID*]], "0000")</f>
        <v>CONF-0547</v>
      </c>
      <c r="D548" s="11" t="s">
        <v>1075</v>
      </c>
      <c r="E548" s="73" t="str" cm="1">
        <f t="array" ref="E548">_xlfn.TEXTJOIN(", ", TRUE, _xlfn.TEXTAFTER(_xlfn.TEXTSPLIT(us_core_reqs[[#This Row],[URL*]], ", "), "/", -1))</f>
        <v>CapabilityStatement-us-core-Server.html#behavior</v>
      </c>
      <c r="F548" s="11" t="s">
        <v>2159</v>
      </c>
      <c r="G548" t="s">
        <v>64</v>
      </c>
      <c r="H548" cm="1">
        <f t="array" ref="H548">_xlfn.SWITCH(G548, "SHALL", 1, "SHOULD", 3, "MAY", 5, "SHOULD-NOT", 4, "SHALL-NOT", 2, "DEPRECATED", 6, 99)</f>
        <v>6</v>
      </c>
      <c r="I548" t="s">
        <v>2334</v>
      </c>
      <c r="J548" t="s">
        <v>58</v>
      </c>
      <c r="K548" t="s">
        <v>1171</v>
      </c>
      <c r="L548" t="s">
        <v>1171</v>
      </c>
      <c r="M548" t="s">
        <v>1173</v>
      </c>
      <c r="N548" t="s">
        <v>1171</v>
      </c>
      <c r="O548" t="s">
        <v>1171</v>
      </c>
      <c r="P548" t="s">
        <v>1171</v>
      </c>
      <c r="Q548" t="s">
        <v>1171</v>
      </c>
      <c r="R548" t="s">
        <v>1171</v>
      </c>
      <c r="S548" s="70" t="str" cm="1">
        <f t="array" ref="S548">_xlfn.TEXTJOIN(",",TRUE,LEFT(TRIM(_xlfn.TEXTSPLIT(us_core_reqs[[#This Row],[reference]],",")),FIND(".html",TRIM(_xlfn.TEXTSPLIT(us_core_reqs[[#This Row],[reference]],",")))-1))</f>
        <v>CapabilityStatement-us-core-Server</v>
      </c>
      <c r="T548" s="70" t="str" cm="1">
        <f t="array" ref="T548">_xlfn.TEXTJOIN(",",TRUE,MID(TRIM(_xlfn.TEXTSPLIT(us_core_reqs[[#This Row],[reference]],",")),FIND("#",TRIM(_xlfn.TEXTSPLIT(us_core_reqs[[#This Row],[reference]],","))&amp;"#")+1,1000))</f>
        <v>behavior</v>
      </c>
      <c r="U548" t="str" cm="1">
        <f t="array" ref="U548">_xlfn.TEXTJOIN(", ",TRUE,SUBSTITUTE(SUBSTITUTE(PROPER(SUBSTITUTE(TRIM(_xlfn.TEXTSPLIT(us_core_reqs[[#This Row],[Page]],","))," -"," "))&amp;": "&amp;PROPER(SUBSTITUTE(TRIM(_xlfn.TEXTSPLIT(us_core_reqs[[#This Row],[Section]],","))," -"," ")),"Us ","US        
  "),"Uscdi","USCDI"))</f>
        <v>Capabilitystatement-Us-Core-Server: Behavior</v>
      </c>
      <c r="V548" t="s">
        <v>1171</v>
      </c>
      <c r="W548" t="s">
        <v>1171</v>
      </c>
      <c r="X548" t="s">
        <v>1171</v>
      </c>
      <c r="Y548" t="s">
        <v>1171</v>
      </c>
      <c r="Z548" t="s">
        <v>1171</v>
      </c>
      <c r="AA548" t="s">
        <v>1171</v>
      </c>
      <c r="AB548" t="s">
        <v>1171</v>
      </c>
      <c r="AC548" t="s">
        <v>1171</v>
      </c>
      <c r="AD548" t="s">
        <v>1171</v>
      </c>
      <c r="AE548" t="s">
        <v>1171</v>
      </c>
    </row>
    <row r="549" spans="1:31" ht="52" thickBot="1" x14ac:dyDescent="0.25">
      <c r="A549" t="s">
        <v>1171</v>
      </c>
      <c r="B549" t="s">
        <v>1721</v>
      </c>
      <c r="C549" t="str">
        <f>"CONF-"&amp;TEXT(us_core_reqs[[#This Row],[ID*]], "0000")</f>
        <v>CONF-0548</v>
      </c>
      <c r="D549" s="11" t="s">
        <v>1077</v>
      </c>
      <c r="E549" s="73" t="str" cm="1">
        <f t="array" ref="E549">_xlfn.TEXTJOIN(", ", TRUE, _xlfn.TEXTAFTER(_xlfn.TEXTSPLIT(us_core_reqs[[#This Row],[URL*]], ", "), "/", -1))</f>
        <v>CapabilityStatement-us-core-Server.html#valueset</v>
      </c>
      <c r="F549" s="11" t="s">
        <v>2009</v>
      </c>
      <c r="G549" t="s">
        <v>64</v>
      </c>
      <c r="H549" cm="1">
        <f t="array" ref="H549">_xlfn.SWITCH(G549, "SHALL", 1, "SHOULD", 3, "MAY", 5, "SHOULD-NOT", 4, "SHALL-NOT", 2, "DEPRECATED", 6, 99)</f>
        <v>6</v>
      </c>
      <c r="I549" t="s">
        <v>2334</v>
      </c>
      <c r="J549" t="s">
        <v>30</v>
      </c>
      <c r="K549" t="s">
        <v>1171</v>
      </c>
      <c r="L549" t="s">
        <v>1171</v>
      </c>
      <c r="M549" t="s">
        <v>1173</v>
      </c>
      <c r="N549" t="s">
        <v>1171</v>
      </c>
      <c r="O549" t="s">
        <v>1171</v>
      </c>
      <c r="P549" t="s">
        <v>1171</v>
      </c>
      <c r="Q549" t="s">
        <v>1171</v>
      </c>
      <c r="R549" t="s">
        <v>1171</v>
      </c>
      <c r="S549" s="70" t="str" cm="1">
        <f t="array" ref="S549">_xlfn.TEXTJOIN(",",TRUE,LEFT(TRIM(_xlfn.TEXTSPLIT(us_core_reqs[[#This Row],[reference]],",")),FIND(".html",TRIM(_xlfn.TEXTSPLIT(us_core_reqs[[#This Row],[reference]],",")))-1))</f>
        <v>CapabilityStatement-us-core-Server</v>
      </c>
      <c r="T549" s="70" t="str" cm="1">
        <f t="array" ref="T549">_xlfn.TEXTJOIN(",",TRUE,MID(TRIM(_xlfn.TEXTSPLIT(us_core_reqs[[#This Row],[reference]],",")),FIND("#",TRIM(_xlfn.TEXTSPLIT(us_core_reqs[[#This Row],[reference]],","))&amp;"#")+1,1000))</f>
        <v>valueset</v>
      </c>
      <c r="U549" t="str" cm="1">
        <f t="array" ref="U549">_xlfn.TEXTJOIN(", ",TRUE,SUBSTITUTE(SUBSTITUTE(PROPER(SUBSTITUTE(TRIM(_xlfn.TEXTSPLIT(us_core_reqs[[#This Row],[Page]],","))," -"," "))&amp;": "&amp;PROPER(SUBSTITUTE(TRIM(_xlfn.TEXTSPLIT(us_core_reqs[[#This Row],[Section]],","))," -"," ")),"Us ","US        
  "),"Uscdi","USCDI"))</f>
        <v>Capabilitystatement-Us-Core-Server: Valueset</v>
      </c>
      <c r="V549" t="s">
        <v>1171</v>
      </c>
      <c r="W549" t="s">
        <v>1171</v>
      </c>
      <c r="X549" t="s">
        <v>1171</v>
      </c>
      <c r="Y549" t="s">
        <v>1171</v>
      </c>
      <c r="Z549" t="s">
        <v>1171</v>
      </c>
      <c r="AA549" t="s">
        <v>1171</v>
      </c>
      <c r="AB549" t="s">
        <v>1171</v>
      </c>
      <c r="AC549" t="s">
        <v>1171</v>
      </c>
      <c r="AD549" t="s">
        <v>1171</v>
      </c>
      <c r="AE549" t="s">
        <v>1171</v>
      </c>
    </row>
    <row r="550" spans="1:31" ht="52" thickBot="1" x14ac:dyDescent="0.25">
      <c r="A550" t="s">
        <v>1171</v>
      </c>
      <c r="B550" t="s">
        <v>1722</v>
      </c>
      <c r="C550" t="str">
        <f>"CONF-"&amp;TEXT(us_core_reqs[[#This Row],[ID*]], "0000")</f>
        <v>CONF-0549</v>
      </c>
      <c r="D550" s="11" t="s">
        <v>1077</v>
      </c>
      <c r="E550" s="73" t="str" cm="1">
        <f t="array" ref="E550">_xlfn.TEXTJOIN(", ", TRUE, _xlfn.TEXTAFTER(_xlfn.TEXTSPLIT(us_core_reqs[[#This Row],[URL*]], ", "), "/", -1))</f>
        <v>CapabilityStatement-us-core-Server.html#valueset</v>
      </c>
      <c r="F550" s="11" t="s">
        <v>2010</v>
      </c>
      <c r="G550" t="s">
        <v>64</v>
      </c>
      <c r="H550" cm="1">
        <f t="array" ref="H550">_xlfn.SWITCH(G550, "SHALL", 1, "SHOULD", 3, "MAY", 5, "SHOULD-NOT", 4, "SHALL-NOT", 2, "DEPRECATED", 6, 99)</f>
        <v>6</v>
      </c>
      <c r="I550" t="s">
        <v>2334</v>
      </c>
      <c r="J550" t="s">
        <v>30</v>
      </c>
      <c r="K550" t="s">
        <v>1171</v>
      </c>
      <c r="L550" t="s">
        <v>1171</v>
      </c>
      <c r="M550" t="s">
        <v>1176</v>
      </c>
      <c r="N550" t="s">
        <v>1079</v>
      </c>
      <c r="O550" t="s">
        <v>1171</v>
      </c>
      <c r="P550" t="s">
        <v>1171</v>
      </c>
      <c r="Q550" t="s">
        <v>1171</v>
      </c>
      <c r="R550" t="s">
        <v>1171</v>
      </c>
      <c r="S550" s="70" t="str" cm="1">
        <f t="array" ref="S550">_xlfn.TEXTJOIN(",",TRUE,LEFT(TRIM(_xlfn.TEXTSPLIT(us_core_reqs[[#This Row],[reference]],",")),FIND(".html",TRIM(_xlfn.TEXTSPLIT(us_core_reqs[[#This Row],[reference]],",")))-1))</f>
        <v>CapabilityStatement-us-core-Server</v>
      </c>
      <c r="T550" s="70" t="str" cm="1">
        <f t="array" ref="T550">_xlfn.TEXTJOIN(",",TRUE,MID(TRIM(_xlfn.TEXTSPLIT(us_core_reqs[[#This Row],[reference]],",")),FIND("#",TRIM(_xlfn.TEXTSPLIT(us_core_reqs[[#This Row],[reference]],","))&amp;"#")+1,1000))</f>
        <v>valueset</v>
      </c>
      <c r="U550" t="str" cm="1">
        <f t="array" ref="U550">_xlfn.TEXTJOIN(", ",TRUE,SUBSTITUTE(SUBSTITUTE(PROPER(SUBSTITUTE(TRIM(_xlfn.TEXTSPLIT(us_core_reqs[[#This Row],[Page]],","))," -"," "))&amp;": "&amp;PROPER(SUBSTITUTE(TRIM(_xlfn.TEXTSPLIT(us_core_reqs[[#This Row],[Section]],","))," -"," ")),"Us ","US        
  "),"Uscdi","USCDI"))</f>
        <v>Capabilitystatement-Us-Core-Server: Valueset</v>
      </c>
      <c r="V550" t="s">
        <v>1171</v>
      </c>
      <c r="W550" t="s">
        <v>1171</v>
      </c>
      <c r="X550" t="s">
        <v>1171</v>
      </c>
      <c r="Y550" t="s">
        <v>1171</v>
      </c>
      <c r="Z550" t="s">
        <v>1171</v>
      </c>
      <c r="AA550" t="s">
        <v>1171</v>
      </c>
      <c r="AB550" t="s">
        <v>1171</v>
      </c>
      <c r="AC550" t="s">
        <v>1171</v>
      </c>
      <c r="AD550" t="s">
        <v>1171</v>
      </c>
      <c r="AE550" t="s">
        <v>1171</v>
      </c>
    </row>
    <row r="551" spans="1:31" ht="35" thickBot="1" x14ac:dyDescent="0.25">
      <c r="A551" t="s">
        <v>1171</v>
      </c>
      <c r="B551" t="s">
        <v>1723</v>
      </c>
      <c r="C551" t="str">
        <f>"CONF-"&amp;TEXT(us_core_reqs[[#This Row],[ID*]], "0000")</f>
        <v>CONF-0550</v>
      </c>
      <c r="D551" s="11" t="s">
        <v>633</v>
      </c>
      <c r="E551" s="11" t="str" cm="1">
        <f t="array" ref="E551">_xlfn.TEXTJOIN(", ", TRUE, _xlfn.TEXTAFTER(_xlfn.TEXTSPLIT(us_core_reqs[[#This Row],[URL*]], ", "), "/", -1))</f>
        <v>security.html#patient-privacy-and-security</v>
      </c>
      <c r="F551" s="11" t="s">
        <v>2205</v>
      </c>
      <c r="G551" t="s">
        <v>29</v>
      </c>
      <c r="H551" cm="1">
        <f t="array" ref="H551">_xlfn.SWITCH(G551, "SHALL", 1, "SHOULD", 3, "MAY", 5, "SHOULD-NOT", 4, "SHALL-NOT", 2, "DEPRECATED", 6, 99)</f>
        <v>1</v>
      </c>
      <c r="J551" t="s">
        <v>30</v>
      </c>
      <c r="K551" t="s">
        <v>1171</v>
      </c>
      <c r="L551" t="s">
        <v>1171</v>
      </c>
      <c r="M551" t="s">
        <v>1173</v>
      </c>
      <c r="N551" t="s">
        <v>1171</v>
      </c>
      <c r="O551" t="s">
        <v>1171</v>
      </c>
      <c r="P551" t="s">
        <v>1171</v>
      </c>
      <c r="Q551" t="s">
        <v>1171</v>
      </c>
      <c r="R551" t="s">
        <v>1171</v>
      </c>
      <c r="S551" s="70" t="str" cm="1">
        <f t="array" ref="S551">_xlfn.TEXTJOIN(",",TRUE,LEFT(TRIM(_xlfn.TEXTSPLIT(us_core_reqs[[#This Row],[reference]],",")),FIND(".html",TRIM(_xlfn.TEXTSPLIT(us_core_reqs[[#This Row],[reference]],",")))-1))</f>
        <v>security</v>
      </c>
      <c r="T551" s="70" t="str" cm="1">
        <f t="array" ref="T551">_xlfn.TEXTJOIN(",",TRUE,MID(TRIM(_xlfn.TEXTSPLIT(us_core_reqs[[#This Row],[reference]],",")),FIND("#",TRIM(_xlfn.TEXTSPLIT(us_core_reqs[[#This Row],[reference]],","))&amp;"#")+1,1000))</f>
        <v>patient-privacy-and-security</v>
      </c>
      <c r="U551" t="str" cm="1">
        <f t="array" ref="U551">_xlfn.TEXTJOIN(", ",TRUE,SUBSTITUTE(SUBSTITUTE(PROPER(SUBSTITUTE(TRIM(_xlfn.TEXTSPLIT(us_core_reqs[[#This Row],[Page]],","))," -"," "))&amp;": "&amp;PROPER(SUBSTITUTE(TRIM(_xlfn.TEXTSPLIT(us_core_reqs[[#This Row],[Section]],","))," -"," ")),"Us ","US        
  "),"Uscdi","USCDI"))</f>
        <v>Security: Patient-Privacy-And-Security</v>
      </c>
      <c r="V551" t="s">
        <v>1171</v>
      </c>
      <c r="W551" t="s">
        <v>1171</v>
      </c>
      <c r="X551" t="s">
        <v>1171</v>
      </c>
      <c r="Y551" t="s">
        <v>1171</v>
      </c>
      <c r="Z551" t="s">
        <v>1171</v>
      </c>
      <c r="AA551" t="s">
        <v>1171</v>
      </c>
      <c r="AB551" t="s">
        <v>1171</v>
      </c>
      <c r="AC551" t="s">
        <v>1171</v>
      </c>
      <c r="AD551" t="s">
        <v>1141</v>
      </c>
      <c r="AE551" t="s">
        <v>1171</v>
      </c>
    </row>
    <row r="552" spans="1:31" ht="35" thickBot="1" x14ac:dyDescent="0.25">
      <c r="A552" t="s">
        <v>1171</v>
      </c>
      <c r="B552" t="s">
        <v>1724</v>
      </c>
      <c r="C552" t="str">
        <f>"CONF-"&amp;TEXT(us_core_reqs[[#This Row],[ID*]], "0000")</f>
        <v>CONF-0551</v>
      </c>
      <c r="D552" s="11" t="s">
        <v>633</v>
      </c>
      <c r="E552" s="73" t="str" cm="1">
        <f t="array" ref="E552">_xlfn.TEXTJOIN(", ", TRUE, _xlfn.TEXTAFTER(_xlfn.TEXTSPLIT(us_core_reqs[[#This Row],[URL*]], ", "), "/", -1))</f>
        <v>security.html#patient-privacy-and-security</v>
      </c>
      <c r="F552" s="11" t="s">
        <v>2205</v>
      </c>
      <c r="G552" t="s">
        <v>29</v>
      </c>
      <c r="H552" cm="1">
        <f t="array" ref="H552">_xlfn.SWITCH(G552, "SHALL", 1, "SHOULD", 3, "MAY", 5, "SHOULD-NOT", 4, "SHALL-NOT", 2, "DEPRECATED", 6, 99)</f>
        <v>1</v>
      </c>
      <c r="J552" t="s">
        <v>58</v>
      </c>
      <c r="K552" t="s">
        <v>1171</v>
      </c>
      <c r="L552" t="s">
        <v>1171</v>
      </c>
      <c r="M552" t="s">
        <v>1173</v>
      </c>
      <c r="N552" t="s">
        <v>1171</v>
      </c>
      <c r="O552" t="s">
        <v>1171</v>
      </c>
      <c r="P552" t="s">
        <v>1171</v>
      </c>
      <c r="Q552" t="s">
        <v>1171</v>
      </c>
      <c r="R552" t="s">
        <v>1171</v>
      </c>
      <c r="S552" s="70" t="str" cm="1">
        <f t="array" ref="S552">_xlfn.TEXTJOIN(",",TRUE,LEFT(TRIM(_xlfn.TEXTSPLIT(us_core_reqs[[#This Row],[reference]],",")),FIND(".html",TRIM(_xlfn.TEXTSPLIT(us_core_reqs[[#This Row],[reference]],",")))-1))</f>
        <v>security</v>
      </c>
      <c r="T552" s="70" t="str" cm="1">
        <f t="array" ref="T552">_xlfn.TEXTJOIN(",",TRUE,MID(TRIM(_xlfn.TEXTSPLIT(us_core_reqs[[#This Row],[reference]],",")),FIND("#",TRIM(_xlfn.TEXTSPLIT(us_core_reqs[[#This Row],[reference]],","))&amp;"#")+1,1000))</f>
        <v>patient-privacy-and-security</v>
      </c>
      <c r="U552" t="str" cm="1">
        <f t="array" ref="U552">_xlfn.TEXTJOIN(", ",TRUE,SUBSTITUTE(SUBSTITUTE(PROPER(SUBSTITUTE(TRIM(_xlfn.TEXTSPLIT(us_core_reqs[[#This Row],[Page]],","))," -"," "))&amp;": "&amp;PROPER(SUBSTITUTE(TRIM(_xlfn.TEXTSPLIT(us_core_reqs[[#This Row],[Section]],","))," -"," ")),"Us ","US        
  "),"Uscdi","USCDI"))</f>
        <v>Security: Patient-Privacy-And-Security</v>
      </c>
      <c r="V552" t="s">
        <v>1171</v>
      </c>
      <c r="W552" t="s">
        <v>1171</v>
      </c>
      <c r="X552" t="s">
        <v>1171</v>
      </c>
      <c r="Y552" t="s">
        <v>1171</v>
      </c>
      <c r="Z552" t="s">
        <v>1171</v>
      </c>
      <c r="AA552" t="s">
        <v>1171</v>
      </c>
      <c r="AB552" t="s">
        <v>1171</v>
      </c>
      <c r="AC552" t="s">
        <v>1171</v>
      </c>
      <c r="AD552" t="s">
        <v>1171</v>
      </c>
      <c r="AE552" t="s">
        <v>1171</v>
      </c>
    </row>
    <row r="553" spans="1:31" ht="35" thickBot="1" x14ac:dyDescent="0.25">
      <c r="A553" t="s">
        <v>1171</v>
      </c>
      <c r="B553" t="s">
        <v>1725</v>
      </c>
      <c r="C553" t="str">
        <f>"CONF-"&amp;TEXT(us_core_reqs[[#This Row],[ID*]], "0000")</f>
        <v>CONF-0552</v>
      </c>
      <c r="D553" s="11" t="s">
        <v>633</v>
      </c>
      <c r="E553" s="73" t="str" cm="1">
        <f t="array" ref="E553">_xlfn.TEXTJOIN(", ", TRUE, _xlfn.TEXTAFTER(_xlfn.TEXTSPLIT(us_core_reqs[[#This Row],[URL*]], ", "), "/", -1))</f>
        <v>security.html#patient-privacy-and-security</v>
      </c>
      <c r="F553" s="11" t="s">
        <v>2011</v>
      </c>
      <c r="G553" t="s">
        <v>32</v>
      </c>
      <c r="H553" cm="1">
        <f t="array" ref="H553">_xlfn.SWITCH(G553, "SHALL", 1, "SHOULD", 3, "MAY", 5, "SHOULD-NOT", 4, "SHALL-NOT", 2, "DEPRECATED", 6, 99)</f>
        <v>3</v>
      </c>
      <c r="J553" t="s">
        <v>30</v>
      </c>
      <c r="K553" t="s">
        <v>1171</v>
      </c>
      <c r="L553" t="s">
        <v>1171</v>
      </c>
      <c r="M553" t="s">
        <v>1173</v>
      </c>
      <c r="N553" t="s">
        <v>1171</v>
      </c>
      <c r="O553" t="s">
        <v>1171</v>
      </c>
      <c r="P553" t="s">
        <v>1171</v>
      </c>
      <c r="Q553" t="s">
        <v>1171</v>
      </c>
      <c r="R553" t="s">
        <v>1171</v>
      </c>
      <c r="S553" s="70" t="str" cm="1">
        <f t="array" ref="S553">_xlfn.TEXTJOIN(",",TRUE,LEFT(TRIM(_xlfn.TEXTSPLIT(us_core_reqs[[#This Row],[reference]],",")),FIND(".html",TRIM(_xlfn.TEXTSPLIT(us_core_reqs[[#This Row],[reference]],",")))-1))</f>
        <v>security</v>
      </c>
      <c r="T553" s="70" t="str" cm="1">
        <f t="array" ref="T553">_xlfn.TEXTJOIN(",",TRUE,MID(TRIM(_xlfn.TEXTSPLIT(us_core_reqs[[#This Row],[reference]],",")),FIND("#",TRIM(_xlfn.TEXTSPLIT(us_core_reqs[[#This Row],[reference]],","))&amp;"#")+1,1000))</f>
        <v>patient-privacy-and-security</v>
      </c>
      <c r="U553" t="str" cm="1">
        <f t="array" ref="U553">_xlfn.TEXTJOIN(", ",TRUE,SUBSTITUTE(SUBSTITUTE(PROPER(SUBSTITUTE(TRIM(_xlfn.TEXTSPLIT(us_core_reqs[[#This Row],[Page]],","))," -"," "))&amp;": "&amp;PROPER(SUBSTITUTE(TRIM(_xlfn.TEXTSPLIT(us_core_reqs[[#This Row],[Section]],","))," -"," ")),"Us ","US        
  "),"Uscdi","USCDI"))</f>
        <v>Security: Patient-Privacy-And-Security</v>
      </c>
      <c r="V553" t="s">
        <v>1171</v>
      </c>
      <c r="W553" t="s">
        <v>1171</v>
      </c>
      <c r="X553" t="s">
        <v>1171</v>
      </c>
      <c r="Y553" t="s">
        <v>1171</v>
      </c>
      <c r="Z553" t="s">
        <v>1171</v>
      </c>
      <c r="AA553" t="s">
        <v>1171</v>
      </c>
      <c r="AB553" t="s">
        <v>1171</v>
      </c>
      <c r="AC553" t="s">
        <v>1171</v>
      </c>
      <c r="AD553" t="s">
        <v>1171</v>
      </c>
      <c r="AE553" t="s">
        <v>1171</v>
      </c>
    </row>
    <row r="554" spans="1:31" ht="35" thickBot="1" x14ac:dyDescent="0.25">
      <c r="A554" t="s">
        <v>1171</v>
      </c>
      <c r="B554" t="s">
        <v>1726</v>
      </c>
      <c r="C554" t="str">
        <f>"CONF-"&amp;TEXT(us_core_reqs[[#This Row],[ID*]], "0000")</f>
        <v>CONF-0553</v>
      </c>
      <c r="D554" s="11" t="s">
        <v>633</v>
      </c>
      <c r="E554" s="73" t="str" cm="1">
        <f t="array" ref="E554">_xlfn.TEXTJOIN(", ", TRUE, _xlfn.TEXTAFTER(_xlfn.TEXTSPLIT(us_core_reqs[[#This Row],[URL*]], ", "), "/", -1))</f>
        <v>security.html#patient-privacy-and-security</v>
      </c>
      <c r="F554" s="11" t="s">
        <v>2011</v>
      </c>
      <c r="G554" t="s">
        <v>32</v>
      </c>
      <c r="H554" cm="1">
        <f t="array" ref="H554">_xlfn.SWITCH(G554, "SHALL", 1, "SHOULD", 3, "MAY", 5, "SHOULD-NOT", 4, "SHALL-NOT", 2, "DEPRECATED", 6, 99)</f>
        <v>3</v>
      </c>
      <c r="J554" t="s">
        <v>58</v>
      </c>
      <c r="K554" t="s">
        <v>1171</v>
      </c>
      <c r="L554" t="s">
        <v>1171</v>
      </c>
      <c r="M554" t="s">
        <v>1173</v>
      </c>
      <c r="N554" t="s">
        <v>1171</v>
      </c>
      <c r="O554" t="s">
        <v>1171</v>
      </c>
      <c r="P554" t="s">
        <v>1171</v>
      </c>
      <c r="Q554" t="s">
        <v>1171</v>
      </c>
      <c r="R554" t="s">
        <v>1171</v>
      </c>
      <c r="S554" s="70" t="str" cm="1">
        <f t="array" ref="S554">_xlfn.TEXTJOIN(",",TRUE,LEFT(TRIM(_xlfn.TEXTSPLIT(us_core_reqs[[#This Row],[reference]],",")),FIND(".html",TRIM(_xlfn.TEXTSPLIT(us_core_reqs[[#This Row],[reference]],",")))-1))</f>
        <v>security</v>
      </c>
      <c r="T554" s="70" t="str" cm="1">
        <f t="array" ref="T554">_xlfn.TEXTJOIN(",",TRUE,MID(TRIM(_xlfn.TEXTSPLIT(us_core_reqs[[#This Row],[reference]],",")),FIND("#",TRIM(_xlfn.TEXTSPLIT(us_core_reqs[[#This Row],[reference]],","))&amp;"#")+1,1000))</f>
        <v>patient-privacy-and-security</v>
      </c>
      <c r="U554" t="str" cm="1">
        <f t="array" ref="U554">_xlfn.TEXTJOIN(", ",TRUE,SUBSTITUTE(SUBSTITUTE(PROPER(SUBSTITUTE(TRIM(_xlfn.TEXTSPLIT(us_core_reqs[[#This Row],[Page]],","))," -"," "))&amp;": "&amp;PROPER(SUBSTITUTE(TRIM(_xlfn.TEXTSPLIT(us_core_reqs[[#This Row],[Section]],","))," -"," ")),"Us ","US        
  "),"Uscdi","USCDI"))</f>
        <v>Security: Patient-Privacy-And-Security</v>
      </c>
      <c r="V554" t="s">
        <v>1171</v>
      </c>
      <c r="W554" t="s">
        <v>1171</v>
      </c>
      <c r="X554" t="s">
        <v>1171</v>
      </c>
      <c r="Y554" t="s">
        <v>1171</v>
      </c>
      <c r="Z554" t="s">
        <v>1171</v>
      </c>
      <c r="AA554" t="s">
        <v>1171</v>
      </c>
      <c r="AB554" t="s">
        <v>1171</v>
      </c>
      <c r="AC554" t="s">
        <v>1171</v>
      </c>
      <c r="AD554" t="s">
        <v>1171</v>
      </c>
      <c r="AE554" t="s">
        <v>1171</v>
      </c>
    </row>
    <row r="555" spans="1:31" ht="35" thickBot="1" x14ac:dyDescent="0.25">
      <c r="A555" t="s">
        <v>1171</v>
      </c>
      <c r="B555" t="s">
        <v>1727</v>
      </c>
      <c r="C555" t="str">
        <f>"CONF-"&amp;TEXT(us_core_reqs[[#This Row],[ID*]], "0000")</f>
        <v>CONF-0554</v>
      </c>
      <c r="D555" s="11" t="s">
        <v>633</v>
      </c>
      <c r="E555" s="73" t="str" cm="1">
        <f t="array" ref="E555">_xlfn.TEXTJOIN(", ", TRUE, _xlfn.TEXTAFTER(_xlfn.TEXTSPLIT(us_core_reqs[[#This Row],[URL*]], ", "), "/", -1))</f>
        <v>security.html#patient-privacy-and-security</v>
      </c>
      <c r="F555" s="11" t="s">
        <v>2012</v>
      </c>
      <c r="G555" t="s">
        <v>32</v>
      </c>
      <c r="H555" cm="1">
        <f t="array" ref="H555">_xlfn.SWITCH(G555, "SHALL", 1, "SHOULD", 3, "MAY", 5, "SHOULD-NOT", 4, "SHALL-NOT", 2, "DEPRECATED", 6, 99)</f>
        <v>3</v>
      </c>
      <c r="J555" t="s">
        <v>30</v>
      </c>
      <c r="K555" t="s">
        <v>1171</v>
      </c>
      <c r="L555" t="s">
        <v>1171</v>
      </c>
      <c r="M555" t="s">
        <v>1173</v>
      </c>
      <c r="N555" t="s">
        <v>1171</v>
      </c>
      <c r="O555" t="s">
        <v>1171</v>
      </c>
      <c r="P555" t="s">
        <v>1171</v>
      </c>
      <c r="Q555" t="s">
        <v>1171</v>
      </c>
      <c r="R555" t="s">
        <v>1171</v>
      </c>
      <c r="S555" s="70" t="str" cm="1">
        <f t="array" ref="S555">_xlfn.TEXTJOIN(",",TRUE,LEFT(TRIM(_xlfn.TEXTSPLIT(us_core_reqs[[#This Row],[reference]],",")),FIND(".html",TRIM(_xlfn.TEXTSPLIT(us_core_reqs[[#This Row],[reference]],",")))-1))</f>
        <v>security</v>
      </c>
      <c r="T555" s="70" t="str" cm="1">
        <f t="array" ref="T555">_xlfn.TEXTJOIN(",",TRUE,MID(TRIM(_xlfn.TEXTSPLIT(us_core_reqs[[#This Row],[reference]],",")),FIND("#",TRIM(_xlfn.TEXTSPLIT(us_core_reqs[[#This Row],[reference]],","))&amp;"#")+1,1000))</f>
        <v>patient-privacy-and-security</v>
      </c>
      <c r="U555" t="str" cm="1">
        <f t="array" ref="U555">_xlfn.TEXTJOIN(", ",TRUE,SUBSTITUTE(SUBSTITUTE(PROPER(SUBSTITUTE(TRIM(_xlfn.TEXTSPLIT(us_core_reqs[[#This Row],[Page]],","))," -"," "))&amp;": "&amp;PROPER(SUBSTITUTE(TRIM(_xlfn.TEXTSPLIT(us_core_reqs[[#This Row],[Section]],","))," -"," ")),"Us ","US        
  "),"Uscdi","USCDI"))</f>
        <v>Security: Patient-Privacy-And-Security</v>
      </c>
      <c r="V555" t="s">
        <v>1171</v>
      </c>
      <c r="W555" t="s">
        <v>1171</v>
      </c>
      <c r="X555" t="s">
        <v>1171</v>
      </c>
      <c r="Y555" t="s">
        <v>1171</v>
      </c>
      <c r="Z555" t="s">
        <v>1171</v>
      </c>
      <c r="AA555" t="s">
        <v>1171</v>
      </c>
      <c r="AB555" t="s">
        <v>1171</v>
      </c>
      <c r="AC555" t="s">
        <v>1171</v>
      </c>
      <c r="AD555" t="s">
        <v>1171</v>
      </c>
      <c r="AE555" t="s">
        <v>1171</v>
      </c>
    </row>
    <row r="556" spans="1:31" ht="35" thickBot="1" x14ac:dyDescent="0.25">
      <c r="A556" t="s">
        <v>1171</v>
      </c>
      <c r="B556" t="s">
        <v>1728</v>
      </c>
      <c r="C556" t="str">
        <f>"CONF-"&amp;TEXT(us_core_reqs[[#This Row],[ID*]], "0000")</f>
        <v>CONF-0555</v>
      </c>
      <c r="D556" s="11" t="s">
        <v>633</v>
      </c>
      <c r="E556" s="73" t="str" cm="1">
        <f t="array" ref="E556">_xlfn.TEXTJOIN(", ", TRUE, _xlfn.TEXTAFTER(_xlfn.TEXTSPLIT(us_core_reqs[[#This Row],[URL*]], ", "), "/", -1))</f>
        <v>security.html#patient-privacy-and-security</v>
      </c>
      <c r="F556" s="11" t="s">
        <v>2012</v>
      </c>
      <c r="G556" t="s">
        <v>32</v>
      </c>
      <c r="H556" cm="1">
        <f t="array" ref="H556">_xlfn.SWITCH(G556, "SHALL", 1, "SHOULD", 3, "MAY", 5, "SHOULD-NOT", 4, "SHALL-NOT", 2, "DEPRECATED", 6, 99)</f>
        <v>3</v>
      </c>
      <c r="J556" t="s">
        <v>58</v>
      </c>
      <c r="K556" t="s">
        <v>1171</v>
      </c>
      <c r="L556" t="s">
        <v>1171</v>
      </c>
      <c r="M556" t="s">
        <v>1173</v>
      </c>
      <c r="N556" t="s">
        <v>1171</v>
      </c>
      <c r="O556" t="s">
        <v>1171</v>
      </c>
      <c r="P556" t="s">
        <v>1171</v>
      </c>
      <c r="Q556" t="s">
        <v>1171</v>
      </c>
      <c r="R556" t="s">
        <v>1171</v>
      </c>
      <c r="S556" s="70" t="str" cm="1">
        <f t="array" ref="S556">_xlfn.TEXTJOIN(",",TRUE,LEFT(TRIM(_xlfn.TEXTSPLIT(us_core_reqs[[#This Row],[reference]],",")),FIND(".html",TRIM(_xlfn.TEXTSPLIT(us_core_reqs[[#This Row],[reference]],",")))-1))</f>
        <v>security</v>
      </c>
      <c r="T556" s="70" t="str" cm="1">
        <f t="array" ref="T556">_xlfn.TEXTJOIN(",",TRUE,MID(TRIM(_xlfn.TEXTSPLIT(us_core_reqs[[#This Row],[reference]],",")),FIND("#",TRIM(_xlfn.TEXTSPLIT(us_core_reqs[[#This Row],[reference]],","))&amp;"#")+1,1000))</f>
        <v>patient-privacy-and-security</v>
      </c>
      <c r="U556" t="str" cm="1">
        <f t="array" ref="U556">_xlfn.TEXTJOIN(", ",TRUE,SUBSTITUTE(SUBSTITUTE(PROPER(SUBSTITUTE(TRIM(_xlfn.TEXTSPLIT(us_core_reqs[[#This Row],[Page]],","))," -"," "))&amp;": "&amp;PROPER(SUBSTITUTE(TRIM(_xlfn.TEXTSPLIT(us_core_reqs[[#This Row],[Section]],","))," -"," ")),"Us ","US        
  "),"Uscdi","USCDI"))</f>
        <v>Security: Patient-Privacy-And-Security</v>
      </c>
      <c r="V556" t="s">
        <v>1171</v>
      </c>
      <c r="W556" t="s">
        <v>1171</v>
      </c>
      <c r="X556" t="s">
        <v>1171</v>
      </c>
      <c r="Y556" t="s">
        <v>1171</v>
      </c>
      <c r="Z556" t="s">
        <v>1171</v>
      </c>
      <c r="AA556" t="s">
        <v>1171</v>
      </c>
      <c r="AB556" t="s">
        <v>1171</v>
      </c>
      <c r="AC556" t="s">
        <v>1171</v>
      </c>
      <c r="AD556" t="s">
        <v>1171</v>
      </c>
      <c r="AE556" t="s">
        <v>1171</v>
      </c>
    </row>
    <row r="557" spans="1:31" ht="52" thickBot="1" x14ac:dyDescent="0.25">
      <c r="A557" t="s">
        <v>1171</v>
      </c>
      <c r="B557" t="s">
        <v>1729</v>
      </c>
      <c r="C557" t="str">
        <f>"CONF-"&amp;TEXT(us_core_reqs[[#This Row],[ID*]], "0000")</f>
        <v>CONF-0556</v>
      </c>
      <c r="D557" s="11" t="s">
        <v>633</v>
      </c>
      <c r="E557" s="73" t="str" cm="1">
        <f t="array" ref="E557">_xlfn.TEXTJOIN(", ", TRUE, _xlfn.TEXTAFTER(_xlfn.TEXTSPLIT(us_core_reqs[[#This Row],[URL*]], ", "), "/", -1))</f>
        <v>security.html#patient-privacy-and-security</v>
      </c>
      <c r="F557" s="11" t="s">
        <v>2013</v>
      </c>
      <c r="G557" t="s">
        <v>32</v>
      </c>
      <c r="H557" cm="1">
        <f t="array" ref="H557">_xlfn.SWITCH(G557, "SHALL", 1, "SHOULD", 3, "MAY", 5, "SHOULD-NOT", 4, "SHALL-NOT", 2, "DEPRECATED", 6, 99)</f>
        <v>3</v>
      </c>
      <c r="J557" t="s">
        <v>30</v>
      </c>
      <c r="K557" t="s">
        <v>1171</v>
      </c>
      <c r="L557" t="s">
        <v>1171</v>
      </c>
      <c r="M557" t="s">
        <v>1173</v>
      </c>
      <c r="N557" t="s">
        <v>1171</v>
      </c>
      <c r="O557" t="s">
        <v>1171</v>
      </c>
      <c r="P557" t="s">
        <v>1171</v>
      </c>
      <c r="Q557" t="s">
        <v>1171</v>
      </c>
      <c r="R557" t="s">
        <v>1171</v>
      </c>
      <c r="S557" s="70" t="str" cm="1">
        <f t="array" ref="S557">_xlfn.TEXTJOIN(",",TRUE,LEFT(TRIM(_xlfn.TEXTSPLIT(us_core_reqs[[#This Row],[reference]],",")),FIND(".html",TRIM(_xlfn.TEXTSPLIT(us_core_reqs[[#This Row],[reference]],",")))-1))</f>
        <v>security</v>
      </c>
      <c r="T557" s="70" t="str" cm="1">
        <f t="array" ref="T557">_xlfn.TEXTJOIN(",",TRUE,MID(TRIM(_xlfn.TEXTSPLIT(us_core_reqs[[#This Row],[reference]],",")),FIND("#",TRIM(_xlfn.TEXTSPLIT(us_core_reqs[[#This Row],[reference]],","))&amp;"#")+1,1000))</f>
        <v>patient-privacy-and-security</v>
      </c>
      <c r="U557" t="str" cm="1">
        <f t="array" ref="U557">_xlfn.TEXTJOIN(", ",TRUE,SUBSTITUTE(SUBSTITUTE(PROPER(SUBSTITUTE(TRIM(_xlfn.TEXTSPLIT(us_core_reqs[[#This Row],[Page]],","))," -"," "))&amp;": "&amp;PROPER(SUBSTITUTE(TRIM(_xlfn.TEXTSPLIT(us_core_reqs[[#This Row],[Section]],","))," -"," ")),"Us ","US        
  "),"Uscdi","USCDI"))</f>
        <v>Security: Patient-Privacy-And-Security</v>
      </c>
      <c r="V557" t="s">
        <v>1171</v>
      </c>
      <c r="W557" t="s">
        <v>1171</v>
      </c>
      <c r="X557" t="s">
        <v>1171</v>
      </c>
      <c r="Y557" t="s">
        <v>1171</v>
      </c>
      <c r="Z557" t="s">
        <v>1171</v>
      </c>
      <c r="AA557" t="s">
        <v>1171</v>
      </c>
      <c r="AB557" t="s">
        <v>1171</v>
      </c>
      <c r="AC557" t="s">
        <v>1171</v>
      </c>
      <c r="AD557" t="s">
        <v>1171</v>
      </c>
      <c r="AE557" t="s">
        <v>1171</v>
      </c>
    </row>
    <row r="558" spans="1:31" ht="52" thickBot="1" x14ac:dyDescent="0.25">
      <c r="A558" t="s">
        <v>1171</v>
      </c>
      <c r="B558" t="s">
        <v>1730</v>
      </c>
      <c r="C558" t="str">
        <f>"CONF-"&amp;TEXT(us_core_reqs[[#This Row],[ID*]], "0000")</f>
        <v>CONF-0557</v>
      </c>
      <c r="D558" s="11" t="s">
        <v>633</v>
      </c>
      <c r="E558" s="73" t="str" cm="1">
        <f t="array" ref="E558">_xlfn.TEXTJOIN(", ", TRUE, _xlfn.TEXTAFTER(_xlfn.TEXTSPLIT(us_core_reqs[[#This Row],[URL*]], ", "), "/", -1))</f>
        <v>security.html#patient-privacy-and-security</v>
      </c>
      <c r="F558" s="11" t="s">
        <v>2013</v>
      </c>
      <c r="G558" t="s">
        <v>32</v>
      </c>
      <c r="H558" cm="1">
        <f t="array" ref="H558">_xlfn.SWITCH(G558, "SHALL", 1, "SHOULD", 3, "MAY", 5, "SHOULD-NOT", 4, "SHALL-NOT", 2, "DEPRECATED", 6, 99)</f>
        <v>3</v>
      </c>
      <c r="J558" t="s">
        <v>58</v>
      </c>
      <c r="K558" t="s">
        <v>1171</v>
      </c>
      <c r="L558" t="s">
        <v>1171</v>
      </c>
      <c r="M558" t="s">
        <v>1173</v>
      </c>
      <c r="N558" t="s">
        <v>1171</v>
      </c>
      <c r="O558" t="s">
        <v>1171</v>
      </c>
      <c r="P558" t="s">
        <v>1171</v>
      </c>
      <c r="Q558" t="s">
        <v>1171</v>
      </c>
      <c r="R558" t="s">
        <v>1171</v>
      </c>
      <c r="S558" s="70" t="str" cm="1">
        <f t="array" ref="S558">_xlfn.TEXTJOIN(",",TRUE,LEFT(TRIM(_xlfn.TEXTSPLIT(us_core_reqs[[#This Row],[reference]],",")),FIND(".html",TRIM(_xlfn.TEXTSPLIT(us_core_reqs[[#This Row],[reference]],",")))-1))</f>
        <v>security</v>
      </c>
      <c r="T558" s="70" t="str" cm="1">
        <f t="array" ref="T558">_xlfn.TEXTJOIN(",",TRUE,MID(TRIM(_xlfn.TEXTSPLIT(us_core_reqs[[#This Row],[reference]],",")),FIND("#",TRIM(_xlfn.TEXTSPLIT(us_core_reqs[[#This Row],[reference]],","))&amp;"#")+1,1000))</f>
        <v>patient-privacy-and-security</v>
      </c>
      <c r="U558" t="str" cm="1">
        <f t="array" ref="U558">_xlfn.TEXTJOIN(", ",TRUE,SUBSTITUTE(SUBSTITUTE(PROPER(SUBSTITUTE(TRIM(_xlfn.TEXTSPLIT(us_core_reqs[[#This Row],[Page]],","))," -"," "))&amp;": "&amp;PROPER(SUBSTITUTE(TRIM(_xlfn.TEXTSPLIT(us_core_reqs[[#This Row],[Section]],","))," -"," ")),"Us ","US        
  "),"Uscdi","USCDI"))</f>
        <v>Security: Patient-Privacy-And-Security</v>
      </c>
      <c r="V558" t="s">
        <v>1171</v>
      </c>
      <c r="W558" t="s">
        <v>1171</v>
      </c>
      <c r="X558" t="s">
        <v>1171</v>
      </c>
      <c r="Y558" t="s">
        <v>1171</v>
      </c>
      <c r="Z558" t="s">
        <v>1171</v>
      </c>
      <c r="AA558" t="s">
        <v>1171</v>
      </c>
      <c r="AB558" t="s">
        <v>1171</v>
      </c>
      <c r="AC558" t="s">
        <v>1171</v>
      </c>
      <c r="AD558" t="s">
        <v>1171</v>
      </c>
      <c r="AE558" t="s">
        <v>1171</v>
      </c>
    </row>
    <row r="559" spans="1:31" ht="52" thickBot="1" x14ac:dyDescent="0.25">
      <c r="A559" t="s">
        <v>1171</v>
      </c>
      <c r="B559" t="s">
        <v>1731</v>
      </c>
      <c r="C559" t="str">
        <f>"CONF-"&amp;TEXT(us_core_reqs[[#This Row],[ID*]], "0000")</f>
        <v>CONF-0558</v>
      </c>
      <c r="D559" s="11" t="s">
        <v>633</v>
      </c>
      <c r="E559" s="73" t="str" cm="1">
        <f t="array" ref="E559">_xlfn.TEXTJOIN(", ", TRUE, _xlfn.TEXTAFTER(_xlfn.TEXTSPLIT(us_core_reqs[[#This Row],[URL*]], ", "), "/", -1))</f>
        <v>security.html#patient-privacy-and-security</v>
      </c>
      <c r="F559" s="11" t="s">
        <v>2212</v>
      </c>
      <c r="G559" t="s">
        <v>29</v>
      </c>
      <c r="H559" cm="1">
        <f t="array" ref="H559">_xlfn.SWITCH(G559, "SHALL", 1, "SHOULD", 3, "MAY", 5, "SHOULD-NOT", 4, "SHALL-NOT", 2, "DEPRECATED", 6, 99)</f>
        <v>1</v>
      </c>
      <c r="J559" t="s">
        <v>30</v>
      </c>
      <c r="K559" t="s">
        <v>1171</v>
      </c>
      <c r="L559" t="s">
        <v>1171</v>
      </c>
      <c r="M559" t="s">
        <v>1173</v>
      </c>
      <c r="N559" t="s">
        <v>1171</v>
      </c>
      <c r="O559" t="s">
        <v>1171</v>
      </c>
      <c r="P559" t="s">
        <v>1171</v>
      </c>
      <c r="Q559" t="s">
        <v>1171</v>
      </c>
      <c r="R559" t="s">
        <v>1171</v>
      </c>
      <c r="S559" s="70" t="str" cm="1">
        <f t="array" ref="S559">_xlfn.TEXTJOIN(",",TRUE,LEFT(TRIM(_xlfn.TEXTSPLIT(us_core_reqs[[#This Row],[reference]],",")),FIND(".html",TRIM(_xlfn.TEXTSPLIT(us_core_reqs[[#This Row],[reference]],",")))-1))</f>
        <v>security</v>
      </c>
      <c r="T559" s="70" t="str" cm="1">
        <f t="array" ref="T559">_xlfn.TEXTJOIN(",",TRUE,MID(TRIM(_xlfn.TEXTSPLIT(us_core_reqs[[#This Row],[reference]],",")),FIND("#",TRIM(_xlfn.TEXTSPLIT(us_core_reqs[[#This Row],[reference]],","))&amp;"#")+1,1000))</f>
        <v>patient-privacy-and-security</v>
      </c>
      <c r="U559" t="str" cm="1">
        <f t="array" ref="U559">_xlfn.TEXTJOIN(", ",TRUE,SUBSTITUTE(SUBSTITUTE(PROPER(SUBSTITUTE(TRIM(_xlfn.TEXTSPLIT(us_core_reqs[[#This Row],[Page]],","))," -"," "))&amp;": "&amp;PROPER(SUBSTITUTE(TRIM(_xlfn.TEXTSPLIT(us_core_reqs[[#This Row],[Section]],","))," -"," ")),"Us ","US        
  "),"Uscdi","USCDI"))</f>
        <v>Security: Patient-Privacy-And-Security</v>
      </c>
      <c r="V559" t="s">
        <v>1171</v>
      </c>
      <c r="W559" t="s">
        <v>1171</v>
      </c>
      <c r="X559" t="s">
        <v>1171</v>
      </c>
      <c r="Y559" t="s">
        <v>1171</v>
      </c>
      <c r="Z559" t="s">
        <v>1171</v>
      </c>
      <c r="AA559" t="s">
        <v>1171</v>
      </c>
      <c r="AB559" t="s">
        <v>1171</v>
      </c>
      <c r="AC559" t="s">
        <v>1171</v>
      </c>
      <c r="AD559" t="s">
        <v>1141</v>
      </c>
      <c r="AE559" t="s">
        <v>1171</v>
      </c>
    </row>
    <row r="560" spans="1:31" ht="52" thickBot="1" x14ac:dyDescent="0.25">
      <c r="A560" t="s">
        <v>1171</v>
      </c>
      <c r="B560" t="s">
        <v>1732</v>
      </c>
      <c r="C560" t="str">
        <f>"CONF-"&amp;TEXT(us_core_reqs[[#This Row],[ID*]], "0000")</f>
        <v>CONF-0559</v>
      </c>
      <c r="D560" s="11" t="s">
        <v>633</v>
      </c>
      <c r="E560" s="73" t="str" cm="1">
        <f t="array" ref="E560">_xlfn.TEXTJOIN(", ", TRUE, _xlfn.TEXTAFTER(_xlfn.TEXTSPLIT(us_core_reqs[[#This Row],[URL*]], ", "), "/", -1))</f>
        <v>security.html#patient-privacy-and-security</v>
      </c>
      <c r="F560" s="11" t="s">
        <v>2212</v>
      </c>
      <c r="G560" t="s">
        <v>29</v>
      </c>
      <c r="H560" cm="1">
        <f t="array" ref="H560">_xlfn.SWITCH(G560, "SHALL", 1, "SHOULD", 3, "MAY", 5, "SHOULD-NOT", 4, "SHALL-NOT", 2, "DEPRECATED", 6, 99)</f>
        <v>1</v>
      </c>
      <c r="J560" t="s">
        <v>58</v>
      </c>
      <c r="K560" t="s">
        <v>1171</v>
      </c>
      <c r="L560" t="s">
        <v>1171</v>
      </c>
      <c r="M560" t="s">
        <v>1173</v>
      </c>
      <c r="N560" t="s">
        <v>1171</v>
      </c>
      <c r="O560" t="s">
        <v>1171</v>
      </c>
      <c r="P560" t="s">
        <v>1171</v>
      </c>
      <c r="Q560" t="s">
        <v>1171</v>
      </c>
      <c r="R560" t="s">
        <v>1171</v>
      </c>
      <c r="S560" s="70" t="str" cm="1">
        <f t="array" ref="S560">_xlfn.TEXTJOIN(",",TRUE,LEFT(TRIM(_xlfn.TEXTSPLIT(us_core_reqs[[#This Row],[reference]],",")),FIND(".html",TRIM(_xlfn.TEXTSPLIT(us_core_reqs[[#This Row],[reference]],",")))-1))</f>
        <v>security</v>
      </c>
      <c r="T560" s="70" t="str" cm="1">
        <f t="array" ref="T560">_xlfn.TEXTJOIN(",",TRUE,MID(TRIM(_xlfn.TEXTSPLIT(us_core_reqs[[#This Row],[reference]],",")),FIND("#",TRIM(_xlfn.TEXTSPLIT(us_core_reqs[[#This Row],[reference]],","))&amp;"#")+1,1000))</f>
        <v>patient-privacy-and-security</v>
      </c>
      <c r="U560" t="str" cm="1">
        <f t="array" ref="U560">_xlfn.TEXTJOIN(", ",TRUE,SUBSTITUTE(SUBSTITUTE(PROPER(SUBSTITUTE(TRIM(_xlfn.TEXTSPLIT(us_core_reqs[[#This Row],[Page]],","))," -"," "))&amp;": "&amp;PROPER(SUBSTITUTE(TRIM(_xlfn.TEXTSPLIT(us_core_reqs[[#This Row],[Section]],","))," -"," ")),"Us ","US        
  "),"Uscdi","USCDI"))</f>
        <v>Security: Patient-Privacy-And-Security</v>
      </c>
      <c r="V560" t="s">
        <v>1171</v>
      </c>
      <c r="W560" t="s">
        <v>1171</v>
      </c>
      <c r="X560" t="s">
        <v>1171</v>
      </c>
      <c r="Y560" t="s">
        <v>1171</v>
      </c>
      <c r="Z560" t="s">
        <v>1171</v>
      </c>
      <c r="AA560" t="s">
        <v>1171</v>
      </c>
      <c r="AB560" t="s">
        <v>1171</v>
      </c>
      <c r="AC560" t="s">
        <v>1171</v>
      </c>
      <c r="AD560" t="s">
        <v>1171</v>
      </c>
      <c r="AE560" t="s">
        <v>1171</v>
      </c>
    </row>
    <row r="561" spans="1:31" ht="35" thickBot="1" x14ac:dyDescent="0.25">
      <c r="A561" t="s">
        <v>1171</v>
      </c>
      <c r="B561" t="s">
        <v>1733</v>
      </c>
      <c r="C561" t="str">
        <f>"CONF-"&amp;TEXT(us_core_reqs[[#This Row],[ID*]], "0000")</f>
        <v>CONF-0560</v>
      </c>
      <c r="D561" s="11" t="s">
        <v>633</v>
      </c>
      <c r="E561" s="73" t="str" cm="1">
        <f t="array" ref="E561">_xlfn.TEXTJOIN(", ", TRUE, _xlfn.TEXTAFTER(_xlfn.TEXTSPLIT(us_core_reqs[[#This Row],[URL*]], ", "), "/", -1))</f>
        <v>security.html#patient-privacy-and-security</v>
      </c>
      <c r="F561" s="11" t="s">
        <v>2014</v>
      </c>
      <c r="G561" t="s">
        <v>32</v>
      </c>
      <c r="H561" cm="1">
        <f t="array" ref="H561">_xlfn.SWITCH(G561, "SHALL", 1, "SHOULD", 3, "MAY", 5, "SHOULD-NOT", 4, "SHALL-NOT", 2, "DEPRECATED", 6, 99)</f>
        <v>3</v>
      </c>
      <c r="J561" t="s">
        <v>30</v>
      </c>
      <c r="K561" t="s">
        <v>1171</v>
      </c>
      <c r="L561" t="s">
        <v>1171</v>
      </c>
      <c r="M561" t="s">
        <v>1173</v>
      </c>
      <c r="N561" t="s">
        <v>1171</v>
      </c>
      <c r="O561" t="s">
        <v>1171</v>
      </c>
      <c r="P561" t="s">
        <v>1171</v>
      </c>
      <c r="Q561" t="s">
        <v>1171</v>
      </c>
      <c r="R561" t="s">
        <v>1171</v>
      </c>
      <c r="S561" s="70" t="str" cm="1">
        <f t="array" ref="S561">_xlfn.TEXTJOIN(",",TRUE,LEFT(TRIM(_xlfn.TEXTSPLIT(us_core_reqs[[#This Row],[reference]],",")),FIND(".html",TRIM(_xlfn.TEXTSPLIT(us_core_reqs[[#This Row],[reference]],",")))-1))</f>
        <v>security</v>
      </c>
      <c r="T561" s="70" t="str" cm="1">
        <f t="array" ref="T561">_xlfn.TEXTJOIN(",",TRUE,MID(TRIM(_xlfn.TEXTSPLIT(us_core_reqs[[#This Row],[reference]],",")),FIND("#",TRIM(_xlfn.TEXTSPLIT(us_core_reqs[[#This Row],[reference]],","))&amp;"#")+1,1000))</f>
        <v>patient-privacy-and-security</v>
      </c>
      <c r="U561" t="str" cm="1">
        <f t="array" ref="U561">_xlfn.TEXTJOIN(", ",TRUE,SUBSTITUTE(SUBSTITUTE(PROPER(SUBSTITUTE(TRIM(_xlfn.TEXTSPLIT(us_core_reqs[[#This Row],[Page]],","))," -"," "))&amp;": "&amp;PROPER(SUBSTITUTE(TRIM(_xlfn.TEXTSPLIT(us_core_reqs[[#This Row],[Section]],","))," -"," ")),"Us ","US        
  "),"Uscdi","USCDI"))</f>
        <v>Security: Patient-Privacy-And-Security</v>
      </c>
      <c r="V561" t="s">
        <v>1171</v>
      </c>
      <c r="W561" t="s">
        <v>1171</v>
      </c>
      <c r="X561" t="s">
        <v>1171</v>
      </c>
      <c r="Y561" t="s">
        <v>1171</v>
      </c>
      <c r="Z561" t="s">
        <v>1171</v>
      </c>
      <c r="AA561" t="s">
        <v>1171</v>
      </c>
      <c r="AB561" t="s">
        <v>1171</v>
      </c>
      <c r="AC561" t="s">
        <v>1171</v>
      </c>
      <c r="AD561" t="s">
        <v>1171</v>
      </c>
      <c r="AE561" t="s">
        <v>1171</v>
      </c>
    </row>
    <row r="562" spans="1:31" ht="35" thickBot="1" x14ac:dyDescent="0.25">
      <c r="A562" t="s">
        <v>1171</v>
      </c>
      <c r="B562" t="s">
        <v>1734</v>
      </c>
      <c r="C562" t="str">
        <f>"CONF-"&amp;TEXT(us_core_reqs[[#This Row],[ID*]], "0000")</f>
        <v>CONF-0561</v>
      </c>
      <c r="D562" s="11" t="s">
        <v>633</v>
      </c>
      <c r="E562" s="73" t="str" cm="1">
        <f t="array" ref="E562">_xlfn.TEXTJOIN(", ", TRUE, _xlfn.TEXTAFTER(_xlfn.TEXTSPLIT(us_core_reqs[[#This Row],[URL*]], ", "), "/", -1))</f>
        <v>security.html#patient-privacy-and-security</v>
      </c>
      <c r="F562" s="11" t="s">
        <v>2014</v>
      </c>
      <c r="G562" t="s">
        <v>32</v>
      </c>
      <c r="H562" cm="1">
        <f t="array" ref="H562">_xlfn.SWITCH(G562, "SHALL", 1, "SHOULD", 3, "MAY", 5, "SHOULD-NOT", 4, "SHALL-NOT", 2, "DEPRECATED", 6, 99)</f>
        <v>3</v>
      </c>
      <c r="J562" t="s">
        <v>58</v>
      </c>
      <c r="K562" t="s">
        <v>1171</v>
      </c>
      <c r="L562" t="s">
        <v>1171</v>
      </c>
      <c r="M562" t="s">
        <v>1173</v>
      </c>
      <c r="N562" t="s">
        <v>1171</v>
      </c>
      <c r="O562" t="s">
        <v>1171</v>
      </c>
      <c r="P562" t="s">
        <v>1171</v>
      </c>
      <c r="Q562" t="s">
        <v>1171</v>
      </c>
      <c r="R562" t="s">
        <v>1171</v>
      </c>
      <c r="S562" s="70" t="str" cm="1">
        <f t="array" ref="S562">_xlfn.TEXTJOIN(",",TRUE,LEFT(TRIM(_xlfn.TEXTSPLIT(us_core_reqs[[#This Row],[reference]],",")),FIND(".html",TRIM(_xlfn.TEXTSPLIT(us_core_reqs[[#This Row],[reference]],",")))-1))</f>
        <v>security</v>
      </c>
      <c r="T562" s="70" t="str" cm="1">
        <f t="array" ref="T562">_xlfn.TEXTJOIN(",",TRUE,MID(TRIM(_xlfn.TEXTSPLIT(us_core_reqs[[#This Row],[reference]],",")),FIND("#",TRIM(_xlfn.TEXTSPLIT(us_core_reqs[[#This Row],[reference]],","))&amp;"#")+1,1000))</f>
        <v>patient-privacy-and-security</v>
      </c>
      <c r="U562" t="str" cm="1">
        <f t="array" ref="U562">_xlfn.TEXTJOIN(", ",TRUE,SUBSTITUTE(SUBSTITUTE(PROPER(SUBSTITUTE(TRIM(_xlfn.TEXTSPLIT(us_core_reqs[[#This Row],[Page]],","))," -"," "))&amp;": "&amp;PROPER(SUBSTITUTE(TRIM(_xlfn.TEXTSPLIT(us_core_reqs[[#This Row],[Section]],","))," -"," ")),"Us ","US        
  "),"Uscdi","USCDI"))</f>
        <v>Security: Patient-Privacy-And-Security</v>
      </c>
      <c r="V562" t="s">
        <v>1171</v>
      </c>
      <c r="W562" t="s">
        <v>1171</v>
      </c>
      <c r="X562" t="s">
        <v>1171</v>
      </c>
      <c r="Y562" t="s">
        <v>1171</v>
      </c>
      <c r="Z562" t="s">
        <v>1171</v>
      </c>
      <c r="AA562" t="s">
        <v>1171</v>
      </c>
      <c r="AB562" t="s">
        <v>1171</v>
      </c>
      <c r="AC562" t="s">
        <v>1171</v>
      </c>
      <c r="AD562" t="s">
        <v>1171</v>
      </c>
      <c r="AE562" t="s">
        <v>1171</v>
      </c>
    </row>
    <row r="563" spans="1:31" ht="35" thickBot="1" x14ac:dyDescent="0.25">
      <c r="A563" t="s">
        <v>1171</v>
      </c>
      <c r="B563" t="s">
        <v>1735</v>
      </c>
      <c r="C563" t="str">
        <f>"CONF-"&amp;TEXT(us_core_reqs[[#This Row],[ID*]], "0000")</f>
        <v>CONF-0562</v>
      </c>
      <c r="D563" s="11" t="s">
        <v>633</v>
      </c>
      <c r="E563" s="73" t="str" cm="1">
        <f t="array" ref="E563">_xlfn.TEXTJOIN(", ", TRUE, _xlfn.TEXTAFTER(_xlfn.TEXTSPLIT(us_core_reqs[[#This Row],[URL*]], ", "), "/", -1))</f>
        <v>security.html#patient-privacy-and-security</v>
      </c>
      <c r="F563" s="11" t="s">
        <v>2209</v>
      </c>
      <c r="G563" t="s">
        <v>29</v>
      </c>
      <c r="H563" cm="1">
        <f t="array" ref="H563">_xlfn.SWITCH(G563, "SHALL", 1, "SHOULD", 3, "MAY", 5, "SHOULD-NOT", 4, "SHALL-NOT", 2, "DEPRECATED", 6, 99)</f>
        <v>1</v>
      </c>
      <c r="J563" t="s">
        <v>30</v>
      </c>
      <c r="K563" t="s">
        <v>1171</v>
      </c>
      <c r="L563" t="s">
        <v>1171</v>
      </c>
      <c r="M563" t="s">
        <v>1173</v>
      </c>
      <c r="N563" t="s">
        <v>1171</v>
      </c>
      <c r="O563" t="s">
        <v>1171</v>
      </c>
      <c r="P563" t="s">
        <v>1171</v>
      </c>
      <c r="Q563" t="s">
        <v>1171</v>
      </c>
      <c r="R563" t="s">
        <v>1171</v>
      </c>
      <c r="S563" s="70" t="str" cm="1">
        <f t="array" ref="S563">_xlfn.TEXTJOIN(",",TRUE,LEFT(TRIM(_xlfn.TEXTSPLIT(us_core_reqs[[#This Row],[reference]],",")),FIND(".html",TRIM(_xlfn.TEXTSPLIT(us_core_reqs[[#This Row],[reference]],",")))-1))</f>
        <v>security</v>
      </c>
      <c r="T563" s="70" t="str" cm="1">
        <f t="array" ref="T563">_xlfn.TEXTJOIN(",",TRUE,MID(TRIM(_xlfn.TEXTSPLIT(us_core_reqs[[#This Row],[reference]],",")),FIND("#",TRIM(_xlfn.TEXTSPLIT(us_core_reqs[[#This Row],[reference]],","))&amp;"#")+1,1000))</f>
        <v>patient-privacy-and-security</v>
      </c>
      <c r="U563" t="str" cm="1">
        <f t="array" ref="U563">_xlfn.TEXTJOIN(", ",TRUE,SUBSTITUTE(SUBSTITUTE(PROPER(SUBSTITUTE(TRIM(_xlfn.TEXTSPLIT(us_core_reqs[[#This Row],[Page]],","))," -"," "))&amp;": "&amp;PROPER(SUBSTITUTE(TRIM(_xlfn.TEXTSPLIT(us_core_reqs[[#This Row],[Section]],","))," -"," ")),"Us ","US        
  "),"Uscdi","USCDI"))</f>
        <v>Security: Patient-Privacy-And-Security</v>
      </c>
      <c r="V563" t="s">
        <v>1171</v>
      </c>
      <c r="W563" t="s">
        <v>1171</v>
      </c>
      <c r="X563" t="s">
        <v>1171</v>
      </c>
      <c r="Y563" t="s">
        <v>1171</v>
      </c>
      <c r="Z563" t="s">
        <v>1171</v>
      </c>
      <c r="AA563" t="s">
        <v>1171</v>
      </c>
      <c r="AB563" t="s">
        <v>1171</v>
      </c>
      <c r="AC563" t="s">
        <v>1171</v>
      </c>
      <c r="AD563" t="s">
        <v>1141</v>
      </c>
      <c r="AE563" t="s">
        <v>1171</v>
      </c>
    </row>
    <row r="564" spans="1:31" ht="35" thickBot="1" x14ac:dyDescent="0.25">
      <c r="A564" t="s">
        <v>1171</v>
      </c>
      <c r="B564" t="s">
        <v>1736</v>
      </c>
      <c r="C564" t="str">
        <f>"CONF-"&amp;TEXT(us_core_reqs[[#This Row],[ID*]], "0000")</f>
        <v>CONF-0563</v>
      </c>
      <c r="D564" s="11" t="s">
        <v>633</v>
      </c>
      <c r="E564" s="73" t="str" cm="1">
        <f t="array" ref="E564">_xlfn.TEXTJOIN(", ", TRUE, _xlfn.TEXTAFTER(_xlfn.TEXTSPLIT(us_core_reqs[[#This Row],[URL*]], ", "), "/", -1))</f>
        <v>security.html#patient-privacy-and-security</v>
      </c>
      <c r="F564" s="11" t="s">
        <v>2209</v>
      </c>
      <c r="G564" t="s">
        <v>29</v>
      </c>
      <c r="H564" cm="1">
        <f t="array" ref="H564">_xlfn.SWITCH(G564, "SHALL", 1, "SHOULD", 3, "MAY", 5, "SHOULD-NOT", 4, "SHALL-NOT", 2, "DEPRECATED", 6, 99)</f>
        <v>1</v>
      </c>
      <c r="J564" t="s">
        <v>58</v>
      </c>
      <c r="K564" t="s">
        <v>1171</v>
      </c>
      <c r="L564" t="s">
        <v>1171</v>
      </c>
      <c r="M564" t="s">
        <v>1173</v>
      </c>
      <c r="N564" t="s">
        <v>1171</v>
      </c>
      <c r="O564" t="s">
        <v>1171</v>
      </c>
      <c r="P564" t="s">
        <v>1171</v>
      </c>
      <c r="Q564" t="s">
        <v>1171</v>
      </c>
      <c r="R564" t="s">
        <v>1171</v>
      </c>
      <c r="S564" s="70" t="str" cm="1">
        <f t="array" ref="S564">_xlfn.TEXTJOIN(",",TRUE,LEFT(TRIM(_xlfn.TEXTSPLIT(us_core_reqs[[#This Row],[reference]],",")),FIND(".html",TRIM(_xlfn.TEXTSPLIT(us_core_reqs[[#This Row],[reference]],",")))-1))</f>
        <v>security</v>
      </c>
      <c r="T564" s="70" t="str" cm="1">
        <f t="array" ref="T564">_xlfn.TEXTJOIN(",",TRUE,MID(TRIM(_xlfn.TEXTSPLIT(us_core_reqs[[#This Row],[reference]],",")),FIND("#",TRIM(_xlfn.TEXTSPLIT(us_core_reqs[[#This Row],[reference]],","))&amp;"#")+1,1000))</f>
        <v>patient-privacy-and-security</v>
      </c>
      <c r="U564" t="str" cm="1">
        <f t="array" ref="U564">_xlfn.TEXTJOIN(", ",TRUE,SUBSTITUTE(SUBSTITUTE(PROPER(SUBSTITUTE(TRIM(_xlfn.TEXTSPLIT(us_core_reqs[[#This Row],[Page]],","))," -"," "))&amp;": "&amp;PROPER(SUBSTITUTE(TRIM(_xlfn.TEXTSPLIT(us_core_reqs[[#This Row],[Section]],","))," -"," ")),"Us ","US        
  "),"Uscdi","USCDI"))</f>
        <v>Security: Patient-Privacy-And-Security</v>
      </c>
      <c r="V564" t="s">
        <v>1171</v>
      </c>
      <c r="W564" t="s">
        <v>1171</v>
      </c>
      <c r="X564" t="s">
        <v>1171</v>
      </c>
      <c r="Y564" t="s">
        <v>1171</v>
      </c>
      <c r="Z564" t="s">
        <v>1171</v>
      </c>
      <c r="AA564" t="s">
        <v>1171</v>
      </c>
      <c r="AB564" t="s">
        <v>1171</v>
      </c>
      <c r="AC564" t="s">
        <v>1171</v>
      </c>
      <c r="AD564" t="s">
        <v>1171</v>
      </c>
      <c r="AE564" t="s">
        <v>1171</v>
      </c>
    </row>
    <row r="565" spans="1:31" ht="35" thickBot="1" x14ac:dyDescent="0.25">
      <c r="A565" t="s">
        <v>1171</v>
      </c>
      <c r="B565" t="s">
        <v>1737</v>
      </c>
      <c r="C565" t="str">
        <f>"CONF-"&amp;TEXT(us_core_reqs[[#This Row],[ID*]], "0000")</f>
        <v>CONF-0564</v>
      </c>
      <c r="D565" s="11" t="s">
        <v>633</v>
      </c>
      <c r="E565" s="11" t="str" cm="1">
        <f t="array" ref="E565">_xlfn.TEXTJOIN(", ", TRUE, _xlfn.TEXTAFTER(_xlfn.TEXTSPLIT(us_core_reqs[[#This Row],[URL*]], ", "), "/", -1))</f>
        <v>security.html#patient-privacy-and-security</v>
      </c>
      <c r="F565" s="11" t="s">
        <v>2214</v>
      </c>
      <c r="G565" t="s">
        <v>29</v>
      </c>
      <c r="H565" cm="1">
        <f t="array" ref="H565">_xlfn.SWITCH(G565, "SHALL", 1, "SHOULD", 3, "MAY", 5, "SHOULD-NOT", 4, "SHALL-NOT", 2, "DEPRECATED", 6, 99)</f>
        <v>1</v>
      </c>
      <c r="J565" t="s">
        <v>30</v>
      </c>
      <c r="K565" t="s">
        <v>1171</v>
      </c>
      <c r="L565" t="s">
        <v>1171</v>
      </c>
      <c r="M565" t="s">
        <v>1173</v>
      </c>
      <c r="N565" t="s">
        <v>1171</v>
      </c>
      <c r="O565" t="s">
        <v>1171</v>
      </c>
      <c r="P565" t="s">
        <v>1171</v>
      </c>
      <c r="Q565" t="s">
        <v>1171</v>
      </c>
      <c r="R565" t="s">
        <v>1171</v>
      </c>
      <c r="S565" s="70" t="str" cm="1">
        <f t="array" ref="S565">_xlfn.TEXTJOIN(",",TRUE,LEFT(TRIM(_xlfn.TEXTSPLIT(us_core_reqs[[#This Row],[reference]],",")),FIND(".html",TRIM(_xlfn.TEXTSPLIT(us_core_reqs[[#This Row],[reference]],",")))-1))</f>
        <v>security</v>
      </c>
      <c r="T565" s="70" t="str" cm="1">
        <f t="array" ref="T565">_xlfn.TEXTJOIN(",",TRUE,MID(TRIM(_xlfn.TEXTSPLIT(us_core_reqs[[#This Row],[reference]],",")),FIND("#",TRIM(_xlfn.TEXTSPLIT(us_core_reqs[[#This Row],[reference]],","))&amp;"#")+1,1000))</f>
        <v>patient-privacy-and-security</v>
      </c>
      <c r="U565" t="str" cm="1">
        <f t="array" ref="U565">_xlfn.TEXTJOIN(", ",TRUE,SUBSTITUTE(SUBSTITUTE(PROPER(SUBSTITUTE(TRIM(_xlfn.TEXTSPLIT(us_core_reqs[[#This Row],[Page]],","))," -"," "))&amp;": "&amp;PROPER(SUBSTITUTE(TRIM(_xlfn.TEXTSPLIT(us_core_reqs[[#This Row],[Section]],","))," -"," ")),"Us ","US        
  "),"Uscdi","USCDI"))</f>
        <v>Security: Patient-Privacy-And-Security</v>
      </c>
      <c r="V565" t="s">
        <v>1171</v>
      </c>
      <c r="W565" t="s">
        <v>1171</v>
      </c>
      <c r="X565" t="s">
        <v>1171</v>
      </c>
      <c r="Y565" t="s">
        <v>1171</v>
      </c>
      <c r="Z565" t="s">
        <v>1171</v>
      </c>
      <c r="AA565" t="s">
        <v>1171</v>
      </c>
      <c r="AB565" t="s">
        <v>1171</v>
      </c>
      <c r="AC565" t="s">
        <v>1171</v>
      </c>
      <c r="AD565" t="s">
        <v>1140</v>
      </c>
      <c r="AE565" t="s">
        <v>1171</v>
      </c>
    </row>
    <row r="566" spans="1:31" ht="35" thickBot="1" x14ac:dyDescent="0.25">
      <c r="A566" t="s">
        <v>1171</v>
      </c>
      <c r="B566" t="s">
        <v>1738</v>
      </c>
      <c r="C566" t="str">
        <f>"CONF-"&amp;TEXT(us_core_reqs[[#This Row],[ID*]], "0000")</f>
        <v>CONF-0565</v>
      </c>
      <c r="D566" s="11" t="s">
        <v>633</v>
      </c>
      <c r="E566" s="73" t="str" cm="1">
        <f t="array" ref="E566">_xlfn.TEXTJOIN(", ", TRUE, _xlfn.TEXTAFTER(_xlfn.TEXTSPLIT(us_core_reqs[[#This Row],[URL*]], ", "), "/", -1))</f>
        <v>security.html#patient-privacy-and-security</v>
      </c>
      <c r="F566" s="11" t="s">
        <v>2214</v>
      </c>
      <c r="G566" t="s">
        <v>29</v>
      </c>
      <c r="H566" cm="1">
        <f t="array" ref="H566">_xlfn.SWITCH(G566, "SHALL", 1, "SHOULD", 3, "MAY", 5, "SHOULD-NOT", 4, "SHALL-NOT", 2, "DEPRECATED", 6, 99)</f>
        <v>1</v>
      </c>
      <c r="J566" t="s">
        <v>58</v>
      </c>
      <c r="K566" t="s">
        <v>1171</v>
      </c>
      <c r="L566" t="s">
        <v>1171</v>
      </c>
      <c r="M566" t="s">
        <v>1173</v>
      </c>
      <c r="N566" t="s">
        <v>1171</v>
      </c>
      <c r="O566" t="s">
        <v>1171</v>
      </c>
      <c r="P566" t="s">
        <v>1171</v>
      </c>
      <c r="Q566" t="s">
        <v>1171</v>
      </c>
      <c r="R566" t="s">
        <v>1171</v>
      </c>
      <c r="S566" s="70" t="str" cm="1">
        <f t="array" ref="S566">_xlfn.TEXTJOIN(",",TRUE,LEFT(TRIM(_xlfn.TEXTSPLIT(us_core_reqs[[#This Row],[reference]],",")),FIND(".html",TRIM(_xlfn.TEXTSPLIT(us_core_reqs[[#This Row],[reference]],",")))-1))</f>
        <v>security</v>
      </c>
      <c r="T566" s="70" t="str" cm="1">
        <f t="array" ref="T566">_xlfn.TEXTJOIN(",",TRUE,MID(TRIM(_xlfn.TEXTSPLIT(us_core_reqs[[#This Row],[reference]],",")),FIND("#",TRIM(_xlfn.TEXTSPLIT(us_core_reqs[[#This Row],[reference]],","))&amp;"#")+1,1000))</f>
        <v>patient-privacy-and-security</v>
      </c>
      <c r="U566" t="str" cm="1">
        <f t="array" ref="U566">_xlfn.TEXTJOIN(", ",TRUE,SUBSTITUTE(SUBSTITUTE(PROPER(SUBSTITUTE(TRIM(_xlfn.TEXTSPLIT(us_core_reqs[[#This Row],[Page]],","))," -"," "))&amp;": "&amp;PROPER(SUBSTITUTE(TRIM(_xlfn.TEXTSPLIT(us_core_reqs[[#This Row],[Section]],","))," -"," ")),"Us ","US        
  "),"Uscdi","USCDI"))</f>
        <v>Security: Patient-Privacy-And-Security</v>
      </c>
      <c r="V566" t="s">
        <v>1171</v>
      </c>
      <c r="W566" t="s">
        <v>1171</v>
      </c>
      <c r="X566" t="s">
        <v>1171</v>
      </c>
      <c r="Y566" t="s">
        <v>1171</v>
      </c>
      <c r="Z566" t="s">
        <v>1171</v>
      </c>
      <c r="AA566" t="s">
        <v>1171</v>
      </c>
      <c r="AB566" t="s">
        <v>1171</v>
      </c>
      <c r="AC566" t="s">
        <v>1171</v>
      </c>
      <c r="AD566" t="s">
        <v>1171</v>
      </c>
      <c r="AE566" t="s">
        <v>1171</v>
      </c>
    </row>
    <row r="567" spans="1:31" ht="35" thickBot="1" x14ac:dyDescent="0.25">
      <c r="A567" t="s">
        <v>1171</v>
      </c>
      <c r="B567" t="s">
        <v>1739</v>
      </c>
      <c r="C567" t="str">
        <f>"CONF-"&amp;TEXT(us_core_reqs[[#This Row],[ID*]], "0000")</f>
        <v>CONF-0566</v>
      </c>
      <c r="D567" s="11" t="s">
        <v>633</v>
      </c>
      <c r="E567" s="73" t="str" cm="1">
        <f t="array" ref="E567">_xlfn.TEXTJOIN(", ", TRUE, _xlfn.TEXTAFTER(_xlfn.TEXTSPLIT(us_core_reqs[[#This Row],[URL*]], ", "), "/", -1))</f>
        <v>security.html#patient-privacy-and-security</v>
      </c>
      <c r="F567" s="11" t="s">
        <v>2015</v>
      </c>
      <c r="G567" t="s">
        <v>32</v>
      </c>
      <c r="H567" cm="1">
        <f t="array" ref="H567">_xlfn.SWITCH(G567, "SHALL", 1, "SHOULD", 3, "MAY", 5, "SHOULD-NOT", 4, "SHALL-NOT", 2, "DEPRECATED", 6, 99)</f>
        <v>3</v>
      </c>
      <c r="J567" t="s">
        <v>30</v>
      </c>
      <c r="K567" t="s">
        <v>1171</v>
      </c>
      <c r="L567" t="s">
        <v>1171</v>
      </c>
      <c r="M567" t="s">
        <v>1173</v>
      </c>
      <c r="N567" t="s">
        <v>1171</v>
      </c>
      <c r="O567" t="s">
        <v>1171</v>
      </c>
      <c r="P567" t="s">
        <v>1171</v>
      </c>
      <c r="Q567" t="s">
        <v>1171</v>
      </c>
      <c r="R567" t="s">
        <v>1171</v>
      </c>
      <c r="S567" s="70" t="str" cm="1">
        <f t="array" ref="S567">_xlfn.TEXTJOIN(",",TRUE,LEFT(TRIM(_xlfn.TEXTSPLIT(us_core_reqs[[#This Row],[reference]],",")),FIND(".html",TRIM(_xlfn.TEXTSPLIT(us_core_reqs[[#This Row],[reference]],",")))-1))</f>
        <v>security</v>
      </c>
      <c r="T567" s="70" t="str" cm="1">
        <f t="array" ref="T567">_xlfn.TEXTJOIN(",",TRUE,MID(TRIM(_xlfn.TEXTSPLIT(us_core_reqs[[#This Row],[reference]],",")),FIND("#",TRIM(_xlfn.TEXTSPLIT(us_core_reqs[[#This Row],[reference]],","))&amp;"#")+1,1000))</f>
        <v>patient-privacy-and-security</v>
      </c>
      <c r="U567" t="str" cm="1">
        <f t="array" ref="U567">_xlfn.TEXTJOIN(", ",TRUE,SUBSTITUTE(SUBSTITUTE(PROPER(SUBSTITUTE(TRIM(_xlfn.TEXTSPLIT(us_core_reqs[[#This Row],[Page]],","))," -"," "))&amp;": "&amp;PROPER(SUBSTITUTE(TRIM(_xlfn.TEXTSPLIT(us_core_reqs[[#This Row],[Section]],","))," -"," ")),"Us ","US        
  "),"Uscdi","USCDI"))</f>
        <v>Security: Patient-Privacy-And-Security</v>
      </c>
      <c r="V567" t="s">
        <v>1171</v>
      </c>
      <c r="W567" t="s">
        <v>1171</v>
      </c>
      <c r="X567" t="s">
        <v>1171</v>
      </c>
      <c r="Y567" t="s">
        <v>1171</v>
      </c>
      <c r="Z567" t="s">
        <v>1171</v>
      </c>
      <c r="AA567" t="s">
        <v>1171</v>
      </c>
      <c r="AB567" t="s">
        <v>1171</v>
      </c>
      <c r="AC567" t="s">
        <v>1171</v>
      </c>
      <c r="AD567" t="s">
        <v>1171</v>
      </c>
      <c r="AE567" t="s">
        <v>1171</v>
      </c>
    </row>
    <row r="568" spans="1:31" ht="35" thickBot="1" x14ac:dyDescent="0.25">
      <c r="A568" t="s">
        <v>1171</v>
      </c>
      <c r="B568" t="s">
        <v>1740</v>
      </c>
      <c r="C568" t="str">
        <f>"CONF-"&amp;TEXT(us_core_reqs[[#This Row],[ID*]], "0000")</f>
        <v>CONF-0567</v>
      </c>
      <c r="D568" s="11" t="s">
        <v>633</v>
      </c>
      <c r="E568" s="73" t="str" cm="1">
        <f t="array" ref="E568">_xlfn.TEXTJOIN(", ", TRUE, _xlfn.TEXTAFTER(_xlfn.TEXTSPLIT(us_core_reqs[[#This Row],[URL*]], ", "), "/", -1))</f>
        <v>security.html#patient-privacy-and-security</v>
      </c>
      <c r="F568" s="11" t="s">
        <v>2015</v>
      </c>
      <c r="G568" t="s">
        <v>32</v>
      </c>
      <c r="H568" cm="1">
        <f t="array" ref="H568">_xlfn.SWITCH(G568, "SHALL", 1, "SHOULD", 3, "MAY", 5, "SHOULD-NOT", 4, "SHALL-NOT", 2, "DEPRECATED", 6, 99)</f>
        <v>3</v>
      </c>
      <c r="J568" t="s">
        <v>58</v>
      </c>
      <c r="K568" t="s">
        <v>1171</v>
      </c>
      <c r="L568" t="s">
        <v>1171</v>
      </c>
      <c r="M568" t="s">
        <v>1173</v>
      </c>
      <c r="N568" t="s">
        <v>1171</v>
      </c>
      <c r="O568" t="s">
        <v>1171</v>
      </c>
      <c r="P568" t="s">
        <v>1171</v>
      </c>
      <c r="Q568" t="s">
        <v>1171</v>
      </c>
      <c r="R568" t="s">
        <v>1171</v>
      </c>
      <c r="S568" s="70" t="str" cm="1">
        <f t="array" ref="S568">_xlfn.TEXTJOIN(",",TRUE,LEFT(TRIM(_xlfn.TEXTSPLIT(us_core_reqs[[#This Row],[reference]],",")),FIND(".html",TRIM(_xlfn.TEXTSPLIT(us_core_reqs[[#This Row],[reference]],",")))-1))</f>
        <v>security</v>
      </c>
      <c r="T568" s="70" t="str" cm="1">
        <f t="array" ref="T568">_xlfn.TEXTJOIN(",",TRUE,MID(TRIM(_xlfn.TEXTSPLIT(us_core_reqs[[#This Row],[reference]],",")),FIND("#",TRIM(_xlfn.TEXTSPLIT(us_core_reqs[[#This Row],[reference]],","))&amp;"#")+1,1000))</f>
        <v>patient-privacy-and-security</v>
      </c>
      <c r="U568" t="str" cm="1">
        <f t="array" ref="U568">_xlfn.TEXTJOIN(", ",TRUE,SUBSTITUTE(SUBSTITUTE(PROPER(SUBSTITUTE(TRIM(_xlfn.TEXTSPLIT(us_core_reqs[[#This Row],[Page]],","))," -"," "))&amp;": "&amp;PROPER(SUBSTITUTE(TRIM(_xlfn.TEXTSPLIT(us_core_reqs[[#This Row],[Section]],","))," -"," ")),"Us ","US        
  "),"Uscdi","USCDI"))</f>
        <v>Security: Patient-Privacy-And-Security</v>
      </c>
      <c r="V568" t="s">
        <v>1171</v>
      </c>
      <c r="W568" t="s">
        <v>1171</v>
      </c>
      <c r="X568" t="s">
        <v>1171</v>
      </c>
      <c r="Y568" t="s">
        <v>1171</v>
      </c>
      <c r="Z568" t="s">
        <v>1171</v>
      </c>
      <c r="AA568" t="s">
        <v>1171</v>
      </c>
      <c r="AB568" t="s">
        <v>1171</v>
      </c>
      <c r="AC568" t="s">
        <v>1171</v>
      </c>
      <c r="AD568" t="s">
        <v>1171</v>
      </c>
      <c r="AE568" t="s">
        <v>1171</v>
      </c>
    </row>
    <row r="569" spans="1:31" ht="35" thickBot="1" x14ac:dyDescent="0.25">
      <c r="A569" t="s">
        <v>1171</v>
      </c>
      <c r="B569" t="s">
        <v>1741</v>
      </c>
      <c r="C569" t="str">
        <f>"CONF-"&amp;TEXT(us_core_reqs[[#This Row],[ID*]], "0000")</f>
        <v>CONF-0568</v>
      </c>
      <c r="D569" s="11" t="s">
        <v>633</v>
      </c>
      <c r="E569" s="73" t="str" cm="1">
        <f t="array" ref="E569">_xlfn.TEXTJOIN(", ", TRUE, _xlfn.TEXTAFTER(_xlfn.TEXTSPLIT(us_core_reqs[[#This Row],[URL*]], ", "), "/", -1))</f>
        <v>security.html#patient-privacy-and-security</v>
      </c>
      <c r="F569" s="11" t="s">
        <v>2200</v>
      </c>
      <c r="G569" t="s">
        <v>29</v>
      </c>
      <c r="H569" cm="1">
        <f t="array" ref="H569">_xlfn.SWITCH(G569, "SHALL", 1, "SHOULD", 3, "MAY", 5, "SHOULD-NOT", 4, "SHALL-NOT", 2, "DEPRECATED", 6, 99)</f>
        <v>1</v>
      </c>
      <c r="J569" t="s">
        <v>30</v>
      </c>
      <c r="K569" t="s">
        <v>1171</v>
      </c>
      <c r="L569" t="s">
        <v>1171</v>
      </c>
      <c r="M569" t="s">
        <v>1173</v>
      </c>
      <c r="N569" t="s">
        <v>1171</v>
      </c>
      <c r="O569" t="s">
        <v>1171</v>
      </c>
      <c r="P569" t="s">
        <v>1171</v>
      </c>
      <c r="Q569" t="s">
        <v>1171</v>
      </c>
      <c r="R569" t="s">
        <v>1171</v>
      </c>
      <c r="S569" s="70" t="str" cm="1">
        <f t="array" ref="S569">_xlfn.TEXTJOIN(",",TRUE,LEFT(TRIM(_xlfn.TEXTSPLIT(us_core_reqs[[#This Row],[reference]],",")),FIND(".html",TRIM(_xlfn.TEXTSPLIT(us_core_reqs[[#This Row],[reference]],",")))-1))</f>
        <v>security</v>
      </c>
      <c r="T569" s="70" t="str" cm="1">
        <f t="array" ref="T569">_xlfn.TEXTJOIN(",",TRUE,MID(TRIM(_xlfn.TEXTSPLIT(us_core_reqs[[#This Row],[reference]],",")),FIND("#",TRIM(_xlfn.TEXTSPLIT(us_core_reqs[[#This Row],[reference]],","))&amp;"#")+1,1000))</f>
        <v>patient-privacy-and-security</v>
      </c>
      <c r="U569" t="str" cm="1">
        <f t="array" ref="U569">_xlfn.TEXTJOIN(", ",TRUE,SUBSTITUTE(SUBSTITUTE(PROPER(SUBSTITUTE(TRIM(_xlfn.TEXTSPLIT(us_core_reqs[[#This Row],[Page]],","))," -"," "))&amp;": "&amp;PROPER(SUBSTITUTE(TRIM(_xlfn.TEXTSPLIT(us_core_reqs[[#This Row],[Section]],","))," -"," ")),"Us ","US        
  "),"Uscdi","USCDI"))</f>
        <v>Security: Patient-Privacy-And-Security</v>
      </c>
      <c r="V569" t="s">
        <v>1171</v>
      </c>
      <c r="W569" t="s">
        <v>1171</v>
      </c>
      <c r="X569" t="s">
        <v>1171</v>
      </c>
      <c r="Y569" t="s">
        <v>1171</v>
      </c>
      <c r="Z569" t="s">
        <v>1171</v>
      </c>
      <c r="AA569" t="s">
        <v>1171</v>
      </c>
      <c r="AB569" t="s">
        <v>1171</v>
      </c>
      <c r="AC569" t="s">
        <v>1171</v>
      </c>
      <c r="AD569" t="s">
        <v>1141</v>
      </c>
      <c r="AE569" t="s">
        <v>1171</v>
      </c>
    </row>
    <row r="570" spans="1:31" ht="35" thickBot="1" x14ac:dyDescent="0.25">
      <c r="A570" t="s">
        <v>1171</v>
      </c>
      <c r="B570" t="s">
        <v>1742</v>
      </c>
      <c r="C570" t="str">
        <f>"CONF-"&amp;TEXT(us_core_reqs[[#This Row],[ID*]], "0000")</f>
        <v>CONF-0569</v>
      </c>
      <c r="D570" s="11" t="s">
        <v>633</v>
      </c>
      <c r="E570" s="73" t="str" cm="1">
        <f t="array" ref="E570">_xlfn.TEXTJOIN(", ", TRUE, _xlfn.TEXTAFTER(_xlfn.TEXTSPLIT(us_core_reqs[[#This Row],[URL*]], ", "), "/", -1))</f>
        <v>security.html#patient-privacy-and-security</v>
      </c>
      <c r="F570" s="11" t="s">
        <v>2200</v>
      </c>
      <c r="G570" t="s">
        <v>29</v>
      </c>
      <c r="H570" cm="1">
        <f t="array" ref="H570">_xlfn.SWITCH(G570, "SHALL", 1, "SHOULD", 3, "MAY", 5, "SHOULD-NOT", 4, "SHALL-NOT", 2, "DEPRECATED", 6, 99)</f>
        <v>1</v>
      </c>
      <c r="J570" t="s">
        <v>58</v>
      </c>
      <c r="K570" t="s">
        <v>1171</v>
      </c>
      <c r="L570" t="s">
        <v>1171</v>
      </c>
      <c r="M570" t="s">
        <v>1173</v>
      </c>
      <c r="N570" t="s">
        <v>1171</v>
      </c>
      <c r="O570" t="s">
        <v>1171</v>
      </c>
      <c r="P570" t="s">
        <v>1171</v>
      </c>
      <c r="Q570" t="s">
        <v>1171</v>
      </c>
      <c r="R570" t="s">
        <v>1171</v>
      </c>
      <c r="S570" s="70" t="str" cm="1">
        <f t="array" ref="S570">_xlfn.TEXTJOIN(",",TRUE,LEFT(TRIM(_xlfn.TEXTSPLIT(us_core_reqs[[#This Row],[reference]],",")),FIND(".html",TRIM(_xlfn.TEXTSPLIT(us_core_reqs[[#This Row],[reference]],",")))-1))</f>
        <v>security</v>
      </c>
      <c r="T570" s="70" t="str" cm="1">
        <f t="array" ref="T570">_xlfn.TEXTJOIN(",",TRUE,MID(TRIM(_xlfn.TEXTSPLIT(us_core_reqs[[#This Row],[reference]],",")),FIND("#",TRIM(_xlfn.TEXTSPLIT(us_core_reqs[[#This Row],[reference]],","))&amp;"#")+1,1000))</f>
        <v>patient-privacy-and-security</v>
      </c>
      <c r="U570" t="str" cm="1">
        <f t="array" ref="U570">_xlfn.TEXTJOIN(", ",TRUE,SUBSTITUTE(SUBSTITUTE(PROPER(SUBSTITUTE(TRIM(_xlfn.TEXTSPLIT(us_core_reqs[[#This Row],[Page]],","))," -"," "))&amp;": "&amp;PROPER(SUBSTITUTE(TRIM(_xlfn.TEXTSPLIT(us_core_reqs[[#This Row],[Section]],","))," -"," ")),"Us ","US        
  "),"Uscdi","USCDI"))</f>
        <v>Security: Patient-Privacy-And-Security</v>
      </c>
      <c r="V570" t="s">
        <v>1171</v>
      </c>
      <c r="W570" t="s">
        <v>1171</v>
      </c>
      <c r="X570" t="s">
        <v>1171</v>
      </c>
      <c r="Y570" t="s">
        <v>1171</v>
      </c>
      <c r="Z570" t="s">
        <v>1171</v>
      </c>
      <c r="AA570" t="s">
        <v>1171</v>
      </c>
      <c r="AB570" t="s">
        <v>1171</v>
      </c>
      <c r="AC570" t="s">
        <v>1171</v>
      </c>
      <c r="AD570" t="s">
        <v>1171</v>
      </c>
      <c r="AE570" t="s">
        <v>1171</v>
      </c>
    </row>
    <row r="571" spans="1:31" ht="52" thickBot="1" x14ac:dyDescent="0.25">
      <c r="A571" t="s">
        <v>1171</v>
      </c>
      <c r="B571" t="s">
        <v>1743</v>
      </c>
      <c r="C571" t="str">
        <f>"CONF-"&amp;TEXT(us_core_reqs[[#This Row],[ID*]], "0000")</f>
        <v>CONF-0570</v>
      </c>
      <c r="D571" s="11" t="s">
        <v>633</v>
      </c>
      <c r="E571" s="73" t="str" cm="1">
        <f t="array" ref="E571">_xlfn.TEXTJOIN(", ", TRUE, _xlfn.TEXTAFTER(_xlfn.TEXTSPLIT(us_core_reqs[[#This Row],[URL*]], ", "), "/", -1))</f>
        <v>security.html#patient-privacy-and-security</v>
      </c>
      <c r="F571" s="11" t="s">
        <v>2346</v>
      </c>
      <c r="G571" t="s">
        <v>29</v>
      </c>
      <c r="H571" cm="1">
        <f t="array" ref="H571">_xlfn.SWITCH(G571, "SHALL", 1, "SHOULD", 3, "MAY", 5, "SHOULD-NOT", 4, "SHALL-NOT", 2, "DEPRECATED", 6, 99)</f>
        <v>1</v>
      </c>
      <c r="I571" t="s">
        <v>2348</v>
      </c>
      <c r="J571" t="s">
        <v>30</v>
      </c>
      <c r="K571" t="s">
        <v>1171</v>
      </c>
      <c r="L571" t="s">
        <v>1171</v>
      </c>
      <c r="M571" t="s">
        <v>1173</v>
      </c>
      <c r="N571" t="s">
        <v>1171</v>
      </c>
      <c r="O571" t="s">
        <v>1171</v>
      </c>
      <c r="P571" t="s">
        <v>1171</v>
      </c>
      <c r="Q571" t="s">
        <v>1171</v>
      </c>
      <c r="R571" t="s">
        <v>1171</v>
      </c>
      <c r="S571" s="70" t="str" cm="1">
        <f t="array" ref="S571">_xlfn.TEXTJOIN(",",TRUE,LEFT(TRIM(_xlfn.TEXTSPLIT(us_core_reqs[[#This Row],[reference]],",")),FIND(".html",TRIM(_xlfn.TEXTSPLIT(us_core_reqs[[#This Row],[reference]],",")))-1))</f>
        <v>security</v>
      </c>
      <c r="T571" s="70" t="str" cm="1">
        <f t="array" ref="T571">_xlfn.TEXTJOIN(",",TRUE,MID(TRIM(_xlfn.TEXTSPLIT(us_core_reqs[[#This Row],[reference]],",")),FIND("#",TRIM(_xlfn.TEXTSPLIT(us_core_reqs[[#This Row],[reference]],","))&amp;"#")+1,1000))</f>
        <v>patient-privacy-and-security</v>
      </c>
      <c r="U571" t="str" cm="1">
        <f t="array" ref="U571">_xlfn.TEXTJOIN(", ",TRUE,SUBSTITUTE(SUBSTITUTE(PROPER(SUBSTITUTE(TRIM(_xlfn.TEXTSPLIT(us_core_reqs[[#This Row],[Page]],","))," -"," "))&amp;": "&amp;PROPER(SUBSTITUTE(TRIM(_xlfn.TEXTSPLIT(us_core_reqs[[#This Row],[Section]],","))," -"," ")),"Us ","US        
  "),"Uscdi","USCDI"))</f>
        <v>Security: Patient-Privacy-And-Security</v>
      </c>
      <c r="V571" t="s">
        <v>1171</v>
      </c>
      <c r="W571" t="s">
        <v>1171</v>
      </c>
      <c r="X571" t="s">
        <v>1171</v>
      </c>
      <c r="Y571" t="s">
        <v>1171</v>
      </c>
      <c r="Z571" t="s">
        <v>1171</v>
      </c>
      <c r="AA571" t="s">
        <v>1171</v>
      </c>
      <c r="AB571" t="s">
        <v>1171</v>
      </c>
      <c r="AC571" t="s">
        <v>1171</v>
      </c>
      <c r="AD571" t="s">
        <v>1140</v>
      </c>
      <c r="AE571" t="s">
        <v>1171</v>
      </c>
    </row>
    <row r="572" spans="1:31" ht="52" thickBot="1" x14ac:dyDescent="0.25">
      <c r="A572" t="s">
        <v>1171</v>
      </c>
      <c r="B572" t="s">
        <v>1744</v>
      </c>
      <c r="C572" t="str">
        <f>"CONF-"&amp;TEXT(us_core_reqs[[#This Row],[ID*]], "0000")</f>
        <v>CONF-0571</v>
      </c>
      <c r="D572" s="11" t="s">
        <v>633</v>
      </c>
      <c r="E572" s="73" t="str" cm="1">
        <f t="array" ref="E572">_xlfn.TEXTJOIN(", ", TRUE, _xlfn.TEXTAFTER(_xlfn.TEXTSPLIT(us_core_reqs[[#This Row],[URL*]], ", "), "/", -1))</f>
        <v>security.html#patient-privacy-and-security</v>
      </c>
      <c r="F572" s="11" t="s">
        <v>2144</v>
      </c>
      <c r="G572" t="s">
        <v>29</v>
      </c>
      <c r="H572" cm="1">
        <f t="array" ref="H572">_xlfn.SWITCH(G572, "SHALL", 1, "SHOULD", 3, "MAY", 5, "SHOULD-NOT", 4, "SHALL-NOT", 2, "DEPRECATED", 6, 99)</f>
        <v>1</v>
      </c>
      <c r="I572" t="s">
        <v>2347</v>
      </c>
      <c r="J572" t="s">
        <v>58</v>
      </c>
      <c r="K572" t="s">
        <v>1171</v>
      </c>
      <c r="L572" t="s">
        <v>1171</v>
      </c>
      <c r="M572" t="s">
        <v>1173</v>
      </c>
      <c r="N572" t="s">
        <v>1171</v>
      </c>
      <c r="O572" t="s">
        <v>1171</v>
      </c>
      <c r="P572" t="s">
        <v>1171</v>
      </c>
      <c r="Q572" t="s">
        <v>1171</v>
      </c>
      <c r="R572" t="s">
        <v>1171</v>
      </c>
      <c r="S572" s="70" t="str" cm="1">
        <f t="array" ref="S572">_xlfn.TEXTJOIN(",",TRUE,LEFT(TRIM(_xlfn.TEXTSPLIT(us_core_reqs[[#This Row],[reference]],",")),FIND(".html",TRIM(_xlfn.TEXTSPLIT(us_core_reqs[[#This Row],[reference]],",")))-1))</f>
        <v>security</v>
      </c>
      <c r="T572" s="70" t="str" cm="1">
        <f t="array" ref="T572">_xlfn.TEXTJOIN(",",TRUE,MID(TRIM(_xlfn.TEXTSPLIT(us_core_reqs[[#This Row],[reference]],",")),FIND("#",TRIM(_xlfn.TEXTSPLIT(us_core_reqs[[#This Row],[reference]],","))&amp;"#")+1,1000))</f>
        <v>patient-privacy-and-security</v>
      </c>
      <c r="U572" t="str" cm="1">
        <f t="array" ref="U572">_xlfn.TEXTJOIN(", ",TRUE,SUBSTITUTE(SUBSTITUTE(PROPER(SUBSTITUTE(TRIM(_xlfn.TEXTSPLIT(us_core_reqs[[#This Row],[Page]],","))," -"," "))&amp;": "&amp;PROPER(SUBSTITUTE(TRIM(_xlfn.TEXTSPLIT(us_core_reqs[[#This Row],[Section]],","))," -"," ")),"Us ","US        
  "),"Uscdi","USCDI"))</f>
        <v>Security: Patient-Privacy-And-Security</v>
      </c>
      <c r="V572" t="s">
        <v>1171</v>
      </c>
      <c r="W572" t="s">
        <v>1171</v>
      </c>
      <c r="X572" t="s">
        <v>1171</v>
      </c>
      <c r="Y572" t="s">
        <v>1171</v>
      </c>
      <c r="Z572" t="s">
        <v>1171</v>
      </c>
      <c r="AA572" t="s">
        <v>1171</v>
      </c>
      <c r="AB572" t="s">
        <v>1171</v>
      </c>
      <c r="AC572" t="s">
        <v>1082</v>
      </c>
      <c r="AD572" t="s">
        <v>1171</v>
      </c>
      <c r="AE572" t="s">
        <v>1171</v>
      </c>
    </row>
    <row r="573" spans="1:31" ht="35" thickBot="1" x14ac:dyDescent="0.25">
      <c r="A573" t="s">
        <v>1171</v>
      </c>
      <c r="B573" t="s">
        <v>1745</v>
      </c>
      <c r="C573" t="str">
        <f>"CONF-"&amp;TEXT(us_core_reqs[[#This Row],[ID*]], "0000")</f>
        <v>CONF-0572</v>
      </c>
      <c r="D573" s="11" t="s">
        <v>633</v>
      </c>
      <c r="E573" s="73" t="str" cm="1">
        <f t="array" ref="E573">_xlfn.TEXTJOIN(", ", TRUE, _xlfn.TEXTAFTER(_xlfn.TEXTSPLIT(us_core_reqs[[#This Row],[URL*]], ", "), "/", -1))</f>
        <v>security.html#patient-privacy-and-security</v>
      </c>
      <c r="F573" s="11" t="s">
        <v>2172</v>
      </c>
      <c r="G573" t="s">
        <v>29</v>
      </c>
      <c r="H573" cm="1">
        <f t="array" ref="H573">_xlfn.SWITCH(G573, "SHALL", 1, "SHOULD", 3, "MAY", 5, "SHOULD-NOT", 4, "SHALL-NOT", 2, "DEPRECATED", 6, 99)</f>
        <v>1</v>
      </c>
      <c r="J573" t="s">
        <v>30</v>
      </c>
      <c r="K573" t="s">
        <v>1171</v>
      </c>
      <c r="L573" t="s">
        <v>1171</v>
      </c>
      <c r="M573" t="s">
        <v>1173</v>
      </c>
      <c r="N573" t="s">
        <v>1171</v>
      </c>
      <c r="O573" t="s">
        <v>1171</v>
      </c>
      <c r="P573" t="s">
        <v>1171</v>
      </c>
      <c r="Q573" t="s">
        <v>1171</v>
      </c>
      <c r="R573" t="s">
        <v>1171</v>
      </c>
      <c r="S573" s="70" t="str" cm="1">
        <f t="array" ref="S573">_xlfn.TEXTJOIN(",",TRUE,LEFT(TRIM(_xlfn.TEXTSPLIT(us_core_reqs[[#This Row],[reference]],",")),FIND(".html",TRIM(_xlfn.TEXTSPLIT(us_core_reqs[[#This Row],[reference]],",")))-1))</f>
        <v>security</v>
      </c>
      <c r="T573" s="70" t="str" cm="1">
        <f t="array" ref="T573">_xlfn.TEXTJOIN(",",TRUE,MID(TRIM(_xlfn.TEXTSPLIT(us_core_reqs[[#This Row],[reference]],",")),FIND("#",TRIM(_xlfn.TEXTSPLIT(us_core_reqs[[#This Row],[reference]],","))&amp;"#")+1,1000))</f>
        <v>patient-privacy-and-security</v>
      </c>
      <c r="U573" t="str" cm="1">
        <f t="array" ref="U573">_xlfn.TEXTJOIN(", ",TRUE,SUBSTITUTE(SUBSTITUTE(PROPER(SUBSTITUTE(TRIM(_xlfn.TEXTSPLIT(us_core_reqs[[#This Row],[Page]],","))," -"," "))&amp;": "&amp;PROPER(SUBSTITUTE(TRIM(_xlfn.TEXTSPLIT(us_core_reqs[[#This Row],[Section]],","))," -"," ")),"Us ","US        
  "),"Uscdi","USCDI"))</f>
        <v>Security: Patient-Privacy-And-Security</v>
      </c>
      <c r="V573" t="s">
        <v>1171</v>
      </c>
      <c r="W573" t="s">
        <v>1171</v>
      </c>
      <c r="X573" t="s">
        <v>1171</v>
      </c>
      <c r="Y573" t="s">
        <v>1171</v>
      </c>
      <c r="Z573" t="s">
        <v>1171</v>
      </c>
      <c r="AA573" t="s">
        <v>1171</v>
      </c>
      <c r="AB573" t="s">
        <v>1171</v>
      </c>
      <c r="AC573" t="s">
        <v>1171</v>
      </c>
      <c r="AD573" t="s">
        <v>1141</v>
      </c>
      <c r="AE573" t="s">
        <v>1171</v>
      </c>
    </row>
    <row r="574" spans="1:31" ht="35" thickBot="1" x14ac:dyDescent="0.25">
      <c r="A574" t="s">
        <v>1171</v>
      </c>
      <c r="B574" t="s">
        <v>1746</v>
      </c>
      <c r="C574" t="str">
        <f>"CONF-"&amp;TEXT(us_core_reqs[[#This Row],[ID*]], "0000")</f>
        <v>CONF-0573</v>
      </c>
      <c r="D574" s="11" t="s">
        <v>633</v>
      </c>
      <c r="E574" s="73" t="str" cm="1">
        <f t="array" ref="E574">_xlfn.TEXTJOIN(", ", TRUE, _xlfn.TEXTAFTER(_xlfn.TEXTSPLIT(us_core_reqs[[#This Row],[URL*]], ", "), "/", -1))</f>
        <v>security.html#patient-privacy-and-security</v>
      </c>
      <c r="F574" s="11" t="s">
        <v>2172</v>
      </c>
      <c r="G574" t="s">
        <v>29</v>
      </c>
      <c r="H574" cm="1">
        <f t="array" ref="H574">_xlfn.SWITCH(G574, "SHALL", 1, "SHOULD", 3, "MAY", 5, "SHOULD-NOT", 4, "SHALL-NOT", 2, "DEPRECATED", 6, 99)</f>
        <v>1</v>
      </c>
      <c r="J574" t="s">
        <v>58</v>
      </c>
      <c r="K574" t="s">
        <v>1171</v>
      </c>
      <c r="L574" t="s">
        <v>1171</v>
      </c>
      <c r="M574" t="s">
        <v>1173</v>
      </c>
      <c r="N574" t="s">
        <v>1171</v>
      </c>
      <c r="O574" t="s">
        <v>1171</v>
      </c>
      <c r="P574" t="s">
        <v>1171</v>
      </c>
      <c r="Q574" t="s">
        <v>1171</v>
      </c>
      <c r="R574" t="s">
        <v>1171</v>
      </c>
      <c r="S574" s="70" t="str" cm="1">
        <f t="array" ref="S574">_xlfn.TEXTJOIN(",",TRUE,LEFT(TRIM(_xlfn.TEXTSPLIT(us_core_reqs[[#This Row],[reference]],",")),FIND(".html",TRIM(_xlfn.TEXTSPLIT(us_core_reqs[[#This Row],[reference]],",")))-1))</f>
        <v>security</v>
      </c>
      <c r="T574" s="70" t="str" cm="1">
        <f t="array" ref="T574">_xlfn.TEXTJOIN(",",TRUE,MID(TRIM(_xlfn.TEXTSPLIT(us_core_reqs[[#This Row],[reference]],",")),FIND("#",TRIM(_xlfn.TEXTSPLIT(us_core_reqs[[#This Row],[reference]],","))&amp;"#")+1,1000))</f>
        <v>patient-privacy-and-security</v>
      </c>
      <c r="U574" t="str" cm="1">
        <f t="array" ref="U574">_xlfn.TEXTJOIN(", ",TRUE,SUBSTITUTE(SUBSTITUTE(PROPER(SUBSTITUTE(TRIM(_xlfn.TEXTSPLIT(us_core_reqs[[#This Row],[Page]],","))," -"," "))&amp;": "&amp;PROPER(SUBSTITUTE(TRIM(_xlfn.TEXTSPLIT(us_core_reqs[[#This Row],[Section]],","))," -"," ")),"Us ","US        
  "),"Uscdi","USCDI"))</f>
        <v>Security: Patient-Privacy-And-Security</v>
      </c>
      <c r="V574" t="s">
        <v>1171</v>
      </c>
      <c r="W574" t="s">
        <v>1171</v>
      </c>
      <c r="X574" t="s">
        <v>1171</v>
      </c>
      <c r="Y574" t="s">
        <v>1171</v>
      </c>
      <c r="Z574" t="s">
        <v>1171</v>
      </c>
      <c r="AA574" t="s">
        <v>1171</v>
      </c>
      <c r="AB574" t="s">
        <v>1171</v>
      </c>
      <c r="AC574" t="s">
        <v>1171</v>
      </c>
      <c r="AD574" t="s">
        <v>1171</v>
      </c>
      <c r="AE574" t="s">
        <v>1171</v>
      </c>
    </row>
    <row r="575" spans="1:31" ht="35" thickBot="1" x14ac:dyDescent="0.25">
      <c r="A575" t="s">
        <v>1171</v>
      </c>
      <c r="B575" t="s">
        <v>1747</v>
      </c>
      <c r="C575" t="str">
        <f>"CONF-"&amp;TEXT(us_core_reqs[[#This Row],[ID*]], "0000")</f>
        <v>CONF-0574</v>
      </c>
      <c r="D575" s="11" t="s">
        <v>633</v>
      </c>
      <c r="E575" s="73" t="str" cm="1">
        <f t="array" ref="E575">_xlfn.TEXTJOIN(", ", TRUE, _xlfn.TEXTAFTER(_xlfn.TEXTSPLIT(us_core_reqs[[#This Row],[URL*]], ", "), "/", -1))</f>
        <v>security.html#patient-privacy-and-security</v>
      </c>
      <c r="F575" s="11" t="s">
        <v>2016</v>
      </c>
      <c r="G575" t="s">
        <v>32</v>
      </c>
      <c r="H575" cm="1">
        <f t="array" ref="H575">_xlfn.SWITCH(G575, "SHALL", 1, "SHOULD", 3, "MAY", 5, "SHOULD-NOT", 4, "SHALL-NOT", 2, "DEPRECATED", 6, 99)</f>
        <v>3</v>
      </c>
      <c r="J575" t="s">
        <v>30</v>
      </c>
      <c r="K575" t="s">
        <v>1171</v>
      </c>
      <c r="L575" t="s">
        <v>1171</v>
      </c>
      <c r="M575" t="s">
        <v>1173</v>
      </c>
      <c r="N575" t="s">
        <v>1171</v>
      </c>
      <c r="O575" t="s">
        <v>1171</v>
      </c>
      <c r="P575" t="s">
        <v>1171</v>
      </c>
      <c r="Q575" t="s">
        <v>1171</v>
      </c>
      <c r="R575" t="s">
        <v>1171</v>
      </c>
      <c r="S575" s="70" t="str" cm="1">
        <f t="array" ref="S575">_xlfn.TEXTJOIN(",",TRUE,LEFT(TRIM(_xlfn.TEXTSPLIT(us_core_reqs[[#This Row],[reference]],",")),FIND(".html",TRIM(_xlfn.TEXTSPLIT(us_core_reqs[[#This Row],[reference]],",")))-1))</f>
        <v>security</v>
      </c>
      <c r="T575" s="70" t="str" cm="1">
        <f t="array" ref="T575">_xlfn.TEXTJOIN(",",TRUE,MID(TRIM(_xlfn.TEXTSPLIT(us_core_reqs[[#This Row],[reference]],",")),FIND("#",TRIM(_xlfn.TEXTSPLIT(us_core_reqs[[#This Row],[reference]],","))&amp;"#")+1,1000))</f>
        <v>patient-privacy-and-security</v>
      </c>
      <c r="U575" t="str" cm="1">
        <f t="array" ref="U575">_xlfn.TEXTJOIN(", ",TRUE,SUBSTITUTE(SUBSTITUTE(PROPER(SUBSTITUTE(TRIM(_xlfn.TEXTSPLIT(us_core_reqs[[#This Row],[Page]],","))," -"," "))&amp;": "&amp;PROPER(SUBSTITUTE(TRIM(_xlfn.TEXTSPLIT(us_core_reqs[[#This Row],[Section]],","))," -"," ")),"Us ","US        
  "),"Uscdi","USCDI"))</f>
        <v>Security: Patient-Privacy-And-Security</v>
      </c>
      <c r="V575" t="s">
        <v>1171</v>
      </c>
      <c r="W575" t="s">
        <v>1171</v>
      </c>
      <c r="X575" t="s">
        <v>1171</v>
      </c>
      <c r="Y575" t="s">
        <v>1171</v>
      </c>
      <c r="Z575" t="s">
        <v>1171</v>
      </c>
      <c r="AA575" t="s">
        <v>1171</v>
      </c>
      <c r="AB575" t="s">
        <v>1171</v>
      </c>
      <c r="AC575" t="s">
        <v>1171</v>
      </c>
      <c r="AD575" t="s">
        <v>1171</v>
      </c>
      <c r="AE575" t="s">
        <v>1171</v>
      </c>
    </row>
    <row r="576" spans="1:31" ht="35" thickBot="1" x14ac:dyDescent="0.25">
      <c r="A576" t="s">
        <v>1171</v>
      </c>
      <c r="B576" t="s">
        <v>1748</v>
      </c>
      <c r="C576" t="str">
        <f>"CONF-"&amp;TEXT(us_core_reqs[[#This Row],[ID*]], "0000")</f>
        <v>CONF-0575</v>
      </c>
      <c r="D576" s="11" t="s">
        <v>633</v>
      </c>
      <c r="E576" s="73" t="str" cm="1">
        <f t="array" ref="E576">_xlfn.TEXTJOIN(", ", TRUE, _xlfn.TEXTAFTER(_xlfn.TEXTSPLIT(us_core_reqs[[#This Row],[URL*]], ", "), "/", -1))</f>
        <v>security.html#patient-privacy-and-security</v>
      </c>
      <c r="F576" s="11" t="s">
        <v>2016</v>
      </c>
      <c r="G576" t="s">
        <v>32</v>
      </c>
      <c r="H576" cm="1">
        <f t="array" ref="H576">_xlfn.SWITCH(G576, "SHALL", 1, "SHOULD", 3, "MAY", 5, "SHOULD-NOT", 4, "SHALL-NOT", 2, "DEPRECATED", 6, 99)</f>
        <v>3</v>
      </c>
      <c r="J576" t="s">
        <v>58</v>
      </c>
      <c r="K576" t="s">
        <v>1171</v>
      </c>
      <c r="L576" t="s">
        <v>1171</v>
      </c>
      <c r="M576" t="s">
        <v>1173</v>
      </c>
      <c r="N576" t="s">
        <v>1171</v>
      </c>
      <c r="O576" t="s">
        <v>1171</v>
      </c>
      <c r="P576" t="s">
        <v>1171</v>
      </c>
      <c r="Q576" t="s">
        <v>1171</v>
      </c>
      <c r="R576" t="s">
        <v>1171</v>
      </c>
      <c r="S576" s="70" t="str" cm="1">
        <f t="array" ref="S576">_xlfn.TEXTJOIN(",",TRUE,LEFT(TRIM(_xlfn.TEXTSPLIT(us_core_reqs[[#This Row],[reference]],",")),FIND(".html",TRIM(_xlfn.TEXTSPLIT(us_core_reqs[[#This Row],[reference]],",")))-1))</f>
        <v>security</v>
      </c>
      <c r="T576" s="70" t="str" cm="1">
        <f t="array" ref="T576">_xlfn.TEXTJOIN(",",TRUE,MID(TRIM(_xlfn.TEXTSPLIT(us_core_reqs[[#This Row],[reference]],",")),FIND("#",TRIM(_xlfn.TEXTSPLIT(us_core_reqs[[#This Row],[reference]],","))&amp;"#")+1,1000))</f>
        <v>patient-privacy-and-security</v>
      </c>
      <c r="U576" t="str" cm="1">
        <f t="array" ref="U576">_xlfn.TEXTJOIN(", ",TRUE,SUBSTITUTE(SUBSTITUTE(PROPER(SUBSTITUTE(TRIM(_xlfn.TEXTSPLIT(us_core_reqs[[#This Row],[Page]],","))," -"," "))&amp;": "&amp;PROPER(SUBSTITUTE(TRIM(_xlfn.TEXTSPLIT(us_core_reqs[[#This Row],[Section]],","))," -"," ")),"Us ","US        
  "),"Uscdi","USCDI"))</f>
        <v>Security: Patient-Privacy-And-Security</v>
      </c>
      <c r="V576" t="s">
        <v>1171</v>
      </c>
      <c r="W576" t="s">
        <v>1171</v>
      </c>
      <c r="X576" t="s">
        <v>1171</v>
      </c>
      <c r="Y576" t="s">
        <v>1171</v>
      </c>
      <c r="Z576" t="s">
        <v>1171</v>
      </c>
      <c r="AA576" t="s">
        <v>1171</v>
      </c>
      <c r="AB576" t="s">
        <v>1171</v>
      </c>
      <c r="AC576" t="s">
        <v>1171</v>
      </c>
      <c r="AD576" t="s">
        <v>1171</v>
      </c>
      <c r="AE576" t="s">
        <v>1171</v>
      </c>
    </row>
    <row r="577" spans="1:31" ht="69" thickBot="1" x14ac:dyDescent="0.25">
      <c r="A577" t="s">
        <v>1171</v>
      </c>
      <c r="B577" t="s">
        <v>1749</v>
      </c>
      <c r="C577" t="str">
        <f>"CONF-"&amp;TEXT(us_core_reqs[[#This Row],[ID*]], "0000")</f>
        <v>CONF-0576</v>
      </c>
      <c r="D577" s="11" t="s">
        <v>633</v>
      </c>
      <c r="E577" s="73" t="str" cm="1">
        <f t="array" ref="E577">_xlfn.TEXTJOIN(", ", TRUE, _xlfn.TEXTAFTER(_xlfn.TEXTSPLIT(us_core_reqs[[#This Row],[URL*]], ", "), "/", -1))</f>
        <v>security.html#patient-privacy-and-security</v>
      </c>
      <c r="F577" s="11" t="s">
        <v>2017</v>
      </c>
      <c r="G577" t="s">
        <v>32</v>
      </c>
      <c r="H577" cm="1">
        <f t="array" ref="H577">_xlfn.SWITCH(G577, "SHALL", 1, "SHOULD", 3, "MAY", 5, "SHOULD-NOT", 4, "SHALL-NOT", 2, "DEPRECATED", 6, 99)</f>
        <v>3</v>
      </c>
      <c r="J577" t="s">
        <v>30</v>
      </c>
      <c r="K577" t="s">
        <v>1171</v>
      </c>
      <c r="L577" t="s">
        <v>1171</v>
      </c>
      <c r="M577" t="s">
        <v>1173</v>
      </c>
      <c r="N577" t="s">
        <v>1171</v>
      </c>
      <c r="O577" t="s">
        <v>1171</v>
      </c>
      <c r="P577" t="s">
        <v>1171</v>
      </c>
      <c r="Q577" t="s">
        <v>1171</v>
      </c>
      <c r="R577" t="s">
        <v>1171</v>
      </c>
      <c r="S577" s="70" t="str" cm="1">
        <f t="array" ref="S577">_xlfn.TEXTJOIN(",",TRUE,LEFT(TRIM(_xlfn.TEXTSPLIT(us_core_reqs[[#This Row],[reference]],",")),FIND(".html",TRIM(_xlfn.TEXTSPLIT(us_core_reqs[[#This Row],[reference]],",")))-1))</f>
        <v>security</v>
      </c>
      <c r="T577" s="70" t="str" cm="1">
        <f t="array" ref="T577">_xlfn.TEXTJOIN(",",TRUE,MID(TRIM(_xlfn.TEXTSPLIT(us_core_reqs[[#This Row],[reference]],",")),FIND("#",TRIM(_xlfn.TEXTSPLIT(us_core_reqs[[#This Row],[reference]],","))&amp;"#")+1,1000))</f>
        <v>patient-privacy-and-security</v>
      </c>
      <c r="U577" t="str" cm="1">
        <f t="array" ref="U577">_xlfn.TEXTJOIN(", ",TRUE,SUBSTITUTE(SUBSTITUTE(PROPER(SUBSTITUTE(TRIM(_xlfn.TEXTSPLIT(us_core_reqs[[#This Row],[Page]],","))," -"," "))&amp;": "&amp;PROPER(SUBSTITUTE(TRIM(_xlfn.TEXTSPLIT(us_core_reqs[[#This Row],[Section]],","))," -"," ")),"Us ","US        
  "),"Uscdi","USCDI"))</f>
        <v>Security: Patient-Privacy-And-Security</v>
      </c>
      <c r="V577" t="s">
        <v>1171</v>
      </c>
      <c r="W577" t="s">
        <v>1171</v>
      </c>
      <c r="X577" t="s">
        <v>1171</v>
      </c>
      <c r="Y577" t="s">
        <v>1171</v>
      </c>
      <c r="Z577" t="s">
        <v>1171</v>
      </c>
      <c r="AA577" t="s">
        <v>1171</v>
      </c>
      <c r="AB577" t="s">
        <v>1171</v>
      </c>
      <c r="AC577" t="s">
        <v>1171</v>
      </c>
      <c r="AD577" t="s">
        <v>1171</v>
      </c>
      <c r="AE577" t="s">
        <v>1171</v>
      </c>
    </row>
    <row r="578" spans="1:31" ht="69" thickBot="1" x14ac:dyDescent="0.25">
      <c r="A578" t="s">
        <v>1171</v>
      </c>
      <c r="B578" t="s">
        <v>1750</v>
      </c>
      <c r="C578" t="str">
        <f>"CONF-"&amp;TEXT(us_core_reqs[[#This Row],[ID*]], "0000")</f>
        <v>CONF-0577</v>
      </c>
      <c r="D578" s="11" t="s">
        <v>633</v>
      </c>
      <c r="E578" s="73" t="str" cm="1">
        <f t="array" ref="E578">_xlfn.TEXTJOIN(", ", TRUE, _xlfn.TEXTAFTER(_xlfn.TEXTSPLIT(us_core_reqs[[#This Row],[URL*]], ", "), "/", -1))</f>
        <v>security.html#patient-privacy-and-security</v>
      </c>
      <c r="F578" s="11" t="s">
        <v>2017</v>
      </c>
      <c r="G578" t="s">
        <v>32</v>
      </c>
      <c r="H578" cm="1">
        <f t="array" ref="H578">_xlfn.SWITCH(G578, "SHALL", 1, "SHOULD", 3, "MAY", 5, "SHOULD-NOT", 4, "SHALL-NOT", 2, "DEPRECATED", 6, 99)</f>
        <v>3</v>
      </c>
      <c r="J578" t="s">
        <v>58</v>
      </c>
      <c r="K578" t="s">
        <v>1171</v>
      </c>
      <c r="L578" t="s">
        <v>1171</v>
      </c>
      <c r="M578" t="s">
        <v>1173</v>
      </c>
      <c r="N578" t="s">
        <v>1171</v>
      </c>
      <c r="O578" t="s">
        <v>1171</v>
      </c>
      <c r="P578" t="s">
        <v>1171</v>
      </c>
      <c r="Q578" t="s">
        <v>1171</v>
      </c>
      <c r="R578" t="s">
        <v>1171</v>
      </c>
      <c r="S578" s="70" t="str" cm="1">
        <f t="array" ref="S578">_xlfn.TEXTJOIN(",",TRUE,LEFT(TRIM(_xlfn.TEXTSPLIT(us_core_reqs[[#This Row],[reference]],",")),FIND(".html",TRIM(_xlfn.TEXTSPLIT(us_core_reqs[[#This Row],[reference]],",")))-1))</f>
        <v>security</v>
      </c>
      <c r="T578" s="70" t="str" cm="1">
        <f t="array" ref="T578">_xlfn.TEXTJOIN(",",TRUE,MID(TRIM(_xlfn.TEXTSPLIT(us_core_reqs[[#This Row],[reference]],",")),FIND("#",TRIM(_xlfn.TEXTSPLIT(us_core_reqs[[#This Row],[reference]],","))&amp;"#")+1,1000))</f>
        <v>patient-privacy-and-security</v>
      </c>
      <c r="U578" t="str" cm="1">
        <f t="array" ref="U578">_xlfn.TEXTJOIN(", ",TRUE,SUBSTITUTE(SUBSTITUTE(PROPER(SUBSTITUTE(TRIM(_xlfn.TEXTSPLIT(us_core_reqs[[#This Row],[Page]],","))," -"," "))&amp;": "&amp;PROPER(SUBSTITUTE(TRIM(_xlfn.TEXTSPLIT(us_core_reqs[[#This Row],[Section]],","))," -"," ")),"Us ","US        
  "),"Uscdi","USCDI"))</f>
        <v>Security: Patient-Privacy-And-Security</v>
      </c>
      <c r="V578" t="s">
        <v>1171</v>
      </c>
      <c r="W578" t="s">
        <v>1171</v>
      </c>
      <c r="X578" t="s">
        <v>1171</v>
      </c>
      <c r="Y578" t="s">
        <v>1171</v>
      </c>
      <c r="Z578" t="s">
        <v>1171</v>
      </c>
      <c r="AA578" t="s">
        <v>1171</v>
      </c>
      <c r="AB578" t="s">
        <v>1171</v>
      </c>
      <c r="AC578" t="s">
        <v>1171</v>
      </c>
      <c r="AD578" t="s">
        <v>1171</v>
      </c>
      <c r="AE578" t="s">
        <v>1171</v>
      </c>
    </row>
    <row r="579" spans="1:31" ht="52" thickBot="1" x14ac:dyDescent="0.25">
      <c r="A579" t="s">
        <v>1171</v>
      </c>
      <c r="B579" t="s">
        <v>1751</v>
      </c>
      <c r="C579" t="str">
        <f>"CONF-"&amp;TEXT(us_core_reqs[[#This Row],[ID*]], "0000")</f>
        <v>CONF-0578</v>
      </c>
      <c r="D579" t="s">
        <v>633</v>
      </c>
      <c r="E579" s="73" t="str" cm="1">
        <f t="array" ref="E579">_xlfn.TEXTJOIN(", ", TRUE, _xlfn.TEXTAFTER(_xlfn.TEXTSPLIT(us_core_reqs[[#This Row],[URL*]], ", "), "/", -1))</f>
        <v>security.html#patient-privacy-and-security</v>
      </c>
      <c r="F579" s="11" t="s">
        <v>2177</v>
      </c>
      <c r="G579" t="s">
        <v>35</v>
      </c>
      <c r="H579" cm="1">
        <f t="array" ref="H579">_xlfn.SWITCH(G579, "SHALL", 1, "SHOULD", 3, "MAY", 5, "SHOULD-NOT", 4, "SHALL-NOT", 2, "DEPRECATED", 6, 99)</f>
        <v>5</v>
      </c>
      <c r="J579" t="s">
        <v>30</v>
      </c>
      <c r="K579" t="s">
        <v>1171</v>
      </c>
      <c r="L579" t="s">
        <v>1171</v>
      </c>
      <c r="M579" t="s">
        <v>1173</v>
      </c>
      <c r="N579" t="s">
        <v>1171</v>
      </c>
      <c r="O579" t="s">
        <v>1171</v>
      </c>
      <c r="P579" t="s">
        <v>1171</v>
      </c>
      <c r="Q579" t="s">
        <v>1171</v>
      </c>
      <c r="R579" t="s">
        <v>1171</v>
      </c>
      <c r="S579" s="70" t="str" cm="1">
        <f t="array" ref="S579">_xlfn.TEXTJOIN(",",TRUE,LEFT(TRIM(_xlfn.TEXTSPLIT(us_core_reqs[[#This Row],[reference]],",")),FIND(".html",TRIM(_xlfn.TEXTSPLIT(us_core_reqs[[#This Row],[reference]],",")))-1))</f>
        <v>security</v>
      </c>
      <c r="T579" s="70" t="str" cm="1">
        <f t="array" ref="T579">_xlfn.TEXTJOIN(",",TRUE,MID(TRIM(_xlfn.TEXTSPLIT(us_core_reqs[[#This Row],[reference]],",")),FIND("#",TRIM(_xlfn.TEXTSPLIT(us_core_reqs[[#This Row],[reference]],","))&amp;"#")+1,1000))</f>
        <v>patient-privacy-and-security</v>
      </c>
      <c r="U579" t="str" cm="1">
        <f t="array" ref="U579">_xlfn.TEXTJOIN(", ",TRUE,SUBSTITUTE(SUBSTITUTE(PROPER(SUBSTITUTE(TRIM(_xlfn.TEXTSPLIT(us_core_reqs[[#This Row],[Page]],","))," -"," "))&amp;": "&amp;PROPER(SUBSTITUTE(TRIM(_xlfn.TEXTSPLIT(us_core_reqs[[#This Row],[Section]],","))," -"," ")),"Us ","US        
  "),"Uscdi","USCDI"))</f>
        <v>Security: Patient-Privacy-And-Security</v>
      </c>
      <c r="V579" t="s">
        <v>1171</v>
      </c>
      <c r="W579" t="s">
        <v>1171</v>
      </c>
      <c r="X579" t="s">
        <v>1171</v>
      </c>
      <c r="Y579" t="s">
        <v>1171</v>
      </c>
      <c r="Z579" t="s">
        <v>1171</v>
      </c>
      <c r="AA579" t="s">
        <v>1171</v>
      </c>
      <c r="AB579" t="s">
        <v>1171</v>
      </c>
      <c r="AC579" t="s">
        <v>1171</v>
      </c>
      <c r="AD579" t="s">
        <v>1171</v>
      </c>
      <c r="AE579" t="s">
        <v>1171</v>
      </c>
    </row>
    <row r="580" spans="1:31" ht="52" thickBot="1" x14ac:dyDescent="0.25">
      <c r="A580" t="s">
        <v>1171</v>
      </c>
      <c r="B580" t="s">
        <v>1752</v>
      </c>
      <c r="C580" t="str">
        <f>"CONF-"&amp;TEXT(us_core_reqs[[#This Row],[ID*]], "0000")</f>
        <v>CONF-0579</v>
      </c>
      <c r="D580" s="11" t="s">
        <v>633</v>
      </c>
      <c r="E580" s="73" t="str" cm="1">
        <f t="array" ref="E580">_xlfn.TEXTJOIN(", ", TRUE, _xlfn.TEXTAFTER(_xlfn.TEXTSPLIT(us_core_reqs[[#This Row],[URL*]], ", "), "/", -1))</f>
        <v>security.html#patient-privacy-and-security</v>
      </c>
      <c r="F580" s="11" t="s">
        <v>2177</v>
      </c>
      <c r="G580" t="s">
        <v>35</v>
      </c>
      <c r="H580" cm="1">
        <f t="array" ref="H580">_xlfn.SWITCH(G580, "SHALL", 1, "SHOULD", 3, "MAY", 5, "SHOULD-NOT", 4, "SHALL-NOT", 2, "DEPRECATED", 6, 99)</f>
        <v>5</v>
      </c>
      <c r="J580" t="s">
        <v>58</v>
      </c>
      <c r="K580" t="s">
        <v>1171</v>
      </c>
      <c r="L580" t="s">
        <v>1171</v>
      </c>
      <c r="M580" t="s">
        <v>1173</v>
      </c>
      <c r="N580" t="s">
        <v>1171</v>
      </c>
      <c r="O580" t="s">
        <v>1171</v>
      </c>
      <c r="P580" t="s">
        <v>1171</v>
      </c>
      <c r="Q580" t="s">
        <v>1171</v>
      </c>
      <c r="R580" t="s">
        <v>1171</v>
      </c>
      <c r="S580" s="70" t="str" cm="1">
        <f t="array" ref="S580">_xlfn.TEXTJOIN(",",TRUE,LEFT(TRIM(_xlfn.TEXTSPLIT(us_core_reqs[[#This Row],[reference]],",")),FIND(".html",TRIM(_xlfn.TEXTSPLIT(us_core_reqs[[#This Row],[reference]],",")))-1))</f>
        <v>security</v>
      </c>
      <c r="T580" s="70" t="str" cm="1">
        <f t="array" ref="T580">_xlfn.TEXTJOIN(",",TRUE,MID(TRIM(_xlfn.TEXTSPLIT(us_core_reqs[[#This Row],[reference]],",")),FIND("#",TRIM(_xlfn.TEXTSPLIT(us_core_reqs[[#This Row],[reference]],","))&amp;"#")+1,1000))</f>
        <v>patient-privacy-and-security</v>
      </c>
      <c r="U580" t="str" cm="1">
        <f t="array" ref="U580">_xlfn.TEXTJOIN(", ",TRUE,SUBSTITUTE(SUBSTITUTE(PROPER(SUBSTITUTE(TRIM(_xlfn.TEXTSPLIT(us_core_reqs[[#This Row],[Page]],","))," -"," "))&amp;": "&amp;PROPER(SUBSTITUTE(TRIM(_xlfn.TEXTSPLIT(us_core_reqs[[#This Row],[Section]],","))," -"," ")),"Us ","US        
  "),"Uscdi","USCDI"))</f>
        <v>Security: Patient-Privacy-And-Security</v>
      </c>
      <c r="V580" t="s">
        <v>1171</v>
      </c>
      <c r="W580" t="s">
        <v>1171</v>
      </c>
      <c r="X580" t="s">
        <v>1171</v>
      </c>
      <c r="Y580" t="s">
        <v>1171</v>
      </c>
      <c r="Z580" t="s">
        <v>1171</v>
      </c>
      <c r="AA580" t="s">
        <v>1171</v>
      </c>
      <c r="AB580" t="s">
        <v>1171</v>
      </c>
      <c r="AC580" t="s">
        <v>1171</v>
      </c>
      <c r="AD580" t="s">
        <v>1171</v>
      </c>
      <c r="AE580" t="s">
        <v>1171</v>
      </c>
    </row>
    <row r="581" spans="1:31" ht="35" thickBot="1" x14ac:dyDescent="0.25">
      <c r="A581" t="s">
        <v>1171</v>
      </c>
      <c r="B581" t="s">
        <v>1753</v>
      </c>
      <c r="C581" t="str">
        <f>"CONF-"&amp;TEXT(us_core_reqs[[#This Row],[ID*]], "0000")</f>
        <v>CONF-0580</v>
      </c>
      <c r="D581" s="11" t="s">
        <v>633</v>
      </c>
      <c r="E581" s="73" t="str" cm="1">
        <f t="array" ref="E581">_xlfn.TEXTJOIN(", ", TRUE, _xlfn.TEXTAFTER(_xlfn.TEXTSPLIT(us_core_reqs[[#This Row],[URL*]], ", "), "/", -1))</f>
        <v>security.html#patient-privacy-and-security</v>
      </c>
      <c r="F581" s="11" t="s">
        <v>2184</v>
      </c>
      <c r="G581" t="s">
        <v>35</v>
      </c>
      <c r="H581" cm="1">
        <f t="array" ref="H581">_xlfn.SWITCH(G581, "SHALL", 1, "SHOULD", 3, "MAY", 5, "SHOULD-NOT", 4, "SHALL-NOT", 2, "DEPRECATED", 6, 99)</f>
        <v>5</v>
      </c>
      <c r="J581" t="s">
        <v>30</v>
      </c>
      <c r="K581" t="s">
        <v>1171</v>
      </c>
      <c r="L581" t="s">
        <v>1171</v>
      </c>
      <c r="M581" t="s">
        <v>1173</v>
      </c>
      <c r="N581" t="s">
        <v>1171</v>
      </c>
      <c r="O581" t="s">
        <v>1171</v>
      </c>
      <c r="P581" t="s">
        <v>1171</v>
      </c>
      <c r="Q581" t="s">
        <v>1171</v>
      </c>
      <c r="R581" t="s">
        <v>1171</v>
      </c>
      <c r="S581" s="70" t="str" cm="1">
        <f t="array" ref="S581">_xlfn.TEXTJOIN(",",TRUE,LEFT(TRIM(_xlfn.TEXTSPLIT(us_core_reqs[[#This Row],[reference]],",")),FIND(".html",TRIM(_xlfn.TEXTSPLIT(us_core_reqs[[#This Row],[reference]],",")))-1))</f>
        <v>security</v>
      </c>
      <c r="T581" s="70" t="str" cm="1">
        <f t="array" ref="T581">_xlfn.TEXTJOIN(",",TRUE,MID(TRIM(_xlfn.TEXTSPLIT(us_core_reqs[[#This Row],[reference]],",")),FIND("#",TRIM(_xlfn.TEXTSPLIT(us_core_reqs[[#This Row],[reference]],","))&amp;"#")+1,1000))</f>
        <v>patient-privacy-and-security</v>
      </c>
      <c r="U581" t="str" cm="1">
        <f t="array" ref="U581">_xlfn.TEXTJOIN(", ",TRUE,SUBSTITUTE(SUBSTITUTE(PROPER(SUBSTITUTE(TRIM(_xlfn.TEXTSPLIT(us_core_reqs[[#This Row],[Page]],","))," -"," "))&amp;": "&amp;PROPER(SUBSTITUTE(TRIM(_xlfn.TEXTSPLIT(us_core_reqs[[#This Row],[Section]],","))," -"," ")),"Us ","US        
  "),"Uscdi","USCDI"))</f>
        <v>Security: Patient-Privacy-And-Security</v>
      </c>
      <c r="V581" t="s">
        <v>1171</v>
      </c>
      <c r="W581" t="s">
        <v>1171</v>
      </c>
      <c r="X581" t="s">
        <v>1171</v>
      </c>
      <c r="Y581" t="s">
        <v>1171</v>
      </c>
      <c r="Z581" t="s">
        <v>1171</v>
      </c>
      <c r="AA581" t="s">
        <v>1171</v>
      </c>
      <c r="AB581" t="s">
        <v>1171</v>
      </c>
      <c r="AC581" t="s">
        <v>1171</v>
      </c>
      <c r="AD581" t="s">
        <v>1171</v>
      </c>
      <c r="AE581" t="s">
        <v>1171</v>
      </c>
    </row>
    <row r="582" spans="1:31" ht="35" thickBot="1" x14ac:dyDescent="0.25">
      <c r="A582" t="s">
        <v>1171</v>
      </c>
      <c r="B582" t="s">
        <v>1754</v>
      </c>
      <c r="C582" t="str">
        <f>"CONF-"&amp;TEXT(us_core_reqs[[#This Row],[ID*]], "0000")</f>
        <v>CONF-0581</v>
      </c>
      <c r="D582" s="11" t="s">
        <v>633</v>
      </c>
      <c r="E582" s="73" t="str" cm="1">
        <f t="array" ref="E582">_xlfn.TEXTJOIN(", ", TRUE, _xlfn.TEXTAFTER(_xlfn.TEXTSPLIT(us_core_reqs[[#This Row],[URL*]], ", "), "/", -1))</f>
        <v>security.html#patient-privacy-and-security</v>
      </c>
      <c r="F582" s="11" t="s">
        <v>2184</v>
      </c>
      <c r="G582" t="s">
        <v>35</v>
      </c>
      <c r="H582" cm="1">
        <f t="array" ref="H582">_xlfn.SWITCH(G582, "SHALL", 1, "SHOULD", 3, "MAY", 5, "SHOULD-NOT", 4, "SHALL-NOT", 2, "DEPRECATED", 6, 99)</f>
        <v>5</v>
      </c>
      <c r="J582" t="s">
        <v>58</v>
      </c>
      <c r="K582" t="s">
        <v>1171</v>
      </c>
      <c r="L582" t="s">
        <v>1171</v>
      </c>
      <c r="M582" t="s">
        <v>1173</v>
      </c>
      <c r="N582" t="s">
        <v>1171</v>
      </c>
      <c r="O582" t="s">
        <v>1171</v>
      </c>
      <c r="P582" t="s">
        <v>1171</v>
      </c>
      <c r="Q582" t="s">
        <v>1171</v>
      </c>
      <c r="R582" t="s">
        <v>1171</v>
      </c>
      <c r="S582" s="70" t="str" cm="1">
        <f t="array" ref="S582">_xlfn.TEXTJOIN(",",TRUE,LEFT(TRIM(_xlfn.TEXTSPLIT(us_core_reqs[[#This Row],[reference]],",")),FIND(".html",TRIM(_xlfn.TEXTSPLIT(us_core_reqs[[#This Row],[reference]],",")))-1))</f>
        <v>security</v>
      </c>
      <c r="T582" s="70" t="str" cm="1">
        <f t="array" ref="T582">_xlfn.TEXTJOIN(",",TRUE,MID(TRIM(_xlfn.TEXTSPLIT(us_core_reqs[[#This Row],[reference]],",")),FIND("#",TRIM(_xlfn.TEXTSPLIT(us_core_reqs[[#This Row],[reference]],","))&amp;"#")+1,1000))</f>
        <v>patient-privacy-and-security</v>
      </c>
      <c r="U582" t="str" cm="1">
        <f t="array" ref="U582">_xlfn.TEXTJOIN(", ",TRUE,SUBSTITUTE(SUBSTITUTE(PROPER(SUBSTITUTE(TRIM(_xlfn.TEXTSPLIT(us_core_reqs[[#This Row],[Page]],","))," -"," "))&amp;": "&amp;PROPER(SUBSTITUTE(TRIM(_xlfn.TEXTSPLIT(us_core_reqs[[#This Row],[Section]],","))," -"," ")),"Us ","US        
  "),"Uscdi","USCDI"))</f>
        <v>Security: Patient-Privacy-And-Security</v>
      </c>
      <c r="V582" t="s">
        <v>1171</v>
      </c>
      <c r="W582" t="s">
        <v>1171</v>
      </c>
      <c r="X582" t="s">
        <v>1171</v>
      </c>
      <c r="Y582" t="s">
        <v>1171</v>
      </c>
      <c r="Z582" t="s">
        <v>1171</v>
      </c>
      <c r="AA582" t="s">
        <v>1171</v>
      </c>
      <c r="AB582" t="s">
        <v>1171</v>
      </c>
      <c r="AC582" t="s">
        <v>1171</v>
      </c>
      <c r="AD582" t="s">
        <v>1171</v>
      </c>
      <c r="AE582" t="s">
        <v>1171</v>
      </c>
    </row>
    <row r="583" spans="1:31" ht="69" thickBot="1" x14ac:dyDescent="0.25">
      <c r="A583" t="s">
        <v>1171</v>
      </c>
      <c r="B583" t="s">
        <v>1755</v>
      </c>
      <c r="C583" t="str">
        <f>"CONF-"&amp;TEXT(us_core_reqs[[#This Row],[ID*]], "0000")</f>
        <v>CONF-0582</v>
      </c>
      <c r="D583" s="11" t="s">
        <v>905</v>
      </c>
      <c r="E583" s="73" t="str" cm="1">
        <f t="array" ref="E583">_xlfn.TEXTJOIN(", ", TRUE, _xlfn.TEXTAFTER(_xlfn.TEXTSPLIT(us_core_reqs[[#This Row],[URL*]], ", "), "/", -1))</f>
        <v>general-requirements.html#current-binding-for-coded-elements</v>
      </c>
      <c r="F583" s="11" t="s">
        <v>575</v>
      </c>
      <c r="G583" t="s">
        <v>64</v>
      </c>
      <c r="H583" cm="1">
        <f t="array" ref="H583">_xlfn.SWITCH(G583, "SHALL", 1, "SHOULD", 3, "MAY", 5, "SHOULD-NOT", 4, "SHALL-NOT", 2, "DEPRECATED", 6, 99)</f>
        <v>6</v>
      </c>
      <c r="I583" t="s">
        <v>2335</v>
      </c>
      <c r="J583" t="s">
        <v>58</v>
      </c>
      <c r="K583" t="s">
        <v>1171</v>
      </c>
      <c r="L583" t="s">
        <v>1171</v>
      </c>
      <c r="M583" t="s">
        <v>1176</v>
      </c>
      <c r="N583" t="s">
        <v>576</v>
      </c>
      <c r="O583" t="s">
        <v>1171</v>
      </c>
      <c r="P583" t="s">
        <v>1171</v>
      </c>
      <c r="Q583" t="s">
        <v>1171</v>
      </c>
      <c r="R583" t="s">
        <v>1171</v>
      </c>
      <c r="S583" s="70" t="str" cm="1">
        <f t="array" ref="S583">_xlfn.TEXTJOIN(",",TRUE,LEFT(TRIM(_xlfn.TEXTSPLIT(us_core_reqs[[#This Row],[reference]],",")),FIND(".html",TRIM(_xlfn.TEXTSPLIT(us_core_reqs[[#This Row],[reference]],",")))-1))</f>
        <v>general-requirements</v>
      </c>
      <c r="T583" s="70" t="str" cm="1">
        <f t="array" ref="T583">_xlfn.TEXTJOIN(",",TRUE,MID(TRIM(_xlfn.TEXTSPLIT(us_core_reqs[[#This Row],[reference]],",")),FIND("#",TRIM(_xlfn.TEXTSPLIT(us_core_reqs[[#This Row],[reference]],","))&amp;"#")+1,1000))</f>
        <v>current-binding-for-coded-elements</v>
      </c>
      <c r="U583" t="str" cm="1">
        <f t="array" ref="U583">_xlfn.TEXTJOIN(", ",TRUE,SUBSTITUTE(SUBSTITUTE(PROPER(SUBSTITUTE(TRIM(_xlfn.TEXTSPLIT(us_core_reqs[[#This Row],[Page]],","))," -"," "))&amp;": "&amp;PROPER(SUBSTITUTE(TRIM(_xlfn.TEXTSPLIT(us_core_reqs[[#This Row],[Section]],","))," -"," ")),"Us ","US        
  "),"Uscdi","USCDI"))</f>
        <v>General-Requirements: Current-Binding-For-Coded-Elements</v>
      </c>
      <c r="V583" t="s">
        <v>1171</v>
      </c>
      <c r="W583" t="s">
        <v>1171</v>
      </c>
      <c r="X583" t="s">
        <v>1171</v>
      </c>
      <c r="Y583" t="s">
        <v>1171</v>
      </c>
      <c r="Z583" t="s">
        <v>1171</v>
      </c>
      <c r="AA583" t="s">
        <v>1171</v>
      </c>
      <c r="AB583" t="s">
        <v>1171</v>
      </c>
      <c r="AC583" t="s">
        <v>1171</v>
      </c>
      <c r="AD583" t="s">
        <v>1171</v>
      </c>
      <c r="AE583" t="s">
        <v>1171</v>
      </c>
    </row>
    <row r="584" spans="1:31" ht="69" thickBot="1" x14ac:dyDescent="0.25">
      <c r="A584" t="s">
        <v>1171</v>
      </c>
      <c r="B584" t="s">
        <v>1756</v>
      </c>
      <c r="C584" t="str">
        <f>"CONF-"&amp;TEXT(us_core_reqs[[#This Row],[ID*]], "0000")</f>
        <v>CONF-0583</v>
      </c>
      <c r="D584" s="11" t="s">
        <v>905</v>
      </c>
      <c r="E584" s="73" t="str" cm="1">
        <f t="array" ref="E584">_xlfn.TEXTJOIN(", ", TRUE, _xlfn.TEXTAFTER(_xlfn.TEXTSPLIT(us_core_reqs[[#This Row],[URL*]], ", "), "/", -1))</f>
        <v>general-requirements.html#current-binding-for-coded-elements</v>
      </c>
      <c r="F584" s="11" t="s">
        <v>575</v>
      </c>
      <c r="G584" t="s">
        <v>64</v>
      </c>
      <c r="H584" cm="1">
        <f t="array" ref="H584">_xlfn.SWITCH(G584, "SHALL", 1, "SHOULD", 3, "MAY", 5, "SHOULD-NOT", 4, "SHALL-NOT", 2, "DEPRECATED", 6, 99)</f>
        <v>6</v>
      </c>
      <c r="I584" t="s">
        <v>2335</v>
      </c>
      <c r="J584" t="s">
        <v>30</v>
      </c>
      <c r="K584" t="s">
        <v>1171</v>
      </c>
      <c r="L584" t="s">
        <v>1171</v>
      </c>
      <c r="M584" t="s">
        <v>1176</v>
      </c>
      <c r="N584" t="s">
        <v>576</v>
      </c>
      <c r="O584" t="s">
        <v>1171</v>
      </c>
      <c r="P584" t="s">
        <v>1171</v>
      </c>
      <c r="Q584" t="s">
        <v>1171</v>
      </c>
      <c r="R584" t="s">
        <v>1171</v>
      </c>
      <c r="S584" s="70" t="str" cm="1">
        <f t="array" ref="S584">_xlfn.TEXTJOIN(",",TRUE,LEFT(TRIM(_xlfn.TEXTSPLIT(us_core_reqs[[#This Row],[reference]],",")),FIND(".html",TRIM(_xlfn.TEXTSPLIT(us_core_reqs[[#This Row],[reference]],",")))-1))</f>
        <v>general-requirements</v>
      </c>
      <c r="T584" s="70" t="str" cm="1">
        <f t="array" ref="T584">_xlfn.TEXTJOIN(",",TRUE,MID(TRIM(_xlfn.TEXTSPLIT(us_core_reqs[[#This Row],[reference]],",")),FIND("#",TRIM(_xlfn.TEXTSPLIT(us_core_reqs[[#This Row],[reference]],","))&amp;"#")+1,1000))</f>
        <v>current-binding-for-coded-elements</v>
      </c>
      <c r="U584" t="str" cm="1">
        <f t="array" ref="U584">_xlfn.TEXTJOIN(", ",TRUE,SUBSTITUTE(SUBSTITUTE(PROPER(SUBSTITUTE(TRIM(_xlfn.TEXTSPLIT(us_core_reqs[[#This Row],[Page]],","))," -"," "))&amp;": "&amp;PROPER(SUBSTITUTE(TRIM(_xlfn.TEXTSPLIT(us_core_reqs[[#This Row],[Section]],","))," -"," ")),"Us ","US        
  "),"Uscdi","USCDI"))</f>
        <v>General-Requirements: Current-Binding-For-Coded-Elements</v>
      </c>
      <c r="V584" t="s">
        <v>1171</v>
      </c>
      <c r="W584" t="s">
        <v>1171</v>
      </c>
      <c r="X584" t="s">
        <v>1171</v>
      </c>
      <c r="Y584" t="s">
        <v>1171</v>
      </c>
      <c r="Z584" t="s">
        <v>1171</v>
      </c>
      <c r="AA584" t="s">
        <v>1171</v>
      </c>
      <c r="AB584" t="s">
        <v>1171</v>
      </c>
      <c r="AC584" t="s">
        <v>1171</v>
      </c>
      <c r="AD584" t="s">
        <v>1141</v>
      </c>
      <c r="AE584" t="s">
        <v>1171</v>
      </c>
    </row>
    <row r="585" spans="1:31" ht="69" thickBot="1" x14ac:dyDescent="0.25">
      <c r="A585" t="s">
        <v>1171</v>
      </c>
      <c r="B585" t="s">
        <v>1757</v>
      </c>
      <c r="C585" t="str">
        <f>"CONF-"&amp;TEXT(us_core_reqs[[#This Row],[ID*]], "0000")</f>
        <v>CONF-0584</v>
      </c>
      <c r="D585" s="11" t="s">
        <v>2265</v>
      </c>
      <c r="E585" s="73" t="str" cm="1">
        <f t="array" ref="E585">_xlfn.TEXTJOIN(", ", TRUE, _xlfn.TEXTAFTER(_xlfn.TEXTSPLIT(us_core_reqs[[#This Row],[URL*]], ", "), "/", -1))</f>
        <v>StructureDefinition-us-core-questionnaireresponse.html#profile-specific-implementation-guidance</v>
      </c>
      <c r="F585" s="11" t="s">
        <v>577</v>
      </c>
      <c r="G585" t="s">
        <v>64</v>
      </c>
      <c r="H585" cm="1">
        <f t="array" ref="H585">_xlfn.SWITCH(G585, "SHALL", 1, "SHOULD", 3, "MAY", 5, "SHOULD-NOT", 4, "SHALL-NOT", 2, "DEPRECATED", 6, 99)</f>
        <v>6</v>
      </c>
      <c r="I585" t="s">
        <v>2329</v>
      </c>
      <c r="J585" t="s">
        <v>30</v>
      </c>
      <c r="K585" t="s">
        <v>1171</v>
      </c>
      <c r="L585" t="s">
        <v>1171</v>
      </c>
      <c r="M585" t="s">
        <v>1176</v>
      </c>
      <c r="N585" t="s">
        <v>530</v>
      </c>
      <c r="O585" t="s">
        <v>1171</v>
      </c>
      <c r="P585" t="s">
        <v>1171</v>
      </c>
      <c r="Q585" t="s">
        <v>1171</v>
      </c>
      <c r="R585" t="s">
        <v>1171</v>
      </c>
      <c r="S585" s="70" t="str" cm="1">
        <f t="array" ref="S585">_xlfn.TEXTJOIN(",",TRUE,LEFT(TRIM(_xlfn.TEXTSPLIT(us_core_reqs[[#This Row],[reference]],",")),FIND(".html",TRIM(_xlfn.TEXTSPLIT(us_core_reqs[[#This Row],[reference]],",")))-1))</f>
        <v>StructureDefinition-us-core-questionnaireresponse</v>
      </c>
      <c r="T585" s="70" t="str" cm="1">
        <f t="array" ref="T585">_xlfn.TEXTJOIN(",",TRUE,MID(TRIM(_xlfn.TEXTSPLIT(us_core_reqs[[#This Row],[reference]],",")),FIND("#",TRIM(_xlfn.TEXTSPLIT(us_core_reqs[[#This Row],[reference]],","))&amp;"#")+1,1000))</f>
        <v>profile-specific-implementation-guidance</v>
      </c>
      <c r="U585"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t="s">
        <v>1171</v>
      </c>
      <c r="W585" t="s">
        <v>1171</v>
      </c>
      <c r="X585" t="s">
        <v>1171</v>
      </c>
      <c r="Y585" t="s">
        <v>1171</v>
      </c>
      <c r="Z585" t="s">
        <v>1171</v>
      </c>
      <c r="AA585" t="s">
        <v>1171</v>
      </c>
      <c r="AB585" t="s">
        <v>1171</v>
      </c>
      <c r="AC585" t="s">
        <v>1171</v>
      </c>
      <c r="AD585" t="s">
        <v>1140</v>
      </c>
      <c r="AE585" t="s">
        <v>1171</v>
      </c>
    </row>
    <row r="586" spans="1:31" ht="52" thickBot="1" x14ac:dyDescent="0.25">
      <c r="A586" t="s">
        <v>1171</v>
      </c>
      <c r="B586" t="s">
        <v>1758</v>
      </c>
      <c r="C586" t="str">
        <f>"CONF-"&amp;TEXT(us_core_reqs[[#This Row],[ID*]], "0000")</f>
        <v>CONF-0585</v>
      </c>
      <c r="D586" s="11" t="s">
        <v>2269</v>
      </c>
      <c r="E586" s="73" t="str" cm="1">
        <f t="array" ref="E586">_xlfn.TEXTJOIN(", ", TRUE, _xlfn.TEXTAFTER(_xlfn.TEXTSPLIT(us_core_reqs[[#This Row],[URL*]], ", "), "/", -1))</f>
        <v>StructureDefinition-us-core-allergyintolerance.html#profile-specific-implementation-guidance</v>
      </c>
      <c r="F586" s="11" t="s">
        <v>1161</v>
      </c>
      <c r="G586" t="s">
        <v>64</v>
      </c>
      <c r="H586" cm="1">
        <f t="array" ref="H586">_xlfn.SWITCH(G586, "SHALL", 1, "SHOULD", 3, "MAY", 5, "SHOULD-NOT", 4, "SHALL-NOT", 2, "DEPRECATED", 6, 99)</f>
        <v>6</v>
      </c>
      <c r="J586" t="s">
        <v>30</v>
      </c>
      <c r="K586" t="s">
        <v>1171</v>
      </c>
      <c r="L586" t="s">
        <v>1171</v>
      </c>
      <c r="M586" t="s">
        <v>1173</v>
      </c>
      <c r="N586" t="s">
        <v>1171</v>
      </c>
      <c r="O586" t="s">
        <v>1171</v>
      </c>
      <c r="P586" t="s">
        <v>1171</v>
      </c>
      <c r="Q586" t="s">
        <v>1171</v>
      </c>
      <c r="R586" t="s">
        <v>1171</v>
      </c>
      <c r="S586" s="70" t="str" cm="1">
        <f t="array" ref="S586">_xlfn.TEXTJOIN(",",TRUE,LEFT(TRIM(_xlfn.TEXTSPLIT(us_core_reqs[[#This Row],[reference]],",")),FIND(".html",TRIM(_xlfn.TEXTSPLIT(us_core_reqs[[#This Row],[reference]],",")))-1))</f>
        <v>StructureDefinition-us-core-allergyintolerance</v>
      </c>
      <c r="T586" s="70" t="str" cm="1">
        <f t="array" ref="T586">_xlfn.TEXTJOIN(",",TRUE,MID(TRIM(_xlfn.TEXTSPLIT(us_core_reqs[[#This Row],[reference]],",")),FIND("#",TRIM(_xlfn.TEXTSPLIT(us_core_reqs[[#This Row],[reference]],","))&amp;"#")+1,1000))</f>
        <v>profile-specific-implementation-guidance</v>
      </c>
      <c r="U586"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t="s">
        <v>1171</v>
      </c>
      <c r="W586" t="s">
        <v>1171</v>
      </c>
      <c r="X586" t="s">
        <v>1171</v>
      </c>
      <c r="Y586" t="s">
        <v>1171</v>
      </c>
      <c r="Z586" t="s">
        <v>1171</v>
      </c>
      <c r="AA586" t="s">
        <v>1171</v>
      </c>
      <c r="AB586" t="s">
        <v>1171</v>
      </c>
      <c r="AC586" t="s">
        <v>1167</v>
      </c>
      <c r="AD586" t="s">
        <v>1171</v>
      </c>
      <c r="AE586" t="s">
        <v>1171</v>
      </c>
    </row>
    <row r="587" spans="1:31" ht="52" thickBot="1" x14ac:dyDescent="0.25">
      <c r="A587" t="s">
        <v>1171</v>
      </c>
      <c r="B587" t="s">
        <v>1759</v>
      </c>
      <c r="C587" t="str">
        <f>"CONF-"&amp;TEXT(us_core_reqs[[#This Row],[ID*]], "0000")</f>
        <v>CONF-0586</v>
      </c>
      <c r="D587" s="11" t="s">
        <v>2269</v>
      </c>
      <c r="E587" s="73" t="str" cm="1">
        <f t="array" ref="E587">_xlfn.TEXTJOIN(", ", TRUE, _xlfn.TEXTAFTER(_xlfn.TEXTSPLIT(us_core_reqs[[#This Row],[URL*]], ", "), "/", -1))</f>
        <v>StructureDefinition-us-core-allergyintolerance.html#profile-specific-implementation-guidance</v>
      </c>
      <c r="F587" s="11" t="s">
        <v>1162</v>
      </c>
      <c r="G587" t="s">
        <v>64</v>
      </c>
      <c r="H587" cm="1">
        <f t="array" ref="H587">_xlfn.SWITCH(G587, "SHALL", 1, "SHOULD", 3, "MAY", 5, "SHOULD-NOT", 4, "SHALL-NOT", 2, "DEPRECATED", 6, 99)</f>
        <v>6</v>
      </c>
      <c r="J587" t="s">
        <v>30</v>
      </c>
      <c r="K587" t="s">
        <v>1171</v>
      </c>
      <c r="L587" t="s">
        <v>1171</v>
      </c>
      <c r="M587" t="s">
        <v>1173</v>
      </c>
      <c r="N587" t="s">
        <v>1171</v>
      </c>
      <c r="O587" t="s">
        <v>1171</v>
      </c>
      <c r="P587" t="s">
        <v>1171</v>
      </c>
      <c r="Q587" t="s">
        <v>1171</v>
      </c>
      <c r="R587" t="s">
        <v>1171</v>
      </c>
      <c r="S587" s="70" t="str" cm="1">
        <f t="array" ref="S587">_xlfn.TEXTJOIN(",",TRUE,LEFT(TRIM(_xlfn.TEXTSPLIT(us_core_reqs[[#This Row],[reference]],",")),FIND(".html",TRIM(_xlfn.TEXTSPLIT(us_core_reqs[[#This Row],[reference]],",")))-1))</f>
        <v>StructureDefinition-us-core-allergyintolerance</v>
      </c>
      <c r="T587" s="70" t="str" cm="1">
        <f t="array" ref="T587">_xlfn.TEXTJOIN(",",TRUE,MID(TRIM(_xlfn.TEXTSPLIT(us_core_reqs[[#This Row],[reference]],",")),FIND("#",TRIM(_xlfn.TEXTSPLIT(us_core_reqs[[#This Row],[reference]],","))&amp;"#")+1,1000))</f>
        <v>profile-specific-implementation-guidance</v>
      </c>
      <c r="U587"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t="s">
        <v>1171</v>
      </c>
      <c r="W587" t="s">
        <v>1171</v>
      </c>
      <c r="X587" t="s">
        <v>1171</v>
      </c>
      <c r="Y587" t="s">
        <v>1171</v>
      </c>
      <c r="Z587" t="s">
        <v>1171</v>
      </c>
      <c r="AA587" t="s">
        <v>1171</v>
      </c>
      <c r="AB587" t="s">
        <v>1171</v>
      </c>
      <c r="AC587" t="s">
        <v>1167</v>
      </c>
      <c r="AD587" t="s">
        <v>1171</v>
      </c>
      <c r="AE587" t="s">
        <v>1171</v>
      </c>
    </row>
    <row r="588" spans="1:31" ht="52" thickBot="1" x14ac:dyDescent="0.25">
      <c r="A588" t="s">
        <v>1171</v>
      </c>
      <c r="B588" t="s">
        <v>1760</v>
      </c>
      <c r="C588" t="str">
        <f>"CONF-"&amp;TEXT(us_core_reqs[[#This Row],[ID*]], "0000")</f>
        <v>CONF-0587</v>
      </c>
      <c r="D588" s="11" t="s">
        <v>2269</v>
      </c>
      <c r="E588" s="73" t="str" cm="1">
        <f t="array" ref="E588">_xlfn.TEXTJOIN(", ", TRUE, _xlfn.TEXTAFTER(_xlfn.TEXTSPLIT(us_core_reqs[[#This Row],[URL*]], ", "), "/", -1))</f>
        <v>StructureDefinition-us-core-allergyintolerance.html#profile-specific-implementation-guidance</v>
      </c>
      <c r="F588" s="11" t="s">
        <v>1163</v>
      </c>
      <c r="G588" t="s">
        <v>64</v>
      </c>
      <c r="H588" cm="1">
        <f t="array" ref="H588">_xlfn.SWITCH(G588, "SHALL", 1, "SHOULD", 3, "MAY", 5, "SHOULD-NOT", 4, "SHALL-NOT", 2, "DEPRECATED", 6, 99)</f>
        <v>6</v>
      </c>
      <c r="I588" t="s">
        <v>2321</v>
      </c>
      <c r="J588" t="s">
        <v>30</v>
      </c>
      <c r="K588" t="s">
        <v>1171</v>
      </c>
      <c r="L588" t="s">
        <v>1171</v>
      </c>
      <c r="M588" t="s">
        <v>1173</v>
      </c>
      <c r="N588" t="s">
        <v>1171</v>
      </c>
      <c r="O588" t="s">
        <v>1171</v>
      </c>
      <c r="P588" t="s">
        <v>1171</v>
      </c>
      <c r="Q588" t="s">
        <v>1171</v>
      </c>
      <c r="R588" t="s">
        <v>1171</v>
      </c>
      <c r="S588" s="70" t="str" cm="1">
        <f t="array" ref="S588">_xlfn.TEXTJOIN(",",TRUE,LEFT(TRIM(_xlfn.TEXTSPLIT(us_core_reqs[[#This Row],[reference]],",")),FIND(".html",TRIM(_xlfn.TEXTSPLIT(us_core_reqs[[#This Row],[reference]],",")))-1))</f>
        <v>StructureDefinition-us-core-allergyintolerance</v>
      </c>
      <c r="T588" s="70" t="str" cm="1">
        <f t="array" ref="T588">_xlfn.TEXTJOIN(",",TRUE,MID(TRIM(_xlfn.TEXTSPLIT(us_core_reqs[[#This Row],[reference]],",")),FIND("#",TRIM(_xlfn.TEXTSPLIT(us_core_reqs[[#This Row],[reference]],","))&amp;"#")+1,1000))</f>
        <v>profile-specific-implementation-guidance</v>
      </c>
      <c r="U588"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t="s">
        <v>1171</v>
      </c>
      <c r="W588" t="s">
        <v>1171</v>
      </c>
      <c r="X588" t="s">
        <v>1171</v>
      </c>
      <c r="Y588" t="s">
        <v>1171</v>
      </c>
      <c r="Z588" t="s">
        <v>1171</v>
      </c>
      <c r="AA588" t="s">
        <v>1171</v>
      </c>
      <c r="AB588" t="s">
        <v>1171</v>
      </c>
      <c r="AC588" t="s">
        <v>1171</v>
      </c>
      <c r="AD588" t="s">
        <v>1171</v>
      </c>
      <c r="AE588" t="s">
        <v>1171</v>
      </c>
    </row>
    <row r="589" spans="1:31" ht="52" thickBot="1" x14ac:dyDescent="0.25">
      <c r="A589" t="s">
        <v>1171</v>
      </c>
      <c r="B589" t="s">
        <v>1761</v>
      </c>
      <c r="C589" t="str">
        <f>"CONF-"&amp;TEXT(us_core_reqs[[#This Row],[ID*]], "0000")</f>
        <v>CONF-0588</v>
      </c>
      <c r="D589" s="11" t="s">
        <v>2269</v>
      </c>
      <c r="E589" s="73" t="str" cm="1">
        <f t="array" ref="E589">_xlfn.TEXTJOIN(", ", TRUE, _xlfn.TEXTAFTER(_xlfn.TEXTSPLIT(us_core_reqs[[#This Row],[URL*]], ", "), "/", -1))</f>
        <v>StructureDefinition-us-core-allergyintolerance.html#profile-specific-implementation-guidance</v>
      </c>
      <c r="F589" s="11" t="s">
        <v>1164</v>
      </c>
      <c r="G589" t="s">
        <v>64</v>
      </c>
      <c r="H589" cm="1">
        <f t="array" ref="H589">_xlfn.SWITCH(G589, "SHALL", 1, "SHOULD", 3, "MAY", 5, "SHOULD-NOT", 4, "SHALL-NOT", 2, "DEPRECATED", 6, 99)</f>
        <v>6</v>
      </c>
      <c r="I589" t="s">
        <v>2321</v>
      </c>
      <c r="J589" t="s">
        <v>30</v>
      </c>
      <c r="K589" t="s">
        <v>1171</v>
      </c>
      <c r="L589" t="s">
        <v>1171</v>
      </c>
      <c r="M589" t="s">
        <v>1173</v>
      </c>
      <c r="N589" t="s">
        <v>1171</v>
      </c>
      <c r="O589" t="s">
        <v>1171</v>
      </c>
      <c r="P589" t="s">
        <v>1171</v>
      </c>
      <c r="Q589" t="s">
        <v>1171</v>
      </c>
      <c r="R589" t="s">
        <v>1171</v>
      </c>
      <c r="S589" s="70" t="str" cm="1">
        <f t="array" ref="S589">_xlfn.TEXTJOIN(",",TRUE,LEFT(TRIM(_xlfn.TEXTSPLIT(us_core_reqs[[#This Row],[reference]],",")),FIND(".html",TRIM(_xlfn.TEXTSPLIT(us_core_reqs[[#This Row],[reference]],",")))-1))</f>
        <v>StructureDefinition-us-core-allergyintolerance</v>
      </c>
      <c r="T589" s="70" t="str" cm="1">
        <f t="array" ref="T589">_xlfn.TEXTJOIN(",",TRUE,MID(TRIM(_xlfn.TEXTSPLIT(us_core_reqs[[#This Row],[reference]],",")),FIND("#",TRIM(_xlfn.TEXTSPLIT(us_core_reqs[[#This Row],[reference]],","))&amp;"#")+1,1000))</f>
        <v>profile-specific-implementation-guidance</v>
      </c>
      <c r="U589"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t="s">
        <v>1171</v>
      </c>
      <c r="W589" t="s">
        <v>1171</v>
      </c>
      <c r="X589" t="s">
        <v>1171</v>
      </c>
      <c r="Y589" t="s">
        <v>1171</v>
      </c>
      <c r="Z589" t="s">
        <v>1171</v>
      </c>
      <c r="AA589" t="s">
        <v>1171</v>
      </c>
      <c r="AB589" t="s">
        <v>1171</v>
      </c>
      <c r="AC589" t="s">
        <v>1171</v>
      </c>
      <c r="AD589" t="s">
        <v>1171</v>
      </c>
      <c r="AE589" t="s">
        <v>1171</v>
      </c>
    </row>
    <row r="590" spans="1:31" ht="103" thickBot="1" x14ac:dyDescent="0.25">
      <c r="A590" t="s">
        <v>1171</v>
      </c>
      <c r="B590" t="s">
        <v>1762</v>
      </c>
      <c r="C590" t="str">
        <f>"CONF-"&amp;TEXT(us_core_reqs[[#This Row],[ID*]], "0000")</f>
        <v>CONF-0800</v>
      </c>
      <c r="D590" s="11" t="s">
        <v>612</v>
      </c>
      <c r="E590" s="73" t="str" cm="1">
        <f t="array" ref="E590">_xlfn.TEXTJOIN(", ", TRUE, _xlfn.TEXTAFTER(_xlfn.TEXTSPLIT(us_core_reqs[[#This Row],[URL*]], ", "), "/", -1))</f>
        <v>must-support.html#must-support-elements</v>
      </c>
      <c r="F590" s="11" t="s">
        <v>647</v>
      </c>
      <c r="G590" t="s">
        <v>35</v>
      </c>
      <c r="H590" cm="1">
        <f t="array" ref="H590">_xlfn.SWITCH(G590, "SHALL", 1, "SHOULD", 3, "MAY", 5, "SHOULD-NOT", 4, "SHALL-NOT", 2, "DEPRECATED", 6, 99)</f>
        <v>5</v>
      </c>
      <c r="I590" t="s">
        <v>1878</v>
      </c>
      <c r="J590" t="s">
        <v>58</v>
      </c>
      <c r="K590" t="s">
        <v>1171</v>
      </c>
      <c r="L590" t="s">
        <v>1171</v>
      </c>
      <c r="M590" t="s">
        <v>1173</v>
      </c>
      <c r="N590" t="s">
        <v>1171</v>
      </c>
      <c r="O590" t="s">
        <v>1171</v>
      </c>
      <c r="P590" t="s">
        <v>1171</v>
      </c>
      <c r="Q590" t="s">
        <v>1171</v>
      </c>
      <c r="R590" t="s">
        <v>1171</v>
      </c>
      <c r="S590" s="70" t="str" cm="1">
        <f t="array" ref="S590">_xlfn.TEXTJOIN(",",TRUE,LEFT(TRIM(_xlfn.TEXTSPLIT(us_core_reqs[[#This Row],[reference]],",")),FIND(".html",TRIM(_xlfn.TEXTSPLIT(us_core_reqs[[#This Row],[reference]],",")))-1))</f>
        <v>must-support</v>
      </c>
      <c r="T590" s="70" t="str" cm="1">
        <f t="array" ref="T590">_xlfn.TEXTJOIN(",",TRUE,MID(TRIM(_xlfn.TEXTSPLIT(us_core_reqs[[#This Row],[reference]],",")),FIND("#",TRIM(_xlfn.TEXTSPLIT(us_core_reqs[[#This Row],[reference]],","))&amp;"#")+1,1000))</f>
        <v>must-support-elements</v>
      </c>
      <c r="U590" t="str" cm="1">
        <f t="array" ref="U590">_xlfn.TEXTJOIN(", ",TRUE,SUBSTITUTE(SUBSTITUTE(PROPER(SUBSTITUTE(TRIM(_xlfn.TEXTSPLIT(us_core_reqs[[#This Row],[Page]],","))," -"," "))&amp;": "&amp;PROPER(SUBSTITUTE(TRIM(_xlfn.TEXTSPLIT(us_core_reqs[[#This Row],[Section]],","))," -"," ")),"Us ","US        
  "),"Uscdi","USCDI"))</f>
        <v>Must-Support: Must-Support-Elements</v>
      </c>
      <c r="V590" t="s">
        <v>1171</v>
      </c>
      <c r="W590" t="s">
        <v>1171</v>
      </c>
      <c r="X590" t="s">
        <v>1171</v>
      </c>
      <c r="Y590" t="s">
        <v>1171</v>
      </c>
      <c r="Z590" t="s">
        <v>1171</v>
      </c>
      <c r="AA590" t="s">
        <v>1171</v>
      </c>
      <c r="AB590" t="s">
        <v>1171</v>
      </c>
      <c r="AC590" t="s">
        <v>1171</v>
      </c>
      <c r="AD590" t="s">
        <v>1171</v>
      </c>
      <c r="AE590" t="s">
        <v>1171</v>
      </c>
    </row>
    <row r="591" spans="1:31" ht="103" thickBot="1" x14ac:dyDescent="0.25">
      <c r="A591" t="s">
        <v>1171</v>
      </c>
      <c r="B591" t="s">
        <v>1763</v>
      </c>
      <c r="C591" t="str">
        <f>"CONF-"&amp;TEXT(us_core_reqs[[#This Row],[ID*]], "0000")</f>
        <v>CONF-0801</v>
      </c>
      <c r="D591" s="11" t="s">
        <v>614</v>
      </c>
      <c r="E591" s="11" t="str" cm="1">
        <f t="array" ref="E591">_xlfn.TEXTJOIN(", ", TRUE, _xlfn.TEXTAFTER(_xlfn.TEXTSPLIT(us_core_reqs[[#This Row],[URL*]], ", "), "/", -1))</f>
        <v>must-support.html#defined-pattern-elements</v>
      </c>
      <c r="F591" s="11" t="s">
        <v>653</v>
      </c>
      <c r="G591" t="s">
        <v>29</v>
      </c>
      <c r="H591" cm="1">
        <f t="array" ref="H591">_xlfn.SWITCH(G591, "SHALL", 1, "SHOULD", 3, "MAY", 5, "SHOULD-NOT", 4, "SHALL-NOT", 2, "DEPRECATED", 6, 99)</f>
        <v>1</v>
      </c>
      <c r="J591" t="s">
        <v>30</v>
      </c>
      <c r="K591" t="b">
        <v>1</v>
      </c>
      <c r="L591" t="s">
        <v>1171</v>
      </c>
      <c r="M591" t="s">
        <v>1176</v>
      </c>
      <c r="N591" t="s">
        <v>1125</v>
      </c>
      <c r="O591" t="s">
        <v>1171</v>
      </c>
      <c r="P591" t="s">
        <v>1171</v>
      </c>
      <c r="Q591" t="s">
        <v>1171</v>
      </c>
      <c r="R591" t="s">
        <v>1171</v>
      </c>
      <c r="S591" s="70" t="str" cm="1">
        <f t="array" ref="S591">_xlfn.TEXTJOIN(",",TRUE,LEFT(TRIM(_xlfn.TEXTSPLIT(us_core_reqs[[#This Row],[reference]],",")),FIND(".html",TRIM(_xlfn.TEXTSPLIT(us_core_reqs[[#This Row],[reference]],",")))-1))</f>
        <v>must-support</v>
      </c>
      <c r="T591" s="70" t="str" cm="1">
        <f t="array" ref="T591">_xlfn.TEXTJOIN(",",TRUE,MID(TRIM(_xlfn.TEXTSPLIT(us_core_reqs[[#This Row],[reference]],",")),FIND("#",TRIM(_xlfn.TEXTSPLIT(us_core_reqs[[#This Row],[reference]],","))&amp;"#")+1,1000))</f>
        <v>defined-pattern-elements</v>
      </c>
      <c r="U591" t="str" cm="1">
        <f t="array" ref="U591">_xlfn.TEXTJOIN(", ",TRUE,SUBSTITUTE(SUBSTITUTE(PROPER(SUBSTITUTE(TRIM(_xlfn.TEXTSPLIT(us_core_reqs[[#This Row],[Page]],","))," -"," "))&amp;": "&amp;PROPER(SUBSTITUTE(TRIM(_xlfn.TEXTSPLIT(us_core_reqs[[#This Row],[Section]],","))," -"," ")),"Us ","US        
  "),"Uscdi","USCDI"))</f>
        <v>Must-Support: Defined-Pattern-Elements</v>
      </c>
      <c r="V591" t="s">
        <v>1171</v>
      </c>
      <c r="W591" t="s">
        <v>1171</v>
      </c>
      <c r="X591" t="s">
        <v>1171</v>
      </c>
      <c r="Y591" t="s">
        <v>1171</v>
      </c>
      <c r="Z591" t="s">
        <v>1171</v>
      </c>
      <c r="AA591" t="s">
        <v>1171</v>
      </c>
      <c r="AB591" t="s">
        <v>1171</v>
      </c>
      <c r="AC591" t="s">
        <v>405</v>
      </c>
      <c r="AD591" t="s">
        <v>1140</v>
      </c>
      <c r="AE591" t="s">
        <v>1156</v>
      </c>
    </row>
    <row r="592" spans="1:31" ht="103" thickBot="1" x14ac:dyDescent="0.25">
      <c r="A592" t="s">
        <v>1171</v>
      </c>
      <c r="B592" t="s">
        <v>1764</v>
      </c>
      <c r="C592" t="str">
        <f>"CONF-"&amp;TEXT(us_core_reqs[[#This Row],[ID*]], "0000")</f>
        <v>CONF-0802</v>
      </c>
      <c r="D592" s="11" t="s">
        <v>1850</v>
      </c>
      <c r="E592" s="73" t="str" cm="1">
        <f t="array" ref="E592">_xlfn.TEXTJOIN(", ", TRUE, _xlfn.TEXTAFTER(_xlfn.TEXTSPLIT(us_core_reqs[[#This Row],[URL*]], ", "), "/", -1))</f>
        <v>must-support.html#must-support---primitive-elements</v>
      </c>
      <c r="F592" s="11" t="s">
        <v>654</v>
      </c>
      <c r="G592" t="s">
        <v>29</v>
      </c>
      <c r="H592" cm="1">
        <f t="array" ref="H592">_xlfn.SWITCH(G592, "SHALL", 1, "SHOULD", 3, "MAY", 5, "SHOULD-NOT", 4, "SHALL-NOT", 2, "DEPRECATED", 6, 99)</f>
        <v>1</v>
      </c>
      <c r="J592" t="s">
        <v>30</v>
      </c>
      <c r="K592" t="b">
        <v>1</v>
      </c>
      <c r="L592" t="s">
        <v>1171</v>
      </c>
      <c r="M592" t="s">
        <v>1176</v>
      </c>
      <c r="N592" t="s">
        <v>1124</v>
      </c>
      <c r="O592" t="s">
        <v>1171</v>
      </c>
      <c r="P592" t="s">
        <v>1171</v>
      </c>
      <c r="Q592" t="s">
        <v>1171</v>
      </c>
      <c r="R592" t="s">
        <v>1171</v>
      </c>
      <c r="S592" s="70" t="str" cm="1">
        <f t="array" ref="S592">_xlfn.TEXTJOIN(",",TRUE,LEFT(TRIM(_xlfn.TEXTSPLIT(us_core_reqs[[#This Row],[reference]],",")),FIND(".html",TRIM(_xlfn.TEXTSPLIT(us_core_reqs[[#This Row],[reference]],",")))-1))</f>
        <v>must-support</v>
      </c>
      <c r="T592" s="70" t="str" cm="1">
        <f t="array" ref="T592">_xlfn.TEXTJOIN(",",TRUE,MID(TRIM(_xlfn.TEXTSPLIT(us_core_reqs[[#This Row],[reference]],",")),FIND("#",TRIM(_xlfn.TEXTSPLIT(us_core_reqs[[#This Row],[reference]],","))&amp;"#")+1,1000))</f>
        <v>must-support---primitive-elements</v>
      </c>
      <c r="U592" t="str" cm="1">
        <f t="array" ref="U592">_xlfn.TEXTJOIN(", ",TRUE,SUBSTITUTE(SUBSTITUTE(PROPER(SUBSTITUTE(TRIM(_xlfn.TEXTSPLIT(us_core_reqs[[#This Row],[Page]],","))," -"," "))&amp;": "&amp;PROPER(SUBSTITUTE(TRIM(_xlfn.TEXTSPLIT(us_core_reqs[[#This Row],[Section]],","))," -"," ")),"Us ","US        
  "),"Uscdi","USCDI"))</f>
        <v>Must-Support: Must-Support---Primitive-Elements</v>
      </c>
      <c r="V592" t="s">
        <v>1171</v>
      </c>
      <c r="W592" t="s">
        <v>1171</v>
      </c>
      <c r="X592" t="s">
        <v>1171</v>
      </c>
      <c r="Y592" t="s">
        <v>1171</v>
      </c>
      <c r="Z592" t="s">
        <v>1171</v>
      </c>
      <c r="AA592" t="s">
        <v>1171</v>
      </c>
      <c r="AB592" t="s">
        <v>1171</v>
      </c>
      <c r="AC592" t="s">
        <v>405</v>
      </c>
      <c r="AD592" t="s">
        <v>1140</v>
      </c>
      <c r="AE592" t="s">
        <v>1156</v>
      </c>
    </row>
    <row r="593" spans="1:31" ht="52" thickBot="1" x14ac:dyDescent="0.25">
      <c r="A593" t="s">
        <v>1171</v>
      </c>
      <c r="B593" t="s">
        <v>1765</v>
      </c>
      <c r="C593" t="str">
        <f>"CONF-"&amp;TEXT(us_core_reqs[[#This Row],[ID*]], "0000")</f>
        <v>CONF-0803</v>
      </c>
      <c r="D593" s="11" t="s">
        <v>616</v>
      </c>
      <c r="E593" s="73" t="str" cm="1">
        <f t="array" ref="E593">_xlfn.TEXTJOIN(", ", TRUE, _xlfn.TEXTAFTER(_xlfn.TEXTSPLIT(us_core_reqs[[#This Row],[URL*]], ", "), "/", -1))</f>
        <v>must-support.html#must-support---complex-elements</v>
      </c>
      <c r="F593" s="11" t="s">
        <v>655</v>
      </c>
      <c r="G593" t="s">
        <v>29</v>
      </c>
      <c r="H593" cm="1">
        <f t="array" ref="H593">_xlfn.SWITCH(G593, "SHALL", 1, "SHOULD", 3, "MAY", 5, "SHOULD-NOT", 4, "SHALL-NOT", 2, "DEPRECATED", 6, 99)</f>
        <v>1</v>
      </c>
      <c r="J593" t="s">
        <v>30</v>
      </c>
      <c r="K593" t="b">
        <v>1</v>
      </c>
      <c r="L593" t="s">
        <v>1171</v>
      </c>
      <c r="M593" t="s">
        <v>1173</v>
      </c>
      <c r="N593" t="s">
        <v>1171</v>
      </c>
      <c r="O593" t="s">
        <v>1171</v>
      </c>
      <c r="P593" t="s">
        <v>1171</v>
      </c>
      <c r="Q593" t="s">
        <v>1171</v>
      </c>
      <c r="R593" t="s">
        <v>1171</v>
      </c>
      <c r="S593" s="70" t="str" cm="1">
        <f t="array" ref="S593">_xlfn.TEXTJOIN(",",TRUE,LEFT(TRIM(_xlfn.TEXTSPLIT(us_core_reqs[[#This Row],[reference]],",")),FIND(".html",TRIM(_xlfn.TEXTSPLIT(us_core_reqs[[#This Row],[reference]],",")))-1))</f>
        <v>must-support</v>
      </c>
      <c r="T593" s="70" t="str" cm="1">
        <f t="array" ref="T593">_xlfn.TEXTJOIN(",",TRUE,MID(TRIM(_xlfn.TEXTSPLIT(us_core_reqs[[#This Row],[reference]],",")),FIND("#",TRIM(_xlfn.TEXTSPLIT(us_core_reqs[[#This Row],[reference]],","))&amp;"#")+1,1000))</f>
        <v>must-support---complex-elements</v>
      </c>
      <c r="U593" t="str" cm="1">
        <f t="array" ref="U593">_xlfn.TEXTJOIN(", ",TRUE,SUBSTITUTE(SUBSTITUTE(PROPER(SUBSTITUTE(TRIM(_xlfn.TEXTSPLIT(us_core_reqs[[#This Row],[Page]],","))," -"," "))&amp;": "&amp;PROPER(SUBSTITUTE(TRIM(_xlfn.TEXTSPLIT(us_core_reqs[[#This Row],[Section]],","))," -"," ")),"Us ","US        
  "),"Uscdi","USCDI"))</f>
        <v>Must-Support: Must-Support---Complex-Elements</v>
      </c>
      <c r="V593" t="s">
        <v>1171</v>
      </c>
      <c r="W593" t="s">
        <v>1171</v>
      </c>
      <c r="X593" t="s">
        <v>1171</v>
      </c>
      <c r="Y593" t="s">
        <v>1171</v>
      </c>
      <c r="Z593" t="s">
        <v>1171</v>
      </c>
      <c r="AA593" t="s">
        <v>1171</v>
      </c>
      <c r="AB593" t="s">
        <v>1171</v>
      </c>
      <c r="AC593" t="s">
        <v>405</v>
      </c>
      <c r="AD593" t="s">
        <v>1140</v>
      </c>
      <c r="AE593" t="s">
        <v>1156</v>
      </c>
    </row>
    <row r="594" spans="1:31" ht="52" thickBot="1" x14ac:dyDescent="0.25">
      <c r="A594" t="s">
        <v>1171</v>
      </c>
      <c r="B594" t="s">
        <v>1766</v>
      </c>
      <c r="C594" t="str">
        <f>"CONF-"&amp;TEXT(us_core_reqs[[#This Row],[ID*]], "0000")</f>
        <v>CONF-0804</v>
      </c>
      <c r="D594" s="11" t="s">
        <v>616</v>
      </c>
      <c r="E594" s="73" t="str" cm="1">
        <f t="array" ref="E594">_xlfn.TEXTJOIN(", ", TRUE, _xlfn.TEXTAFTER(_xlfn.TEXTSPLIT(us_core_reqs[[#This Row],[URL*]], ", "), "/", -1))</f>
        <v>must-support.html#must-support---complex-elements</v>
      </c>
      <c r="F594" s="11" t="s">
        <v>656</v>
      </c>
      <c r="G594" t="s">
        <v>29</v>
      </c>
      <c r="H594" cm="1">
        <f t="array" ref="H594">_xlfn.SWITCH(G594, "SHALL", 1, "SHOULD", 3, "MAY", 5, "SHOULD-NOT", 4, "SHALL-NOT", 2, "DEPRECATED", 6, 99)</f>
        <v>1</v>
      </c>
      <c r="J594" t="s">
        <v>30</v>
      </c>
      <c r="K594" t="s">
        <v>1171</v>
      </c>
      <c r="L594" t="s">
        <v>1171</v>
      </c>
      <c r="M594" t="s">
        <v>1176</v>
      </c>
      <c r="N594" t="s">
        <v>1123</v>
      </c>
      <c r="O594" t="s">
        <v>1171</v>
      </c>
      <c r="P594" t="s">
        <v>1171</v>
      </c>
      <c r="Q594" t="s">
        <v>1171</v>
      </c>
      <c r="R594" t="s">
        <v>1171</v>
      </c>
      <c r="S594" s="70" t="str" cm="1">
        <f t="array" ref="S594">_xlfn.TEXTJOIN(",",TRUE,LEFT(TRIM(_xlfn.TEXTSPLIT(us_core_reqs[[#This Row],[reference]],",")),FIND(".html",TRIM(_xlfn.TEXTSPLIT(us_core_reqs[[#This Row],[reference]],",")))-1))</f>
        <v>must-support</v>
      </c>
      <c r="T594" s="70" t="str" cm="1">
        <f t="array" ref="T594">_xlfn.TEXTJOIN(",",TRUE,MID(TRIM(_xlfn.TEXTSPLIT(us_core_reqs[[#This Row],[reference]],",")),FIND("#",TRIM(_xlfn.TEXTSPLIT(us_core_reqs[[#This Row],[reference]],","))&amp;"#")+1,1000))</f>
        <v>must-support---complex-elements</v>
      </c>
      <c r="U594" t="str" cm="1">
        <f t="array" ref="U594">_xlfn.TEXTJOIN(", ",TRUE,SUBSTITUTE(SUBSTITUTE(PROPER(SUBSTITUTE(TRIM(_xlfn.TEXTSPLIT(us_core_reqs[[#This Row],[Page]],","))," -"," "))&amp;": "&amp;PROPER(SUBSTITUTE(TRIM(_xlfn.TEXTSPLIT(us_core_reqs[[#This Row],[Section]],","))," -"," ")),"Us ","US        
  "),"Uscdi","USCDI"))</f>
        <v>Must-Support: Must-Support---Complex-Elements</v>
      </c>
      <c r="V594" t="s">
        <v>1171</v>
      </c>
      <c r="W594" t="s">
        <v>1171</v>
      </c>
      <c r="X594" t="s">
        <v>1171</v>
      </c>
      <c r="Y594" t="s">
        <v>1171</v>
      </c>
      <c r="Z594" t="s">
        <v>1171</v>
      </c>
      <c r="AA594" t="s">
        <v>1171</v>
      </c>
      <c r="AB594" t="s">
        <v>1171</v>
      </c>
      <c r="AC594" t="s">
        <v>405</v>
      </c>
      <c r="AD594" t="s">
        <v>1140</v>
      </c>
      <c r="AE594" t="s">
        <v>1156</v>
      </c>
    </row>
    <row r="595" spans="1:31" ht="69" thickBot="1" x14ac:dyDescent="0.25">
      <c r="A595" t="s">
        <v>1171</v>
      </c>
      <c r="B595" t="s">
        <v>1767</v>
      </c>
      <c r="C595" t="str">
        <f>"CONF-"&amp;TEXT(us_core_reqs[[#This Row],[ID*]], "0000")</f>
        <v>CONF-0805</v>
      </c>
      <c r="D595" s="11" t="s">
        <v>616</v>
      </c>
      <c r="E595" s="73" t="str" cm="1">
        <f t="array" ref="E595">_xlfn.TEXTJOIN(", ", TRUE, _xlfn.TEXTAFTER(_xlfn.TEXTSPLIT(us_core_reqs[[#This Row],[URL*]], ", "), "/", -1))</f>
        <v>must-support.html#must-support---complex-elements</v>
      </c>
      <c r="F595" s="11" t="s">
        <v>658</v>
      </c>
      <c r="G595" t="s">
        <v>29</v>
      </c>
      <c r="H595" cm="1">
        <f t="array" ref="H595">_xlfn.SWITCH(G595, "SHALL", 1, "SHOULD", 3, "MAY", 5, "SHOULD-NOT", 4, "SHALL-NOT", 2, "DEPRECATED", 6, 99)</f>
        <v>1</v>
      </c>
      <c r="J595" t="s">
        <v>30</v>
      </c>
      <c r="K595" t="b">
        <v>1</v>
      </c>
      <c r="L595" t="s">
        <v>1171</v>
      </c>
      <c r="M595" t="s">
        <v>1173</v>
      </c>
      <c r="N595" t="s">
        <v>1171</v>
      </c>
      <c r="O595" t="s">
        <v>1171</v>
      </c>
      <c r="P595" t="s">
        <v>1171</v>
      </c>
      <c r="Q595" t="s">
        <v>1171</v>
      </c>
      <c r="R595" t="s">
        <v>1171</v>
      </c>
      <c r="S595" s="70" t="str" cm="1">
        <f t="array" ref="S595">_xlfn.TEXTJOIN(",",TRUE,LEFT(TRIM(_xlfn.TEXTSPLIT(us_core_reqs[[#This Row],[reference]],",")),FIND(".html",TRIM(_xlfn.TEXTSPLIT(us_core_reqs[[#This Row],[reference]],",")))-1))</f>
        <v>must-support</v>
      </c>
      <c r="T595" s="70" t="str" cm="1">
        <f t="array" ref="T595">_xlfn.TEXTJOIN(",",TRUE,MID(TRIM(_xlfn.TEXTSPLIT(us_core_reqs[[#This Row],[reference]],",")),FIND("#",TRIM(_xlfn.TEXTSPLIT(us_core_reqs[[#This Row],[reference]],","))&amp;"#")+1,1000))</f>
        <v>must-support---complex-elements</v>
      </c>
      <c r="U595" t="str" cm="1">
        <f t="array" ref="U595">_xlfn.TEXTJOIN(", ",TRUE,SUBSTITUTE(SUBSTITUTE(PROPER(SUBSTITUTE(TRIM(_xlfn.TEXTSPLIT(us_core_reqs[[#This Row],[Page]],","))," -"," "))&amp;": "&amp;PROPER(SUBSTITUTE(TRIM(_xlfn.TEXTSPLIT(us_core_reqs[[#This Row],[Section]],","))," -"," ")),"Us ","US        
  "),"Uscdi","USCDI"))</f>
        <v>Must-Support: Must-Support---Complex-Elements</v>
      </c>
      <c r="V595" t="s">
        <v>1171</v>
      </c>
      <c r="W595" t="s">
        <v>1171</v>
      </c>
      <c r="X595" t="s">
        <v>1171</v>
      </c>
      <c r="Y595" t="s">
        <v>1171</v>
      </c>
      <c r="Z595" t="s">
        <v>1171</v>
      </c>
      <c r="AA595" t="s">
        <v>1171</v>
      </c>
      <c r="AB595" t="s">
        <v>1171</v>
      </c>
      <c r="AC595" t="s">
        <v>405</v>
      </c>
      <c r="AD595" t="s">
        <v>1140</v>
      </c>
      <c r="AE595" t="s">
        <v>1156</v>
      </c>
    </row>
    <row r="596" spans="1:31" ht="52" thickBot="1" x14ac:dyDescent="0.25">
      <c r="A596" t="s">
        <v>1171</v>
      </c>
      <c r="B596" t="s">
        <v>1768</v>
      </c>
      <c r="C596" t="str">
        <f>"CONF-"&amp;TEXT(us_core_reqs[[#This Row],[ID*]], "0000")</f>
        <v>CONF-0808</v>
      </c>
      <c r="D596" s="11" t="s">
        <v>618</v>
      </c>
      <c r="E596" s="73" t="str" cm="1">
        <f t="array" ref="E596">_xlfn.TEXTJOIN(", ", TRUE, _xlfn.TEXTAFTER(_xlfn.TEXTSPLIT(us_core_reqs[[#This Row],[URL*]], ", "), "/", -1))</f>
        <v>must-support.html#must-support-targets-for-us-core-profiles</v>
      </c>
      <c r="F596" s="11" t="s">
        <v>668</v>
      </c>
      <c r="G596" t="s">
        <v>29</v>
      </c>
      <c r="H596" cm="1">
        <f t="array" ref="H596">_xlfn.SWITCH(G596, "SHALL", 1, "SHOULD", 3, "MAY", 5, "SHOULD-NOT", 4, "SHALL-NOT", 2, "DEPRECATED", 6, 99)</f>
        <v>1</v>
      </c>
      <c r="J596" t="s">
        <v>30</v>
      </c>
      <c r="K596" t="s">
        <v>1171</v>
      </c>
      <c r="L596" t="s">
        <v>1171</v>
      </c>
      <c r="M596" t="s">
        <v>1176</v>
      </c>
      <c r="N596" t="s">
        <v>1122</v>
      </c>
      <c r="O596" t="s">
        <v>1171</v>
      </c>
      <c r="P596" t="s">
        <v>1171</v>
      </c>
      <c r="Q596" t="s">
        <v>1171</v>
      </c>
      <c r="R596" t="s">
        <v>1171</v>
      </c>
      <c r="S596" s="70" t="str" cm="1">
        <f t="array" ref="S596">_xlfn.TEXTJOIN(",",TRUE,LEFT(TRIM(_xlfn.TEXTSPLIT(us_core_reqs[[#This Row],[reference]],",")),FIND(".html",TRIM(_xlfn.TEXTSPLIT(us_core_reqs[[#This Row],[reference]],",")))-1))</f>
        <v>must-support</v>
      </c>
      <c r="T596" s="70" t="str" cm="1">
        <f t="array" ref="T596">_xlfn.TEXTJOIN(",",TRUE,MID(TRIM(_xlfn.TEXTSPLIT(us_core_reqs[[#This Row],[reference]],",")),FIND("#",TRIM(_xlfn.TEXTSPLIT(us_core_reqs[[#This Row],[reference]],","))&amp;"#")+1,1000))</f>
        <v>must-support-targets-for-us-core-profiles</v>
      </c>
      <c r="U596" t="str" cm="1">
        <f t="array" ref="U596">_xlfn.TEXTJOIN(", ",TRUE,SUBSTITUTE(SUBSTITUTE(PROPER(SUBSTITUTE(TRIM(_xlfn.TEXTSPLIT(us_core_reqs[[#This Row],[Page]],","))," -"," "))&amp;": "&amp;PROPER(SUBSTITUTE(TRIM(_xlfn.TEXTSPLIT(us_core_reqs[[#This Row],[Section]],","))," -"," ")),"Us ","US        
  "),"Uscdi","USCDI"))</f>
        <v>Must-Support: Must-Support-Targets-For-Us-Core-Profiles</v>
      </c>
      <c r="V596" t="s">
        <v>1171</v>
      </c>
      <c r="W596" t="s">
        <v>1171</v>
      </c>
      <c r="X596" t="s">
        <v>1171</v>
      </c>
      <c r="Y596" t="s">
        <v>1171</v>
      </c>
      <c r="Z596" t="s">
        <v>1171</v>
      </c>
      <c r="AA596" t="s">
        <v>1171</v>
      </c>
      <c r="AB596" t="s">
        <v>1171</v>
      </c>
      <c r="AC596" t="s">
        <v>1171</v>
      </c>
      <c r="AD596" t="s">
        <v>1140</v>
      </c>
      <c r="AE596" t="s">
        <v>1154</v>
      </c>
    </row>
    <row r="597" spans="1:31" ht="52" thickBot="1" x14ac:dyDescent="0.25">
      <c r="A597" t="s">
        <v>1171</v>
      </c>
      <c r="B597" t="s">
        <v>1769</v>
      </c>
      <c r="C597" t="str">
        <f>"CONF-"&amp;TEXT(us_core_reqs[[#This Row],[ID*]], "0000")</f>
        <v>CONF-0809</v>
      </c>
      <c r="D597" s="11" t="s">
        <v>618</v>
      </c>
      <c r="E597" s="73" t="str" cm="1">
        <f t="array" ref="E597">_xlfn.TEXTJOIN(", ", TRUE, _xlfn.TEXTAFTER(_xlfn.TEXTSPLIT(us_core_reqs[[#This Row],[URL*]], ", "), "/", -1))</f>
        <v>must-support.html#must-support-targets-for-us-core-profiles</v>
      </c>
      <c r="F597" s="11" t="s">
        <v>669</v>
      </c>
      <c r="G597" t="s">
        <v>29</v>
      </c>
      <c r="H597" cm="1">
        <f t="array" ref="H597">_xlfn.SWITCH(G597, "SHALL", 1, "SHOULD", 3, "MAY", 5, "SHOULD-NOT", 4, "SHALL-NOT", 2, "DEPRECATED", 6, 99)</f>
        <v>1</v>
      </c>
      <c r="J597" t="s">
        <v>30</v>
      </c>
      <c r="K597" t="b">
        <v>1</v>
      </c>
      <c r="L597" t="s">
        <v>1171</v>
      </c>
      <c r="M597" t="s">
        <v>1176</v>
      </c>
      <c r="N597" t="s">
        <v>1121</v>
      </c>
      <c r="O597" t="s">
        <v>1171</v>
      </c>
      <c r="P597" t="s">
        <v>1171</v>
      </c>
      <c r="Q597" t="s">
        <v>1171</v>
      </c>
      <c r="R597" t="s">
        <v>1171</v>
      </c>
      <c r="S597" s="70" t="str" cm="1">
        <f t="array" ref="S597">_xlfn.TEXTJOIN(",",TRUE,LEFT(TRIM(_xlfn.TEXTSPLIT(us_core_reqs[[#This Row],[reference]],",")),FIND(".html",TRIM(_xlfn.TEXTSPLIT(us_core_reqs[[#This Row],[reference]],",")))-1))</f>
        <v>must-support</v>
      </c>
      <c r="T597" s="70" t="str" cm="1">
        <f t="array" ref="T597">_xlfn.TEXTJOIN(",",TRUE,MID(TRIM(_xlfn.TEXTSPLIT(us_core_reqs[[#This Row],[reference]],",")),FIND("#",TRIM(_xlfn.TEXTSPLIT(us_core_reqs[[#This Row],[reference]],","))&amp;"#")+1,1000))</f>
        <v>must-support-targets-for-us-core-profiles</v>
      </c>
      <c r="U597" t="str" cm="1">
        <f t="array" ref="U597">_xlfn.TEXTJOIN(", ",TRUE,SUBSTITUTE(SUBSTITUTE(PROPER(SUBSTITUTE(TRIM(_xlfn.TEXTSPLIT(us_core_reqs[[#This Row],[Page]],","))," -"," "))&amp;": "&amp;PROPER(SUBSTITUTE(TRIM(_xlfn.TEXTSPLIT(us_core_reqs[[#This Row],[Section]],","))," -"," ")),"Us ","US        
  "),"Uscdi","USCDI"))</f>
        <v>Must-Support: Must-Support-Targets-For-Us-Core-Profiles</v>
      </c>
      <c r="V597" t="s">
        <v>1171</v>
      </c>
      <c r="W597" t="s">
        <v>1171</v>
      </c>
      <c r="X597" t="s">
        <v>1171</v>
      </c>
      <c r="Y597" t="s">
        <v>1171</v>
      </c>
      <c r="Z597" t="s">
        <v>1171</v>
      </c>
      <c r="AA597" t="s">
        <v>1171</v>
      </c>
      <c r="AB597" t="s">
        <v>1171</v>
      </c>
      <c r="AC597" t="s">
        <v>405</v>
      </c>
      <c r="AD597" t="s">
        <v>1140</v>
      </c>
      <c r="AE597" t="s">
        <v>1156</v>
      </c>
    </row>
    <row r="598" spans="1:31" ht="69" thickBot="1" x14ac:dyDescent="0.25">
      <c r="A598" t="s">
        <v>1171</v>
      </c>
      <c r="B598" t="s">
        <v>1770</v>
      </c>
      <c r="C598" t="str">
        <f>"CONF-"&amp;TEXT(us_core_reqs[[#This Row],[ID*]], "0000")</f>
        <v>CONF-0810</v>
      </c>
      <c r="D598" s="11" t="s">
        <v>618</v>
      </c>
      <c r="E598" s="73" t="str" cm="1">
        <f t="array" ref="E598">_xlfn.TEXTJOIN(", ", TRUE, _xlfn.TEXTAFTER(_xlfn.TEXTSPLIT(us_core_reqs[[#This Row],[URL*]], ", "), "/", -1))</f>
        <v>must-support.html#must-support-targets-for-us-core-profiles</v>
      </c>
      <c r="F598" s="11" t="s">
        <v>671</v>
      </c>
      <c r="G598" t="s">
        <v>29</v>
      </c>
      <c r="H598" cm="1">
        <f t="array" ref="H598">_xlfn.SWITCH(G598, "SHALL", 1, "SHOULD", 3, "MAY", 5, "SHOULD-NOT", 4, "SHALL-NOT", 2, "DEPRECATED", 6, 99)</f>
        <v>1</v>
      </c>
      <c r="J598" t="s">
        <v>30</v>
      </c>
      <c r="K598" t="s">
        <v>1171</v>
      </c>
      <c r="L598" t="s">
        <v>1171</v>
      </c>
      <c r="M598" t="s">
        <v>1176</v>
      </c>
      <c r="N598" t="s">
        <v>1120</v>
      </c>
      <c r="O598" t="s">
        <v>1171</v>
      </c>
      <c r="P598" t="s">
        <v>1171</v>
      </c>
      <c r="Q598" t="s">
        <v>1171</v>
      </c>
      <c r="R598" t="s">
        <v>1171</v>
      </c>
      <c r="S598" s="70" t="str" cm="1">
        <f t="array" ref="S598">_xlfn.TEXTJOIN(",",TRUE,LEFT(TRIM(_xlfn.TEXTSPLIT(us_core_reqs[[#This Row],[reference]],",")),FIND(".html",TRIM(_xlfn.TEXTSPLIT(us_core_reqs[[#This Row],[reference]],",")))-1))</f>
        <v>must-support</v>
      </c>
      <c r="T598" s="70" t="str" cm="1">
        <f t="array" ref="T598">_xlfn.TEXTJOIN(",",TRUE,MID(TRIM(_xlfn.TEXTSPLIT(us_core_reqs[[#This Row],[reference]],",")),FIND("#",TRIM(_xlfn.TEXTSPLIT(us_core_reqs[[#This Row],[reference]],","))&amp;"#")+1,1000))</f>
        <v>must-support-targets-for-us-core-profiles</v>
      </c>
      <c r="U598" t="str" cm="1">
        <f t="array" ref="U598">_xlfn.TEXTJOIN(", ",TRUE,SUBSTITUTE(SUBSTITUTE(PROPER(SUBSTITUTE(TRIM(_xlfn.TEXTSPLIT(us_core_reqs[[#This Row],[Page]],","))," -"," "))&amp;": "&amp;PROPER(SUBSTITUTE(TRIM(_xlfn.TEXTSPLIT(us_core_reqs[[#This Row],[Section]],","))," -"," ")),"Us ","US        
  "),"Uscdi","USCDI"))</f>
        <v>Must-Support: Must-Support-Targets-For-Us-Core-Profiles</v>
      </c>
      <c r="V598" t="s">
        <v>1171</v>
      </c>
      <c r="W598" t="s">
        <v>1171</v>
      </c>
      <c r="X598" t="s">
        <v>1171</v>
      </c>
      <c r="Y598" t="s">
        <v>1171</v>
      </c>
      <c r="Z598" t="s">
        <v>1171</v>
      </c>
      <c r="AA598" t="s">
        <v>1171</v>
      </c>
      <c r="AB598" t="s">
        <v>1171</v>
      </c>
      <c r="AC598" t="s">
        <v>1171</v>
      </c>
      <c r="AD598" t="s">
        <v>1140</v>
      </c>
      <c r="AE598" t="s">
        <v>1154</v>
      </c>
    </row>
    <row r="599" spans="1:31" ht="69" thickBot="1" x14ac:dyDescent="0.25">
      <c r="A599" t="s">
        <v>1171</v>
      </c>
      <c r="B599" t="s">
        <v>1771</v>
      </c>
      <c r="C599" t="str">
        <f>"CONF-"&amp;TEXT(us_core_reqs[[#This Row],[ID*]], "0000")</f>
        <v>CONF-0811</v>
      </c>
      <c r="D599" s="11" t="s">
        <v>618</v>
      </c>
      <c r="E599" s="73" t="str" cm="1">
        <f t="array" ref="E599">_xlfn.TEXTJOIN(", ", TRUE, _xlfn.TEXTAFTER(_xlfn.TEXTSPLIT(us_core_reqs[[#This Row],[URL*]], ", "), "/", -1))</f>
        <v>must-support.html#must-support-targets-for-us-core-profiles</v>
      </c>
      <c r="F599" s="11" t="s">
        <v>672</v>
      </c>
      <c r="G599" t="s">
        <v>29</v>
      </c>
      <c r="H599" cm="1">
        <f t="array" ref="H599">_xlfn.SWITCH(G599, "SHALL", 1, "SHOULD", 3, "MAY", 5, "SHOULD-NOT", 4, "SHALL-NOT", 2, "DEPRECATED", 6, 99)</f>
        <v>1</v>
      </c>
      <c r="J599" t="s">
        <v>30</v>
      </c>
      <c r="K599" t="b">
        <v>1</v>
      </c>
      <c r="L599" t="s">
        <v>1171</v>
      </c>
      <c r="M599" t="s">
        <v>1176</v>
      </c>
      <c r="N599" t="s">
        <v>1119</v>
      </c>
      <c r="O599" t="s">
        <v>1171</v>
      </c>
      <c r="P599" t="s">
        <v>1171</v>
      </c>
      <c r="Q599" t="s">
        <v>1171</v>
      </c>
      <c r="R599" t="s">
        <v>1171</v>
      </c>
      <c r="S599" s="70" t="str" cm="1">
        <f t="array" ref="S599">_xlfn.TEXTJOIN(",",TRUE,LEFT(TRIM(_xlfn.TEXTSPLIT(us_core_reqs[[#This Row],[reference]],",")),FIND(".html",TRIM(_xlfn.TEXTSPLIT(us_core_reqs[[#This Row],[reference]],",")))-1))</f>
        <v>must-support</v>
      </c>
      <c r="T599" s="70" t="str" cm="1">
        <f t="array" ref="T599">_xlfn.TEXTJOIN(",",TRUE,MID(TRIM(_xlfn.TEXTSPLIT(us_core_reqs[[#This Row],[reference]],",")),FIND("#",TRIM(_xlfn.TEXTSPLIT(us_core_reqs[[#This Row],[reference]],","))&amp;"#")+1,1000))</f>
        <v>must-support-targets-for-us-core-profiles</v>
      </c>
      <c r="U599" t="str" cm="1">
        <f t="array" ref="U599">_xlfn.TEXTJOIN(", ",TRUE,SUBSTITUTE(SUBSTITUTE(PROPER(SUBSTITUTE(TRIM(_xlfn.TEXTSPLIT(us_core_reqs[[#This Row],[Page]],","))," -"," "))&amp;": "&amp;PROPER(SUBSTITUTE(TRIM(_xlfn.TEXTSPLIT(us_core_reqs[[#This Row],[Section]],","))," -"," ")),"Us ","US        
  "),"Uscdi","USCDI"))</f>
        <v>Must-Support: Must-Support-Targets-For-Us-Core-Profiles</v>
      </c>
      <c r="V599" t="s">
        <v>1171</v>
      </c>
      <c r="W599" t="s">
        <v>1171</v>
      </c>
      <c r="X599" t="s">
        <v>1171</v>
      </c>
      <c r="Y599" t="s">
        <v>1171</v>
      </c>
      <c r="Z599" t="s">
        <v>1171</v>
      </c>
      <c r="AA599" t="s">
        <v>1171</v>
      </c>
      <c r="AB599" t="s">
        <v>1171</v>
      </c>
      <c r="AC599" t="s">
        <v>405</v>
      </c>
      <c r="AD599" t="s">
        <v>1140</v>
      </c>
      <c r="AE599" t="s">
        <v>1156</v>
      </c>
    </row>
    <row r="600" spans="1:31" ht="69" thickBot="1" x14ac:dyDescent="0.25">
      <c r="A600" t="s">
        <v>1171</v>
      </c>
      <c r="B600" t="s">
        <v>1772</v>
      </c>
      <c r="C600" t="str">
        <f>"CONF-"&amp;TEXT(us_core_reqs[[#This Row],[ID*]], "0000")</f>
        <v>CONF-0812</v>
      </c>
      <c r="D600" s="11" t="s">
        <v>621</v>
      </c>
      <c r="E600" s="73" t="str" cm="1">
        <f t="array" ref="E600">_xlfn.TEXTJOIN(", ", TRUE, _xlfn.TEXTAFTER(_xlfn.TEXTSPLIT(us_core_reqs[[#This Row],[URL*]], ", "), "/", -1))</f>
        <v>must-support.html#must-support---slices</v>
      </c>
      <c r="F600" s="11" t="s">
        <v>2337</v>
      </c>
      <c r="G600" t="s">
        <v>29</v>
      </c>
      <c r="H600" cm="1">
        <f t="array" ref="H600">_xlfn.SWITCH(G600, "SHALL", 1, "SHOULD", 3, "MAY", 5, "SHOULD-NOT", 4, "SHALL-NOT", 2, "DEPRECATED", 6, 99)</f>
        <v>1</v>
      </c>
      <c r="J600" t="s">
        <v>30</v>
      </c>
      <c r="K600" t="b">
        <v>1</v>
      </c>
      <c r="L600" t="s">
        <v>1171</v>
      </c>
      <c r="M600" t="s">
        <v>1176</v>
      </c>
      <c r="N600" t="s">
        <v>1118</v>
      </c>
      <c r="O600" t="s">
        <v>1171</v>
      </c>
      <c r="P600" t="s">
        <v>1171</v>
      </c>
      <c r="Q600" t="s">
        <v>1171</v>
      </c>
      <c r="R600" t="s">
        <v>1171</v>
      </c>
      <c r="S600" s="70" t="str" cm="1">
        <f t="array" ref="S600">_xlfn.TEXTJOIN(",",TRUE,LEFT(TRIM(_xlfn.TEXTSPLIT(us_core_reqs[[#This Row],[reference]],",")),FIND(".html",TRIM(_xlfn.TEXTSPLIT(us_core_reqs[[#This Row],[reference]],",")))-1))</f>
        <v>must-support</v>
      </c>
      <c r="T600" s="70" t="str" cm="1">
        <f t="array" ref="T600">_xlfn.TEXTJOIN(",",TRUE,MID(TRIM(_xlfn.TEXTSPLIT(us_core_reqs[[#This Row],[reference]],",")),FIND("#",TRIM(_xlfn.TEXTSPLIT(us_core_reqs[[#This Row],[reference]],","))&amp;"#")+1,1000))</f>
        <v>must-support---slices</v>
      </c>
      <c r="U600" t="str" cm="1">
        <f t="array" ref="U600">_xlfn.TEXTJOIN(", ",TRUE,SUBSTITUTE(SUBSTITUTE(PROPER(SUBSTITUTE(TRIM(_xlfn.TEXTSPLIT(us_core_reqs[[#This Row],[Page]],","))," -"," "))&amp;": "&amp;PROPER(SUBSTITUTE(TRIM(_xlfn.TEXTSPLIT(us_core_reqs[[#This Row],[Section]],","))," -"," ")),"Us ","US        
  "),"Uscdi","USCDI"))</f>
        <v>Must-Support: Must-Support---Slices</v>
      </c>
      <c r="V600" t="s">
        <v>1171</v>
      </c>
      <c r="W600" t="s">
        <v>1171</v>
      </c>
      <c r="X600" t="s">
        <v>1171</v>
      </c>
      <c r="Y600" t="s">
        <v>1171</v>
      </c>
      <c r="Z600" t="s">
        <v>1171</v>
      </c>
      <c r="AA600" t="s">
        <v>1171</v>
      </c>
      <c r="AB600" t="s">
        <v>1171</v>
      </c>
      <c r="AC600" t="s">
        <v>405</v>
      </c>
      <c r="AD600" t="s">
        <v>1140</v>
      </c>
      <c r="AE600" t="s">
        <v>1156</v>
      </c>
    </row>
    <row r="601" spans="1:31" ht="52" thickBot="1" x14ac:dyDescent="0.25">
      <c r="A601" t="s">
        <v>1171</v>
      </c>
      <c r="B601" t="s">
        <v>1773</v>
      </c>
      <c r="C601" t="str">
        <f>"CONF-"&amp;TEXT(us_core_reqs[[#This Row],[ID*]], "0000")</f>
        <v>CONF-0813</v>
      </c>
      <c r="D601" s="11" t="s">
        <v>621</v>
      </c>
      <c r="E601" s="73" t="str" cm="1">
        <f t="array" ref="E601">_xlfn.TEXTJOIN(", ", TRUE, _xlfn.TEXTAFTER(_xlfn.TEXTSPLIT(us_core_reqs[[#This Row],[URL*]], ", "), "/", -1))</f>
        <v>must-support.html#must-support---slices</v>
      </c>
      <c r="F601" s="11" t="s">
        <v>1146</v>
      </c>
      <c r="G601" t="s">
        <v>35</v>
      </c>
      <c r="H601" cm="1">
        <f t="array" ref="H601">_xlfn.SWITCH(G601, "SHALL", 1, "SHOULD", 3, "MAY", 5, "SHOULD-NOT", 4, "SHALL-NOT", 2, "DEPRECATED", 6, 99)</f>
        <v>5</v>
      </c>
      <c r="J601" t="s">
        <v>30</v>
      </c>
      <c r="L601" t="s">
        <v>1171</v>
      </c>
      <c r="M601" t="s">
        <v>1176</v>
      </c>
      <c r="N601" t="s">
        <v>1117</v>
      </c>
      <c r="O601" t="s">
        <v>1171</v>
      </c>
      <c r="P601" t="s">
        <v>1171</v>
      </c>
      <c r="Q601" t="s">
        <v>1171</v>
      </c>
      <c r="R601" t="s">
        <v>1171</v>
      </c>
      <c r="S601" s="70" t="str" cm="1">
        <f t="array" ref="S601">_xlfn.TEXTJOIN(",",TRUE,LEFT(TRIM(_xlfn.TEXTSPLIT(us_core_reqs[[#This Row],[reference]],",")),FIND(".html",TRIM(_xlfn.TEXTSPLIT(us_core_reqs[[#This Row],[reference]],",")))-1))</f>
        <v>must-support</v>
      </c>
      <c r="T601" s="70" t="str" cm="1">
        <f t="array" ref="T601">_xlfn.TEXTJOIN(",",TRUE,MID(TRIM(_xlfn.TEXTSPLIT(us_core_reqs[[#This Row],[reference]],",")),FIND("#",TRIM(_xlfn.TEXTSPLIT(us_core_reqs[[#This Row],[reference]],","))&amp;"#")+1,1000))</f>
        <v>must-support---slices</v>
      </c>
      <c r="U601" t="str" cm="1">
        <f t="array" ref="U601">_xlfn.TEXTJOIN(", ",TRUE,SUBSTITUTE(SUBSTITUTE(PROPER(SUBSTITUTE(TRIM(_xlfn.TEXTSPLIT(us_core_reqs[[#This Row],[Page]],","))," -"," "))&amp;": "&amp;PROPER(SUBSTITUTE(TRIM(_xlfn.TEXTSPLIT(us_core_reqs[[#This Row],[Section]],","))," -"," ")),"Us ","US        
  "),"Uscdi","USCDI"))</f>
        <v>Must-Support: Must-Support---Slices</v>
      </c>
      <c r="V601" t="s">
        <v>1171</v>
      </c>
      <c r="W601" t="s">
        <v>1171</v>
      </c>
      <c r="X601" t="s">
        <v>1171</v>
      </c>
      <c r="Y601" t="s">
        <v>1171</v>
      </c>
      <c r="Z601" t="s">
        <v>1171</v>
      </c>
      <c r="AA601" t="s">
        <v>1171</v>
      </c>
      <c r="AB601" t="s">
        <v>1171</v>
      </c>
      <c r="AC601" t="s">
        <v>405</v>
      </c>
      <c r="AD601" t="s">
        <v>1171</v>
      </c>
      <c r="AE601" t="s">
        <v>1171</v>
      </c>
    </row>
    <row r="602" spans="1:31" ht="52" thickBot="1" x14ac:dyDescent="0.25">
      <c r="A602" t="s">
        <v>1171</v>
      </c>
      <c r="B602" t="s">
        <v>1774</v>
      </c>
      <c r="C602" t="str">
        <f>"CONF-"&amp;TEXT(us_core_reqs[[#This Row],[ID*]], "0000")</f>
        <v>CONF-0814</v>
      </c>
      <c r="D602" s="11" t="s">
        <v>621</v>
      </c>
      <c r="E602" s="73" t="str" cm="1">
        <f t="array" ref="E602">_xlfn.TEXTJOIN(", ", TRUE, _xlfn.TEXTAFTER(_xlfn.TEXTSPLIT(us_core_reqs[[#This Row],[URL*]], ", "), "/", -1))</f>
        <v>must-support.html#must-support---slices</v>
      </c>
      <c r="F602" s="11" t="s">
        <v>2338</v>
      </c>
      <c r="G602" t="s">
        <v>29</v>
      </c>
      <c r="H602" cm="1">
        <f t="array" ref="H602">_xlfn.SWITCH(G602, "SHALL", 1, "SHOULD", 3, "MAY", 5, "SHOULD-NOT", 4, "SHALL-NOT", 2, "DEPRECATED", 6, 99)</f>
        <v>1</v>
      </c>
      <c r="J602" t="s">
        <v>30</v>
      </c>
      <c r="K602" t="b">
        <v>1</v>
      </c>
      <c r="L602" t="s">
        <v>1171</v>
      </c>
      <c r="M602" t="s">
        <v>1176</v>
      </c>
      <c r="N602" t="s">
        <v>1116</v>
      </c>
      <c r="O602" t="s">
        <v>1171</v>
      </c>
      <c r="P602" t="s">
        <v>1171</v>
      </c>
      <c r="Q602" t="s">
        <v>1171</v>
      </c>
      <c r="R602" t="s">
        <v>1171</v>
      </c>
      <c r="S602" s="70" t="str" cm="1">
        <f t="array" ref="S602">_xlfn.TEXTJOIN(",",TRUE,LEFT(TRIM(_xlfn.TEXTSPLIT(us_core_reqs[[#This Row],[reference]],",")),FIND(".html",TRIM(_xlfn.TEXTSPLIT(us_core_reqs[[#This Row],[reference]],",")))-1))</f>
        <v>must-support</v>
      </c>
      <c r="T602" s="70" t="str" cm="1">
        <f t="array" ref="T602">_xlfn.TEXTJOIN(",",TRUE,MID(TRIM(_xlfn.TEXTSPLIT(us_core_reqs[[#This Row],[reference]],",")),FIND("#",TRIM(_xlfn.TEXTSPLIT(us_core_reqs[[#This Row],[reference]],","))&amp;"#")+1,1000))</f>
        <v>must-support---slices</v>
      </c>
      <c r="U602" t="str" cm="1">
        <f t="array" ref="U602">_xlfn.TEXTJOIN(", ",TRUE,SUBSTITUTE(SUBSTITUTE(PROPER(SUBSTITUTE(TRIM(_xlfn.TEXTSPLIT(us_core_reqs[[#This Row],[Page]],","))," -"," "))&amp;": "&amp;PROPER(SUBSTITUTE(TRIM(_xlfn.TEXTSPLIT(us_core_reqs[[#This Row],[Section]],","))," -"," ")),"Us ","US        
  "),"Uscdi","USCDI"))</f>
        <v>Must-Support: Must-Support---Slices</v>
      </c>
      <c r="V602" t="s">
        <v>1171</v>
      </c>
      <c r="W602" t="s">
        <v>1171</v>
      </c>
      <c r="X602" t="s">
        <v>1171</v>
      </c>
      <c r="Y602" t="s">
        <v>1171</v>
      </c>
      <c r="Z602" t="s">
        <v>1171</v>
      </c>
      <c r="AA602" t="s">
        <v>1171</v>
      </c>
      <c r="AB602" t="s">
        <v>1171</v>
      </c>
      <c r="AC602" t="s">
        <v>405</v>
      </c>
      <c r="AD602" t="s">
        <v>1140</v>
      </c>
      <c r="AE602" t="s">
        <v>1156</v>
      </c>
    </row>
    <row r="603" spans="1:31" ht="86" thickBot="1" x14ac:dyDescent="0.25">
      <c r="A603" t="s">
        <v>1171</v>
      </c>
      <c r="B603" t="s">
        <v>1775</v>
      </c>
      <c r="C603" t="str">
        <f>"CONF-"&amp;TEXT(us_core_reqs[[#This Row],[ID*]], "0000")</f>
        <v>CONF-0815</v>
      </c>
      <c r="D603" s="11" t="s">
        <v>1877</v>
      </c>
      <c r="E603" s="73" t="str" cm="1">
        <f t="array" ref="E603">_xlfn.TEXTJOIN(", ", TRUE, _xlfn.TEXTAFTER(_xlfn.TEXTSPLIT(us_core_reqs[[#This Row],[URL*]], ", "), "/", -1))</f>
        <v>general-guidance.html#client-best-practices-for-search</v>
      </c>
      <c r="F603" s="11" t="s">
        <v>1114</v>
      </c>
      <c r="G603" t="s">
        <v>32</v>
      </c>
      <c r="H603" cm="1">
        <f t="array" ref="H603">_xlfn.SWITCH(G603, "SHALL", 1, "SHOULD", 3, "MAY", 5, "SHOULD-NOT", 4, "SHALL-NOT", 2, "DEPRECATED", 6, 99)</f>
        <v>3</v>
      </c>
      <c r="J603" t="s">
        <v>58</v>
      </c>
      <c r="K603" t="s">
        <v>1171</v>
      </c>
      <c r="L603" t="s">
        <v>1171</v>
      </c>
      <c r="M603" t="s">
        <v>1176</v>
      </c>
      <c r="N603" t="s">
        <v>1115</v>
      </c>
      <c r="O603" t="s">
        <v>1171</v>
      </c>
      <c r="P603" t="s">
        <v>1171</v>
      </c>
      <c r="Q603" t="s">
        <v>1171</v>
      </c>
      <c r="R603" t="s">
        <v>1171</v>
      </c>
      <c r="S603" s="70" t="str" cm="1">
        <f t="array" ref="S603">_xlfn.TEXTJOIN(",",TRUE,LEFT(TRIM(_xlfn.TEXTSPLIT(us_core_reqs[[#This Row],[reference]],",")),FIND(".html",TRIM(_xlfn.TEXTSPLIT(us_core_reqs[[#This Row],[reference]],",")))-1))</f>
        <v>general-guidance</v>
      </c>
      <c r="T603" s="70" t="str" cm="1">
        <f t="array" ref="T603">_xlfn.TEXTJOIN(",",TRUE,MID(TRIM(_xlfn.TEXTSPLIT(us_core_reqs[[#This Row],[reference]],",")),FIND("#",TRIM(_xlfn.TEXTSPLIT(us_core_reqs[[#This Row],[reference]],","))&amp;"#")+1,1000))</f>
        <v>client-best-practices-for-search</v>
      </c>
      <c r="U603" t="str" cm="1">
        <f t="array" ref="U603">_xlfn.TEXTJOIN(", ",TRUE,SUBSTITUTE(SUBSTITUTE(PROPER(SUBSTITUTE(TRIM(_xlfn.TEXTSPLIT(us_core_reqs[[#This Row],[Page]],","))," -"," "))&amp;": "&amp;PROPER(SUBSTITUTE(TRIM(_xlfn.TEXTSPLIT(us_core_reqs[[#This Row],[Section]],","))," -"," ")),"Us ","US        
  "),"Uscdi","USCDI"))</f>
        <v>General-Guidance: Client-Best-Practices-For-Search</v>
      </c>
      <c r="V603" t="s">
        <v>1171</v>
      </c>
      <c r="W603" t="s">
        <v>1171</v>
      </c>
      <c r="X603" t="s">
        <v>1171</v>
      </c>
      <c r="Y603" t="s">
        <v>1171</v>
      </c>
      <c r="Z603" t="s">
        <v>1171</v>
      </c>
      <c r="AA603" t="s">
        <v>1171</v>
      </c>
      <c r="AB603" t="s">
        <v>1171</v>
      </c>
      <c r="AC603" t="s">
        <v>1171</v>
      </c>
      <c r="AD603" t="s">
        <v>1171</v>
      </c>
      <c r="AE603" t="s">
        <v>1171</v>
      </c>
    </row>
    <row r="604" spans="1:31" ht="52" thickBot="1" x14ac:dyDescent="0.25">
      <c r="A604" t="s">
        <v>1171</v>
      </c>
      <c r="B604" t="s">
        <v>1776</v>
      </c>
      <c r="C604" t="str">
        <f>"CONF-"&amp;TEXT(us_core_reqs[[#This Row],[ID*]], "0000")</f>
        <v>CONF-0816</v>
      </c>
      <c r="D604" s="11" t="s">
        <v>1877</v>
      </c>
      <c r="E604" s="73" t="str" cm="1">
        <f t="array" ref="E604">_xlfn.TEXTJOIN(", ", TRUE, _xlfn.TEXTAFTER(_xlfn.TEXTSPLIT(us_core_reqs[[#This Row],[URL*]], ", "), "/", -1))</f>
        <v>general-guidance.html#client-best-practices-for-search</v>
      </c>
      <c r="F604" s="11" t="s">
        <v>713</v>
      </c>
      <c r="G604" t="s">
        <v>32</v>
      </c>
      <c r="H604" cm="1">
        <f t="array" ref="H604">_xlfn.SWITCH(G604, "SHALL", 1, "SHOULD", 3, "MAY", 5, "SHOULD-NOT", 4, "SHALL-NOT", 2, "DEPRECATED", 6, 99)</f>
        <v>3</v>
      </c>
      <c r="J604" t="s">
        <v>58</v>
      </c>
      <c r="K604" t="s">
        <v>1171</v>
      </c>
      <c r="L604" t="s">
        <v>1171</v>
      </c>
      <c r="M604" t="s">
        <v>1176</v>
      </c>
      <c r="N604" t="s">
        <v>1113</v>
      </c>
      <c r="O604" t="s">
        <v>1171</v>
      </c>
      <c r="P604" t="s">
        <v>1171</v>
      </c>
      <c r="Q604" t="s">
        <v>1171</v>
      </c>
      <c r="R604" t="s">
        <v>1171</v>
      </c>
      <c r="S604" s="70" t="str" cm="1">
        <f t="array" ref="S604">_xlfn.TEXTJOIN(",",TRUE,LEFT(TRIM(_xlfn.TEXTSPLIT(us_core_reqs[[#This Row],[reference]],",")),FIND(".html",TRIM(_xlfn.TEXTSPLIT(us_core_reqs[[#This Row],[reference]],",")))-1))</f>
        <v>general-guidance</v>
      </c>
      <c r="T604" s="70" t="str" cm="1">
        <f t="array" ref="T604">_xlfn.TEXTJOIN(",",TRUE,MID(TRIM(_xlfn.TEXTSPLIT(us_core_reqs[[#This Row],[reference]],",")),FIND("#",TRIM(_xlfn.TEXTSPLIT(us_core_reqs[[#This Row],[reference]],","))&amp;"#")+1,1000))</f>
        <v>client-best-practices-for-search</v>
      </c>
      <c r="U604" t="str" cm="1">
        <f t="array" ref="U604">_xlfn.TEXTJOIN(", ",TRUE,SUBSTITUTE(SUBSTITUTE(PROPER(SUBSTITUTE(TRIM(_xlfn.TEXTSPLIT(us_core_reqs[[#This Row],[Page]],","))," -"," "))&amp;": "&amp;PROPER(SUBSTITUTE(TRIM(_xlfn.TEXTSPLIT(us_core_reqs[[#This Row],[Section]],","))," -"," ")),"Us ","US        
  "),"Uscdi","USCDI"))</f>
        <v>General-Guidance: Client-Best-Practices-For-Search</v>
      </c>
      <c r="V604" t="s">
        <v>1171</v>
      </c>
      <c r="W604" t="s">
        <v>1171</v>
      </c>
      <c r="X604" t="s">
        <v>1171</v>
      </c>
      <c r="Y604" t="s">
        <v>1171</v>
      </c>
      <c r="Z604" t="s">
        <v>1171</v>
      </c>
      <c r="AA604" t="s">
        <v>1171</v>
      </c>
      <c r="AB604" t="s">
        <v>1171</v>
      </c>
      <c r="AC604" t="s">
        <v>1171</v>
      </c>
      <c r="AD604" t="s">
        <v>1171</v>
      </c>
      <c r="AE604" t="s">
        <v>1171</v>
      </c>
    </row>
    <row r="605" spans="1:31" ht="35" thickBot="1" x14ac:dyDescent="0.25">
      <c r="A605" t="s">
        <v>1171</v>
      </c>
      <c r="B605" t="s">
        <v>1777</v>
      </c>
      <c r="C605" t="str">
        <f>"CONF-"&amp;TEXT(us_core_reqs[[#This Row],[ID*]], "0000")</f>
        <v>CONF-0817</v>
      </c>
      <c r="D605" s="11" t="s">
        <v>1877</v>
      </c>
      <c r="E605" s="73" t="str" cm="1">
        <f t="array" ref="E605">_xlfn.TEXTJOIN(", ", TRUE, _xlfn.TEXTAFTER(_xlfn.TEXTSPLIT(us_core_reqs[[#This Row],[URL*]], ", "), "/", -1))</f>
        <v>general-guidance.html#client-best-practices-for-search</v>
      </c>
      <c r="F605" s="11" t="s">
        <v>2216</v>
      </c>
      <c r="G605" t="s">
        <v>1834</v>
      </c>
      <c r="H605" cm="1">
        <f t="array" ref="H605">_xlfn.SWITCH(G605, "SHALL", 1, "SHOULD", 3, "MAY", 5, "SHOULD-NOT", 4, "SHALL-NOT", 2, "DEPRECATED", 6, 99)</f>
        <v>4</v>
      </c>
      <c r="J605" t="s">
        <v>58</v>
      </c>
      <c r="K605" t="s">
        <v>1171</v>
      </c>
      <c r="L605" t="s">
        <v>1171</v>
      </c>
      <c r="M605" t="s">
        <v>1176</v>
      </c>
      <c r="N605" t="s">
        <v>1112</v>
      </c>
      <c r="O605" t="s">
        <v>1171</v>
      </c>
      <c r="P605" t="s">
        <v>1171</v>
      </c>
      <c r="Q605" t="s">
        <v>1171</v>
      </c>
      <c r="R605" t="s">
        <v>1171</v>
      </c>
      <c r="S605" s="70" t="str" cm="1">
        <f t="array" ref="S605">_xlfn.TEXTJOIN(",",TRUE,LEFT(TRIM(_xlfn.TEXTSPLIT(us_core_reqs[[#This Row],[reference]],",")),FIND(".html",TRIM(_xlfn.TEXTSPLIT(us_core_reqs[[#This Row],[reference]],",")))-1))</f>
        <v>general-guidance</v>
      </c>
      <c r="T605" s="70" t="str" cm="1">
        <f t="array" ref="T605">_xlfn.TEXTJOIN(",",TRUE,MID(TRIM(_xlfn.TEXTSPLIT(us_core_reqs[[#This Row],[reference]],",")),FIND("#",TRIM(_xlfn.TEXTSPLIT(us_core_reqs[[#This Row],[reference]],","))&amp;"#")+1,1000))</f>
        <v>client-best-practices-for-search</v>
      </c>
      <c r="U605" t="str" cm="1">
        <f t="array" ref="U605">_xlfn.TEXTJOIN(", ",TRUE,SUBSTITUTE(SUBSTITUTE(PROPER(SUBSTITUTE(TRIM(_xlfn.TEXTSPLIT(us_core_reqs[[#This Row],[Page]],","))," -"," "))&amp;": "&amp;PROPER(SUBSTITUTE(TRIM(_xlfn.TEXTSPLIT(us_core_reqs[[#This Row],[Section]],","))," -"," ")),"Us ","US        
  "),"Uscdi","USCDI"))</f>
        <v>General-Guidance: Client-Best-Practices-For-Search</v>
      </c>
      <c r="V605" t="s">
        <v>1171</v>
      </c>
      <c r="W605" t="s">
        <v>1171</v>
      </c>
      <c r="X605" t="s">
        <v>1171</v>
      </c>
      <c r="Y605" t="s">
        <v>1171</v>
      </c>
      <c r="Z605" t="s">
        <v>1171</v>
      </c>
      <c r="AA605" t="s">
        <v>1171</v>
      </c>
      <c r="AB605" t="s">
        <v>1171</v>
      </c>
      <c r="AC605" t="s">
        <v>1171</v>
      </c>
      <c r="AD605" t="s">
        <v>1171</v>
      </c>
      <c r="AE605" t="s">
        <v>1171</v>
      </c>
    </row>
    <row r="606" spans="1:31" ht="52" thickBot="1" x14ac:dyDescent="0.25">
      <c r="A606" t="s">
        <v>1171</v>
      </c>
      <c r="B606" t="s">
        <v>1778</v>
      </c>
      <c r="C606" t="str">
        <f>"CONF-"&amp;TEXT(us_core_reqs[[#This Row],[ID*]], "0000")</f>
        <v>CONF-0818</v>
      </c>
      <c r="D606" s="11" t="s">
        <v>627</v>
      </c>
      <c r="E606" s="73" t="str" cm="1">
        <f t="array" ref="E606">_xlfn.TEXTJOIN(", ", TRUE, _xlfn.TEXTAFTER(_xlfn.TEXTSPLIT(us_core_reqs[[#This Row],[URL*]], ", "), "/", -1))</f>
        <v>clinical-notes.html#clinical-notes</v>
      </c>
      <c r="F606" s="11" t="s">
        <v>2145</v>
      </c>
      <c r="G606" t="s">
        <v>29</v>
      </c>
      <c r="H606" cm="1">
        <f t="array" ref="H606">_xlfn.SWITCH(G606, "SHALL", 1, "SHOULD", 3, "MAY", 5, "SHOULD-NOT", 4, "SHALL-NOT", 2, "DEPRECATED", 6, 99)</f>
        <v>1</v>
      </c>
      <c r="J606" t="s">
        <v>30</v>
      </c>
      <c r="K606" t="s">
        <v>1171</v>
      </c>
      <c r="L606" t="s">
        <v>1171</v>
      </c>
      <c r="M606" t="s">
        <v>1173</v>
      </c>
      <c r="N606" t="s">
        <v>1171</v>
      </c>
      <c r="O606" t="s">
        <v>1171</v>
      </c>
      <c r="P606" t="s">
        <v>1171</v>
      </c>
      <c r="Q606" t="s">
        <v>1171</v>
      </c>
      <c r="R606" t="s">
        <v>1171</v>
      </c>
      <c r="S606" s="70" t="str" cm="1">
        <f t="array" ref="S606">_xlfn.TEXTJOIN(",",TRUE,LEFT(TRIM(_xlfn.TEXTSPLIT(us_core_reqs[[#This Row],[reference]],",")),FIND(".html",TRIM(_xlfn.TEXTSPLIT(us_core_reqs[[#This Row],[reference]],",")))-1))</f>
        <v>clinical-notes</v>
      </c>
      <c r="T606" s="70" t="str" cm="1">
        <f t="array" ref="T606">_xlfn.TEXTJOIN(",",TRUE,MID(TRIM(_xlfn.TEXTSPLIT(us_core_reqs[[#This Row],[reference]],",")),FIND("#",TRIM(_xlfn.TEXTSPLIT(us_core_reqs[[#This Row],[reference]],","))&amp;"#")+1,1000))</f>
        <v>clinical-notes</v>
      </c>
      <c r="U606" t="str" cm="1">
        <f t="array" ref="U606">_xlfn.TEXTJOIN(", ",TRUE,SUBSTITUTE(SUBSTITUTE(PROPER(SUBSTITUTE(TRIM(_xlfn.TEXTSPLIT(us_core_reqs[[#This Row],[Page]],","))," -"," "))&amp;": "&amp;PROPER(SUBSTITUTE(TRIM(_xlfn.TEXTSPLIT(us_core_reqs[[#This Row],[Section]],","))," -"," ")),"Us ","US        
  "),"Uscdi","USCDI"))</f>
        <v>Clinical-Notes: Clinical-Notes</v>
      </c>
      <c r="V606" t="s">
        <v>1171</v>
      </c>
      <c r="W606" t="s">
        <v>1171</v>
      </c>
      <c r="X606" t="s">
        <v>1171</v>
      </c>
      <c r="Y606" t="s">
        <v>1171</v>
      </c>
      <c r="Z606" t="s">
        <v>1171</v>
      </c>
      <c r="AA606" t="s">
        <v>1171</v>
      </c>
      <c r="AB606" t="s">
        <v>1171</v>
      </c>
      <c r="AC606" t="s">
        <v>1171</v>
      </c>
      <c r="AD606" t="s">
        <v>1140</v>
      </c>
      <c r="AE606" t="s">
        <v>1140</v>
      </c>
    </row>
    <row r="607" spans="1:31" ht="69" thickBot="1" x14ac:dyDescent="0.25">
      <c r="A607" t="s">
        <v>1171</v>
      </c>
      <c r="B607" t="s">
        <v>1779</v>
      </c>
      <c r="C607" t="str">
        <f>"CONF-"&amp;TEXT(us_core_reqs[[#This Row],[ID*]], "0000")</f>
        <v>CONF-0819</v>
      </c>
      <c r="D607" s="11" t="s">
        <v>627</v>
      </c>
      <c r="E607" s="73" t="str" cm="1">
        <f t="array" ref="E607">_xlfn.TEXTJOIN(", ", TRUE, _xlfn.TEXTAFTER(_xlfn.TEXTSPLIT(us_core_reqs[[#This Row],[URL*]], ", "), "/", -1))</f>
        <v>clinical-notes.html#clinical-notes</v>
      </c>
      <c r="F607" s="11" t="s">
        <v>2146</v>
      </c>
      <c r="G607" t="s">
        <v>29</v>
      </c>
      <c r="H607" cm="1">
        <f t="array" ref="H607">_xlfn.SWITCH(G607, "SHALL", 1, "SHOULD", 3, "MAY", 5, "SHOULD-NOT", 4, "SHALL-NOT", 2, "DEPRECATED", 6, 99)</f>
        <v>1</v>
      </c>
      <c r="J607" t="s">
        <v>30</v>
      </c>
      <c r="K607" t="s">
        <v>1171</v>
      </c>
      <c r="L607" t="s">
        <v>1171</v>
      </c>
      <c r="M607" t="s">
        <v>1173</v>
      </c>
      <c r="N607" t="s">
        <v>1171</v>
      </c>
      <c r="O607" t="s">
        <v>1171</v>
      </c>
      <c r="P607" t="s">
        <v>1171</v>
      </c>
      <c r="Q607" t="s">
        <v>1171</v>
      </c>
      <c r="R607" t="s">
        <v>1171</v>
      </c>
      <c r="S607" s="70" t="str" cm="1">
        <f t="array" ref="S607">_xlfn.TEXTJOIN(",",TRUE,LEFT(TRIM(_xlfn.TEXTSPLIT(us_core_reqs[[#This Row],[reference]],",")),FIND(".html",TRIM(_xlfn.TEXTSPLIT(us_core_reqs[[#This Row],[reference]],",")))-1))</f>
        <v>clinical-notes</v>
      </c>
      <c r="T607" s="70" t="str" cm="1">
        <f t="array" ref="T607">_xlfn.TEXTJOIN(",",TRUE,MID(TRIM(_xlfn.TEXTSPLIT(us_core_reqs[[#This Row],[reference]],",")),FIND("#",TRIM(_xlfn.TEXTSPLIT(us_core_reqs[[#This Row],[reference]],","))&amp;"#")+1,1000))</f>
        <v>clinical-notes</v>
      </c>
      <c r="U607" t="str" cm="1">
        <f t="array" ref="U607">_xlfn.TEXTJOIN(", ",TRUE,SUBSTITUTE(SUBSTITUTE(PROPER(SUBSTITUTE(TRIM(_xlfn.TEXTSPLIT(us_core_reqs[[#This Row],[Page]],","))," -"," "))&amp;": "&amp;PROPER(SUBSTITUTE(TRIM(_xlfn.TEXTSPLIT(us_core_reqs[[#This Row],[Section]],","))," -"," ")),"Us ","US        
  "),"Uscdi","USCDI"))</f>
        <v>Clinical-Notes: Clinical-Notes</v>
      </c>
      <c r="V607" t="s">
        <v>1171</v>
      </c>
      <c r="W607" t="s">
        <v>1171</v>
      </c>
      <c r="X607" t="s">
        <v>1171</v>
      </c>
      <c r="Y607" t="s">
        <v>1171</v>
      </c>
      <c r="Z607" t="s">
        <v>1171</v>
      </c>
      <c r="AA607" t="s">
        <v>1171</v>
      </c>
      <c r="AB607" t="s">
        <v>1171</v>
      </c>
      <c r="AC607" t="s">
        <v>1171</v>
      </c>
      <c r="AD607" t="s">
        <v>1140</v>
      </c>
      <c r="AE607" t="s">
        <v>1140</v>
      </c>
    </row>
    <row r="608" spans="1:31" ht="52" thickBot="1" x14ac:dyDescent="0.25">
      <c r="A608" t="s">
        <v>1171</v>
      </c>
      <c r="B608" t="s">
        <v>1780</v>
      </c>
      <c r="C608" t="str">
        <f>"CONF-"&amp;TEXT(us_core_reqs[[#This Row],[ID*]], "0000")</f>
        <v>CONF-0820</v>
      </c>
      <c r="D608" s="11" t="s">
        <v>631</v>
      </c>
      <c r="E608" s="73" t="str" cm="1">
        <f t="array" ref="E608">_xlfn.TEXTJOIN(", ", TRUE, _xlfn.TEXTAFTER(_xlfn.TEXTSPLIT(us_core_reqs[[#This Row],[URL*]], ", "), "/", -1))</f>
        <v>screening-and-assessments.html#structured-screening-and-assessments</v>
      </c>
      <c r="F608" s="11" t="s">
        <v>735</v>
      </c>
      <c r="G608" t="s">
        <v>29</v>
      </c>
      <c r="H608" cm="1">
        <f t="array" ref="H608">_xlfn.SWITCH(G608, "SHALL", 1, "SHOULD", 3, "MAY", 5, "SHOULD-NOT", 4, "SHALL-NOT", 2, "DEPRECATED", 6, 99)</f>
        <v>1</v>
      </c>
      <c r="J608" t="s">
        <v>30</v>
      </c>
      <c r="K608" t="s">
        <v>1171</v>
      </c>
      <c r="L608" t="s">
        <v>1171</v>
      </c>
      <c r="M608" t="s">
        <v>1176</v>
      </c>
      <c r="N608" t="s">
        <v>1111</v>
      </c>
      <c r="O608" t="s">
        <v>1171</v>
      </c>
      <c r="P608" t="s">
        <v>1171</v>
      </c>
      <c r="Q608" t="s">
        <v>1171</v>
      </c>
      <c r="R608" t="s">
        <v>1171</v>
      </c>
      <c r="S608" s="70" t="str" cm="1">
        <f t="array" ref="S608">_xlfn.TEXTJOIN(",",TRUE,LEFT(TRIM(_xlfn.TEXTSPLIT(us_core_reqs[[#This Row],[reference]],",")),FIND(".html",TRIM(_xlfn.TEXTSPLIT(us_core_reqs[[#This Row],[reference]],",")))-1))</f>
        <v>screening-and-assessments</v>
      </c>
      <c r="T608" s="70" t="str" cm="1">
        <f t="array" ref="T608">_xlfn.TEXTJOIN(",",TRUE,MID(TRIM(_xlfn.TEXTSPLIT(us_core_reqs[[#This Row],[reference]],",")),FIND("#",TRIM(_xlfn.TEXTSPLIT(us_core_reqs[[#This Row],[reference]],","))&amp;"#")+1,1000))</f>
        <v>structured-screening-and-assessments</v>
      </c>
      <c r="U608"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t="s">
        <v>1171</v>
      </c>
      <c r="W608" t="s">
        <v>1171</v>
      </c>
      <c r="X608" t="s">
        <v>1171</v>
      </c>
      <c r="Y608" t="s">
        <v>1171</v>
      </c>
      <c r="Z608" t="s">
        <v>1171</v>
      </c>
      <c r="AA608" t="s">
        <v>1171</v>
      </c>
      <c r="AB608" t="s">
        <v>1171</v>
      </c>
      <c r="AC608" t="s">
        <v>1171</v>
      </c>
      <c r="AD608" t="s">
        <v>1140</v>
      </c>
      <c r="AE608" t="s">
        <v>1154</v>
      </c>
    </row>
    <row r="609" spans="1:31" ht="52" thickBot="1" x14ac:dyDescent="0.25">
      <c r="A609" t="s">
        <v>1171</v>
      </c>
      <c r="B609" t="s">
        <v>1781</v>
      </c>
      <c r="C609" t="str">
        <f>"CONF-"&amp;TEXT(us_core_reqs[[#This Row],[ID*]], "0000")</f>
        <v>CONF-0821</v>
      </c>
      <c r="D609" s="11" t="s">
        <v>631</v>
      </c>
      <c r="E609" s="73" t="str" cm="1">
        <f t="array" ref="E609">_xlfn.TEXTJOIN(", ", TRUE, _xlfn.TEXTAFTER(_xlfn.TEXTSPLIT(us_core_reqs[[#This Row],[URL*]], ", "), "/", -1))</f>
        <v>screening-and-assessments.html#structured-screening-and-assessments</v>
      </c>
      <c r="F609" s="11" t="s">
        <v>736</v>
      </c>
      <c r="G609" t="s">
        <v>32</v>
      </c>
      <c r="H609" cm="1">
        <f t="array" ref="H609">_xlfn.SWITCH(G609, "SHALL", 1, "SHOULD", 3, "MAY", 5, "SHOULD-NOT", 4, "SHALL-NOT", 2, "DEPRECATED", 6, 99)</f>
        <v>3</v>
      </c>
      <c r="J609" t="s">
        <v>30</v>
      </c>
      <c r="K609" t="s">
        <v>1171</v>
      </c>
      <c r="L609" t="s">
        <v>1171</v>
      </c>
      <c r="M609" t="s">
        <v>1176</v>
      </c>
      <c r="N609" t="s">
        <v>1111</v>
      </c>
      <c r="O609" t="s">
        <v>1171</v>
      </c>
      <c r="P609" t="s">
        <v>1171</v>
      </c>
      <c r="Q609" t="s">
        <v>1171</v>
      </c>
      <c r="R609" t="s">
        <v>1171</v>
      </c>
      <c r="S609" s="70" t="str" cm="1">
        <f t="array" ref="S609">_xlfn.TEXTJOIN(",",TRUE,LEFT(TRIM(_xlfn.TEXTSPLIT(us_core_reqs[[#This Row],[reference]],",")),FIND(".html",TRIM(_xlfn.TEXTSPLIT(us_core_reqs[[#This Row],[reference]],",")))-1))</f>
        <v>screening-and-assessments</v>
      </c>
      <c r="T609" s="70" t="str" cm="1">
        <f t="array" ref="T609">_xlfn.TEXTJOIN(",",TRUE,MID(TRIM(_xlfn.TEXTSPLIT(us_core_reqs[[#This Row],[reference]],",")),FIND("#",TRIM(_xlfn.TEXTSPLIT(us_core_reqs[[#This Row],[reference]],","))&amp;"#")+1,1000))</f>
        <v>structured-screening-and-assessments</v>
      </c>
      <c r="U609"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t="s">
        <v>1171</v>
      </c>
      <c r="W609" t="s">
        <v>1171</v>
      </c>
      <c r="X609" t="s">
        <v>1171</v>
      </c>
      <c r="Y609" t="s">
        <v>1171</v>
      </c>
      <c r="Z609" t="s">
        <v>1171</v>
      </c>
      <c r="AA609" t="s">
        <v>1171</v>
      </c>
      <c r="AB609" t="s">
        <v>1171</v>
      </c>
      <c r="AC609" t="s">
        <v>1171</v>
      </c>
      <c r="AD609" t="s">
        <v>1171</v>
      </c>
      <c r="AE609" t="s">
        <v>1171</v>
      </c>
    </row>
    <row r="610" spans="1:31" ht="69" thickBot="1" x14ac:dyDescent="0.25">
      <c r="A610" t="s">
        <v>1171</v>
      </c>
      <c r="B610" t="s">
        <v>1782</v>
      </c>
      <c r="C610" t="str">
        <f>"CONF-"&amp;TEXT(us_core_reqs[[#This Row],[ID*]], "0000")</f>
        <v>CONF-0822</v>
      </c>
      <c r="D610" s="11" t="s">
        <v>632</v>
      </c>
      <c r="E610" s="73" t="str" cm="1">
        <f t="array" ref="E610">_xlfn.TEXTJOIN(", ", TRUE, _xlfn.TEXTAFTER(_xlfn.TEXTSPLIT(us_core_reqs[[#This Row],[URL*]], ", "), "/", -1))</f>
        <v>screening-and-assessments.html#category-codes</v>
      </c>
      <c r="F610" s="11" t="s">
        <v>739</v>
      </c>
      <c r="G610" t="s">
        <v>29</v>
      </c>
      <c r="H610" cm="1">
        <f t="array" ref="H610">_xlfn.SWITCH(G610, "SHALL", 1, "SHOULD", 3, "MAY", 5, "SHOULD-NOT", 4, "SHALL-NOT", 2, "DEPRECATED", 6, 99)</f>
        <v>1</v>
      </c>
      <c r="J610" t="s">
        <v>30</v>
      </c>
      <c r="K610" t="s">
        <v>1171</v>
      </c>
      <c r="L610" t="s">
        <v>1171</v>
      </c>
      <c r="M610" t="s">
        <v>1173</v>
      </c>
      <c r="N610" t="s">
        <v>1171</v>
      </c>
      <c r="O610" t="s">
        <v>1171</v>
      </c>
      <c r="P610" t="s">
        <v>1171</v>
      </c>
      <c r="Q610" t="s">
        <v>1171</v>
      </c>
      <c r="R610" t="s">
        <v>1171</v>
      </c>
      <c r="S610" s="70" t="str" cm="1">
        <f t="array" ref="S610">_xlfn.TEXTJOIN(",",TRUE,LEFT(TRIM(_xlfn.TEXTSPLIT(us_core_reqs[[#This Row],[reference]],",")),FIND(".html",TRIM(_xlfn.TEXTSPLIT(us_core_reqs[[#This Row],[reference]],",")))-1))</f>
        <v>screening-and-assessments</v>
      </c>
      <c r="T610" s="70" t="str" cm="1">
        <f t="array" ref="T610">_xlfn.TEXTJOIN(",",TRUE,MID(TRIM(_xlfn.TEXTSPLIT(us_core_reqs[[#This Row],[reference]],",")),FIND("#",TRIM(_xlfn.TEXTSPLIT(us_core_reqs[[#This Row],[reference]],","))&amp;"#")+1,1000))</f>
        <v>category-codes</v>
      </c>
      <c r="U610" t="str" cm="1">
        <f t="array" ref="U610">_xlfn.TEXTJOIN(", ",TRUE,SUBSTITUTE(SUBSTITUTE(PROPER(SUBSTITUTE(TRIM(_xlfn.TEXTSPLIT(us_core_reqs[[#This Row],[Page]],","))," -"," "))&amp;": "&amp;PROPER(SUBSTITUTE(TRIM(_xlfn.TEXTSPLIT(us_core_reqs[[#This Row],[Section]],","))," -"," ")),"Us ","US        
  "),"Uscdi","USCDI"))</f>
        <v>Screening-And-Assessments: Category-Codes</v>
      </c>
      <c r="V610" t="s">
        <v>1171</v>
      </c>
      <c r="W610" t="s">
        <v>1171</v>
      </c>
      <c r="X610" t="s">
        <v>1171</v>
      </c>
      <c r="Y610" t="s">
        <v>1171</v>
      </c>
      <c r="Z610" t="s">
        <v>1171</v>
      </c>
      <c r="AA610" t="s">
        <v>1171</v>
      </c>
      <c r="AB610" t="s">
        <v>1171</v>
      </c>
      <c r="AC610" t="s">
        <v>1171</v>
      </c>
      <c r="AD610" t="s">
        <v>1140</v>
      </c>
      <c r="AE610" t="s">
        <v>1140</v>
      </c>
    </row>
    <row r="611" spans="1:31" ht="69" thickBot="1" x14ac:dyDescent="0.25">
      <c r="A611" t="s">
        <v>1171</v>
      </c>
      <c r="B611" t="s">
        <v>1783</v>
      </c>
      <c r="C611" t="str">
        <f>"CONF-"&amp;TEXT(us_core_reqs[[#This Row],[ID*]], "0000")</f>
        <v>CONF-0823</v>
      </c>
      <c r="D611" s="11" t="s">
        <v>632</v>
      </c>
      <c r="E611" s="73" t="str" cm="1">
        <f t="array" ref="E611">_xlfn.TEXTJOIN(", ", TRUE, _xlfn.TEXTAFTER(_xlfn.TEXTSPLIT(us_core_reqs[[#This Row],[URL*]], ", "), "/", -1))</f>
        <v>screening-and-assessments.html#category-codes</v>
      </c>
      <c r="F611" s="11" t="s">
        <v>740</v>
      </c>
      <c r="G611" t="s">
        <v>29</v>
      </c>
      <c r="H611" cm="1">
        <f t="array" ref="H611">_xlfn.SWITCH(G611, "SHALL", 1, "SHOULD", 3, "MAY", 5, "SHOULD-NOT", 4, "SHALL-NOT", 2, "DEPRECATED", 6, 99)</f>
        <v>1</v>
      </c>
      <c r="J611" t="s">
        <v>30</v>
      </c>
      <c r="K611" t="s">
        <v>1171</v>
      </c>
      <c r="L611" t="s">
        <v>1171</v>
      </c>
      <c r="M611" t="s">
        <v>1173</v>
      </c>
      <c r="N611" t="s">
        <v>1171</v>
      </c>
      <c r="O611" t="s">
        <v>1171</v>
      </c>
      <c r="P611" t="s">
        <v>1171</v>
      </c>
      <c r="Q611" t="s">
        <v>1171</v>
      </c>
      <c r="R611" t="s">
        <v>1171</v>
      </c>
      <c r="S611" s="70" t="str" cm="1">
        <f t="array" ref="S611">_xlfn.TEXTJOIN(",",TRUE,LEFT(TRIM(_xlfn.TEXTSPLIT(us_core_reqs[[#This Row],[reference]],",")),FIND(".html",TRIM(_xlfn.TEXTSPLIT(us_core_reqs[[#This Row],[reference]],",")))-1))</f>
        <v>screening-and-assessments</v>
      </c>
      <c r="T611" s="70" t="str" cm="1">
        <f t="array" ref="T611">_xlfn.TEXTJOIN(",",TRUE,MID(TRIM(_xlfn.TEXTSPLIT(us_core_reqs[[#This Row],[reference]],",")),FIND("#",TRIM(_xlfn.TEXTSPLIT(us_core_reqs[[#This Row],[reference]],","))&amp;"#")+1,1000))</f>
        <v>category-codes</v>
      </c>
      <c r="U611" t="str" cm="1">
        <f t="array" ref="U611">_xlfn.TEXTJOIN(", ",TRUE,SUBSTITUTE(SUBSTITUTE(PROPER(SUBSTITUTE(TRIM(_xlfn.TEXTSPLIT(us_core_reqs[[#This Row],[Page]],","))," -"," "))&amp;": "&amp;PROPER(SUBSTITUTE(TRIM(_xlfn.TEXTSPLIT(us_core_reqs[[#This Row],[Section]],","))," -"," ")),"Us ","US        
  "),"Uscdi","USCDI"))</f>
        <v>Screening-And-Assessments: Category-Codes</v>
      </c>
      <c r="V611" t="s">
        <v>1171</v>
      </c>
      <c r="W611" t="s">
        <v>1171</v>
      </c>
      <c r="X611" t="s">
        <v>1171</v>
      </c>
      <c r="Y611" t="s">
        <v>1171</v>
      </c>
      <c r="Z611" t="s">
        <v>1171</v>
      </c>
      <c r="AA611" t="s">
        <v>1171</v>
      </c>
      <c r="AB611" t="s">
        <v>1171</v>
      </c>
      <c r="AC611" t="s">
        <v>1171</v>
      </c>
      <c r="AD611" t="s">
        <v>1140</v>
      </c>
      <c r="AE611" t="s">
        <v>1140</v>
      </c>
    </row>
    <row r="612" spans="1:31" ht="35" thickBot="1" x14ac:dyDescent="0.25">
      <c r="A612" t="s">
        <v>1171</v>
      </c>
      <c r="B612" t="s">
        <v>1784</v>
      </c>
      <c r="C612" t="str">
        <f>"CONF-"&amp;TEXT(us_core_reqs[[#This Row],[ID*]], "0000")</f>
        <v>CONF-0824</v>
      </c>
      <c r="D612" s="11" t="s">
        <v>632</v>
      </c>
      <c r="E612" s="73" t="str" cm="1">
        <f t="array" ref="E612">_xlfn.TEXTJOIN(", ", TRUE, _xlfn.TEXTAFTER(_xlfn.TEXTSPLIT(us_core_reqs[[#This Row],[URL*]], ", "), "/", -1))</f>
        <v>screening-and-assessments.html#category-codes</v>
      </c>
      <c r="F612" s="11" t="s">
        <v>741</v>
      </c>
      <c r="G612" t="s">
        <v>29</v>
      </c>
      <c r="H612" cm="1">
        <f t="array" ref="H612">_xlfn.SWITCH(G612, "SHALL", 1, "SHOULD", 3, "MAY", 5, "SHOULD-NOT", 4, "SHALL-NOT", 2, "DEPRECATED", 6, 99)</f>
        <v>1</v>
      </c>
      <c r="J612" t="s">
        <v>30</v>
      </c>
      <c r="K612" t="s">
        <v>1171</v>
      </c>
      <c r="L612" t="s">
        <v>1171</v>
      </c>
      <c r="M612" t="s">
        <v>1173</v>
      </c>
      <c r="N612" t="s">
        <v>1171</v>
      </c>
      <c r="O612" t="s">
        <v>1171</v>
      </c>
      <c r="P612" t="s">
        <v>1171</v>
      </c>
      <c r="Q612" t="s">
        <v>1171</v>
      </c>
      <c r="R612" t="s">
        <v>1171</v>
      </c>
      <c r="S612" s="70" t="str" cm="1">
        <f t="array" ref="S612">_xlfn.TEXTJOIN(",",TRUE,LEFT(TRIM(_xlfn.TEXTSPLIT(us_core_reqs[[#This Row],[reference]],",")),FIND(".html",TRIM(_xlfn.TEXTSPLIT(us_core_reqs[[#This Row],[reference]],",")))-1))</f>
        <v>screening-and-assessments</v>
      </c>
      <c r="T612" s="70" t="str" cm="1">
        <f t="array" ref="T612">_xlfn.TEXTJOIN(",",TRUE,MID(TRIM(_xlfn.TEXTSPLIT(us_core_reqs[[#This Row],[reference]],",")),FIND("#",TRIM(_xlfn.TEXTSPLIT(us_core_reqs[[#This Row],[reference]],","))&amp;"#")+1,1000))</f>
        <v>category-codes</v>
      </c>
      <c r="U612" t="str" cm="1">
        <f t="array" ref="U612">_xlfn.TEXTJOIN(", ",TRUE,SUBSTITUTE(SUBSTITUTE(PROPER(SUBSTITUTE(TRIM(_xlfn.TEXTSPLIT(us_core_reqs[[#This Row],[Page]],","))," -"," "))&amp;": "&amp;PROPER(SUBSTITUTE(TRIM(_xlfn.TEXTSPLIT(us_core_reqs[[#This Row],[Section]],","))," -"," ")),"Us ","US        
  "),"Uscdi","USCDI"))</f>
        <v>Screening-And-Assessments: Category-Codes</v>
      </c>
      <c r="V612" t="s">
        <v>1171</v>
      </c>
      <c r="W612" t="s">
        <v>1171</v>
      </c>
      <c r="X612" t="s">
        <v>1171</v>
      </c>
      <c r="Y612" t="s">
        <v>1171</v>
      </c>
      <c r="Z612" t="s">
        <v>1171</v>
      </c>
      <c r="AA612" t="s">
        <v>1171</v>
      </c>
      <c r="AB612" t="s">
        <v>1171</v>
      </c>
      <c r="AC612" t="s">
        <v>1171</v>
      </c>
      <c r="AD612" t="s">
        <v>1140</v>
      </c>
      <c r="AE612" t="s">
        <v>1140</v>
      </c>
    </row>
    <row r="613" spans="1:31" ht="69" thickBot="1" x14ac:dyDescent="0.25">
      <c r="A613" t="s">
        <v>1171</v>
      </c>
      <c r="B613" t="s">
        <v>1785</v>
      </c>
      <c r="C613" t="str">
        <f>"CONF-"&amp;TEXT(us_core_reqs[[#This Row],[ID*]], "0000")</f>
        <v>CONF-0825</v>
      </c>
      <c r="D613" s="11" t="s">
        <v>632</v>
      </c>
      <c r="E613" s="73" t="str" cm="1">
        <f t="array" ref="E613">_xlfn.TEXTJOIN(", ", TRUE, _xlfn.TEXTAFTER(_xlfn.TEXTSPLIT(us_core_reqs[[#This Row],[URL*]], ", "), "/", -1))</f>
        <v>screening-and-assessments.html#category-codes</v>
      </c>
      <c r="F613" s="11" t="s">
        <v>742</v>
      </c>
      <c r="G613" t="s">
        <v>32</v>
      </c>
      <c r="H613" cm="1">
        <f t="array" ref="H613">_xlfn.SWITCH(G613, "SHALL", 1, "SHOULD", 3, "MAY", 5, "SHOULD-NOT", 4, "SHALL-NOT", 2, "DEPRECATED", 6, 99)</f>
        <v>3</v>
      </c>
      <c r="J613" t="s">
        <v>30</v>
      </c>
      <c r="K613" t="s">
        <v>1171</v>
      </c>
      <c r="L613" t="s">
        <v>1171</v>
      </c>
      <c r="M613" t="s">
        <v>1173</v>
      </c>
      <c r="N613" t="s">
        <v>1171</v>
      </c>
      <c r="O613" t="s">
        <v>1171</v>
      </c>
      <c r="P613" t="s">
        <v>1171</v>
      </c>
      <c r="Q613" t="s">
        <v>1171</v>
      </c>
      <c r="R613" t="s">
        <v>1171</v>
      </c>
      <c r="S613" s="70" t="str" cm="1">
        <f t="array" ref="S613">_xlfn.TEXTJOIN(",",TRUE,LEFT(TRIM(_xlfn.TEXTSPLIT(us_core_reqs[[#This Row],[reference]],",")),FIND(".html",TRIM(_xlfn.TEXTSPLIT(us_core_reqs[[#This Row],[reference]],",")))-1))</f>
        <v>screening-and-assessments</v>
      </c>
      <c r="T613" s="70" t="str" cm="1">
        <f t="array" ref="T613">_xlfn.TEXTJOIN(",",TRUE,MID(TRIM(_xlfn.TEXTSPLIT(us_core_reqs[[#This Row],[reference]],",")),FIND("#",TRIM(_xlfn.TEXTSPLIT(us_core_reqs[[#This Row],[reference]],","))&amp;"#")+1,1000))</f>
        <v>category-codes</v>
      </c>
      <c r="U613" t="str" cm="1">
        <f t="array" ref="U613">_xlfn.TEXTJOIN(", ",TRUE,SUBSTITUTE(SUBSTITUTE(PROPER(SUBSTITUTE(TRIM(_xlfn.TEXTSPLIT(us_core_reqs[[#This Row],[Page]],","))," -"," "))&amp;": "&amp;PROPER(SUBSTITUTE(TRIM(_xlfn.TEXTSPLIT(us_core_reqs[[#This Row],[Section]],","))," -"," ")),"Us ","US        
  "),"Uscdi","USCDI"))</f>
        <v>Screening-And-Assessments: Category-Codes</v>
      </c>
      <c r="V613" t="s">
        <v>1171</v>
      </c>
      <c r="W613" t="s">
        <v>1171</v>
      </c>
      <c r="X613" t="s">
        <v>1171</v>
      </c>
      <c r="Y613" t="s">
        <v>1171</v>
      </c>
      <c r="Z613" t="s">
        <v>1171</v>
      </c>
      <c r="AA613" t="s">
        <v>1171</v>
      </c>
      <c r="AB613" t="s">
        <v>1171</v>
      </c>
      <c r="AC613" t="s">
        <v>1171</v>
      </c>
      <c r="AD613" t="s">
        <v>1171</v>
      </c>
      <c r="AE613" t="s">
        <v>1171</v>
      </c>
    </row>
    <row r="614" spans="1:31" ht="52" thickBot="1" x14ac:dyDescent="0.25">
      <c r="A614" t="s">
        <v>1171</v>
      </c>
      <c r="B614" t="s">
        <v>1786</v>
      </c>
      <c r="C614" t="str">
        <f>"CONF-"&amp;TEXT(us_core_reqs[[#This Row],[ID*]], "0000")</f>
        <v>CONF-0826</v>
      </c>
      <c r="D614" s="11" t="s">
        <v>632</v>
      </c>
      <c r="E614" s="73" t="str" cm="1">
        <f t="array" ref="E614">_xlfn.TEXTJOIN(", ", TRUE, _xlfn.TEXTAFTER(_xlfn.TEXTSPLIT(us_core_reqs[[#This Row],[URL*]], ", "), "/", -1))</f>
        <v>screening-and-assessments.html#category-codes</v>
      </c>
      <c r="F614" s="11" t="s">
        <v>2018</v>
      </c>
      <c r="G614" t="s">
        <v>32</v>
      </c>
      <c r="H614" cm="1">
        <f t="array" ref="H614">_xlfn.SWITCH(G614, "SHALL", 1, "SHOULD", 3, "MAY", 5, "SHOULD-NOT", 4, "SHALL-NOT", 2, "DEPRECATED", 6, 99)</f>
        <v>3</v>
      </c>
      <c r="J614" t="s">
        <v>30</v>
      </c>
      <c r="K614" t="s">
        <v>1171</v>
      </c>
      <c r="L614" t="s">
        <v>1171</v>
      </c>
      <c r="M614" t="s">
        <v>1173</v>
      </c>
      <c r="N614" t="s">
        <v>1171</v>
      </c>
      <c r="O614" t="s">
        <v>1171</v>
      </c>
      <c r="P614" t="s">
        <v>1171</v>
      </c>
      <c r="Q614" t="s">
        <v>1171</v>
      </c>
      <c r="R614" t="s">
        <v>1171</v>
      </c>
      <c r="S614" s="70" t="str" cm="1">
        <f t="array" ref="S614">_xlfn.TEXTJOIN(",",TRUE,LEFT(TRIM(_xlfn.TEXTSPLIT(us_core_reqs[[#This Row],[reference]],",")),FIND(".html",TRIM(_xlfn.TEXTSPLIT(us_core_reqs[[#This Row],[reference]],",")))-1))</f>
        <v>screening-and-assessments</v>
      </c>
      <c r="T614" s="70" t="str" cm="1">
        <f t="array" ref="T614">_xlfn.TEXTJOIN(",",TRUE,MID(TRIM(_xlfn.TEXTSPLIT(us_core_reqs[[#This Row],[reference]],",")),FIND("#",TRIM(_xlfn.TEXTSPLIT(us_core_reqs[[#This Row],[reference]],","))&amp;"#")+1,1000))</f>
        <v>category-codes</v>
      </c>
      <c r="U614" t="str" cm="1">
        <f t="array" ref="U614">_xlfn.TEXTJOIN(", ",TRUE,SUBSTITUTE(SUBSTITUTE(PROPER(SUBSTITUTE(TRIM(_xlfn.TEXTSPLIT(us_core_reqs[[#This Row],[Page]],","))," -"," "))&amp;": "&amp;PROPER(SUBSTITUTE(TRIM(_xlfn.TEXTSPLIT(us_core_reqs[[#This Row],[Section]],","))," -"," ")),"Us ","US        
  "),"Uscdi","USCDI"))</f>
        <v>Screening-And-Assessments: Category-Codes</v>
      </c>
      <c r="V614" t="s">
        <v>1171</v>
      </c>
      <c r="W614" t="s">
        <v>1171</v>
      </c>
      <c r="X614" t="s">
        <v>1171</v>
      </c>
      <c r="Y614" t="s">
        <v>1171</v>
      </c>
      <c r="Z614" t="s">
        <v>1171</v>
      </c>
      <c r="AA614" t="s">
        <v>1171</v>
      </c>
      <c r="AB614" t="s">
        <v>1171</v>
      </c>
      <c r="AC614" t="s">
        <v>1171</v>
      </c>
      <c r="AD614" t="s">
        <v>1171</v>
      </c>
      <c r="AE614" t="s">
        <v>1171</v>
      </c>
    </row>
    <row r="615" spans="1:31" ht="69" thickBot="1" x14ac:dyDescent="0.25">
      <c r="A615" t="s">
        <v>1171</v>
      </c>
      <c r="B615" t="s">
        <v>1787</v>
      </c>
      <c r="C615" t="str">
        <f>"CONF-"&amp;TEXT(us_core_reqs[[#This Row],[ID*]], "0000")</f>
        <v>CONF-0827</v>
      </c>
      <c r="D615" s="11" t="s">
        <v>1083</v>
      </c>
      <c r="E615" s="73" t="str" cm="1">
        <f t="array" ref="E615">_xlfn.TEXTJOIN(", ", TRUE, _xlfn.TEXTAFTER(_xlfn.TEXTSPLIT(us_core_reqs[[#This Row],[URL*]], ", "), "/", -1))</f>
        <v>CapabilityStatement-us-core-Client.html#behavior, CapabilityStatement-us-core-Server.html#behavior</v>
      </c>
      <c r="F615" s="11" t="s">
        <v>2217</v>
      </c>
      <c r="G615" t="s">
        <v>64</v>
      </c>
      <c r="H615" cm="1">
        <f t="array" ref="H615">_xlfn.SWITCH(G615, "SHALL", 1, "SHOULD", 3, "MAY", 5, "SHOULD-NOT", 4, "SHALL-NOT", 2, "DEPRECATED", 6, 99)</f>
        <v>6</v>
      </c>
      <c r="I615" t="s">
        <v>2334</v>
      </c>
      <c r="J615" t="s">
        <v>30</v>
      </c>
      <c r="K615" t="s">
        <v>1171</v>
      </c>
      <c r="L615" t="s">
        <v>1171</v>
      </c>
      <c r="M615" t="s">
        <v>1173</v>
      </c>
      <c r="N615" t="s">
        <v>1171</v>
      </c>
      <c r="O615" t="s">
        <v>1171</v>
      </c>
      <c r="P615" t="s">
        <v>1171</v>
      </c>
      <c r="Q615" t="s">
        <v>1171</v>
      </c>
      <c r="R615" t="s">
        <v>1171</v>
      </c>
      <c r="S615" s="70" t="str" cm="1">
        <f t="array" ref="S615">_xlfn.TEXTJOIN(",",TRUE,LEFT(TRIM(_xlfn.TEXTSPLIT(us_core_reqs[[#This Row],[reference]],",")),FIND(".html",TRIM(_xlfn.TEXTSPLIT(us_core_reqs[[#This Row],[reference]],",")))-1))</f>
        <v>CapabilityStatement-us-core-Client,CapabilityStatement-us-core-Server</v>
      </c>
      <c r="T615" s="70" t="str" cm="1">
        <f t="array" ref="T615">_xlfn.TEXTJOIN(",",TRUE,MID(TRIM(_xlfn.TEXTSPLIT(us_core_reqs[[#This Row],[reference]],",")),FIND("#",TRIM(_xlfn.TEXTSPLIT(us_core_reqs[[#This Row],[reference]],","))&amp;"#")+1,1000))</f>
        <v>behavior,behavior</v>
      </c>
      <c r="U615"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t="s">
        <v>1171</v>
      </c>
      <c r="W615" t="s">
        <v>1171</v>
      </c>
      <c r="X615" t="s">
        <v>1171</v>
      </c>
      <c r="Y615" t="s">
        <v>1171</v>
      </c>
      <c r="Z615" t="s">
        <v>1171</v>
      </c>
      <c r="AA615" t="s">
        <v>1171</v>
      </c>
      <c r="AB615" t="s">
        <v>1171</v>
      </c>
      <c r="AC615" t="s">
        <v>1171</v>
      </c>
      <c r="AD615" t="s">
        <v>1141</v>
      </c>
      <c r="AE615" t="s">
        <v>1141</v>
      </c>
    </row>
    <row r="616" spans="1:31" ht="69" thickBot="1" x14ac:dyDescent="0.25">
      <c r="A616" t="s">
        <v>1171</v>
      </c>
      <c r="B616" t="s">
        <v>1788</v>
      </c>
      <c r="C616" t="str">
        <f>"CONF-"&amp;TEXT(us_core_reqs[[#This Row],[ID*]], "0000")</f>
        <v>CONF-0828</v>
      </c>
      <c r="D616" s="11" t="s">
        <v>1083</v>
      </c>
      <c r="E616" s="73" t="str" cm="1">
        <f t="array" ref="E616">_xlfn.TEXTJOIN(", ", TRUE, _xlfn.TEXTAFTER(_xlfn.TEXTSPLIT(us_core_reqs[[#This Row],[URL*]], ", "), "/", -1))</f>
        <v>CapabilityStatement-us-core-Client.html#behavior, CapabilityStatement-us-core-Server.html#behavior</v>
      </c>
      <c r="F616" s="11" t="s">
        <v>748</v>
      </c>
      <c r="G616" t="s">
        <v>64</v>
      </c>
      <c r="H616" cm="1">
        <f t="array" ref="H616">_xlfn.SWITCH(G616, "SHALL", 1, "SHOULD", 3, "MAY", 5, "SHOULD-NOT", 4, "SHALL-NOT", 2, "DEPRECATED", 6, 99)</f>
        <v>6</v>
      </c>
      <c r="I616" t="s">
        <v>2334</v>
      </c>
      <c r="J616" t="s">
        <v>30</v>
      </c>
      <c r="K616" t="s">
        <v>1171</v>
      </c>
      <c r="L616" t="s">
        <v>1171</v>
      </c>
      <c r="M616" t="s">
        <v>1173</v>
      </c>
      <c r="N616" t="s">
        <v>1171</v>
      </c>
      <c r="O616" t="s">
        <v>1171</v>
      </c>
      <c r="P616" t="s">
        <v>1171</v>
      </c>
      <c r="Q616" t="s">
        <v>1171</v>
      </c>
      <c r="R616" t="s">
        <v>1171</v>
      </c>
      <c r="S616" s="70" t="str" cm="1">
        <f t="array" ref="S616">_xlfn.TEXTJOIN(",",TRUE,LEFT(TRIM(_xlfn.TEXTSPLIT(us_core_reqs[[#This Row],[reference]],",")),FIND(".html",TRIM(_xlfn.TEXTSPLIT(us_core_reqs[[#This Row],[reference]],",")))-1))</f>
        <v>CapabilityStatement-us-core-Client,CapabilityStatement-us-core-Server</v>
      </c>
      <c r="T616" s="70" t="str" cm="1">
        <f t="array" ref="T616">_xlfn.TEXTJOIN(",",TRUE,MID(TRIM(_xlfn.TEXTSPLIT(us_core_reqs[[#This Row],[reference]],",")),FIND("#",TRIM(_xlfn.TEXTSPLIT(us_core_reqs[[#This Row],[reference]],","))&amp;"#")+1,1000))</f>
        <v>behavior,behavior</v>
      </c>
      <c r="U616"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t="s">
        <v>1171</v>
      </c>
      <c r="W616" t="s">
        <v>1171</v>
      </c>
      <c r="X616" t="s">
        <v>1171</v>
      </c>
      <c r="Y616" t="s">
        <v>1171</v>
      </c>
      <c r="Z616" t="s">
        <v>1171</v>
      </c>
      <c r="AA616" t="s">
        <v>1171</v>
      </c>
      <c r="AB616" t="s">
        <v>1171</v>
      </c>
      <c r="AC616" t="s">
        <v>1171</v>
      </c>
      <c r="AD616" t="s">
        <v>1171</v>
      </c>
      <c r="AE616" t="s">
        <v>1171</v>
      </c>
    </row>
    <row r="617" spans="1:31" ht="69" thickBot="1" x14ac:dyDescent="0.25">
      <c r="A617" t="s">
        <v>1171</v>
      </c>
      <c r="B617" t="s">
        <v>1789</v>
      </c>
      <c r="C617" t="str">
        <f>"CONF-"&amp;TEXT(us_core_reqs[[#This Row],[ID*]], "0000")</f>
        <v>CONF-0829</v>
      </c>
      <c r="D617" s="11" t="s">
        <v>1083</v>
      </c>
      <c r="E617" s="73" t="str" cm="1">
        <f t="array" ref="E617">_xlfn.TEXTJOIN(", ", TRUE, _xlfn.TEXTAFTER(_xlfn.TEXTSPLIT(us_core_reqs[[#This Row],[URL*]], ", "), "/", -1))</f>
        <v>CapabilityStatement-us-core-Client.html#behavior, CapabilityStatement-us-core-Server.html#behavior</v>
      </c>
      <c r="F617" s="11" t="s">
        <v>2217</v>
      </c>
      <c r="G617" t="s">
        <v>64</v>
      </c>
      <c r="H617" cm="1">
        <f t="array" ref="H617">_xlfn.SWITCH(G617, "SHALL", 1, "SHOULD", 3, "MAY", 5, "SHOULD-NOT", 4, "SHALL-NOT", 2, "DEPRECATED", 6, 99)</f>
        <v>6</v>
      </c>
      <c r="I617" t="s">
        <v>2334</v>
      </c>
      <c r="J617" t="s">
        <v>58</v>
      </c>
      <c r="K617" t="s">
        <v>1171</v>
      </c>
      <c r="L617" t="s">
        <v>1171</v>
      </c>
      <c r="M617" t="s">
        <v>1173</v>
      </c>
      <c r="N617" t="s">
        <v>1171</v>
      </c>
      <c r="O617" t="s">
        <v>1171</v>
      </c>
      <c r="P617" t="s">
        <v>1171</v>
      </c>
      <c r="Q617" t="s">
        <v>1171</v>
      </c>
      <c r="R617" t="s">
        <v>1171</v>
      </c>
      <c r="S617" s="70" t="str" cm="1">
        <f t="array" ref="S617">_xlfn.TEXTJOIN(",",TRUE,LEFT(TRIM(_xlfn.TEXTSPLIT(us_core_reqs[[#This Row],[reference]],",")),FIND(".html",TRIM(_xlfn.TEXTSPLIT(us_core_reqs[[#This Row],[reference]],",")))-1))</f>
        <v>CapabilityStatement-us-core-Client,CapabilityStatement-us-core-Server</v>
      </c>
      <c r="T617" s="70" t="str" cm="1">
        <f t="array" ref="T617">_xlfn.TEXTJOIN(",",TRUE,MID(TRIM(_xlfn.TEXTSPLIT(us_core_reqs[[#This Row],[reference]],",")),FIND("#",TRIM(_xlfn.TEXTSPLIT(us_core_reqs[[#This Row],[reference]],","))&amp;"#")+1,1000))</f>
        <v>behavior,behavior</v>
      </c>
      <c r="U617"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t="s">
        <v>1171</v>
      </c>
      <c r="W617" t="s">
        <v>1171</v>
      </c>
      <c r="X617" t="s">
        <v>1171</v>
      </c>
      <c r="Y617" t="s">
        <v>1171</v>
      </c>
      <c r="Z617" t="s">
        <v>1171</v>
      </c>
      <c r="AA617" t="s">
        <v>1171</v>
      </c>
      <c r="AB617" t="s">
        <v>1171</v>
      </c>
      <c r="AC617" t="s">
        <v>1171</v>
      </c>
      <c r="AD617" t="s">
        <v>1171</v>
      </c>
      <c r="AE617" t="s">
        <v>1171</v>
      </c>
    </row>
    <row r="618" spans="1:31" ht="69" thickBot="1" x14ac:dyDescent="0.25">
      <c r="A618" t="s">
        <v>1171</v>
      </c>
      <c r="B618" t="s">
        <v>1790</v>
      </c>
      <c r="C618" t="str">
        <f>"CONF-"&amp;TEXT(us_core_reqs[[#This Row],[ID*]], "0000")</f>
        <v>CONF-0830</v>
      </c>
      <c r="D618" s="11" t="s">
        <v>1083</v>
      </c>
      <c r="E618" s="73" t="str" cm="1">
        <f t="array" ref="E618">_xlfn.TEXTJOIN(", ", TRUE, _xlfn.TEXTAFTER(_xlfn.TEXTSPLIT(us_core_reqs[[#This Row],[URL*]], ", "), "/", -1))</f>
        <v>CapabilityStatement-us-core-Client.html#behavior, CapabilityStatement-us-core-Server.html#behavior</v>
      </c>
      <c r="F618" s="11" t="s">
        <v>749</v>
      </c>
      <c r="G618" t="s">
        <v>64</v>
      </c>
      <c r="H618" cm="1">
        <f t="array" ref="H618">_xlfn.SWITCH(G618, "SHALL", 1, "SHOULD", 3, "MAY", 5, "SHOULD-NOT", 4, "SHALL-NOT", 2, "DEPRECATED", 6, 99)</f>
        <v>6</v>
      </c>
      <c r="I618" t="s">
        <v>2334</v>
      </c>
      <c r="J618" t="s">
        <v>58</v>
      </c>
      <c r="K618" t="s">
        <v>1171</v>
      </c>
      <c r="L618" t="s">
        <v>1171</v>
      </c>
      <c r="M618" t="s">
        <v>1173</v>
      </c>
      <c r="N618" t="s">
        <v>1171</v>
      </c>
      <c r="O618" t="s">
        <v>1171</v>
      </c>
      <c r="P618" t="s">
        <v>1171</v>
      </c>
      <c r="Q618" t="s">
        <v>1171</v>
      </c>
      <c r="R618" t="s">
        <v>1171</v>
      </c>
      <c r="S618" s="70" t="str" cm="1">
        <f t="array" ref="S618">_xlfn.TEXTJOIN(",",TRUE,LEFT(TRIM(_xlfn.TEXTSPLIT(us_core_reqs[[#This Row],[reference]],",")),FIND(".html",TRIM(_xlfn.TEXTSPLIT(us_core_reqs[[#This Row],[reference]],",")))-1))</f>
        <v>CapabilityStatement-us-core-Client,CapabilityStatement-us-core-Server</v>
      </c>
      <c r="T618" s="70" t="str" cm="1">
        <f t="array" ref="T618">_xlfn.TEXTJOIN(",",TRUE,MID(TRIM(_xlfn.TEXTSPLIT(us_core_reqs[[#This Row],[reference]],",")),FIND("#",TRIM(_xlfn.TEXTSPLIT(us_core_reqs[[#This Row],[reference]],","))&amp;"#")+1,1000))</f>
        <v>behavior,behavior</v>
      </c>
      <c r="U618"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t="s">
        <v>1171</v>
      </c>
      <c r="W618" t="s">
        <v>1171</v>
      </c>
      <c r="X618" t="s">
        <v>1171</v>
      </c>
      <c r="Y618" t="s">
        <v>1171</v>
      </c>
      <c r="Z618" t="s">
        <v>1171</v>
      </c>
      <c r="AA618" t="s">
        <v>1171</v>
      </c>
      <c r="AB618" t="s">
        <v>1171</v>
      </c>
      <c r="AC618" t="s">
        <v>1171</v>
      </c>
      <c r="AD618" t="s">
        <v>1171</v>
      </c>
      <c r="AE618" t="s">
        <v>1171</v>
      </c>
    </row>
    <row r="619" spans="1:31" ht="52" thickBot="1" x14ac:dyDescent="0.25">
      <c r="A619" t="s">
        <v>1171</v>
      </c>
      <c r="B619" t="s">
        <v>1791</v>
      </c>
      <c r="C619" t="str">
        <f>"CONF-"&amp;TEXT(us_core_reqs[[#This Row],[ID*]], "0000")</f>
        <v>CONF-0831</v>
      </c>
      <c r="D619" s="11" t="s">
        <v>2226</v>
      </c>
      <c r="E619" s="73" t="str" cm="1">
        <f t="array" ref="E619">_xlfn.TEXTJOIN(", ", TRUE, _xlfn.TEXTAFTER(_xlfn.TEXTSPLIT(us_core_reqs[[#This Row],[URL*]], ", "), "/", -1))</f>
        <v>StructureDefinition-us-core-condition-problems-health-concerns.html#profile-specific-implementation-guidance</v>
      </c>
      <c r="F619" s="11" t="s">
        <v>753</v>
      </c>
      <c r="G619" t="s">
        <v>29</v>
      </c>
      <c r="H619" cm="1">
        <f t="array" ref="H619">_xlfn.SWITCH(G619, "SHALL", 1, "SHOULD", 3, "MAY", 5, "SHOULD-NOT", 4, "SHALL-NOT", 2, "DEPRECATED", 6, 99)</f>
        <v>1</v>
      </c>
      <c r="I619" t="s">
        <v>2030</v>
      </c>
      <c r="J619" t="s">
        <v>30</v>
      </c>
      <c r="K619" t="s">
        <v>1171</v>
      </c>
      <c r="L619" t="s">
        <v>1171</v>
      </c>
      <c r="M619" t="s">
        <v>1173</v>
      </c>
      <c r="N619" t="s">
        <v>1171</v>
      </c>
      <c r="O619" t="s">
        <v>1171</v>
      </c>
      <c r="P619" t="s">
        <v>1171</v>
      </c>
      <c r="Q619" t="s">
        <v>1171</v>
      </c>
      <c r="R619" t="s">
        <v>1171</v>
      </c>
      <c r="S619" s="70" t="str" cm="1">
        <f t="array" ref="S619">_xlfn.TEXTJOIN(",",TRUE,LEFT(TRIM(_xlfn.TEXTSPLIT(us_core_reqs[[#This Row],[reference]],",")),FIND(".html",TRIM(_xlfn.TEXTSPLIT(us_core_reqs[[#This Row],[reference]],",")))-1))</f>
        <v>StructureDefinition-us-core-condition-problems-health-concerns</v>
      </c>
      <c r="T619" s="70" t="str" cm="1">
        <f t="array" ref="T619">_xlfn.TEXTJOIN(",",TRUE,MID(TRIM(_xlfn.TEXTSPLIT(us_core_reqs[[#This Row],[reference]],",")),FIND("#",TRIM(_xlfn.TEXTSPLIT(us_core_reqs[[#This Row],[reference]],","))&amp;"#")+1,1000))</f>
        <v>profile-specific-implementation-guidance</v>
      </c>
      <c r="U619"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t="s">
        <v>1171</v>
      </c>
      <c r="W619" t="s">
        <v>1171</v>
      </c>
      <c r="X619" t="s">
        <v>1171</v>
      </c>
      <c r="Y619" t="s">
        <v>1171</v>
      </c>
      <c r="Z619" t="s">
        <v>1171</v>
      </c>
      <c r="AA619" t="s">
        <v>1171</v>
      </c>
      <c r="AB619" t="s">
        <v>1171</v>
      </c>
      <c r="AC619" t="s">
        <v>1171</v>
      </c>
      <c r="AD619" t="s">
        <v>1140</v>
      </c>
      <c r="AE619" t="s">
        <v>1140</v>
      </c>
    </row>
    <row r="620" spans="1:31" ht="52" thickBot="1" x14ac:dyDescent="0.25">
      <c r="A620" t="s">
        <v>1171</v>
      </c>
      <c r="B620" t="s">
        <v>1792</v>
      </c>
      <c r="C620" t="str">
        <f>"CONF-"&amp;TEXT(us_core_reqs[[#This Row],[ID*]], "0000")</f>
        <v>CONF-0832</v>
      </c>
      <c r="D620" s="11" t="s">
        <v>2226</v>
      </c>
      <c r="E620" s="73" t="str" cm="1">
        <f t="array" ref="E620">_xlfn.TEXTJOIN(", ", TRUE, _xlfn.TEXTAFTER(_xlfn.TEXTSPLIT(us_core_reqs[[#This Row],[URL*]], ", "), "/", -1))</f>
        <v>StructureDefinition-us-core-condition-problems-health-concerns.html#profile-specific-implementation-guidance</v>
      </c>
      <c r="F620" s="11" t="s">
        <v>754</v>
      </c>
      <c r="G620" t="s">
        <v>29</v>
      </c>
      <c r="H620" cm="1">
        <f t="array" ref="H620">_xlfn.SWITCH(G620, "SHALL", 1, "SHOULD", 3, "MAY", 5, "SHOULD-NOT", 4, "SHALL-NOT", 2, "DEPRECATED", 6, 99)</f>
        <v>1</v>
      </c>
      <c r="I620" t="s">
        <v>2030</v>
      </c>
      <c r="J620" t="s">
        <v>30</v>
      </c>
      <c r="K620" t="s">
        <v>1171</v>
      </c>
      <c r="L620" t="s">
        <v>1171</v>
      </c>
      <c r="M620" t="s">
        <v>1173</v>
      </c>
      <c r="N620" t="s">
        <v>1171</v>
      </c>
      <c r="O620" t="s">
        <v>1171</v>
      </c>
      <c r="P620" t="s">
        <v>1171</v>
      </c>
      <c r="Q620" t="s">
        <v>1171</v>
      </c>
      <c r="R620" t="s">
        <v>1171</v>
      </c>
      <c r="S620" s="70" t="str" cm="1">
        <f t="array" ref="S620">_xlfn.TEXTJOIN(",",TRUE,LEFT(TRIM(_xlfn.TEXTSPLIT(us_core_reqs[[#This Row],[reference]],",")),FIND(".html",TRIM(_xlfn.TEXTSPLIT(us_core_reqs[[#This Row],[reference]],",")))-1))</f>
        <v>StructureDefinition-us-core-condition-problems-health-concerns</v>
      </c>
      <c r="T620" s="70" t="str" cm="1">
        <f t="array" ref="T620">_xlfn.TEXTJOIN(",",TRUE,MID(TRIM(_xlfn.TEXTSPLIT(us_core_reqs[[#This Row],[reference]],",")),FIND("#",TRIM(_xlfn.TEXTSPLIT(us_core_reqs[[#This Row],[reference]],","))&amp;"#")+1,1000))</f>
        <v>profile-specific-implementation-guidance</v>
      </c>
      <c r="U620"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t="s">
        <v>1171</v>
      </c>
      <c r="W620" t="s">
        <v>1171</v>
      </c>
      <c r="X620" t="s">
        <v>1171</v>
      </c>
      <c r="Y620" t="s">
        <v>1171</v>
      </c>
      <c r="Z620" t="s">
        <v>1171</v>
      </c>
      <c r="AA620" t="s">
        <v>1171</v>
      </c>
      <c r="AB620" t="s">
        <v>1171</v>
      </c>
      <c r="AC620" t="s">
        <v>1171</v>
      </c>
      <c r="AD620" t="s">
        <v>1140</v>
      </c>
      <c r="AE620" t="s">
        <v>1140</v>
      </c>
    </row>
    <row r="621" spans="1:31" ht="52" thickBot="1" x14ac:dyDescent="0.25">
      <c r="A621" t="s">
        <v>1171</v>
      </c>
      <c r="B621" t="s">
        <v>1793</v>
      </c>
      <c r="C621" t="str">
        <f>"CONF-"&amp;TEXT(us_core_reqs[[#This Row],[ID*]], "0000")</f>
        <v>CONF-0833</v>
      </c>
      <c r="D621" s="11" t="s">
        <v>2226</v>
      </c>
      <c r="E621" s="73" t="str" cm="1">
        <f t="array" ref="E621">_xlfn.TEXTJOIN(", ", TRUE, _xlfn.TEXTAFTER(_xlfn.TEXTSPLIT(us_core_reqs[[#This Row],[URL*]], ", "), "/", -1))</f>
        <v>StructureDefinition-us-core-condition-problems-health-concerns.html#profile-specific-implementation-guidance</v>
      </c>
      <c r="F621" s="11" t="s">
        <v>755</v>
      </c>
      <c r="G621" t="s">
        <v>29</v>
      </c>
      <c r="H621" cm="1">
        <f t="array" ref="H621">_xlfn.SWITCH(G621, "SHALL", 1, "SHOULD", 3, "MAY", 5, "SHOULD-NOT", 4, "SHALL-NOT", 2, "DEPRECATED", 6, 99)</f>
        <v>1</v>
      </c>
      <c r="J621" t="s">
        <v>30</v>
      </c>
      <c r="K621" t="b">
        <v>1</v>
      </c>
      <c r="L621" t="s">
        <v>1171</v>
      </c>
      <c r="M621" t="s">
        <v>1176</v>
      </c>
      <c r="N621" t="s">
        <v>1155</v>
      </c>
      <c r="O621" t="s">
        <v>1171</v>
      </c>
      <c r="P621" t="s">
        <v>1171</v>
      </c>
      <c r="Q621" t="s">
        <v>1171</v>
      </c>
      <c r="R621" t="s">
        <v>1171</v>
      </c>
      <c r="S621" s="70" t="str" cm="1">
        <f t="array" ref="S621">_xlfn.TEXTJOIN(",",TRUE,LEFT(TRIM(_xlfn.TEXTSPLIT(us_core_reqs[[#This Row],[reference]],",")),FIND(".html",TRIM(_xlfn.TEXTSPLIT(us_core_reqs[[#This Row],[reference]],",")))-1))</f>
        <v>StructureDefinition-us-core-condition-problems-health-concerns</v>
      </c>
      <c r="T621" s="70" t="str" cm="1">
        <f t="array" ref="T621">_xlfn.TEXTJOIN(",",TRUE,MID(TRIM(_xlfn.TEXTSPLIT(us_core_reqs[[#This Row],[reference]],",")),FIND("#",TRIM(_xlfn.TEXTSPLIT(us_core_reqs[[#This Row],[reference]],","))&amp;"#")+1,1000))</f>
        <v>profile-specific-implementation-guidance</v>
      </c>
      <c r="U621"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t="s">
        <v>1171</v>
      </c>
      <c r="W621" t="s">
        <v>1171</v>
      </c>
      <c r="X621" t="s">
        <v>1171</v>
      </c>
      <c r="Y621" t="s">
        <v>1171</v>
      </c>
      <c r="Z621" t="s">
        <v>1171</v>
      </c>
      <c r="AA621" t="s">
        <v>1171</v>
      </c>
      <c r="AB621" t="s">
        <v>1171</v>
      </c>
      <c r="AC621" t="s">
        <v>405</v>
      </c>
      <c r="AD621" t="s">
        <v>1140</v>
      </c>
      <c r="AE621" t="s">
        <v>1156</v>
      </c>
    </row>
    <row r="622" spans="1:31" ht="52" thickBot="1" x14ac:dyDescent="0.25">
      <c r="A622" t="s">
        <v>1171</v>
      </c>
      <c r="B622" t="s">
        <v>1794</v>
      </c>
      <c r="C622" t="str">
        <f>"CONF-"&amp;TEXT(us_core_reqs[[#This Row],[ID*]], "0000")</f>
        <v>CONF-0834</v>
      </c>
      <c r="D622" s="11" t="s">
        <v>2226</v>
      </c>
      <c r="E622" s="73" t="str" cm="1">
        <f t="array" ref="E622">_xlfn.TEXTJOIN(", ", TRUE, _xlfn.TEXTAFTER(_xlfn.TEXTSPLIT(us_core_reqs[[#This Row],[URL*]], ", "), "/", -1))</f>
        <v>StructureDefinition-us-core-condition-problems-health-concerns.html#profile-specific-implementation-guidance</v>
      </c>
      <c r="F622" s="11" t="s">
        <v>756</v>
      </c>
      <c r="G622" t="s">
        <v>32</v>
      </c>
      <c r="H622" cm="1">
        <f t="array" ref="H622">_xlfn.SWITCH(G622, "SHALL", 1, "SHOULD", 3, "MAY", 5, "SHOULD-NOT", 4, "SHALL-NOT", 2, "DEPRECATED", 6, 99)</f>
        <v>3</v>
      </c>
      <c r="J622" t="s">
        <v>30</v>
      </c>
      <c r="K622" t="b">
        <v>1</v>
      </c>
      <c r="L622" t="s">
        <v>1171</v>
      </c>
      <c r="M622" t="s">
        <v>1173</v>
      </c>
      <c r="N622" t="s">
        <v>1171</v>
      </c>
      <c r="O622" t="s">
        <v>1171</v>
      </c>
      <c r="P622" t="s">
        <v>1171</v>
      </c>
      <c r="Q622" t="s">
        <v>1171</v>
      </c>
      <c r="R622" t="s">
        <v>1171</v>
      </c>
      <c r="S622" s="70" t="str" cm="1">
        <f t="array" ref="S622">_xlfn.TEXTJOIN(",",TRUE,LEFT(TRIM(_xlfn.TEXTSPLIT(us_core_reqs[[#This Row],[reference]],",")),FIND(".html",TRIM(_xlfn.TEXTSPLIT(us_core_reqs[[#This Row],[reference]],",")))-1))</f>
        <v>StructureDefinition-us-core-condition-problems-health-concerns</v>
      </c>
      <c r="T622" s="70" t="str" cm="1">
        <f t="array" ref="T622">_xlfn.TEXTJOIN(",",TRUE,MID(TRIM(_xlfn.TEXTSPLIT(us_core_reqs[[#This Row],[reference]],",")),FIND("#",TRIM(_xlfn.TEXTSPLIT(us_core_reqs[[#This Row],[reference]],","))&amp;"#")+1,1000))</f>
        <v>profile-specific-implementation-guidance</v>
      </c>
      <c r="U622"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t="s">
        <v>1171</v>
      </c>
      <c r="W622" t="s">
        <v>1171</v>
      </c>
      <c r="X622" t="s">
        <v>1171</v>
      </c>
      <c r="Y622" t="s">
        <v>1171</v>
      </c>
      <c r="Z622" t="s">
        <v>1171</v>
      </c>
      <c r="AA622" t="s">
        <v>1171</v>
      </c>
      <c r="AB622" t="s">
        <v>1171</v>
      </c>
      <c r="AC622" t="s">
        <v>1171</v>
      </c>
      <c r="AD622" t="s">
        <v>1171</v>
      </c>
      <c r="AE622" t="s">
        <v>1171</v>
      </c>
    </row>
    <row r="623" spans="1:31" ht="52" thickBot="1" x14ac:dyDescent="0.25">
      <c r="A623" t="s">
        <v>1171</v>
      </c>
      <c r="B623" t="s">
        <v>1795</v>
      </c>
      <c r="C623" t="str">
        <f>"CONF-"&amp;TEXT(us_core_reqs[[#This Row],[ID*]], "0000")</f>
        <v>CONF-0835</v>
      </c>
      <c r="D623" s="11" t="s">
        <v>2226</v>
      </c>
      <c r="E623" s="73" t="str" cm="1">
        <f t="array" ref="E623">_xlfn.TEXTJOIN(", ", TRUE, _xlfn.TEXTAFTER(_xlfn.TEXTSPLIT(us_core_reqs[[#This Row],[URL*]], ", "), "/", -1))</f>
        <v>StructureDefinition-us-core-condition-problems-health-concerns.html#profile-specific-implementation-guidance</v>
      </c>
      <c r="F623" s="11" t="s">
        <v>757</v>
      </c>
      <c r="G623" t="s">
        <v>35</v>
      </c>
      <c r="H623" cm="1">
        <f t="array" ref="H623">_xlfn.SWITCH(G623, "SHALL", 1, "SHOULD", 3, "MAY", 5, "SHOULD-NOT", 4, "SHALL-NOT", 2, "DEPRECATED", 6, 99)</f>
        <v>5</v>
      </c>
      <c r="J623" t="s">
        <v>30</v>
      </c>
      <c r="K623" t="b">
        <v>1</v>
      </c>
      <c r="L623" t="s">
        <v>1171</v>
      </c>
      <c r="M623" t="s">
        <v>1173</v>
      </c>
      <c r="N623" t="s">
        <v>1171</v>
      </c>
      <c r="O623" t="s">
        <v>1171</v>
      </c>
      <c r="P623" t="s">
        <v>1171</v>
      </c>
      <c r="Q623" t="s">
        <v>1171</v>
      </c>
      <c r="R623" t="s">
        <v>1171</v>
      </c>
      <c r="S623" s="70" t="str" cm="1">
        <f t="array" ref="S623">_xlfn.TEXTJOIN(",",TRUE,LEFT(TRIM(_xlfn.TEXTSPLIT(us_core_reqs[[#This Row],[reference]],",")),FIND(".html",TRIM(_xlfn.TEXTSPLIT(us_core_reqs[[#This Row],[reference]],",")))-1))</f>
        <v>StructureDefinition-us-core-condition-problems-health-concerns</v>
      </c>
      <c r="T623" s="70" t="str" cm="1">
        <f t="array" ref="T623">_xlfn.TEXTJOIN(",",TRUE,MID(TRIM(_xlfn.TEXTSPLIT(us_core_reqs[[#This Row],[reference]],",")),FIND("#",TRIM(_xlfn.TEXTSPLIT(us_core_reqs[[#This Row],[reference]],","))&amp;"#")+1,1000))</f>
        <v>profile-specific-implementation-guidance</v>
      </c>
      <c r="U623"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t="s">
        <v>1171</v>
      </c>
      <c r="W623" t="s">
        <v>1171</v>
      </c>
      <c r="X623" t="s">
        <v>1171</v>
      </c>
      <c r="Y623" t="s">
        <v>1171</v>
      </c>
      <c r="Z623" t="s">
        <v>1171</v>
      </c>
      <c r="AA623" t="s">
        <v>1171</v>
      </c>
      <c r="AB623" t="s">
        <v>1171</v>
      </c>
      <c r="AC623" t="s">
        <v>1171</v>
      </c>
      <c r="AD623" t="s">
        <v>1171</v>
      </c>
      <c r="AE623" t="s">
        <v>1171</v>
      </c>
    </row>
    <row r="624" spans="1:31" ht="69" thickBot="1" x14ac:dyDescent="0.25">
      <c r="A624" t="s">
        <v>1171</v>
      </c>
      <c r="B624" t="s">
        <v>1796</v>
      </c>
      <c r="C624" t="str">
        <f>"CONF-"&amp;TEXT(us_core_reqs[[#This Row],[ID*]], "0000")</f>
        <v>CONF-0836</v>
      </c>
      <c r="D624" s="11" t="s">
        <v>2230</v>
      </c>
      <c r="E624" s="73" t="str" cm="1">
        <f t="array" ref="E624">_xlfn.TEXTJOIN(", ", TRUE, _xlfn.TEXTAFTER(_xlfn.TEXTSPLIT(us_core_reqs[[#This Row],[URL*]], ", "), "/", -1))</f>
        <v>StructureDefinition-us-core-diagnosticreport-note.html#profile-specific-implementation-guidance</v>
      </c>
      <c r="F624" s="11" t="s">
        <v>760</v>
      </c>
      <c r="G624" t="s">
        <v>32</v>
      </c>
      <c r="H624" cm="1">
        <f t="array" ref="H624">_xlfn.SWITCH(G624, "SHALL", 1, "SHOULD", 3, "MAY", 5, "SHOULD-NOT", 4, "SHALL-NOT", 2, "DEPRECATED", 6, 99)</f>
        <v>3</v>
      </c>
      <c r="J624" t="s">
        <v>30</v>
      </c>
      <c r="K624" t="s">
        <v>1171</v>
      </c>
      <c r="L624" t="s">
        <v>1171</v>
      </c>
      <c r="M624" t="s">
        <v>1176</v>
      </c>
      <c r="N624" t="s">
        <v>1110</v>
      </c>
      <c r="O624" t="s">
        <v>1171</v>
      </c>
      <c r="P624" t="s">
        <v>1171</v>
      </c>
      <c r="Q624" t="s">
        <v>1171</v>
      </c>
      <c r="R624" t="s">
        <v>1171</v>
      </c>
      <c r="S624" s="70" t="str" cm="1">
        <f t="array" ref="S624">_xlfn.TEXTJOIN(",",TRUE,LEFT(TRIM(_xlfn.TEXTSPLIT(us_core_reqs[[#This Row],[reference]],",")),FIND(".html",TRIM(_xlfn.TEXTSPLIT(us_core_reqs[[#This Row],[reference]],",")))-1))</f>
        <v>StructureDefinition-us-core-diagnosticreport-note</v>
      </c>
      <c r="T624" s="70" t="str" cm="1">
        <f t="array" ref="T624">_xlfn.TEXTJOIN(",",TRUE,MID(TRIM(_xlfn.TEXTSPLIT(us_core_reqs[[#This Row],[reference]],",")),FIND("#",TRIM(_xlfn.TEXTSPLIT(us_core_reqs[[#This Row],[reference]],","))&amp;"#")+1,1000))</f>
        <v>profile-specific-implementation-guidance</v>
      </c>
      <c r="U624"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t="s">
        <v>1171</v>
      </c>
      <c r="W624" t="s">
        <v>1171</v>
      </c>
      <c r="X624" t="s">
        <v>1171</v>
      </c>
      <c r="Y624" t="s">
        <v>1171</v>
      </c>
      <c r="Z624" t="s">
        <v>1171</v>
      </c>
      <c r="AA624" t="s">
        <v>1171</v>
      </c>
      <c r="AB624" t="s">
        <v>1171</v>
      </c>
      <c r="AC624" t="s">
        <v>1171</v>
      </c>
      <c r="AD624" t="s">
        <v>1171</v>
      </c>
      <c r="AE624" t="s">
        <v>1171</v>
      </c>
    </row>
    <row r="625" spans="1:31" ht="52" thickBot="1" x14ac:dyDescent="0.25">
      <c r="A625" t="s">
        <v>1171</v>
      </c>
      <c r="B625" t="s">
        <v>1797</v>
      </c>
      <c r="C625" t="str">
        <f>"CONF-"&amp;TEXT(us_core_reqs[[#This Row],[ID*]], "0000")</f>
        <v>CONF-0837</v>
      </c>
      <c r="D625" s="11" t="s">
        <v>2230</v>
      </c>
      <c r="E625" s="73" t="str" cm="1">
        <f t="array" ref="E625">_xlfn.TEXTJOIN(", ", TRUE, _xlfn.TEXTAFTER(_xlfn.TEXTSPLIT(us_core_reqs[[#This Row],[URL*]], ", "), "/", -1))</f>
        <v>StructureDefinition-us-core-diagnosticreport-note.html#profile-specific-implementation-guidance</v>
      </c>
      <c r="F625" s="11" t="s">
        <v>761</v>
      </c>
      <c r="G625" t="s">
        <v>32</v>
      </c>
      <c r="H625" cm="1">
        <f t="array" ref="H625">_xlfn.SWITCH(G625, "SHALL", 1, "SHOULD", 3, "MAY", 5, "SHOULD-NOT", 4, "SHALL-NOT", 2, "DEPRECATED", 6, 99)</f>
        <v>3</v>
      </c>
      <c r="J625" t="s">
        <v>30</v>
      </c>
      <c r="K625" t="s">
        <v>1171</v>
      </c>
      <c r="L625" t="s">
        <v>1171</v>
      </c>
      <c r="M625" t="s">
        <v>1173</v>
      </c>
      <c r="N625" t="s">
        <v>1171</v>
      </c>
      <c r="O625" t="s">
        <v>1171</v>
      </c>
      <c r="P625" t="s">
        <v>1171</v>
      </c>
      <c r="Q625" t="s">
        <v>1171</v>
      </c>
      <c r="R625" t="s">
        <v>1171</v>
      </c>
      <c r="S625" s="70" t="str" cm="1">
        <f t="array" ref="S625">_xlfn.TEXTJOIN(",",TRUE,LEFT(TRIM(_xlfn.TEXTSPLIT(us_core_reqs[[#This Row],[reference]],",")),FIND(".html",TRIM(_xlfn.TEXTSPLIT(us_core_reqs[[#This Row],[reference]],",")))-1))</f>
        <v>StructureDefinition-us-core-diagnosticreport-note</v>
      </c>
      <c r="T625" s="70" t="str" cm="1">
        <f t="array" ref="T625">_xlfn.TEXTJOIN(",",TRUE,MID(TRIM(_xlfn.TEXTSPLIT(us_core_reqs[[#This Row],[reference]],",")),FIND("#",TRIM(_xlfn.TEXTSPLIT(us_core_reqs[[#This Row],[reference]],","))&amp;"#")+1,1000))</f>
        <v>profile-specific-implementation-guidance</v>
      </c>
      <c r="U625"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t="s">
        <v>1171</v>
      </c>
      <c r="W625" t="s">
        <v>1171</v>
      </c>
      <c r="X625" t="s">
        <v>1171</v>
      </c>
      <c r="Y625" t="s">
        <v>1171</v>
      </c>
      <c r="Z625" t="s">
        <v>1171</v>
      </c>
      <c r="AA625" t="s">
        <v>1171</v>
      </c>
      <c r="AB625" t="s">
        <v>1171</v>
      </c>
      <c r="AC625" t="s">
        <v>1171</v>
      </c>
      <c r="AD625" t="s">
        <v>1171</v>
      </c>
      <c r="AE625" t="s">
        <v>1171</v>
      </c>
    </row>
    <row r="626" spans="1:31" ht="86" thickBot="1" x14ac:dyDescent="0.25">
      <c r="A626" t="s">
        <v>1171</v>
      </c>
      <c r="B626" t="s">
        <v>1798</v>
      </c>
      <c r="C626" t="str">
        <f>"CONF-"&amp;TEXT(us_core_reqs[[#This Row],[ID*]], "0000")</f>
        <v>CONF-0838</v>
      </c>
      <c r="D626" s="69" t="s">
        <v>2230</v>
      </c>
      <c r="E626" s="73" t="str" cm="1">
        <f t="array" ref="E626">_xlfn.TEXTJOIN(", ", TRUE, _xlfn.TEXTAFTER(_xlfn.TEXTSPLIT(us_core_reqs[[#This Row],[URL*]], ", "), "/", -1))</f>
        <v>StructureDefinition-us-core-diagnosticreport-note.html#profile-specific-implementation-guidance</v>
      </c>
      <c r="F626" s="11" t="s">
        <v>762</v>
      </c>
      <c r="G626" t="s">
        <v>32</v>
      </c>
      <c r="H626" cm="1">
        <f t="array" ref="H626">_xlfn.SWITCH(G626, "SHALL", 1, "SHOULD", 3, "MAY", 5, "SHOULD-NOT", 4, "SHALL-NOT", 2, "DEPRECATED", 6, 99)</f>
        <v>3</v>
      </c>
      <c r="J626" t="s">
        <v>30</v>
      </c>
      <c r="K626" t="s">
        <v>1171</v>
      </c>
      <c r="L626" t="s">
        <v>1171</v>
      </c>
      <c r="M626" t="s">
        <v>1173</v>
      </c>
      <c r="N626" t="s">
        <v>1171</v>
      </c>
      <c r="O626" t="s">
        <v>1171</v>
      </c>
      <c r="P626" t="s">
        <v>1171</v>
      </c>
      <c r="Q626" t="s">
        <v>1171</v>
      </c>
      <c r="R626" t="s">
        <v>1171</v>
      </c>
      <c r="S626" s="70" t="str" cm="1">
        <f t="array" ref="S626">_xlfn.TEXTJOIN(",",TRUE,LEFT(TRIM(_xlfn.TEXTSPLIT(us_core_reqs[[#This Row],[reference]],",")),FIND(".html",TRIM(_xlfn.TEXTSPLIT(us_core_reqs[[#This Row],[reference]],",")))-1))</f>
        <v>StructureDefinition-us-core-diagnosticreport-note</v>
      </c>
      <c r="T626" s="70" t="str" cm="1">
        <f t="array" ref="T626">_xlfn.TEXTJOIN(",",TRUE,MID(TRIM(_xlfn.TEXTSPLIT(us_core_reqs[[#This Row],[reference]],",")),FIND("#",TRIM(_xlfn.TEXTSPLIT(us_core_reqs[[#This Row],[reference]],","))&amp;"#")+1,1000))</f>
        <v>profile-specific-implementation-guidance</v>
      </c>
      <c r="U626"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t="s">
        <v>1171</v>
      </c>
      <c r="W626" t="s">
        <v>1171</v>
      </c>
      <c r="X626" t="s">
        <v>1171</v>
      </c>
      <c r="Y626" t="s">
        <v>1171</v>
      </c>
      <c r="Z626" t="s">
        <v>1171</v>
      </c>
      <c r="AA626" t="s">
        <v>1171</v>
      </c>
      <c r="AB626" t="s">
        <v>1171</v>
      </c>
      <c r="AC626" t="s">
        <v>1171</v>
      </c>
      <c r="AD626" t="s">
        <v>1171</v>
      </c>
      <c r="AE626" t="s">
        <v>1171</v>
      </c>
    </row>
    <row r="627" spans="1:31" ht="103" thickBot="1" x14ac:dyDescent="0.25">
      <c r="A627" t="s">
        <v>1171</v>
      </c>
      <c r="B627" t="s">
        <v>1799</v>
      </c>
      <c r="C627" t="str">
        <f>"CONF-"&amp;TEXT(us_core_reqs[[#This Row],[ID*]], "0000")</f>
        <v>CONF-0839</v>
      </c>
      <c r="D627" s="69" t="s">
        <v>642</v>
      </c>
      <c r="E627" s="73" t="str" cm="1">
        <f t="array" ref="E627">_xlfn.TEXTJOIN(", ", TRUE, _xlfn.TEXTAFTER(_xlfn.TEXTSPLIT(us_core_reqs[[#This Row],[URL*]], ", "), "/", -1))</f>
        <v>StructureDefinition-us-core-documentreference.html</v>
      </c>
      <c r="F627" s="11" t="s">
        <v>1084</v>
      </c>
      <c r="G627" t="s">
        <v>32</v>
      </c>
      <c r="H627" cm="1">
        <f t="array" ref="H627">_xlfn.SWITCH(G627, "SHALL", 1, "SHOULD", 3, "MAY", 5, "SHOULD-NOT", 4, "SHALL-NOT", 2, "DEPRECATED", 6, 99)</f>
        <v>3</v>
      </c>
      <c r="I627" t="s">
        <v>1873</v>
      </c>
      <c r="J627" t="s">
        <v>30</v>
      </c>
      <c r="K627" t="s">
        <v>1171</v>
      </c>
      <c r="L627" t="s">
        <v>1171</v>
      </c>
      <c r="M627" t="s">
        <v>1176</v>
      </c>
      <c r="N627" t="s">
        <v>1109</v>
      </c>
      <c r="O627" t="s">
        <v>1171</v>
      </c>
      <c r="P627" t="s">
        <v>1171</v>
      </c>
      <c r="Q627" t="s">
        <v>1171</v>
      </c>
      <c r="R627" t="s">
        <v>1171</v>
      </c>
      <c r="S627" s="70" t="str" cm="1">
        <f t="array" ref="S627">_xlfn.TEXTJOIN(",",TRUE,LEFT(TRIM(_xlfn.TEXTSPLIT(us_core_reqs[[#This Row],[reference]],",")),FIND(".html",TRIM(_xlfn.TEXTSPLIT(us_core_reqs[[#This Row],[reference]],",")))-1))</f>
        <v>StructureDefinition-us-core-documentreference</v>
      </c>
      <c r="T627" s="70" t="str" cm="1">
        <f t="array" ref="T627">_xlfn.TEXTJOIN(",",TRUE,MID(TRIM(_xlfn.TEXTSPLIT(us_core_reqs[[#This Row],[reference]],",")),FIND("#",TRIM(_xlfn.TEXTSPLIT(us_core_reqs[[#This Row],[reference]],","))&amp;"#")+1,1000))</f>
        <v/>
      </c>
      <c r="U627" t="e" cm="1">
        <f t="array" ref="U627">_xlfn.TEXTJOIN(", ",TRUE,SUBSTITUTE(SUBSTITUTE(PROPER(SUBSTITUTE(TRIM(_xlfn.TEXTSPLIT(us_core_reqs[[#This Row],[Page]],","))," -"," "))&amp;": "&amp;PROPER(SUBSTITUTE(TRIM(_xlfn.TEXTSPLIT(us_core_reqs[[#This Row],[Section]],","))," -"," ")),"Us ","US        
  "),"Uscdi","USCDI"))</f>
        <v>#VALUE!</v>
      </c>
      <c r="V627" t="s">
        <v>1171</v>
      </c>
      <c r="W627" t="s">
        <v>1171</v>
      </c>
      <c r="X627" t="s">
        <v>1171</v>
      </c>
      <c r="Y627" t="s">
        <v>1171</v>
      </c>
      <c r="Z627" t="s">
        <v>1171</v>
      </c>
      <c r="AA627" t="s">
        <v>1171</v>
      </c>
      <c r="AB627" t="s">
        <v>1171</v>
      </c>
      <c r="AC627" t="s">
        <v>1171</v>
      </c>
      <c r="AD627" t="s">
        <v>1171</v>
      </c>
      <c r="AE627" t="s">
        <v>1171</v>
      </c>
    </row>
    <row r="628" spans="1:31" ht="86" thickBot="1" x14ac:dyDescent="0.25">
      <c r="A628" t="s">
        <v>1171</v>
      </c>
      <c r="B628" t="s">
        <v>1800</v>
      </c>
      <c r="C628" t="str">
        <f>"CONF-"&amp;TEXT(us_core_reqs[[#This Row],[ID*]], "0000")</f>
        <v>CONF-0840</v>
      </c>
      <c r="D628" s="11" t="s">
        <v>2232</v>
      </c>
      <c r="E628" s="73" t="str" cm="1">
        <f t="array" ref="E628">_xlfn.TEXTJOIN(", ", TRUE, _xlfn.TEXTAFTER(_xlfn.TEXTSPLIT(us_core_reqs[[#This Row],[URL*]], ", "), "/", -1))</f>
        <v>StructureDefinition-us-core-encounter.html#profile-specific-implementation-guidance</v>
      </c>
      <c r="F628" s="11" t="s">
        <v>766</v>
      </c>
      <c r="G628" t="s">
        <v>29</v>
      </c>
      <c r="H628" cm="1">
        <f t="array" ref="H628">_xlfn.SWITCH(G628, "SHALL", 1, "SHOULD", 3, "MAY", 5, "SHOULD-NOT", 4, "SHALL-NOT", 2, "DEPRECATED", 6, 99)</f>
        <v>1</v>
      </c>
      <c r="J628" t="s">
        <v>30</v>
      </c>
      <c r="K628" t="s">
        <v>1171</v>
      </c>
      <c r="L628" t="s">
        <v>1171</v>
      </c>
      <c r="M628" t="s">
        <v>1176</v>
      </c>
      <c r="N628" t="s">
        <v>800</v>
      </c>
      <c r="O628" t="s">
        <v>1171</v>
      </c>
      <c r="P628" t="s">
        <v>1171</v>
      </c>
      <c r="Q628" t="s">
        <v>1171</v>
      </c>
      <c r="R628" t="s">
        <v>1171</v>
      </c>
      <c r="S628" s="70" t="str" cm="1">
        <f t="array" ref="S628">_xlfn.TEXTJOIN(",",TRUE,LEFT(TRIM(_xlfn.TEXTSPLIT(us_core_reqs[[#This Row],[reference]],",")),FIND(".html",TRIM(_xlfn.TEXTSPLIT(us_core_reqs[[#This Row],[reference]],",")))-1))</f>
        <v>StructureDefinition-us-core-encounter</v>
      </c>
      <c r="T628" s="70" t="str" cm="1">
        <f t="array" ref="T628">_xlfn.TEXTJOIN(",",TRUE,MID(TRIM(_xlfn.TEXTSPLIT(us_core_reqs[[#This Row],[reference]],",")),FIND("#",TRIM(_xlfn.TEXTSPLIT(us_core_reqs[[#This Row],[reference]],","))&amp;"#")+1,1000))</f>
        <v>profile-specific-implementation-guidance</v>
      </c>
      <c r="U628"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t="s">
        <v>1171</v>
      </c>
      <c r="W628" t="s">
        <v>1171</v>
      </c>
      <c r="X628" t="s">
        <v>1171</v>
      </c>
      <c r="Y628" t="s">
        <v>1171</v>
      </c>
      <c r="Z628" t="s">
        <v>1171</v>
      </c>
      <c r="AA628" t="s">
        <v>1171</v>
      </c>
      <c r="AB628" t="s">
        <v>1171</v>
      </c>
      <c r="AC628" t="s">
        <v>405</v>
      </c>
      <c r="AD628" t="s">
        <v>1140</v>
      </c>
      <c r="AE628" t="s">
        <v>1156</v>
      </c>
    </row>
    <row r="629" spans="1:31" ht="120" thickBot="1" x14ac:dyDescent="0.25">
      <c r="A629" t="s">
        <v>1171</v>
      </c>
      <c r="B629" t="s">
        <v>1801</v>
      </c>
      <c r="C629" t="str">
        <f>"CONF-"&amp;TEXT(us_core_reqs[[#This Row],[ID*]], "0000")</f>
        <v>CONF-0841</v>
      </c>
      <c r="D629" s="11" t="s">
        <v>2235</v>
      </c>
      <c r="E629" s="73" t="str" cm="1">
        <f t="array" ref="E629">_xlfn.TEXTJOIN(", ", TRUE, _xlfn.TEXTAFTER(_xlfn.TEXTSPLIT(us_core_reqs[[#This Row],[URL*]], ", "), "/", -1))</f>
        <v>StructureDefinition-us-core-immunization.html#profile-specific-implementation-guidance</v>
      </c>
      <c r="F629" s="11" t="s">
        <v>772</v>
      </c>
      <c r="G629" t="s">
        <v>35</v>
      </c>
      <c r="H629" cm="1">
        <f t="array" ref="H629">_xlfn.SWITCH(G629, "SHALL", 1, "SHOULD", 3, "MAY", 5, "SHOULD-NOT", 4, "SHALL-NOT", 2, "DEPRECATED", 6, 99)</f>
        <v>5</v>
      </c>
      <c r="J629" t="s">
        <v>30</v>
      </c>
      <c r="K629" t="s">
        <v>1171</v>
      </c>
      <c r="L629" t="s">
        <v>1171</v>
      </c>
      <c r="M629" t="s">
        <v>1173</v>
      </c>
      <c r="N629" t="s">
        <v>1171</v>
      </c>
      <c r="O629" t="s">
        <v>1171</v>
      </c>
      <c r="P629" t="s">
        <v>1171</v>
      </c>
      <c r="Q629" t="s">
        <v>1171</v>
      </c>
      <c r="R629" t="s">
        <v>1171</v>
      </c>
      <c r="S629" s="70" t="str" cm="1">
        <f t="array" ref="S629">_xlfn.TEXTJOIN(",",TRUE,LEFT(TRIM(_xlfn.TEXTSPLIT(us_core_reqs[[#This Row],[reference]],",")),FIND(".html",TRIM(_xlfn.TEXTSPLIT(us_core_reqs[[#This Row],[reference]],",")))-1))</f>
        <v>StructureDefinition-us-core-immunization</v>
      </c>
      <c r="T629" s="70" t="str" cm="1">
        <f t="array" ref="T629">_xlfn.TEXTJOIN(",",TRUE,MID(TRIM(_xlfn.TEXTSPLIT(us_core_reqs[[#This Row],[reference]],",")),FIND("#",TRIM(_xlfn.TEXTSPLIT(us_core_reqs[[#This Row],[reference]],","))&amp;"#")+1,1000))</f>
        <v>profile-specific-implementation-guidance</v>
      </c>
      <c r="U629"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t="s">
        <v>1171</v>
      </c>
      <c r="W629" t="s">
        <v>1171</v>
      </c>
      <c r="X629" t="s">
        <v>1171</v>
      </c>
      <c r="Y629" t="s">
        <v>1171</v>
      </c>
      <c r="Z629" t="s">
        <v>1171</v>
      </c>
      <c r="AA629" t="s">
        <v>1171</v>
      </c>
      <c r="AB629" t="s">
        <v>1171</v>
      </c>
      <c r="AC629" t="s">
        <v>1171</v>
      </c>
      <c r="AD629" t="s">
        <v>1171</v>
      </c>
      <c r="AE629" t="s">
        <v>1171</v>
      </c>
    </row>
    <row r="630" spans="1:31" ht="52" thickBot="1" x14ac:dyDescent="0.25">
      <c r="A630" t="s">
        <v>1171</v>
      </c>
      <c r="B630" t="s">
        <v>1802</v>
      </c>
      <c r="C630" t="str">
        <f>"CONF-"&amp;TEXT(us_core_reqs[[#This Row],[ID*]], "0000")</f>
        <v>CONF-0842</v>
      </c>
      <c r="D630" s="11" t="s">
        <v>2238</v>
      </c>
      <c r="E630" s="73" t="str" cm="1">
        <f t="array" ref="E630">_xlfn.TEXTJOIN(", ", TRUE, _xlfn.TEXTAFTER(_xlfn.TEXTSPLIT(us_core_reqs[[#This Row],[URL*]], ", "), "/", -1))</f>
        <v>StructureDefinition-us-core-medicationrequest.html#profile-specific-implementation-guidance</v>
      </c>
      <c r="F630" s="11" t="s">
        <v>774</v>
      </c>
      <c r="G630" t="s">
        <v>29</v>
      </c>
      <c r="H630" cm="1">
        <f t="array" ref="H630">_xlfn.SWITCH(G630, "SHALL", 1, "SHOULD", 3, "MAY", 5, "SHOULD-NOT", 4, "SHALL-NOT", 2, "DEPRECATED", 6, 99)</f>
        <v>1</v>
      </c>
      <c r="J630" t="s">
        <v>30</v>
      </c>
      <c r="K630" t="s">
        <v>1171</v>
      </c>
      <c r="L630" t="s">
        <v>1171</v>
      </c>
      <c r="M630" t="s">
        <v>1173</v>
      </c>
      <c r="N630" t="s">
        <v>1171</v>
      </c>
      <c r="O630" t="s">
        <v>1171</v>
      </c>
      <c r="P630" t="s">
        <v>1171</v>
      </c>
      <c r="Q630" t="s">
        <v>1171</v>
      </c>
      <c r="R630" t="s">
        <v>1171</v>
      </c>
      <c r="S630" s="70" t="str" cm="1">
        <f t="array" ref="S630">_xlfn.TEXTJOIN(",",TRUE,LEFT(TRIM(_xlfn.TEXTSPLIT(us_core_reqs[[#This Row],[reference]],",")),FIND(".html",TRIM(_xlfn.TEXTSPLIT(us_core_reqs[[#This Row],[reference]],",")))-1))</f>
        <v>StructureDefinition-us-core-medicationrequest</v>
      </c>
      <c r="T630" s="70" t="str" cm="1">
        <f t="array" ref="T630">_xlfn.TEXTJOIN(",",TRUE,MID(TRIM(_xlfn.TEXTSPLIT(us_core_reqs[[#This Row],[reference]],",")),FIND("#",TRIM(_xlfn.TEXTSPLIT(us_core_reqs[[#This Row],[reference]],","))&amp;"#")+1,1000))</f>
        <v>profile-specific-implementation-guidance</v>
      </c>
      <c r="U630"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t="s">
        <v>1171</v>
      </c>
      <c r="W630" t="s">
        <v>1171</v>
      </c>
      <c r="X630" t="s">
        <v>1171</v>
      </c>
      <c r="Y630" t="s">
        <v>1171</v>
      </c>
      <c r="Z630" t="s">
        <v>1171</v>
      </c>
      <c r="AA630" t="s">
        <v>1171</v>
      </c>
      <c r="AB630" t="s">
        <v>1171</v>
      </c>
      <c r="AC630" t="s">
        <v>1171</v>
      </c>
      <c r="AD630" t="s">
        <v>1140</v>
      </c>
      <c r="AE630" t="s">
        <v>1154</v>
      </c>
    </row>
    <row r="631" spans="1:31" ht="103" thickBot="1" x14ac:dyDescent="0.25">
      <c r="A631" t="s">
        <v>1171</v>
      </c>
      <c r="B631" t="s">
        <v>1803</v>
      </c>
      <c r="C631" t="str">
        <f>"CONF-"&amp;TEXT(us_core_reqs[[#This Row],[ID*]], "0000")</f>
        <v>CONF-0843</v>
      </c>
      <c r="D631" s="11" t="s">
        <v>2270</v>
      </c>
      <c r="E631" s="73" t="str" cm="1">
        <f t="array" ref="E631">_xlfn.TEXTJOIN(", ", TRUE, _xlfn.TEXTAFTER(_xlfn.TEXTSPLIT(us_core_reqs[[#This Row],[URL*]], ", "), "/", -1))</f>
        <v>StructureDefinition-us-core-observation-lab.html#profile-specific-implementation-guidance</v>
      </c>
      <c r="F631" s="11" t="s">
        <v>776</v>
      </c>
      <c r="G631" t="s">
        <v>32</v>
      </c>
      <c r="H631" cm="1">
        <f t="array" ref="H631">_xlfn.SWITCH(G631, "SHALL", 1, "SHOULD", 3, "MAY", 5, "SHOULD-NOT", 4, "SHALL-NOT", 2, "DEPRECATED", 6, 99)</f>
        <v>3</v>
      </c>
      <c r="J631" t="s">
        <v>30</v>
      </c>
      <c r="K631" t="s">
        <v>1171</v>
      </c>
      <c r="L631" t="s">
        <v>1171</v>
      </c>
      <c r="M631" t="s">
        <v>1176</v>
      </c>
      <c r="N631" t="s">
        <v>1108</v>
      </c>
      <c r="O631" t="s">
        <v>1171</v>
      </c>
      <c r="P631" t="s">
        <v>1171</v>
      </c>
      <c r="Q631" t="s">
        <v>1171</v>
      </c>
      <c r="R631" t="s">
        <v>1171</v>
      </c>
      <c r="S631" s="70" t="str" cm="1">
        <f t="array" ref="S631">_xlfn.TEXTJOIN(",",TRUE,LEFT(TRIM(_xlfn.TEXTSPLIT(us_core_reqs[[#This Row],[reference]],",")),FIND(".html",TRIM(_xlfn.TEXTSPLIT(us_core_reqs[[#This Row],[reference]],",")))-1))</f>
        <v>StructureDefinition-us-core-observation-lab</v>
      </c>
      <c r="T631" s="70" t="str" cm="1">
        <f t="array" ref="T631">_xlfn.TEXTJOIN(",",TRUE,MID(TRIM(_xlfn.TEXTSPLIT(us_core_reqs[[#This Row],[reference]],",")),FIND("#",TRIM(_xlfn.TEXTSPLIT(us_core_reqs[[#This Row],[reference]],","))&amp;"#")+1,1000))</f>
        <v>profile-specific-implementation-guidance</v>
      </c>
      <c r="U631"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t="s">
        <v>1171</v>
      </c>
      <c r="W631" t="s">
        <v>1171</v>
      </c>
      <c r="X631" t="s">
        <v>1171</v>
      </c>
      <c r="Y631" t="s">
        <v>1171</v>
      </c>
      <c r="Z631" t="s">
        <v>1171</v>
      </c>
      <c r="AA631" t="s">
        <v>1171</v>
      </c>
      <c r="AB631" t="s">
        <v>1171</v>
      </c>
      <c r="AC631" t="s">
        <v>1171</v>
      </c>
      <c r="AD631" t="s">
        <v>1171</v>
      </c>
      <c r="AE631" t="s">
        <v>1171</v>
      </c>
    </row>
    <row r="632" spans="1:31" ht="52" thickBot="1" x14ac:dyDescent="0.25">
      <c r="A632" t="s">
        <v>1171</v>
      </c>
      <c r="B632" t="s">
        <v>1804</v>
      </c>
      <c r="C632" t="str">
        <f>"CONF-"&amp;TEXT(us_core_reqs[[#This Row],[ID*]], "0000")</f>
        <v>CONF-0844</v>
      </c>
      <c r="D632" s="11" t="s">
        <v>2270</v>
      </c>
      <c r="E632" s="73" t="str" cm="1">
        <f t="array" ref="E632">_xlfn.TEXTJOIN(", ", TRUE, _xlfn.TEXTAFTER(_xlfn.TEXTSPLIT(us_core_reqs[[#This Row],[URL*]], ", "), "/", -1))</f>
        <v>StructureDefinition-us-core-observation-lab.html#profile-specific-implementation-guidance</v>
      </c>
      <c r="F632" s="11" t="s">
        <v>2019</v>
      </c>
      <c r="G632" t="s">
        <v>32</v>
      </c>
      <c r="H632" cm="1">
        <f t="array" ref="H632">_xlfn.SWITCH(G632, "SHALL", 1, "SHOULD", 3, "MAY", 5, "SHOULD-NOT", 4, "SHALL-NOT", 2, "DEPRECATED", 6, 99)</f>
        <v>3</v>
      </c>
      <c r="J632" t="s">
        <v>30</v>
      </c>
      <c r="K632" t="s">
        <v>1171</v>
      </c>
      <c r="L632" t="s">
        <v>1171</v>
      </c>
      <c r="M632" t="s">
        <v>1173</v>
      </c>
      <c r="N632" t="s">
        <v>1171</v>
      </c>
      <c r="O632" t="s">
        <v>1171</v>
      </c>
      <c r="P632" t="s">
        <v>1171</v>
      </c>
      <c r="Q632" t="s">
        <v>1171</v>
      </c>
      <c r="R632" t="s">
        <v>1171</v>
      </c>
      <c r="S632" s="70" t="str" cm="1">
        <f t="array" ref="S632">_xlfn.TEXTJOIN(",",TRUE,LEFT(TRIM(_xlfn.TEXTSPLIT(us_core_reqs[[#This Row],[reference]],",")),FIND(".html",TRIM(_xlfn.TEXTSPLIT(us_core_reqs[[#This Row],[reference]],",")))-1))</f>
        <v>StructureDefinition-us-core-observation-lab</v>
      </c>
      <c r="T632" s="70" t="str" cm="1">
        <f t="array" ref="T632">_xlfn.TEXTJOIN(",",TRUE,MID(TRIM(_xlfn.TEXTSPLIT(us_core_reqs[[#This Row],[reference]],",")),FIND("#",TRIM(_xlfn.TEXTSPLIT(us_core_reqs[[#This Row],[reference]],","))&amp;"#")+1,1000))</f>
        <v>profile-specific-implementation-guidance</v>
      </c>
      <c r="U632"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t="s">
        <v>1171</v>
      </c>
      <c r="W632" t="s">
        <v>1171</v>
      </c>
      <c r="X632" t="s">
        <v>1171</v>
      </c>
      <c r="Y632" t="s">
        <v>1171</v>
      </c>
      <c r="Z632" t="s">
        <v>1171</v>
      </c>
      <c r="AA632" t="s">
        <v>1171</v>
      </c>
      <c r="AB632" t="s">
        <v>1171</v>
      </c>
      <c r="AC632" t="s">
        <v>1171</v>
      </c>
      <c r="AD632" t="s">
        <v>1171</v>
      </c>
      <c r="AE632" t="s">
        <v>1171</v>
      </c>
    </row>
    <row r="633" spans="1:31" ht="52" thickBot="1" x14ac:dyDescent="0.25">
      <c r="A633" t="s">
        <v>1171</v>
      </c>
      <c r="B633" t="s">
        <v>1805</v>
      </c>
      <c r="C633" t="str">
        <f>"CONF-"&amp;TEXT(us_core_reqs[[#This Row],[ID*]], "0000")</f>
        <v>CONF-0845</v>
      </c>
      <c r="D633" s="11" t="s">
        <v>2271</v>
      </c>
      <c r="E633" s="73" t="str" cm="1">
        <f t="array" ref="E633">_xlfn.TEXTJOIN(", ", TRUE, _xlfn.TEXTAFTER(_xlfn.TEXTSPLIT(us_core_reqs[[#This Row],[URL*]], ", "), "/", -1))</f>
        <v>StructureDefinition-us-core-observation-screening-assessment.html#profile-specific-implementation-guidance</v>
      </c>
      <c r="F633" s="11" t="s">
        <v>779</v>
      </c>
      <c r="G633" t="s">
        <v>29</v>
      </c>
      <c r="H633" cm="1">
        <f t="array" ref="H633">_xlfn.SWITCH(G633, "SHALL", 1, "SHOULD", 3, "MAY", 5, "SHOULD-NOT", 4, "SHALL-NOT", 2, "DEPRECATED", 6, 99)</f>
        <v>1</v>
      </c>
      <c r="J633" t="s">
        <v>30</v>
      </c>
      <c r="K633" t="s">
        <v>1171</v>
      </c>
      <c r="L633" t="s">
        <v>1171</v>
      </c>
      <c r="M633" t="s">
        <v>1173</v>
      </c>
      <c r="N633" t="s">
        <v>1171</v>
      </c>
      <c r="O633" t="s">
        <v>1171</v>
      </c>
      <c r="P633" t="s">
        <v>1171</v>
      </c>
      <c r="Q633" t="s">
        <v>1171</v>
      </c>
      <c r="R633" t="s">
        <v>1171</v>
      </c>
      <c r="S633" s="70" t="str" cm="1">
        <f t="array" ref="S633">_xlfn.TEXTJOIN(",",TRUE,LEFT(TRIM(_xlfn.TEXTSPLIT(us_core_reqs[[#This Row],[reference]],",")),FIND(".html",TRIM(_xlfn.TEXTSPLIT(us_core_reqs[[#This Row],[reference]],",")))-1))</f>
        <v>StructureDefinition-us-core-observation-screening-assessment</v>
      </c>
      <c r="T633" s="70" t="str" cm="1">
        <f t="array" ref="T633">_xlfn.TEXTJOIN(",",TRUE,MID(TRIM(_xlfn.TEXTSPLIT(us_core_reqs[[#This Row],[reference]],",")),FIND("#",TRIM(_xlfn.TEXTSPLIT(us_core_reqs[[#This Row],[reference]],","))&amp;"#")+1,1000))</f>
        <v>profile-specific-implementation-guidance</v>
      </c>
      <c r="U633"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t="s">
        <v>1171</v>
      </c>
      <c r="W633" t="s">
        <v>1171</v>
      </c>
      <c r="X633" t="s">
        <v>1171</v>
      </c>
      <c r="Y633" t="s">
        <v>1171</v>
      </c>
      <c r="Z633" t="s">
        <v>1171</v>
      </c>
      <c r="AA633" t="s">
        <v>1171</v>
      </c>
      <c r="AB633" t="s">
        <v>1171</v>
      </c>
      <c r="AC633" t="s">
        <v>1171</v>
      </c>
      <c r="AD633" t="s">
        <v>1140</v>
      </c>
      <c r="AE633" t="s">
        <v>1140</v>
      </c>
    </row>
    <row r="634" spans="1:31" ht="86" thickBot="1" x14ac:dyDescent="0.25">
      <c r="A634" t="s">
        <v>1171</v>
      </c>
      <c r="B634" t="s">
        <v>1806</v>
      </c>
      <c r="C634" t="str">
        <f>"CONF-"&amp;TEXT(us_core_reqs[[#This Row],[ID*]], "0000")</f>
        <v>CONF-0846</v>
      </c>
      <c r="D634" s="11" t="s">
        <v>2271</v>
      </c>
      <c r="E634" s="73" t="str" cm="1">
        <f t="array" ref="E634">_xlfn.TEXTJOIN(", ", TRUE, _xlfn.TEXTAFTER(_xlfn.TEXTSPLIT(us_core_reqs[[#This Row],[URL*]], ", "), "/", -1))</f>
        <v>StructureDefinition-us-core-observation-screening-assessment.html#profile-specific-implementation-guidance</v>
      </c>
      <c r="F634" s="11" t="s">
        <v>780</v>
      </c>
      <c r="G634" t="s">
        <v>29</v>
      </c>
      <c r="H634" cm="1">
        <f t="array" ref="H634">_xlfn.SWITCH(G634, "SHALL", 1, "SHOULD", 3, "MAY", 5, "SHOULD-NOT", 4, "SHALL-NOT", 2, "DEPRECATED", 6, 99)</f>
        <v>1</v>
      </c>
      <c r="J634" t="s">
        <v>30</v>
      </c>
      <c r="K634" t="b">
        <v>1</v>
      </c>
      <c r="L634" t="s">
        <v>1171</v>
      </c>
      <c r="M634" t="s">
        <v>1176</v>
      </c>
      <c r="N634" t="s">
        <v>1155</v>
      </c>
      <c r="O634" t="s">
        <v>1171</v>
      </c>
      <c r="P634" t="s">
        <v>1171</v>
      </c>
      <c r="Q634" t="s">
        <v>1171</v>
      </c>
      <c r="R634" t="s">
        <v>1171</v>
      </c>
      <c r="S634" s="70" t="str" cm="1">
        <f t="array" ref="S634">_xlfn.TEXTJOIN(",",TRUE,LEFT(TRIM(_xlfn.TEXTSPLIT(us_core_reqs[[#This Row],[reference]],",")),FIND(".html",TRIM(_xlfn.TEXTSPLIT(us_core_reqs[[#This Row],[reference]],",")))-1))</f>
        <v>StructureDefinition-us-core-observation-screening-assessment</v>
      </c>
      <c r="T634" s="70" t="str" cm="1">
        <f t="array" ref="T634">_xlfn.TEXTJOIN(",",TRUE,MID(TRIM(_xlfn.TEXTSPLIT(us_core_reqs[[#This Row],[reference]],",")),FIND("#",TRIM(_xlfn.TEXTSPLIT(us_core_reqs[[#This Row],[reference]],","))&amp;"#")+1,1000))</f>
        <v>profile-specific-implementation-guidance</v>
      </c>
      <c r="U634"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t="s">
        <v>1171</v>
      </c>
      <c r="W634" t="s">
        <v>1171</v>
      </c>
      <c r="X634" t="s">
        <v>1171</v>
      </c>
      <c r="Y634" t="s">
        <v>1171</v>
      </c>
      <c r="Z634" t="s">
        <v>1171</v>
      </c>
      <c r="AA634" t="s">
        <v>1171</v>
      </c>
      <c r="AB634" t="s">
        <v>1171</v>
      </c>
      <c r="AC634" t="s">
        <v>405</v>
      </c>
      <c r="AD634" t="s">
        <v>1140</v>
      </c>
      <c r="AE634" t="s">
        <v>1156</v>
      </c>
    </row>
    <row r="635" spans="1:31" ht="86" thickBot="1" x14ac:dyDescent="0.25">
      <c r="A635" t="s">
        <v>1171</v>
      </c>
      <c r="B635" t="s">
        <v>1807</v>
      </c>
      <c r="C635" t="str">
        <f>"CONF-"&amp;TEXT(us_core_reqs[[#This Row],[ID*]], "0000")</f>
        <v>CONF-0847</v>
      </c>
      <c r="D635" s="11" t="s">
        <v>2271</v>
      </c>
      <c r="E635" s="73" t="str" cm="1">
        <f t="array" ref="E635">_xlfn.TEXTJOIN(", ", TRUE, _xlfn.TEXTAFTER(_xlfn.TEXTSPLIT(us_core_reqs[[#This Row],[URL*]], ", "), "/", -1))</f>
        <v>StructureDefinition-us-core-observation-screening-assessment.html#profile-specific-implementation-guidance</v>
      </c>
      <c r="F635" s="11" t="s">
        <v>781</v>
      </c>
      <c r="G635" t="s">
        <v>32</v>
      </c>
      <c r="H635" cm="1">
        <f t="array" ref="H635">_xlfn.SWITCH(G635, "SHALL", 1, "SHOULD", 3, "MAY", 5, "SHOULD-NOT", 4, "SHALL-NOT", 2, "DEPRECATED", 6, 99)</f>
        <v>3</v>
      </c>
      <c r="J635" t="s">
        <v>30</v>
      </c>
      <c r="K635" t="b">
        <v>1</v>
      </c>
      <c r="L635" t="s">
        <v>1171</v>
      </c>
      <c r="M635" t="s">
        <v>1173</v>
      </c>
      <c r="N635" t="s">
        <v>1171</v>
      </c>
      <c r="O635" t="s">
        <v>1171</v>
      </c>
      <c r="P635" t="s">
        <v>1171</v>
      </c>
      <c r="Q635" t="s">
        <v>1171</v>
      </c>
      <c r="R635" t="s">
        <v>1171</v>
      </c>
      <c r="S635" s="70" t="str" cm="1">
        <f t="array" ref="S635">_xlfn.TEXTJOIN(",",TRUE,LEFT(TRIM(_xlfn.TEXTSPLIT(us_core_reqs[[#This Row],[reference]],",")),FIND(".html",TRIM(_xlfn.TEXTSPLIT(us_core_reqs[[#This Row],[reference]],",")))-1))</f>
        <v>StructureDefinition-us-core-observation-screening-assessment</v>
      </c>
      <c r="T635" s="70" t="str" cm="1">
        <f t="array" ref="T635">_xlfn.TEXTJOIN(",",TRUE,MID(TRIM(_xlfn.TEXTSPLIT(us_core_reqs[[#This Row],[reference]],",")),FIND("#",TRIM(_xlfn.TEXTSPLIT(us_core_reqs[[#This Row],[reference]],","))&amp;"#")+1,1000))</f>
        <v>profile-specific-implementation-guidance</v>
      </c>
      <c r="U635"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t="s">
        <v>1171</v>
      </c>
      <c r="W635" t="s">
        <v>1171</v>
      </c>
      <c r="X635" t="s">
        <v>1171</v>
      </c>
      <c r="Y635" t="s">
        <v>1171</v>
      </c>
      <c r="Z635" t="s">
        <v>1171</v>
      </c>
      <c r="AA635" t="s">
        <v>1171</v>
      </c>
      <c r="AB635" t="s">
        <v>1171</v>
      </c>
      <c r="AC635" t="s">
        <v>1171</v>
      </c>
      <c r="AD635" t="s">
        <v>1171</v>
      </c>
      <c r="AE635" t="s">
        <v>1171</v>
      </c>
    </row>
    <row r="636" spans="1:31" ht="52" thickBot="1" x14ac:dyDescent="0.25">
      <c r="A636" t="s">
        <v>1171</v>
      </c>
      <c r="B636" t="s">
        <v>1808</v>
      </c>
      <c r="C636" t="str">
        <f>"CONF-"&amp;TEXT(us_core_reqs[[#This Row],[ID*]], "0000")</f>
        <v>CONF-0848</v>
      </c>
      <c r="D636" s="11" t="s">
        <v>2271</v>
      </c>
      <c r="E636" s="73" t="str" cm="1">
        <f t="array" ref="E636">_xlfn.TEXTJOIN(", ", TRUE, _xlfn.TEXTAFTER(_xlfn.TEXTSPLIT(us_core_reqs[[#This Row],[URL*]], ", "), "/", -1))</f>
        <v>StructureDefinition-us-core-observation-screening-assessment.html#profile-specific-implementation-guidance</v>
      </c>
      <c r="F636" s="11" t="s">
        <v>782</v>
      </c>
      <c r="G636" t="s">
        <v>35</v>
      </c>
      <c r="H636" cm="1">
        <f t="array" ref="H636">_xlfn.SWITCH(G636, "SHALL", 1, "SHOULD", 3, "MAY", 5, "SHOULD-NOT", 4, "SHALL-NOT", 2, "DEPRECATED", 6, 99)</f>
        <v>5</v>
      </c>
      <c r="J636" t="s">
        <v>30</v>
      </c>
      <c r="K636" t="b">
        <v>1</v>
      </c>
      <c r="L636" t="s">
        <v>1171</v>
      </c>
      <c r="M636" t="s">
        <v>1173</v>
      </c>
      <c r="N636" t="s">
        <v>1171</v>
      </c>
      <c r="O636" t="s">
        <v>1171</v>
      </c>
      <c r="P636" t="s">
        <v>1171</v>
      </c>
      <c r="Q636" t="s">
        <v>1171</v>
      </c>
      <c r="R636" t="s">
        <v>1171</v>
      </c>
      <c r="S636" s="70" t="str" cm="1">
        <f t="array" ref="S636">_xlfn.TEXTJOIN(",",TRUE,LEFT(TRIM(_xlfn.TEXTSPLIT(us_core_reqs[[#This Row],[reference]],",")),FIND(".html",TRIM(_xlfn.TEXTSPLIT(us_core_reqs[[#This Row],[reference]],",")))-1))</f>
        <v>StructureDefinition-us-core-observation-screening-assessment</v>
      </c>
      <c r="T636" s="70" t="str" cm="1">
        <f t="array" ref="T636">_xlfn.TEXTJOIN(",",TRUE,MID(TRIM(_xlfn.TEXTSPLIT(us_core_reqs[[#This Row],[reference]],",")),FIND("#",TRIM(_xlfn.TEXTSPLIT(us_core_reqs[[#This Row],[reference]],","))&amp;"#")+1,1000))</f>
        <v>profile-specific-implementation-guidance</v>
      </c>
      <c r="U636"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t="s">
        <v>1171</v>
      </c>
      <c r="W636" t="s">
        <v>1171</v>
      </c>
      <c r="X636" t="s">
        <v>1171</v>
      </c>
      <c r="Y636" t="s">
        <v>1171</v>
      </c>
      <c r="Z636" t="s">
        <v>1171</v>
      </c>
      <c r="AA636" t="s">
        <v>1171</v>
      </c>
      <c r="AB636" t="s">
        <v>1171</v>
      </c>
      <c r="AC636" t="s">
        <v>1171</v>
      </c>
      <c r="AD636" t="s">
        <v>1171</v>
      </c>
      <c r="AE636" t="s">
        <v>1171</v>
      </c>
    </row>
    <row r="637" spans="1:31" ht="69" thickBot="1" x14ac:dyDescent="0.25">
      <c r="A637" t="s">
        <v>1171</v>
      </c>
      <c r="B637" t="s">
        <v>1809</v>
      </c>
      <c r="C637" t="str">
        <f>"CONF-"&amp;TEXT(us_core_reqs[[#This Row],[ID*]], "0000")</f>
        <v>CONF-0849</v>
      </c>
      <c r="D637" s="11" t="s">
        <v>2271</v>
      </c>
      <c r="E637" s="73" t="str" cm="1">
        <f t="array" ref="E637">_xlfn.TEXTJOIN(", ", TRUE, _xlfn.TEXTAFTER(_xlfn.TEXTSPLIT(us_core_reqs[[#This Row],[URL*]], ", "), "/", -1))</f>
        <v>StructureDefinition-us-core-observation-screening-assessment.html#profile-specific-implementation-guidance</v>
      </c>
      <c r="F637" s="11" t="s">
        <v>2147</v>
      </c>
      <c r="G637" t="s">
        <v>29</v>
      </c>
      <c r="H637" cm="1">
        <f t="array" ref="H637">_xlfn.SWITCH(G637, "SHALL", 1, "SHOULD", 3, "MAY", 5, "SHOULD-NOT", 4, "SHALL-NOT", 2, "DEPRECATED", 6, 99)</f>
        <v>1</v>
      </c>
      <c r="J637" t="s">
        <v>58</v>
      </c>
      <c r="K637" t="s">
        <v>1171</v>
      </c>
      <c r="L637" t="s">
        <v>1171</v>
      </c>
      <c r="M637" t="s">
        <v>1173</v>
      </c>
      <c r="N637" t="s">
        <v>1171</v>
      </c>
      <c r="O637" t="s">
        <v>1171</v>
      </c>
      <c r="P637" t="s">
        <v>1171</v>
      </c>
      <c r="Q637" t="s">
        <v>1171</v>
      </c>
      <c r="R637" t="s">
        <v>1171</v>
      </c>
      <c r="S637" s="70" t="str" cm="1">
        <f t="array" ref="S637">_xlfn.TEXTJOIN(",",TRUE,LEFT(TRIM(_xlfn.TEXTSPLIT(us_core_reqs[[#This Row],[reference]],",")),FIND(".html",TRIM(_xlfn.TEXTSPLIT(us_core_reqs[[#This Row],[reference]],",")))-1))</f>
        <v>StructureDefinition-us-core-observation-screening-assessment</v>
      </c>
      <c r="T637" s="70" t="str" cm="1">
        <f t="array" ref="T637">_xlfn.TEXTJOIN(",",TRUE,MID(TRIM(_xlfn.TEXTSPLIT(us_core_reqs[[#This Row],[reference]],",")),FIND("#",TRIM(_xlfn.TEXTSPLIT(us_core_reqs[[#This Row],[reference]],","))&amp;"#")+1,1000))</f>
        <v>profile-specific-implementation-guidance</v>
      </c>
      <c r="U637"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t="s">
        <v>1171</v>
      </c>
      <c r="W637" t="s">
        <v>1171</v>
      </c>
      <c r="X637" t="s">
        <v>1171</v>
      </c>
      <c r="Y637" t="s">
        <v>1171</v>
      </c>
      <c r="Z637" t="s">
        <v>1171</v>
      </c>
      <c r="AA637" t="s">
        <v>1171</v>
      </c>
      <c r="AB637" t="s">
        <v>1171</v>
      </c>
      <c r="AC637" t="s">
        <v>1171</v>
      </c>
      <c r="AD637" t="s">
        <v>1171</v>
      </c>
      <c r="AE637" t="s">
        <v>1171</v>
      </c>
    </row>
    <row r="638" spans="1:31" ht="52" thickBot="1" x14ac:dyDescent="0.25">
      <c r="A638" t="s">
        <v>1171</v>
      </c>
      <c r="B638" t="s">
        <v>1810</v>
      </c>
      <c r="C638" t="str">
        <f>"CONF-"&amp;TEXT(us_core_reqs[[#This Row],[ID*]], "0000")</f>
        <v>CONF-0850</v>
      </c>
      <c r="D638" s="11" t="s">
        <v>2271</v>
      </c>
      <c r="E638" s="73" t="str" cm="1">
        <f t="array" ref="E638">_xlfn.TEXTJOIN(", ", TRUE, _xlfn.TEXTAFTER(_xlfn.TEXTSPLIT(us_core_reqs[[#This Row],[URL*]], ", "), "/", -1))</f>
        <v>StructureDefinition-us-core-observation-screening-assessment.html#profile-specific-implementation-guidance</v>
      </c>
      <c r="F638" s="11" t="s">
        <v>2020</v>
      </c>
      <c r="G638" t="s">
        <v>32</v>
      </c>
      <c r="H638" cm="1">
        <f t="array" ref="H638">_xlfn.SWITCH(G638, "SHALL", 1, "SHOULD", 3, "MAY", 5, "SHOULD-NOT", 4, "SHALL-NOT", 2, "DEPRECATED", 6, 99)</f>
        <v>3</v>
      </c>
      <c r="J638" t="s">
        <v>30</v>
      </c>
      <c r="K638" t="s">
        <v>1171</v>
      </c>
      <c r="L638" t="s">
        <v>1171</v>
      </c>
      <c r="M638" t="s">
        <v>1173</v>
      </c>
      <c r="N638" t="s">
        <v>1171</v>
      </c>
      <c r="O638" t="s">
        <v>1171</v>
      </c>
      <c r="P638" t="s">
        <v>1171</v>
      </c>
      <c r="Q638" t="s">
        <v>1171</v>
      </c>
      <c r="R638" t="s">
        <v>1171</v>
      </c>
      <c r="S638" s="70" t="str" cm="1">
        <f t="array" ref="S638">_xlfn.TEXTJOIN(",",TRUE,LEFT(TRIM(_xlfn.TEXTSPLIT(us_core_reqs[[#This Row],[reference]],",")),FIND(".html",TRIM(_xlfn.TEXTSPLIT(us_core_reqs[[#This Row],[reference]],",")))-1))</f>
        <v>StructureDefinition-us-core-observation-screening-assessment</v>
      </c>
      <c r="T638" s="70" t="str" cm="1">
        <f t="array" ref="T638">_xlfn.TEXTJOIN(",",TRUE,MID(TRIM(_xlfn.TEXTSPLIT(us_core_reqs[[#This Row],[reference]],",")),FIND("#",TRIM(_xlfn.TEXTSPLIT(us_core_reqs[[#This Row],[reference]],","))&amp;"#")+1,1000))</f>
        <v>profile-specific-implementation-guidance</v>
      </c>
      <c r="U638"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t="s">
        <v>1171</v>
      </c>
      <c r="W638" t="s">
        <v>1171</v>
      </c>
      <c r="X638" t="s">
        <v>1171</v>
      </c>
      <c r="Y638" t="s">
        <v>1171</v>
      </c>
      <c r="Z638" t="s">
        <v>1171</v>
      </c>
      <c r="AA638" t="s">
        <v>1171</v>
      </c>
      <c r="AB638" t="s">
        <v>1171</v>
      </c>
      <c r="AC638" t="s">
        <v>1171</v>
      </c>
      <c r="AD638" t="s">
        <v>1171</v>
      </c>
      <c r="AE638" t="s">
        <v>1171</v>
      </c>
    </row>
    <row r="639" spans="1:31" ht="137" thickBot="1" x14ac:dyDescent="0.25">
      <c r="A639" t="s">
        <v>1171</v>
      </c>
      <c r="B639" t="s">
        <v>1811</v>
      </c>
      <c r="C639" t="str">
        <f>"CONF-"&amp;TEXT(us_core_reqs[[#This Row],[ID*]], "0000")</f>
        <v>CONF-0851</v>
      </c>
      <c r="D639" s="11" t="s">
        <v>2261</v>
      </c>
      <c r="E639" s="73" t="str" cm="1">
        <f t="array" ref="E639">_xlfn.TEXTJOIN(", ", TRUE, _xlfn.TEXTAFTER(_xlfn.TEXTSPLIT(us_core_reqs[[#This Row],[URL*]], ", "), "/", -1))</f>
        <v>StructureDefinition-us-core-patient.html#profile-specific-implementation-guidance</v>
      </c>
      <c r="F639" s="11" t="s">
        <v>796</v>
      </c>
      <c r="G639" t="s">
        <v>35</v>
      </c>
      <c r="H639" cm="1">
        <f t="array" ref="H639">_xlfn.SWITCH(G639, "SHALL", 1, "SHOULD", 3, "MAY", 5, "SHOULD-NOT", 4, "SHALL-NOT", 2, "DEPRECATED", 6, 99)</f>
        <v>5</v>
      </c>
      <c r="I639" t="s">
        <v>2313</v>
      </c>
      <c r="J639" t="s">
        <v>30</v>
      </c>
      <c r="K639" t="s">
        <v>1171</v>
      </c>
      <c r="L639" t="s">
        <v>1171</v>
      </c>
      <c r="M639" t="s">
        <v>1173</v>
      </c>
      <c r="N639" t="s">
        <v>1171</v>
      </c>
      <c r="O639" t="s">
        <v>1171</v>
      </c>
      <c r="P639" t="s">
        <v>1171</v>
      </c>
      <c r="Q639" t="s">
        <v>1171</v>
      </c>
      <c r="R639" t="s">
        <v>1171</v>
      </c>
      <c r="S639" s="70" t="str" cm="1">
        <f t="array" ref="S639">_xlfn.TEXTJOIN(",",TRUE,LEFT(TRIM(_xlfn.TEXTSPLIT(us_core_reqs[[#This Row],[reference]],",")),FIND(".html",TRIM(_xlfn.TEXTSPLIT(us_core_reqs[[#This Row],[reference]],",")))-1))</f>
        <v>StructureDefinition-us-core-patient</v>
      </c>
      <c r="T639" s="70" t="str" cm="1">
        <f t="array" ref="T639">_xlfn.TEXTJOIN(",",TRUE,MID(TRIM(_xlfn.TEXTSPLIT(us_core_reqs[[#This Row],[reference]],",")),FIND("#",TRIM(_xlfn.TEXTSPLIT(us_core_reqs[[#This Row],[reference]],","))&amp;"#")+1,1000))</f>
        <v>profile-specific-implementation-guidance</v>
      </c>
      <c r="U639"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t="s">
        <v>1171</v>
      </c>
      <c r="W639" t="s">
        <v>1171</v>
      </c>
      <c r="X639" t="s">
        <v>1171</v>
      </c>
      <c r="Y639" t="s">
        <v>1171</v>
      </c>
      <c r="Z639" t="s">
        <v>1171</v>
      </c>
      <c r="AA639" t="s">
        <v>1171</v>
      </c>
      <c r="AB639" t="s">
        <v>1171</v>
      </c>
      <c r="AC639" t="s">
        <v>1171</v>
      </c>
      <c r="AD639" t="s">
        <v>1171</v>
      </c>
      <c r="AE639" t="s">
        <v>1171</v>
      </c>
    </row>
    <row r="640" spans="1:31" ht="103" thickBot="1" x14ac:dyDescent="0.25">
      <c r="A640" t="s">
        <v>1171</v>
      </c>
      <c r="B640" t="s">
        <v>1812</v>
      </c>
      <c r="C640" t="str">
        <f>"CONF-"&amp;TEXT(us_core_reqs[[#This Row],[ID*]], "0000")</f>
        <v>CONF-0852</v>
      </c>
      <c r="D640" s="11" t="s">
        <v>2261</v>
      </c>
      <c r="E640" s="73" t="str" cm="1">
        <f t="array" ref="E640">_xlfn.TEXTJOIN(", ", TRUE, _xlfn.TEXTAFTER(_xlfn.TEXTSPLIT(us_core_reqs[[#This Row],[URL*]], ", "), "/", -1))</f>
        <v>StructureDefinition-us-core-patient.html#profile-specific-implementation-guidance</v>
      </c>
      <c r="F640" s="11" t="s">
        <v>795</v>
      </c>
      <c r="G640" t="s">
        <v>29</v>
      </c>
      <c r="H640" cm="1">
        <f t="array" ref="H640">_xlfn.SWITCH(G640, "SHALL", 1, "SHOULD", 3, "MAY", 5, "SHOULD-NOT", 4, "SHALL-NOT", 2, "DEPRECATED", 6, 99)</f>
        <v>1</v>
      </c>
      <c r="J640" t="s">
        <v>30</v>
      </c>
      <c r="K640" t="b">
        <v>1</v>
      </c>
      <c r="L640" t="s">
        <v>1171</v>
      </c>
      <c r="M640" t="s">
        <v>1176</v>
      </c>
      <c r="N640" t="s">
        <v>800</v>
      </c>
      <c r="O640" t="s">
        <v>1171</v>
      </c>
      <c r="P640" t="s">
        <v>1171</v>
      </c>
      <c r="Q640" t="s">
        <v>1171</v>
      </c>
      <c r="R640" t="s">
        <v>1171</v>
      </c>
      <c r="S640" s="70" t="str" cm="1">
        <f t="array" ref="S640">_xlfn.TEXTJOIN(",",TRUE,LEFT(TRIM(_xlfn.TEXTSPLIT(us_core_reqs[[#This Row],[reference]],",")),FIND(".html",TRIM(_xlfn.TEXTSPLIT(us_core_reqs[[#This Row],[reference]],",")))-1))</f>
        <v>StructureDefinition-us-core-patient</v>
      </c>
      <c r="T640" s="70" t="str" cm="1">
        <f t="array" ref="T640">_xlfn.TEXTJOIN(",",TRUE,MID(TRIM(_xlfn.TEXTSPLIT(us_core_reqs[[#This Row],[reference]],",")),FIND("#",TRIM(_xlfn.TEXTSPLIT(us_core_reqs[[#This Row],[reference]],","))&amp;"#")+1,1000))</f>
        <v>profile-specific-implementation-guidance</v>
      </c>
      <c r="U640"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t="s">
        <v>1171</v>
      </c>
      <c r="W640" t="s">
        <v>1171</v>
      </c>
      <c r="X640" t="s">
        <v>1171</v>
      </c>
      <c r="Y640" t="s">
        <v>1171</v>
      </c>
      <c r="Z640" t="s">
        <v>1171</v>
      </c>
      <c r="AA640" t="s">
        <v>1171</v>
      </c>
      <c r="AB640" t="s">
        <v>1171</v>
      </c>
      <c r="AC640" t="s">
        <v>405</v>
      </c>
      <c r="AD640" t="s">
        <v>1140</v>
      </c>
      <c r="AE640" t="s">
        <v>1156</v>
      </c>
    </row>
    <row r="641" spans="1:31" ht="103" thickBot="1" x14ac:dyDescent="0.25">
      <c r="A641" t="s">
        <v>1171</v>
      </c>
      <c r="B641" t="s">
        <v>1813</v>
      </c>
      <c r="C641" t="str">
        <f>"CONF-"&amp;TEXT(us_core_reqs[[#This Row],[ID*]], "0000")</f>
        <v>CONF-0853</v>
      </c>
      <c r="D641" s="11" t="s">
        <v>2261</v>
      </c>
      <c r="E641" s="73" t="str" cm="1">
        <f t="array" ref="E641">_xlfn.TEXTJOIN(", ", TRUE, _xlfn.TEXTAFTER(_xlfn.TEXTSPLIT(us_core_reqs[[#This Row],[URL*]], ", "), "/", -1))</f>
        <v>StructureDefinition-us-core-patient.html#profile-specific-implementation-guidance</v>
      </c>
      <c r="F641" s="11" t="s">
        <v>797</v>
      </c>
      <c r="G641" t="s">
        <v>29</v>
      </c>
      <c r="H641" cm="1">
        <f t="array" ref="H641">_xlfn.SWITCH(G641, "SHALL", 1, "SHOULD", 3, "MAY", 5, "SHOULD-NOT", 4, "SHALL-NOT", 2, "DEPRECATED", 6, 99)</f>
        <v>1</v>
      </c>
      <c r="J641" t="s">
        <v>58</v>
      </c>
      <c r="K641" t="s">
        <v>1171</v>
      </c>
      <c r="L641" t="s">
        <v>1171</v>
      </c>
      <c r="M641" t="s">
        <v>1176</v>
      </c>
      <c r="N641" t="s">
        <v>799</v>
      </c>
      <c r="O641" t="s">
        <v>1171</v>
      </c>
      <c r="P641" t="s">
        <v>1171</v>
      </c>
      <c r="Q641" t="s">
        <v>1171</v>
      </c>
      <c r="R641" t="s">
        <v>1171</v>
      </c>
      <c r="S641" s="70" t="str" cm="1">
        <f t="array" ref="S641">_xlfn.TEXTJOIN(",",TRUE,LEFT(TRIM(_xlfn.TEXTSPLIT(us_core_reqs[[#This Row],[reference]],",")),FIND(".html",TRIM(_xlfn.TEXTSPLIT(us_core_reqs[[#This Row],[reference]],",")))-1))</f>
        <v>StructureDefinition-us-core-patient</v>
      </c>
      <c r="T641" s="70" t="str" cm="1">
        <f t="array" ref="T641">_xlfn.TEXTJOIN(",",TRUE,MID(TRIM(_xlfn.TEXTSPLIT(us_core_reqs[[#This Row],[reference]],",")),FIND("#",TRIM(_xlfn.TEXTSPLIT(us_core_reqs[[#This Row],[reference]],","))&amp;"#")+1,1000))</f>
        <v>profile-specific-implementation-guidance</v>
      </c>
      <c r="U641"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t="s">
        <v>1171</v>
      </c>
      <c r="W641" t="s">
        <v>1171</v>
      </c>
      <c r="X641" t="s">
        <v>1171</v>
      </c>
      <c r="Y641" t="s">
        <v>1171</v>
      </c>
      <c r="Z641" t="s">
        <v>1171</v>
      </c>
      <c r="AA641" t="s">
        <v>1171</v>
      </c>
      <c r="AB641" t="s">
        <v>1171</v>
      </c>
      <c r="AC641" t="s">
        <v>1171</v>
      </c>
      <c r="AD641" t="s">
        <v>1171</v>
      </c>
      <c r="AE641" t="s">
        <v>1171</v>
      </c>
    </row>
    <row r="642" spans="1:31" ht="103" thickBot="1" x14ac:dyDescent="0.25">
      <c r="A642" t="s">
        <v>1171</v>
      </c>
      <c r="B642" t="s">
        <v>1814</v>
      </c>
      <c r="C642" t="str">
        <f>"CONF-"&amp;TEXT(us_core_reqs[[#This Row],[ID*]], "0000")</f>
        <v>CONF-0854</v>
      </c>
      <c r="D642" s="11" t="s">
        <v>2261</v>
      </c>
      <c r="E642" s="73" t="str" cm="1">
        <f t="array" ref="E642">_xlfn.TEXTJOIN(", ", TRUE, _xlfn.TEXTAFTER(_xlfn.TEXTSPLIT(us_core_reqs[[#This Row],[URL*]], ", "), "/", -1))</f>
        <v>StructureDefinition-us-core-patient.html#profile-specific-implementation-guidance</v>
      </c>
      <c r="F642" s="11" t="s">
        <v>798</v>
      </c>
      <c r="G642" t="s">
        <v>29</v>
      </c>
      <c r="H642" cm="1">
        <f t="array" ref="H642">_xlfn.SWITCH(G642, "SHALL", 1, "SHOULD", 3, "MAY", 5, "SHOULD-NOT", 4, "SHALL-NOT", 2, "DEPRECATED", 6, 99)</f>
        <v>1</v>
      </c>
      <c r="J642" t="s">
        <v>58</v>
      </c>
      <c r="K642" t="s">
        <v>1171</v>
      </c>
      <c r="L642" t="s">
        <v>1171</v>
      </c>
      <c r="M642" t="s">
        <v>1176</v>
      </c>
      <c r="N642" t="s">
        <v>799</v>
      </c>
      <c r="O642" t="s">
        <v>1171</v>
      </c>
      <c r="P642" t="s">
        <v>1171</v>
      </c>
      <c r="Q642" t="s">
        <v>1171</v>
      </c>
      <c r="R642" t="s">
        <v>1171</v>
      </c>
      <c r="S642" s="70" t="str" cm="1">
        <f t="array" ref="S642">_xlfn.TEXTJOIN(",",TRUE,LEFT(TRIM(_xlfn.TEXTSPLIT(us_core_reqs[[#This Row],[reference]],",")),FIND(".html",TRIM(_xlfn.TEXTSPLIT(us_core_reqs[[#This Row],[reference]],",")))-1))</f>
        <v>StructureDefinition-us-core-patient</v>
      </c>
      <c r="T642" s="70" t="str" cm="1">
        <f t="array" ref="T642">_xlfn.TEXTJOIN(",",TRUE,MID(TRIM(_xlfn.TEXTSPLIT(us_core_reqs[[#This Row],[reference]],",")),FIND("#",TRIM(_xlfn.TEXTSPLIT(us_core_reqs[[#This Row],[reference]],","))&amp;"#")+1,1000))</f>
        <v>profile-specific-implementation-guidance</v>
      </c>
      <c r="U642"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t="s">
        <v>1171</v>
      </c>
      <c r="W642" t="s">
        <v>1171</v>
      </c>
      <c r="X642" t="s">
        <v>1171</v>
      </c>
      <c r="Y642" t="s">
        <v>1171</v>
      </c>
      <c r="Z642" t="s">
        <v>1171</v>
      </c>
      <c r="AA642" t="s">
        <v>1171</v>
      </c>
      <c r="AB642" t="s">
        <v>1171</v>
      </c>
      <c r="AC642" t="s">
        <v>1171</v>
      </c>
      <c r="AD642" t="s">
        <v>1171</v>
      </c>
      <c r="AE642" t="s">
        <v>1171</v>
      </c>
    </row>
    <row r="643" spans="1:31" ht="69" thickBot="1" x14ac:dyDescent="0.25">
      <c r="A643" t="s">
        <v>1171</v>
      </c>
      <c r="B643" t="s">
        <v>1815</v>
      </c>
      <c r="C643" t="str">
        <f>"CONF-"&amp;TEXT(us_core_reqs[[#This Row],[ID*]], "0000")</f>
        <v>CONF-0855</v>
      </c>
      <c r="D643" s="11" t="s">
        <v>2291</v>
      </c>
      <c r="E643" s="73" t="str" cm="1">
        <f t="array" ref="E643">_xlfn.TEXTJOIN(", ", TRUE, _xlfn.TEXTAFTER(_xlfn.TEXTSPLIT(us_core_reqs[[#This Row],[URL*]], ", "), "/", -1))</f>
        <v>StructureDefinition-us-core-patient.html#profile-specific-implementation-guidance, StructureDefinition-us-core-encounter.html#profile-specific-implementation-guidance</v>
      </c>
      <c r="F643" s="11" t="s">
        <v>801</v>
      </c>
      <c r="G643" t="s">
        <v>32</v>
      </c>
      <c r="H643" cm="1">
        <f t="array" ref="H643">_xlfn.SWITCH(G643, "SHALL", 1, "SHOULD", 3, "MAY", 5, "SHOULD-NOT", 4, "SHALL-NOT", 2, "DEPRECATED", 6, 99)</f>
        <v>3</v>
      </c>
      <c r="J643" t="s">
        <v>30</v>
      </c>
      <c r="K643" t="s">
        <v>1171</v>
      </c>
      <c r="L643" t="s">
        <v>1171</v>
      </c>
      <c r="M643" t="s">
        <v>1173</v>
      </c>
      <c r="N643" t="s">
        <v>1171</v>
      </c>
      <c r="O643" t="s">
        <v>1171</v>
      </c>
      <c r="P643" t="s">
        <v>1171</v>
      </c>
      <c r="Q643" t="s">
        <v>1171</v>
      </c>
      <c r="R643" t="s">
        <v>1171</v>
      </c>
      <c r="S643" s="70" t="str" cm="1">
        <f t="array" ref="S643">_xlfn.TEXTJOIN(",",TRUE,LEFT(TRIM(_xlfn.TEXTSPLIT(us_core_reqs[[#This Row],[reference]],",")),FIND(".html",TRIM(_xlfn.TEXTSPLIT(us_core_reqs[[#This Row],[reference]],",")))-1))</f>
        <v>StructureDefinition-us-core-patient,StructureDefinition-us-core-encounter</v>
      </c>
      <c r="T643" s="70" t="str" cm="1">
        <f t="array" ref="T643">_xlfn.TEXTJOIN(",",TRUE,MID(TRIM(_xlfn.TEXTSPLIT(us_core_reqs[[#This Row],[reference]],",")),FIND("#",TRIM(_xlfn.TEXTSPLIT(us_core_reqs[[#This Row],[reference]],","))&amp;"#")+1,1000))</f>
        <v>profile-specific-implementation-guidance,profile-specific-implementation-guidance</v>
      </c>
      <c r="U643"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t="s">
        <v>1171</v>
      </c>
      <c r="W643" t="s">
        <v>1171</v>
      </c>
      <c r="X643" t="s">
        <v>1171</v>
      </c>
      <c r="Y643" t="s">
        <v>1171</v>
      </c>
      <c r="Z643" t="s">
        <v>1171</v>
      </c>
      <c r="AA643" t="s">
        <v>1171</v>
      </c>
      <c r="AB643" t="s">
        <v>1171</v>
      </c>
      <c r="AC643" t="s">
        <v>1171</v>
      </c>
      <c r="AD643" t="s">
        <v>1171</v>
      </c>
      <c r="AE643" t="s">
        <v>1171</v>
      </c>
    </row>
    <row r="644" spans="1:31" ht="35" thickBot="1" x14ac:dyDescent="0.25">
      <c r="A644" t="s">
        <v>1171</v>
      </c>
      <c r="B644" t="s">
        <v>1816</v>
      </c>
      <c r="C644" t="str">
        <f>"CONF-"&amp;TEXT(us_core_reqs[[#This Row],[ID*]], "0000")</f>
        <v>CONF-0856</v>
      </c>
      <c r="D644" s="11" t="s">
        <v>2263</v>
      </c>
      <c r="E644" s="73" t="str" cm="1">
        <f t="array" ref="E644">_xlfn.TEXTJOIN(", ", TRUE, _xlfn.TEXTAFTER(_xlfn.TEXTSPLIT(us_core_reqs[[#This Row],[URL*]], ", "), "/", -1))</f>
        <v>StructureDefinition-us-core-procedure.html#profile-specific-implementation-guidance</v>
      </c>
      <c r="F644" s="11" t="s">
        <v>806</v>
      </c>
      <c r="G644" t="s">
        <v>64</v>
      </c>
      <c r="H644" cm="1">
        <f t="array" ref="H644">_xlfn.SWITCH(G644, "SHALL", 1, "SHOULD", 3, "MAY", 5, "SHOULD-NOT", 4, "SHALL-NOT", 2, "DEPRECATED", 6, 99)</f>
        <v>6</v>
      </c>
      <c r="I644" t="s">
        <v>2321</v>
      </c>
      <c r="J644" t="s">
        <v>30</v>
      </c>
      <c r="K644" t="s">
        <v>1171</v>
      </c>
      <c r="L644" t="s">
        <v>1171</v>
      </c>
      <c r="M644" t="s">
        <v>1176</v>
      </c>
      <c r="N644" t="s">
        <v>808</v>
      </c>
      <c r="O644" t="s">
        <v>1171</v>
      </c>
      <c r="P644" t="s">
        <v>1171</v>
      </c>
      <c r="Q644" t="s">
        <v>1171</v>
      </c>
      <c r="R644" t="s">
        <v>1171</v>
      </c>
      <c r="S644" s="70" t="str" cm="1">
        <f t="array" ref="S644">_xlfn.TEXTJOIN(",",TRUE,LEFT(TRIM(_xlfn.TEXTSPLIT(us_core_reqs[[#This Row],[reference]],",")),FIND(".html",TRIM(_xlfn.TEXTSPLIT(us_core_reqs[[#This Row],[reference]],",")))-1))</f>
        <v>StructureDefinition-us-core-procedure</v>
      </c>
      <c r="T644" s="70" t="str" cm="1">
        <f t="array" ref="T644">_xlfn.TEXTJOIN(",",TRUE,MID(TRIM(_xlfn.TEXTSPLIT(us_core_reqs[[#This Row],[reference]],",")),FIND("#",TRIM(_xlfn.TEXTSPLIT(us_core_reqs[[#This Row],[reference]],","))&amp;"#")+1,1000))</f>
        <v>profile-specific-implementation-guidance</v>
      </c>
      <c r="U644"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t="s">
        <v>1171</v>
      </c>
      <c r="W644" t="s">
        <v>1171</v>
      </c>
      <c r="X644" t="s">
        <v>1171</v>
      </c>
      <c r="Y644" t="s">
        <v>1171</v>
      </c>
      <c r="Z644" t="s">
        <v>1171</v>
      </c>
      <c r="AA644" t="s">
        <v>1171</v>
      </c>
      <c r="AB644" t="s">
        <v>1171</v>
      </c>
      <c r="AC644" t="s">
        <v>1171</v>
      </c>
      <c r="AD644" t="s">
        <v>1140</v>
      </c>
      <c r="AE644" t="s">
        <v>1154</v>
      </c>
    </row>
    <row r="645" spans="1:31" ht="69" thickBot="1" x14ac:dyDescent="0.25">
      <c r="A645" t="s">
        <v>1171</v>
      </c>
      <c r="B645" t="s">
        <v>1817</v>
      </c>
      <c r="C645" t="str">
        <f>"CONF-"&amp;TEXT(us_core_reqs[[#This Row],[ID*]], "0000")</f>
        <v>CONF-0857</v>
      </c>
      <c r="D645" s="11" t="s">
        <v>815</v>
      </c>
      <c r="E645" s="73" t="str" cm="1">
        <f t="array" ref="E645">_xlfn.TEXTJOIN(", ", TRUE, _xlfn.TEXTAFTER(_xlfn.TEXTSPLIT(us_core_reqs[[#This Row],[URL*]], ", "), "/", -1))</f>
        <v>StructureDefinition-us-core-servicerequest.html#root</v>
      </c>
      <c r="F645" s="79" t="s">
        <v>2331</v>
      </c>
      <c r="G645" t="s">
        <v>32</v>
      </c>
      <c r="H645" cm="1">
        <f t="array" ref="H645">_xlfn.SWITCH(G645, "SHALL", 1, "SHOULD", 3, "MAY", 5, "SHOULD-NOT", 4, "SHALL-NOT", 2, "DEPRECATED", 6, 99)</f>
        <v>3</v>
      </c>
      <c r="J645" t="s">
        <v>30</v>
      </c>
      <c r="K645" t="s">
        <v>1171</v>
      </c>
      <c r="L645" t="s">
        <v>1171</v>
      </c>
      <c r="M645" t="s">
        <v>1173</v>
      </c>
      <c r="N645" t="s">
        <v>1171</v>
      </c>
      <c r="O645" t="s">
        <v>1171</v>
      </c>
      <c r="P645" t="s">
        <v>1171</v>
      </c>
      <c r="Q645" t="s">
        <v>1171</v>
      </c>
      <c r="R645" t="s">
        <v>1171</v>
      </c>
      <c r="S645" s="70" t="str" cm="1">
        <f t="array" ref="S645">_xlfn.TEXTJOIN(",",TRUE,LEFT(TRIM(_xlfn.TEXTSPLIT(us_core_reqs[[#This Row],[reference]],",")),FIND(".html",TRIM(_xlfn.TEXTSPLIT(us_core_reqs[[#This Row],[reference]],",")))-1))</f>
        <v>StructureDefinition-us-core-servicerequest</v>
      </c>
      <c r="T645" s="70" t="str" cm="1">
        <f t="array" ref="T645">_xlfn.TEXTJOIN(",",TRUE,MID(TRIM(_xlfn.TEXTSPLIT(us_core_reqs[[#This Row],[reference]],",")),FIND("#",TRIM(_xlfn.TEXTSPLIT(us_core_reqs[[#This Row],[reference]],","))&amp;"#")+1,1000))</f>
        <v>root</v>
      </c>
      <c r="U645" t="str" cm="1">
        <f t="array" ref="U645">_xlfn.TEXTJOIN(", ",TRUE,SUBSTITUTE(SUBSTITUTE(PROPER(SUBSTITUTE(TRIM(_xlfn.TEXTSPLIT(us_core_reqs[[#This Row],[Page]],","))," -"," "))&amp;": "&amp;PROPER(SUBSTITUTE(TRIM(_xlfn.TEXTSPLIT(us_core_reqs[[#This Row],[Section]],","))," -"," ")),"Us ","US        
  "),"Uscdi","USCDI"))</f>
        <v>Structuredefinition-Us-Core-Servicerequest: Root</v>
      </c>
      <c r="V645" t="s">
        <v>1171</v>
      </c>
      <c r="W645" t="s">
        <v>1171</v>
      </c>
      <c r="X645" t="s">
        <v>1171</v>
      </c>
      <c r="Y645" t="s">
        <v>1171</v>
      </c>
      <c r="Z645" t="s">
        <v>1171</v>
      </c>
      <c r="AA645" t="s">
        <v>1171</v>
      </c>
      <c r="AB645" t="s">
        <v>1171</v>
      </c>
      <c r="AC645" t="s">
        <v>1171</v>
      </c>
      <c r="AD645" t="s">
        <v>1171</v>
      </c>
      <c r="AE645" t="s">
        <v>1171</v>
      </c>
    </row>
    <row r="646" spans="1:31" ht="290" thickBot="1" x14ac:dyDescent="0.25">
      <c r="A646" t="s">
        <v>1171</v>
      </c>
      <c r="B646" t="s">
        <v>1818</v>
      </c>
      <c r="C646" t="str">
        <f>"CONF-"&amp;TEXT(us_core_reqs[[#This Row],[ID*]], "0000")</f>
        <v>CONF-0858</v>
      </c>
      <c r="D646" s="11" t="s">
        <v>815</v>
      </c>
      <c r="E646" s="73" t="str" cm="1">
        <f t="array" ref="E646">_xlfn.TEXTJOIN(", ", TRUE, _xlfn.TEXTAFTER(_xlfn.TEXTSPLIT(us_core_reqs[[#This Row],[URL*]], ", "), "/", -1))</f>
        <v>StructureDefinition-us-core-servicerequest.html#root</v>
      </c>
      <c r="F646" s="11" t="s">
        <v>2021</v>
      </c>
      <c r="G646" t="s">
        <v>64</v>
      </c>
      <c r="H646" cm="1">
        <f t="array" ref="H646">_xlfn.SWITCH(G646, "SHALL", 1, "SHOULD", 3, "MAY", 5, "SHOULD-NOT", 4, "SHALL-NOT", 2, "DEPRECATED", 6, 99)</f>
        <v>6</v>
      </c>
      <c r="J646" t="s">
        <v>30</v>
      </c>
      <c r="K646" t="s">
        <v>1171</v>
      </c>
      <c r="L646" t="s">
        <v>1171</v>
      </c>
      <c r="M646" t="s">
        <v>1173</v>
      </c>
      <c r="N646" t="s">
        <v>1171</v>
      </c>
      <c r="O646" t="s">
        <v>1171</v>
      </c>
      <c r="P646" t="s">
        <v>1171</v>
      </c>
      <c r="Q646" t="s">
        <v>1171</v>
      </c>
      <c r="R646" t="s">
        <v>1171</v>
      </c>
      <c r="S646" s="70" t="str" cm="1">
        <f t="array" ref="S646">_xlfn.TEXTJOIN(",",TRUE,LEFT(TRIM(_xlfn.TEXTSPLIT(us_core_reqs[[#This Row],[reference]],",")),FIND(".html",TRIM(_xlfn.TEXTSPLIT(us_core_reqs[[#This Row],[reference]],",")))-1))</f>
        <v>StructureDefinition-us-core-servicerequest</v>
      </c>
      <c r="T646" s="70" t="str" cm="1">
        <f t="array" ref="T646">_xlfn.TEXTJOIN(",",TRUE,MID(TRIM(_xlfn.TEXTSPLIT(us_core_reqs[[#This Row],[reference]],",")),FIND("#",TRIM(_xlfn.TEXTSPLIT(us_core_reqs[[#This Row],[reference]],","))&amp;"#")+1,1000))</f>
        <v>root</v>
      </c>
      <c r="U646" t="str" cm="1">
        <f t="array" ref="U646">_xlfn.TEXTJOIN(", ",TRUE,SUBSTITUTE(SUBSTITUTE(PROPER(SUBSTITUTE(TRIM(_xlfn.TEXTSPLIT(us_core_reqs[[#This Row],[Page]],","))," -"," "))&amp;": "&amp;PROPER(SUBSTITUTE(TRIM(_xlfn.TEXTSPLIT(us_core_reqs[[#This Row],[Section]],","))," -"," ")),"Us ","US        
  "),"Uscdi","USCDI"))</f>
        <v>Structuredefinition-Us-Core-Servicerequest: Root</v>
      </c>
      <c r="V646" t="s">
        <v>1171</v>
      </c>
      <c r="W646" t="s">
        <v>1171</v>
      </c>
      <c r="X646" t="s">
        <v>1171</v>
      </c>
      <c r="Y646" t="s">
        <v>1171</v>
      </c>
      <c r="Z646" t="s">
        <v>1171</v>
      </c>
      <c r="AA646" t="s">
        <v>1171</v>
      </c>
      <c r="AB646" t="s">
        <v>1171</v>
      </c>
      <c r="AC646" t="s">
        <v>1171</v>
      </c>
      <c r="AD646" t="s">
        <v>1171</v>
      </c>
      <c r="AE646" t="s">
        <v>1171</v>
      </c>
    </row>
    <row r="647" spans="1:31" ht="154" thickBot="1" x14ac:dyDescent="0.25">
      <c r="A647" t="s">
        <v>1171</v>
      </c>
      <c r="B647" t="s">
        <v>1819</v>
      </c>
      <c r="C647" t="str">
        <f>"CONF-"&amp;TEXT(us_core_reqs[[#This Row],[ID*]], "0000")</f>
        <v>CONF-0859</v>
      </c>
      <c r="D647" s="11" t="s">
        <v>815</v>
      </c>
      <c r="E647" s="73" t="str" cm="1">
        <f t="array" ref="E647">_xlfn.TEXTJOIN(", ", TRUE, _xlfn.TEXTAFTER(_xlfn.TEXTSPLIT(us_core_reqs[[#This Row],[URL*]], ", "), "/", -1))</f>
        <v>StructureDefinition-us-core-servicerequest.html#root</v>
      </c>
      <c r="F647" s="11" t="s">
        <v>2022</v>
      </c>
      <c r="G647" t="s">
        <v>64</v>
      </c>
      <c r="H647" cm="1">
        <f t="array" ref="H647">_xlfn.SWITCH(G647, "SHALL", 1, "SHOULD", 3, "MAY", 5, "SHOULD-NOT", 4, "SHALL-NOT", 2, "DEPRECATED", 6, 99)</f>
        <v>6</v>
      </c>
      <c r="J647" t="s">
        <v>30</v>
      </c>
      <c r="K647" t="s">
        <v>1171</v>
      </c>
      <c r="L647" t="s">
        <v>1171</v>
      </c>
      <c r="M647" t="s">
        <v>1173</v>
      </c>
      <c r="N647" t="s">
        <v>1171</v>
      </c>
      <c r="O647" t="s">
        <v>1171</v>
      </c>
      <c r="P647" t="s">
        <v>1171</v>
      </c>
      <c r="Q647" t="s">
        <v>1171</v>
      </c>
      <c r="R647" t="s">
        <v>1171</v>
      </c>
      <c r="S647" s="70" t="str" cm="1">
        <f t="array" ref="S647">_xlfn.TEXTJOIN(",",TRUE,LEFT(TRIM(_xlfn.TEXTSPLIT(us_core_reqs[[#This Row],[reference]],",")),FIND(".html",TRIM(_xlfn.TEXTSPLIT(us_core_reqs[[#This Row],[reference]],",")))-1))</f>
        <v>StructureDefinition-us-core-servicerequest</v>
      </c>
      <c r="T647" s="70" t="str" cm="1">
        <f t="array" ref="T647">_xlfn.TEXTJOIN(",",TRUE,MID(TRIM(_xlfn.TEXTSPLIT(us_core_reqs[[#This Row],[reference]],",")),FIND("#",TRIM(_xlfn.TEXTSPLIT(us_core_reqs[[#This Row],[reference]],","))&amp;"#")+1,1000))</f>
        <v>root</v>
      </c>
      <c r="U647" t="str" cm="1">
        <f t="array" ref="U647">_xlfn.TEXTJOIN(", ",TRUE,SUBSTITUTE(SUBSTITUTE(PROPER(SUBSTITUTE(TRIM(_xlfn.TEXTSPLIT(us_core_reqs[[#This Row],[Page]],","))," -"," "))&amp;": "&amp;PROPER(SUBSTITUTE(TRIM(_xlfn.TEXTSPLIT(us_core_reqs[[#This Row],[Section]],","))," -"," ")),"Us ","US        
  "),"Uscdi","USCDI"))</f>
        <v>Structuredefinition-Us-Core-Servicerequest: Root</v>
      </c>
      <c r="V647" t="s">
        <v>1171</v>
      </c>
      <c r="W647" t="s">
        <v>1171</v>
      </c>
      <c r="X647" t="s">
        <v>1171</v>
      </c>
      <c r="Y647" t="s">
        <v>1171</v>
      </c>
      <c r="Z647" t="s">
        <v>1171</v>
      </c>
      <c r="AA647" t="s">
        <v>1171</v>
      </c>
      <c r="AB647" t="s">
        <v>1171</v>
      </c>
      <c r="AC647" t="s">
        <v>1171</v>
      </c>
      <c r="AD647" t="s">
        <v>1171</v>
      </c>
      <c r="AE647" t="s">
        <v>1171</v>
      </c>
    </row>
    <row r="648" spans="1:31" ht="290" thickBot="1" x14ac:dyDescent="0.25">
      <c r="A648" t="s">
        <v>1171</v>
      </c>
      <c r="B648" t="s">
        <v>1820</v>
      </c>
      <c r="C648" t="str">
        <f>"CONF-"&amp;TEXT(us_core_reqs[[#This Row],[ID*]], "0000")</f>
        <v>CONF-0860</v>
      </c>
      <c r="D648" s="11" t="s">
        <v>815</v>
      </c>
      <c r="E648" s="73" t="str" cm="1">
        <f t="array" ref="E648">_xlfn.TEXTJOIN(", ", TRUE, _xlfn.TEXTAFTER(_xlfn.TEXTSPLIT(us_core_reqs[[#This Row],[URL*]], ", "), "/", -1))</f>
        <v>StructureDefinition-us-core-servicerequest.html#root</v>
      </c>
      <c r="F648" s="11" t="s">
        <v>2023</v>
      </c>
      <c r="G648" t="s">
        <v>64</v>
      </c>
      <c r="H648" cm="1">
        <f t="array" ref="H648">_xlfn.SWITCH(G648, "SHALL", 1, "SHOULD", 3, "MAY", 5, "SHOULD-NOT", 4, "SHALL-NOT", 2, "DEPRECATED", 6, 99)</f>
        <v>6</v>
      </c>
      <c r="J648" t="s">
        <v>30</v>
      </c>
      <c r="K648" t="s">
        <v>1171</v>
      </c>
      <c r="L648" t="s">
        <v>1171</v>
      </c>
      <c r="M648" t="s">
        <v>1173</v>
      </c>
      <c r="N648" t="s">
        <v>1171</v>
      </c>
      <c r="O648" t="s">
        <v>1171</v>
      </c>
      <c r="P648" t="s">
        <v>1171</v>
      </c>
      <c r="Q648" t="s">
        <v>1171</v>
      </c>
      <c r="R648" t="s">
        <v>1171</v>
      </c>
      <c r="S648" s="70" t="str" cm="1">
        <f t="array" ref="S648">_xlfn.TEXTJOIN(",",TRUE,LEFT(TRIM(_xlfn.TEXTSPLIT(us_core_reqs[[#This Row],[reference]],",")),FIND(".html",TRIM(_xlfn.TEXTSPLIT(us_core_reqs[[#This Row],[reference]],",")))-1))</f>
        <v>StructureDefinition-us-core-servicerequest</v>
      </c>
      <c r="T648" s="70" t="str" cm="1">
        <f t="array" ref="T648">_xlfn.TEXTJOIN(",",TRUE,MID(TRIM(_xlfn.TEXTSPLIT(us_core_reqs[[#This Row],[reference]],",")),FIND("#",TRIM(_xlfn.TEXTSPLIT(us_core_reqs[[#This Row],[reference]],","))&amp;"#")+1,1000))</f>
        <v>root</v>
      </c>
      <c r="U648" t="str" cm="1">
        <f t="array" ref="U648">_xlfn.TEXTJOIN(", ",TRUE,SUBSTITUTE(SUBSTITUTE(PROPER(SUBSTITUTE(TRIM(_xlfn.TEXTSPLIT(us_core_reqs[[#This Row],[Page]],","))," -"," "))&amp;": "&amp;PROPER(SUBSTITUTE(TRIM(_xlfn.TEXTSPLIT(us_core_reqs[[#This Row],[Section]],","))," -"," ")),"Us ","US        
  "),"Uscdi","USCDI"))</f>
        <v>Structuredefinition-Us-Core-Servicerequest: Root</v>
      </c>
      <c r="V648" t="s">
        <v>1171</v>
      </c>
      <c r="W648" t="s">
        <v>1171</v>
      </c>
      <c r="X648" t="s">
        <v>1171</v>
      </c>
      <c r="Y648" t="s">
        <v>1171</v>
      </c>
      <c r="Z648" t="s">
        <v>1171</v>
      </c>
      <c r="AA648" t="s">
        <v>1171</v>
      </c>
      <c r="AB648" t="s">
        <v>1171</v>
      </c>
      <c r="AC648" t="s">
        <v>1171</v>
      </c>
      <c r="AD648" t="s">
        <v>1171</v>
      </c>
      <c r="AE648" t="s">
        <v>1171</v>
      </c>
    </row>
    <row r="649" spans="1:31" ht="154" thickBot="1" x14ac:dyDescent="0.25">
      <c r="A649" t="s">
        <v>1171</v>
      </c>
      <c r="B649" t="s">
        <v>1821</v>
      </c>
      <c r="C649" t="str">
        <f>"CONF-"&amp;TEXT(us_core_reqs[[#This Row],[ID*]], "0000")</f>
        <v>CONF-0861</v>
      </c>
      <c r="D649" s="11" t="s">
        <v>2252</v>
      </c>
      <c r="E649" s="73" t="str" cm="1">
        <f t="array" ref="E649">_xlfn.TEXTJOIN(", ", TRUE, _xlfn.TEXTAFTER(_xlfn.TEXTSPLIT(us_core_reqs[[#This Row],[URL*]], ", "), "/", -1))</f>
        <v>StructureDefinition-us-core-simple-observation.html#profile-specific-implementation-guidance</v>
      </c>
      <c r="F649" s="11" t="s">
        <v>1127</v>
      </c>
      <c r="G649" t="s">
        <v>32</v>
      </c>
      <c r="H649" cm="1">
        <f t="array" ref="H649">_xlfn.SWITCH(G649, "SHALL", 1, "SHOULD", 3, "MAY", 5, "SHOULD-NOT", 4, "SHALL-NOT", 2, "DEPRECATED", 6, 99)</f>
        <v>3</v>
      </c>
      <c r="J649" t="s">
        <v>30</v>
      </c>
      <c r="K649" t="b">
        <v>1</v>
      </c>
      <c r="L649" t="s">
        <v>1171</v>
      </c>
      <c r="M649" t="s">
        <v>1176</v>
      </c>
      <c r="N649" t="s">
        <v>1135</v>
      </c>
      <c r="O649" t="s">
        <v>1171</v>
      </c>
      <c r="P649" t="s">
        <v>1171</v>
      </c>
      <c r="Q649" t="s">
        <v>1171</v>
      </c>
      <c r="R649" t="s">
        <v>1171</v>
      </c>
      <c r="S649" s="70" t="str" cm="1">
        <f t="array" ref="S649">_xlfn.TEXTJOIN(",",TRUE,LEFT(TRIM(_xlfn.TEXTSPLIT(us_core_reqs[[#This Row],[reference]],",")),FIND(".html",TRIM(_xlfn.TEXTSPLIT(us_core_reqs[[#This Row],[reference]],",")))-1))</f>
        <v>StructureDefinition-us-core-simple-observation</v>
      </c>
      <c r="T649" s="70" t="str" cm="1">
        <f t="array" ref="T649">_xlfn.TEXTJOIN(",",TRUE,MID(TRIM(_xlfn.TEXTSPLIT(us_core_reqs[[#This Row],[reference]],",")),FIND("#",TRIM(_xlfn.TEXTSPLIT(us_core_reqs[[#This Row],[reference]],","))&amp;"#")+1,1000))</f>
        <v>profile-specific-implementation-guidance</v>
      </c>
      <c r="U649"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t="s">
        <v>1171</v>
      </c>
      <c r="W649" t="s">
        <v>1171</v>
      </c>
      <c r="X649" t="s">
        <v>1171</v>
      </c>
      <c r="Y649" t="s">
        <v>1171</v>
      </c>
      <c r="Z649" t="s">
        <v>1171</v>
      </c>
      <c r="AA649" t="s">
        <v>1171</v>
      </c>
      <c r="AB649" t="s">
        <v>1171</v>
      </c>
      <c r="AC649" t="s">
        <v>1171</v>
      </c>
      <c r="AD649" t="s">
        <v>1171</v>
      </c>
      <c r="AE649" t="s">
        <v>1171</v>
      </c>
    </row>
    <row r="650" spans="1:31" ht="103" thickBot="1" x14ac:dyDescent="0.25">
      <c r="A650" t="s">
        <v>1171</v>
      </c>
      <c r="B650" t="s">
        <v>1822</v>
      </c>
      <c r="C650" t="str">
        <f>"CONF-"&amp;TEXT(us_core_reqs[[#This Row],[ID*]], "0000")</f>
        <v>CONF-0862</v>
      </c>
      <c r="D650" s="11" t="s">
        <v>2252</v>
      </c>
      <c r="E650" s="73" t="str" cm="1">
        <f t="array" ref="E650">_xlfn.TEXTJOIN(", ", TRUE, _xlfn.TEXTAFTER(_xlfn.TEXTSPLIT(us_core_reqs[[#This Row],[URL*]], ", "), "/", -1))</f>
        <v>StructureDefinition-us-core-simple-observation.html#profile-specific-implementation-guidance</v>
      </c>
      <c r="F650" s="11" t="s">
        <v>1128</v>
      </c>
      <c r="G650" t="s">
        <v>29</v>
      </c>
      <c r="H650" cm="1">
        <f t="array" ref="H650">_xlfn.SWITCH(G650, "SHALL", 1, "SHOULD", 3, "MAY", 5, "SHOULD-NOT", 4, "SHALL-NOT", 2, "DEPRECATED", 6, 99)</f>
        <v>1</v>
      </c>
      <c r="J650" t="s">
        <v>30</v>
      </c>
      <c r="K650" t="b">
        <v>1</v>
      </c>
      <c r="L650" t="s">
        <v>1171</v>
      </c>
      <c r="M650" t="s">
        <v>1176</v>
      </c>
      <c r="N650" t="s">
        <v>1135</v>
      </c>
      <c r="O650" t="s">
        <v>1171</v>
      </c>
      <c r="P650" t="s">
        <v>1171</v>
      </c>
      <c r="Q650" t="s">
        <v>1171</v>
      </c>
      <c r="R650" t="s">
        <v>1171</v>
      </c>
      <c r="S650" s="70" t="str" cm="1">
        <f t="array" ref="S650">_xlfn.TEXTJOIN(",",TRUE,LEFT(TRIM(_xlfn.TEXTSPLIT(us_core_reqs[[#This Row],[reference]],",")),FIND(".html",TRIM(_xlfn.TEXTSPLIT(us_core_reqs[[#This Row],[reference]],",")))-1))</f>
        <v>StructureDefinition-us-core-simple-observation</v>
      </c>
      <c r="T650" s="70" t="str" cm="1">
        <f t="array" ref="T650">_xlfn.TEXTJOIN(",",TRUE,MID(TRIM(_xlfn.TEXTSPLIT(us_core_reqs[[#This Row],[reference]],",")),FIND("#",TRIM(_xlfn.TEXTSPLIT(us_core_reqs[[#This Row],[reference]],","))&amp;"#")+1,1000))</f>
        <v>profile-specific-implementation-guidance</v>
      </c>
      <c r="U650"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t="s">
        <v>1171</v>
      </c>
      <c r="W650" t="s">
        <v>1171</v>
      </c>
      <c r="X650" t="s">
        <v>1171</v>
      </c>
      <c r="Y650" t="s">
        <v>1171</v>
      </c>
      <c r="Z650" t="s">
        <v>1171</v>
      </c>
      <c r="AA650" t="s">
        <v>1171</v>
      </c>
      <c r="AB650" t="s">
        <v>1171</v>
      </c>
      <c r="AC650" t="s">
        <v>405</v>
      </c>
      <c r="AD650" t="s">
        <v>1140</v>
      </c>
      <c r="AE650" t="s">
        <v>1156</v>
      </c>
    </row>
    <row r="651" spans="1:31" ht="171" thickBot="1" x14ac:dyDescent="0.25">
      <c r="A651" t="s">
        <v>1171</v>
      </c>
      <c r="B651" t="s">
        <v>1823</v>
      </c>
      <c r="C651" t="str">
        <f>"CONF-"&amp;TEXT(us_core_reqs[[#This Row],[ID*]], "0000")</f>
        <v>CONF-0863</v>
      </c>
      <c r="D651" s="11" t="s">
        <v>2252</v>
      </c>
      <c r="E651" s="73" t="str" cm="1">
        <f t="array" ref="E651">_xlfn.TEXTJOIN(", ", TRUE, _xlfn.TEXTAFTER(_xlfn.TEXTSPLIT(us_core_reqs[[#This Row],[URL*]], ", "), "/", -1))</f>
        <v>StructureDefinition-us-core-simple-observation.html#profile-specific-implementation-guidance</v>
      </c>
      <c r="F651" s="11" t="s">
        <v>1129</v>
      </c>
      <c r="G651" t="s">
        <v>35</v>
      </c>
      <c r="H651" cm="1">
        <f t="array" ref="H651">_xlfn.SWITCH(G651, "SHALL", 1, "SHOULD", 3, "MAY", 5, "SHOULD-NOT", 4, "SHALL-NOT", 2, "DEPRECATED", 6, 99)</f>
        <v>5</v>
      </c>
      <c r="J651" t="s">
        <v>30</v>
      </c>
      <c r="K651" t="b">
        <v>1</v>
      </c>
      <c r="L651" t="s">
        <v>1171</v>
      </c>
      <c r="M651" t="s">
        <v>1176</v>
      </c>
      <c r="N651" t="s">
        <v>1135</v>
      </c>
      <c r="O651" t="s">
        <v>1171</v>
      </c>
      <c r="P651" t="s">
        <v>1171</v>
      </c>
      <c r="Q651" t="s">
        <v>1171</v>
      </c>
      <c r="R651" t="s">
        <v>1171</v>
      </c>
      <c r="S651" s="70" t="str" cm="1">
        <f t="array" ref="S651">_xlfn.TEXTJOIN(",",TRUE,LEFT(TRIM(_xlfn.TEXTSPLIT(us_core_reqs[[#This Row],[reference]],",")),FIND(".html",TRIM(_xlfn.TEXTSPLIT(us_core_reqs[[#This Row],[reference]],",")))-1))</f>
        <v>StructureDefinition-us-core-simple-observation</v>
      </c>
      <c r="T651" s="70" t="str" cm="1">
        <f t="array" ref="T651">_xlfn.TEXTJOIN(",",TRUE,MID(TRIM(_xlfn.TEXTSPLIT(us_core_reqs[[#This Row],[reference]],",")),FIND("#",TRIM(_xlfn.TEXTSPLIT(us_core_reqs[[#This Row],[reference]],","))&amp;"#")+1,1000))</f>
        <v>profile-specific-implementation-guidance</v>
      </c>
      <c r="U651"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t="s">
        <v>1171</v>
      </c>
      <c r="W651" t="s">
        <v>1171</v>
      </c>
      <c r="X651" t="s">
        <v>1171</v>
      </c>
      <c r="Y651" t="s">
        <v>1171</v>
      </c>
      <c r="Z651" t="s">
        <v>1171</v>
      </c>
      <c r="AA651" t="s">
        <v>1171</v>
      </c>
      <c r="AB651" t="s">
        <v>1171</v>
      </c>
      <c r="AC651" t="s">
        <v>1171</v>
      </c>
      <c r="AD651" t="s">
        <v>1171</v>
      </c>
      <c r="AE651" t="s">
        <v>1171</v>
      </c>
    </row>
    <row r="652" spans="1:31" ht="52" thickBot="1" x14ac:dyDescent="0.25">
      <c r="A652" t="s">
        <v>1171</v>
      </c>
      <c r="B652" t="s">
        <v>1824</v>
      </c>
      <c r="C652" t="str">
        <f>"CONF-"&amp;TEXT(us_core_reqs[[#This Row],[ID*]], "0000")</f>
        <v>CONF-0864</v>
      </c>
      <c r="D652" s="69" t="s">
        <v>2252</v>
      </c>
      <c r="E652" s="73" t="str" cm="1">
        <f t="array" ref="E652">_xlfn.TEXTJOIN(", ", TRUE, _xlfn.TEXTAFTER(_xlfn.TEXTSPLIT(us_core_reqs[[#This Row],[URL*]], ", "), "/", -1))</f>
        <v>StructureDefinition-us-core-simple-observation.html#profile-specific-implementation-guidance</v>
      </c>
      <c r="F652" s="11" t="s">
        <v>1126</v>
      </c>
      <c r="G652" t="s">
        <v>64</v>
      </c>
      <c r="H652" cm="1">
        <f t="array" ref="H652">_xlfn.SWITCH(G652, "SHALL", 1, "SHOULD", 3, "MAY", 5, "SHOULD-NOT", 4, "SHALL-NOT", 2, "DEPRECATED", 6, 99)</f>
        <v>6</v>
      </c>
      <c r="I652" t="s">
        <v>2312</v>
      </c>
      <c r="J652" t="s">
        <v>30</v>
      </c>
      <c r="K652" t="s">
        <v>1171</v>
      </c>
      <c r="L652" t="s">
        <v>1171</v>
      </c>
      <c r="M652" t="s">
        <v>1173</v>
      </c>
      <c r="N652" t="s">
        <v>1171</v>
      </c>
      <c r="O652" t="s">
        <v>1171</v>
      </c>
      <c r="P652" t="s">
        <v>1171</v>
      </c>
      <c r="Q652" t="s">
        <v>45</v>
      </c>
      <c r="R652" t="s">
        <v>1159</v>
      </c>
      <c r="S652" s="70" t="str" cm="1">
        <f t="array" ref="S652">_xlfn.TEXTJOIN(",",TRUE,LEFT(TRIM(_xlfn.TEXTSPLIT(us_core_reqs[[#This Row],[reference]],",")),FIND(".html",TRIM(_xlfn.TEXTSPLIT(us_core_reqs[[#This Row],[reference]],",")))-1))</f>
        <v>StructureDefinition-us-core-simple-observation</v>
      </c>
      <c r="T652" s="70" t="str" cm="1">
        <f t="array" ref="T652">_xlfn.TEXTJOIN(",",TRUE,MID(TRIM(_xlfn.TEXTSPLIT(us_core_reqs[[#This Row],[reference]],",")),FIND("#",TRIM(_xlfn.TEXTSPLIT(us_core_reqs[[#This Row],[reference]],","))&amp;"#")+1,1000))</f>
        <v>profile-specific-implementation-guidance</v>
      </c>
      <c r="U652"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t="s">
        <v>1171</v>
      </c>
      <c r="W652" t="s">
        <v>1171</v>
      </c>
      <c r="X652" t="s">
        <v>1171</v>
      </c>
      <c r="Y652" t="s">
        <v>1171</v>
      </c>
      <c r="Z652" t="s">
        <v>1171</v>
      </c>
      <c r="AA652" t="s">
        <v>1171</v>
      </c>
      <c r="AB652" t="s">
        <v>1171</v>
      </c>
      <c r="AC652" t="s">
        <v>1158</v>
      </c>
      <c r="AD652" t="s">
        <v>1140</v>
      </c>
      <c r="AE652" t="s">
        <v>1154</v>
      </c>
    </row>
    <row r="653" spans="1:31" ht="35" thickBot="1" x14ac:dyDescent="0.25">
      <c r="A653" t="s">
        <v>1171</v>
      </c>
      <c r="B653" t="s">
        <v>1825</v>
      </c>
      <c r="C653" t="str">
        <f>"CONF-"&amp;TEXT(us_core_reqs[[#This Row],[ID*]], "0000")</f>
        <v>CONF-0865</v>
      </c>
      <c r="D653" s="69" t="s">
        <v>2252</v>
      </c>
      <c r="E653" s="73" t="str" cm="1">
        <f t="array" ref="E653">_xlfn.TEXTJOIN(", ", TRUE, _xlfn.TEXTAFTER(_xlfn.TEXTSPLIT(us_core_reqs[[#This Row],[URL*]], ", "), "/", -1))</f>
        <v>StructureDefinition-us-core-simple-observation.html#profile-specific-implementation-guidance</v>
      </c>
      <c r="F653" s="11" t="s">
        <v>1131</v>
      </c>
      <c r="G653" t="s">
        <v>64</v>
      </c>
      <c r="H653" cm="1">
        <f t="array" ref="H653">_xlfn.SWITCH(G653, "SHALL", 1, "SHOULD", 3, "MAY", 5, "SHOULD-NOT", 4, "SHALL-NOT", 2, "DEPRECATED", 6, 99)</f>
        <v>6</v>
      </c>
      <c r="I653" t="s">
        <v>2312</v>
      </c>
      <c r="J653" t="s">
        <v>30</v>
      </c>
      <c r="K653" t="s">
        <v>1171</v>
      </c>
      <c r="L653" t="s">
        <v>1171</v>
      </c>
      <c r="M653" t="s">
        <v>1176</v>
      </c>
      <c r="N653" t="s">
        <v>1136</v>
      </c>
      <c r="O653" t="s">
        <v>1171</v>
      </c>
      <c r="P653" t="s">
        <v>1171</v>
      </c>
      <c r="Q653" t="s">
        <v>1171</v>
      </c>
      <c r="R653" t="s">
        <v>1171</v>
      </c>
      <c r="S653" s="70" t="str" cm="1">
        <f t="array" ref="S653">_xlfn.TEXTJOIN(",",TRUE,LEFT(TRIM(_xlfn.TEXTSPLIT(us_core_reqs[[#This Row],[reference]],",")),FIND(".html",TRIM(_xlfn.TEXTSPLIT(us_core_reqs[[#This Row],[reference]],",")))-1))</f>
        <v>StructureDefinition-us-core-simple-observation</v>
      </c>
      <c r="T653" s="70" t="str" cm="1">
        <f t="array" ref="T653">_xlfn.TEXTJOIN(",",TRUE,MID(TRIM(_xlfn.TEXTSPLIT(us_core_reqs[[#This Row],[reference]],",")),FIND("#",TRIM(_xlfn.TEXTSPLIT(us_core_reqs[[#This Row],[reference]],","))&amp;"#")+1,1000))</f>
        <v>profile-specific-implementation-guidance</v>
      </c>
      <c r="U653"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t="s">
        <v>1171</v>
      </c>
      <c r="W653" t="s">
        <v>1171</v>
      </c>
      <c r="X653" t="s">
        <v>1171</v>
      </c>
      <c r="Y653" t="s">
        <v>1171</v>
      </c>
      <c r="Z653" t="s">
        <v>1171</v>
      </c>
      <c r="AA653" t="s">
        <v>1171</v>
      </c>
      <c r="AB653" t="s">
        <v>1171</v>
      </c>
      <c r="AC653" t="s">
        <v>1171</v>
      </c>
      <c r="AD653" t="s">
        <v>1171</v>
      </c>
      <c r="AE653" t="s">
        <v>1171</v>
      </c>
    </row>
    <row r="654" spans="1:31" ht="52" thickBot="1" x14ac:dyDescent="0.25">
      <c r="A654" t="s">
        <v>1171</v>
      </c>
      <c r="B654" t="s">
        <v>1826</v>
      </c>
      <c r="C654" t="str">
        <f>"CONF-"&amp;TEXT(us_core_reqs[[#This Row],[ID*]], "0000")</f>
        <v>CONF-0866</v>
      </c>
      <c r="D654" s="11" t="s">
        <v>2252</v>
      </c>
      <c r="E654" s="73" t="str" cm="1">
        <f t="array" ref="E654">_xlfn.TEXTJOIN(", ", TRUE, _xlfn.TEXTAFTER(_xlfn.TEXTSPLIT(us_core_reqs[[#This Row],[URL*]], ", "), "/", -1))</f>
        <v>StructureDefinition-us-core-simple-observation.html#profile-specific-implementation-guidance</v>
      </c>
      <c r="F654" s="11" t="s">
        <v>2173</v>
      </c>
      <c r="G654" t="s">
        <v>29</v>
      </c>
      <c r="H654" cm="1">
        <f t="array" ref="H654">_xlfn.SWITCH(G654, "SHALL", 1, "SHOULD", 3, "MAY", 5, "SHOULD-NOT", 4, "SHALL-NOT", 2, "DEPRECATED", 6, 99)</f>
        <v>1</v>
      </c>
      <c r="J654" t="s">
        <v>30</v>
      </c>
      <c r="K654" t="s">
        <v>1171</v>
      </c>
      <c r="L654" t="s">
        <v>1171</v>
      </c>
      <c r="M654" t="s">
        <v>1173</v>
      </c>
      <c r="N654" t="s">
        <v>1171</v>
      </c>
      <c r="O654" t="s">
        <v>1171</v>
      </c>
      <c r="P654" t="s">
        <v>1171</v>
      </c>
      <c r="Q654" t="s">
        <v>45</v>
      </c>
      <c r="R654" t="s">
        <v>1159</v>
      </c>
      <c r="S654" s="70" t="str" cm="1">
        <f t="array" ref="S654">_xlfn.TEXTJOIN(",",TRUE,LEFT(TRIM(_xlfn.TEXTSPLIT(us_core_reqs[[#This Row],[reference]],",")),FIND(".html",TRIM(_xlfn.TEXTSPLIT(us_core_reqs[[#This Row],[reference]],",")))-1))</f>
        <v>StructureDefinition-us-core-simple-observation</v>
      </c>
      <c r="T654" s="70" t="str" cm="1">
        <f t="array" ref="T654">_xlfn.TEXTJOIN(",",TRUE,MID(TRIM(_xlfn.TEXTSPLIT(us_core_reqs[[#This Row],[reference]],",")),FIND("#",TRIM(_xlfn.TEXTSPLIT(us_core_reqs[[#This Row],[reference]],","))&amp;"#")+1,1000))</f>
        <v>profile-specific-implementation-guidance</v>
      </c>
      <c r="U654"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t="s">
        <v>1171</v>
      </c>
      <c r="W654" t="s">
        <v>1171</v>
      </c>
      <c r="X654" t="s">
        <v>1171</v>
      </c>
      <c r="Y654" t="s">
        <v>1171</v>
      </c>
      <c r="Z654" t="s">
        <v>1171</v>
      </c>
      <c r="AA654" t="s">
        <v>1171</v>
      </c>
      <c r="AB654" t="s">
        <v>1171</v>
      </c>
      <c r="AC654" t="s">
        <v>1158</v>
      </c>
      <c r="AD654" t="s">
        <v>1140</v>
      </c>
      <c r="AE654" t="s">
        <v>1157</v>
      </c>
    </row>
    <row r="655" spans="1:31" ht="52" thickBot="1" x14ac:dyDescent="0.25">
      <c r="A655" t="s">
        <v>1171</v>
      </c>
      <c r="B655" t="s">
        <v>1827</v>
      </c>
      <c r="C655" t="str">
        <f>"CONF-"&amp;TEXT(us_core_reqs[[#This Row],[ID*]], "0000")</f>
        <v>CONF-0867</v>
      </c>
      <c r="D655" s="11" t="s">
        <v>2252</v>
      </c>
      <c r="E655" s="73" t="str" cm="1">
        <f t="array" ref="E655">_xlfn.TEXTJOIN(", ", TRUE, _xlfn.TEXTAFTER(_xlfn.TEXTSPLIT(us_core_reqs[[#This Row],[URL*]], ", "), "/", -1))</f>
        <v>StructureDefinition-us-core-simple-observation.html#profile-specific-implementation-guidance</v>
      </c>
      <c r="F655" s="11" t="s">
        <v>1132</v>
      </c>
      <c r="G655" t="s">
        <v>35</v>
      </c>
      <c r="H655" cm="1">
        <f t="array" ref="H655">_xlfn.SWITCH(G655, "SHALL", 1, "SHOULD", 3, "MAY", 5, "SHOULD-NOT", 4, "SHALL-NOT", 2, "DEPRECATED", 6, 99)</f>
        <v>5</v>
      </c>
      <c r="J655" t="s">
        <v>30</v>
      </c>
      <c r="K655" t="s">
        <v>1171</v>
      </c>
      <c r="L655" t="s">
        <v>1171</v>
      </c>
      <c r="M655" t="s">
        <v>1176</v>
      </c>
      <c r="N655" t="s">
        <v>1137</v>
      </c>
      <c r="O655" t="s">
        <v>1171</v>
      </c>
      <c r="P655" t="s">
        <v>1171</v>
      </c>
      <c r="Q655" t="s">
        <v>1171</v>
      </c>
      <c r="R655" t="s">
        <v>1171</v>
      </c>
      <c r="S655" s="70" t="str" cm="1">
        <f t="array" ref="S655">_xlfn.TEXTJOIN(",",TRUE,LEFT(TRIM(_xlfn.TEXTSPLIT(us_core_reqs[[#This Row],[reference]],",")),FIND(".html",TRIM(_xlfn.TEXTSPLIT(us_core_reqs[[#This Row],[reference]],",")))-1))</f>
        <v>StructureDefinition-us-core-simple-observation</v>
      </c>
      <c r="T655" s="70" t="str" cm="1">
        <f t="array" ref="T655">_xlfn.TEXTJOIN(",",TRUE,MID(TRIM(_xlfn.TEXTSPLIT(us_core_reqs[[#This Row],[reference]],",")),FIND("#",TRIM(_xlfn.TEXTSPLIT(us_core_reqs[[#This Row],[reference]],","))&amp;"#")+1,1000))</f>
        <v>profile-specific-implementation-guidance</v>
      </c>
      <c r="U655"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t="s">
        <v>1171</v>
      </c>
      <c r="W655" t="s">
        <v>1171</v>
      </c>
      <c r="X655" t="s">
        <v>1171</v>
      </c>
      <c r="Y655" t="s">
        <v>1171</v>
      </c>
      <c r="Z655" t="s">
        <v>1171</v>
      </c>
      <c r="AA655" t="s">
        <v>1171</v>
      </c>
      <c r="AB655" t="s">
        <v>1171</v>
      </c>
      <c r="AC655" t="s">
        <v>1171</v>
      </c>
      <c r="AD655" t="s">
        <v>1171</v>
      </c>
      <c r="AE655" t="s">
        <v>1171</v>
      </c>
    </row>
    <row r="656" spans="1:31" ht="103" thickBot="1" x14ac:dyDescent="0.25">
      <c r="A656" t="s">
        <v>1171</v>
      </c>
      <c r="B656" t="s">
        <v>1828</v>
      </c>
      <c r="C656" t="str">
        <f>"CONF-"&amp;TEXT(us_core_reqs[[#This Row],[ID*]], "0000")</f>
        <v>CONF-0868</v>
      </c>
      <c r="D656" s="11" t="s">
        <v>2252</v>
      </c>
      <c r="E656" s="73" t="str" cm="1">
        <f t="array" ref="E656">_xlfn.TEXTJOIN(", ", TRUE, _xlfn.TEXTAFTER(_xlfn.TEXTSPLIT(us_core_reqs[[#This Row],[URL*]], ", "), "/", -1))</f>
        <v>StructureDefinition-us-core-simple-observation.html#profile-specific-implementation-guidance</v>
      </c>
      <c r="F656" s="11" t="s">
        <v>2148</v>
      </c>
      <c r="G656" t="s">
        <v>29</v>
      </c>
      <c r="H656" cm="1">
        <f t="array" ref="H656">_xlfn.SWITCH(G656, "SHALL", 1, "SHOULD", 3, "MAY", 5, "SHOULD-NOT", 4, "SHALL-NOT", 2, "DEPRECATED", 6, 99)</f>
        <v>1</v>
      </c>
      <c r="J656" t="s">
        <v>30</v>
      </c>
      <c r="K656" t="s">
        <v>1171</v>
      </c>
      <c r="L656" t="s">
        <v>1171</v>
      </c>
      <c r="M656" t="s">
        <v>1173</v>
      </c>
      <c r="N656" t="s">
        <v>1171</v>
      </c>
      <c r="O656" t="s">
        <v>1171</v>
      </c>
      <c r="P656" t="s">
        <v>1171</v>
      </c>
      <c r="Q656" t="s">
        <v>1171</v>
      </c>
      <c r="R656" t="s">
        <v>1171</v>
      </c>
      <c r="S656" s="70" t="str" cm="1">
        <f t="array" ref="S656">_xlfn.TEXTJOIN(",",TRUE,LEFT(TRIM(_xlfn.TEXTSPLIT(us_core_reqs[[#This Row],[reference]],",")),FIND(".html",TRIM(_xlfn.TEXTSPLIT(us_core_reqs[[#This Row],[reference]],",")))-1))</f>
        <v>StructureDefinition-us-core-simple-observation</v>
      </c>
      <c r="T656" s="70" t="str" cm="1">
        <f t="array" ref="T656">_xlfn.TEXTJOIN(",",TRUE,MID(TRIM(_xlfn.TEXTSPLIT(us_core_reqs[[#This Row],[reference]],",")),FIND("#",TRIM(_xlfn.TEXTSPLIT(us_core_reqs[[#This Row],[reference]],","))&amp;"#")+1,1000))</f>
        <v>profile-specific-implementation-guidance</v>
      </c>
      <c r="U656"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t="s">
        <v>1171</v>
      </c>
      <c r="W656" t="s">
        <v>1171</v>
      </c>
      <c r="X656" t="s">
        <v>1171</v>
      </c>
      <c r="Y656" t="s">
        <v>1171</v>
      </c>
      <c r="Z656" t="s">
        <v>1171</v>
      </c>
      <c r="AA656" t="s">
        <v>1171</v>
      </c>
      <c r="AB656" t="s">
        <v>1171</v>
      </c>
      <c r="AC656" t="s">
        <v>1171</v>
      </c>
      <c r="AD656" t="s">
        <v>1140</v>
      </c>
      <c r="AE656" t="s">
        <v>1140</v>
      </c>
    </row>
    <row r="657" spans="1:31" ht="103" thickBot="1" x14ac:dyDescent="0.25">
      <c r="A657" t="s">
        <v>1171</v>
      </c>
      <c r="B657" s="74" t="s">
        <v>1829</v>
      </c>
      <c r="C657" t="str">
        <f>"CONF-"&amp;TEXT(us_core_reqs[[#This Row],[ID*]], "0000")</f>
        <v>CONF-0869</v>
      </c>
      <c r="D657" s="11" t="s">
        <v>2252</v>
      </c>
      <c r="E657" s="73" t="str" cm="1">
        <f t="array" ref="E657">_xlfn.TEXTJOIN(", ", TRUE, _xlfn.TEXTAFTER(_xlfn.TEXTSPLIT(us_core_reqs[[#This Row],[URL*]], ", "), "/", -1))</f>
        <v>StructureDefinition-us-core-simple-observation.html#profile-specific-implementation-guidance</v>
      </c>
      <c r="F657" s="11" t="s">
        <v>2149</v>
      </c>
      <c r="G657" t="s">
        <v>29</v>
      </c>
      <c r="H657" cm="1">
        <f t="array" ref="H657">_xlfn.SWITCH(G657, "SHALL", 1, "SHOULD", 3, "MAY", 5, "SHOULD-NOT", 4, "SHALL-NOT", 2, "DEPRECATED", 6, 99)</f>
        <v>1</v>
      </c>
      <c r="J657" t="s">
        <v>58</v>
      </c>
      <c r="K657" t="s">
        <v>1171</v>
      </c>
      <c r="L657" t="s">
        <v>1171</v>
      </c>
      <c r="M657" t="s">
        <v>1173</v>
      </c>
      <c r="N657" t="s">
        <v>1171</v>
      </c>
      <c r="O657" t="s">
        <v>1171</v>
      </c>
      <c r="P657" t="s">
        <v>1171</v>
      </c>
      <c r="Q657" t="s">
        <v>1171</v>
      </c>
      <c r="R657" t="s">
        <v>1171</v>
      </c>
      <c r="S657" s="70" t="str" cm="1">
        <f t="array" ref="S657">_xlfn.TEXTJOIN(",",TRUE,LEFT(TRIM(_xlfn.TEXTSPLIT(us_core_reqs[[#This Row],[reference]],",")),FIND(".html",TRIM(_xlfn.TEXTSPLIT(us_core_reqs[[#This Row],[reference]],",")))-1))</f>
        <v>StructureDefinition-us-core-simple-observation</v>
      </c>
      <c r="T657" s="70" t="str" cm="1">
        <f t="array" ref="T657">_xlfn.TEXTJOIN(",",TRUE,MID(TRIM(_xlfn.TEXTSPLIT(us_core_reqs[[#This Row],[reference]],",")),FIND("#",TRIM(_xlfn.TEXTSPLIT(us_core_reqs[[#This Row],[reference]],","))&amp;"#")+1,1000))</f>
        <v>profile-specific-implementation-guidance</v>
      </c>
      <c r="U657"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t="s">
        <v>1171</v>
      </c>
      <c r="W657" t="s">
        <v>1171</v>
      </c>
      <c r="X657" t="s">
        <v>1171</v>
      </c>
      <c r="Y657" t="s">
        <v>1171</v>
      </c>
      <c r="Z657" t="s">
        <v>1171</v>
      </c>
      <c r="AA657" t="s">
        <v>1171</v>
      </c>
      <c r="AB657" t="s">
        <v>1171</v>
      </c>
      <c r="AC657" t="s">
        <v>1171</v>
      </c>
      <c r="AD657" t="s">
        <v>1171</v>
      </c>
      <c r="AE657" t="s">
        <v>1171</v>
      </c>
    </row>
    <row r="658" spans="1:31" ht="69" thickBot="1" x14ac:dyDescent="0.25">
      <c r="A658" t="s">
        <v>1171</v>
      </c>
      <c r="B658" t="s">
        <v>1830</v>
      </c>
      <c r="C658" t="str">
        <f>"CONF-"&amp;TEXT(us_core_reqs[[#This Row],[ID*]], "0000")</f>
        <v>CONF-0870</v>
      </c>
      <c r="D658" s="11" t="s">
        <v>621</v>
      </c>
      <c r="E658" s="73" t="str" cm="1">
        <f t="array" ref="E658">_xlfn.TEXTJOIN(", ", TRUE, _xlfn.TEXTAFTER(_xlfn.TEXTSPLIT(us_core_reqs[[#This Row],[URL*]], ", "), "/", -1))</f>
        <v>must-support.html#must-support---slices</v>
      </c>
      <c r="F658" s="11" t="s">
        <v>1145</v>
      </c>
      <c r="G658" t="s">
        <v>64</v>
      </c>
      <c r="H658" cm="1">
        <f t="array" ref="H658">_xlfn.SWITCH(G658, "SHALL", 1, "SHOULD", 3, "MAY", 5, "SHOULD-NOT", 4, "SHALL-NOT", 2, "DEPRECATED", 6, 99)</f>
        <v>6</v>
      </c>
      <c r="I658" t="s">
        <v>2312</v>
      </c>
      <c r="J658" t="s">
        <v>30</v>
      </c>
      <c r="K658" t="s">
        <v>1171</v>
      </c>
      <c r="L658" t="s">
        <v>1171</v>
      </c>
      <c r="M658" t="b">
        <v>1</v>
      </c>
      <c r="N658" t="s">
        <v>1150</v>
      </c>
      <c r="O658" t="s">
        <v>1171</v>
      </c>
      <c r="P658" t="s">
        <v>1171</v>
      </c>
      <c r="Q658" t="s">
        <v>1171</v>
      </c>
      <c r="R658" t="s">
        <v>1171</v>
      </c>
      <c r="S658" s="70" t="str" cm="1">
        <f t="array" ref="S658">_xlfn.TEXTJOIN(",",TRUE,LEFT(TRIM(_xlfn.TEXTSPLIT(us_core_reqs[[#This Row],[reference]],",")),FIND(".html",TRIM(_xlfn.TEXTSPLIT(us_core_reqs[[#This Row],[reference]],",")))-1))</f>
        <v>must-support</v>
      </c>
      <c r="T658" s="70" t="str" cm="1">
        <f t="array" ref="T658">_xlfn.TEXTJOIN(",",TRUE,MID(TRIM(_xlfn.TEXTSPLIT(us_core_reqs[[#This Row],[reference]],",")),FIND("#",TRIM(_xlfn.TEXTSPLIT(us_core_reqs[[#This Row],[reference]],","))&amp;"#")+1,1000))</f>
        <v>must-support---slices</v>
      </c>
      <c r="U658" t="str" cm="1">
        <f t="array" ref="U658">_xlfn.TEXTJOIN(", ",TRUE,SUBSTITUTE(SUBSTITUTE(PROPER(SUBSTITUTE(TRIM(_xlfn.TEXTSPLIT(us_core_reqs[[#This Row],[Page]],","))," -"," "))&amp;": "&amp;PROPER(SUBSTITUTE(TRIM(_xlfn.TEXTSPLIT(us_core_reqs[[#This Row],[Section]],","))," -"," ")),"Us ","US        
  "),"Uscdi","USCDI"))</f>
        <v>Must-Support: Must-Support---Slices</v>
      </c>
      <c r="V658" t="s">
        <v>1171</v>
      </c>
      <c r="W658" t="s">
        <v>1171</v>
      </c>
      <c r="X658" t="s">
        <v>1171</v>
      </c>
      <c r="Y658" t="s">
        <v>1171</v>
      </c>
      <c r="Z658" t="s">
        <v>1171</v>
      </c>
      <c r="AA658" t="s">
        <v>1171</v>
      </c>
      <c r="AB658" t="s">
        <v>1171</v>
      </c>
      <c r="AC658" t="s">
        <v>1171</v>
      </c>
      <c r="AD658" t="s">
        <v>1140</v>
      </c>
      <c r="AE658" t="s">
        <v>1140</v>
      </c>
    </row>
    <row r="659" spans="1:31" ht="52" thickBot="1" x14ac:dyDescent="0.25">
      <c r="A659" t="s">
        <v>1171</v>
      </c>
      <c r="B659" t="s">
        <v>1831</v>
      </c>
      <c r="C659" t="str">
        <f>"CONF-"&amp;TEXT(us_core_reqs[[#This Row],[ID*]], "0000")</f>
        <v>CONF-0871</v>
      </c>
      <c r="D659" s="11" t="s">
        <v>621</v>
      </c>
      <c r="E659" s="73" t="str" cm="1">
        <f t="array" ref="E659">_xlfn.TEXTJOIN(", ", TRUE, _xlfn.TEXTAFTER(_xlfn.TEXTSPLIT(us_core_reqs[[#This Row],[URL*]], ", "), "/", -1))</f>
        <v>must-support.html#must-support---slices</v>
      </c>
      <c r="F659" s="11" t="s">
        <v>2336</v>
      </c>
      <c r="G659" t="s">
        <v>35</v>
      </c>
      <c r="H659" cm="1">
        <f t="array" ref="H659">_xlfn.SWITCH(G659, "SHALL", 1, "SHOULD", 3, "MAY", 5, "SHOULD-NOT", 4, "SHALL-NOT", 2, "DEPRECATED", 6, 99)</f>
        <v>5</v>
      </c>
      <c r="I659" s="74"/>
      <c r="J659" t="s">
        <v>30</v>
      </c>
      <c r="K659" t="s">
        <v>1171</v>
      </c>
      <c r="L659" t="s">
        <v>1171</v>
      </c>
      <c r="M659" t="s">
        <v>1176</v>
      </c>
      <c r="N659" t="s">
        <v>1148</v>
      </c>
      <c r="O659" t="s">
        <v>1171</v>
      </c>
      <c r="P659" t="s">
        <v>1171</v>
      </c>
      <c r="Q659" t="s">
        <v>1171</v>
      </c>
      <c r="R659" t="s">
        <v>1171</v>
      </c>
      <c r="S659" s="70" t="str" cm="1">
        <f t="array" ref="S659">_xlfn.TEXTJOIN(",",TRUE,LEFT(TRIM(_xlfn.TEXTSPLIT(us_core_reqs[[#This Row],[reference]],",")),FIND(".html",TRIM(_xlfn.TEXTSPLIT(us_core_reqs[[#This Row],[reference]],",")))-1))</f>
        <v>must-support</v>
      </c>
      <c r="T659" s="70" t="str" cm="1">
        <f t="array" ref="T659">_xlfn.TEXTJOIN(",",TRUE,MID(TRIM(_xlfn.TEXTSPLIT(us_core_reqs[[#This Row],[reference]],",")),FIND("#",TRIM(_xlfn.TEXTSPLIT(us_core_reqs[[#This Row],[reference]],","))&amp;"#")+1,1000))</f>
        <v>must-support---slices</v>
      </c>
      <c r="U659" t="str" cm="1">
        <f t="array" ref="U659">_xlfn.TEXTJOIN(", ",TRUE,SUBSTITUTE(SUBSTITUTE(PROPER(SUBSTITUTE(TRIM(_xlfn.TEXTSPLIT(us_core_reqs[[#This Row],[Page]],","))," -"," "))&amp;": "&amp;PROPER(SUBSTITUTE(TRIM(_xlfn.TEXTSPLIT(us_core_reqs[[#This Row],[Section]],","))," -"," ")),"Us ","US        
  "),"Uscdi","USCDI"))</f>
        <v>Must-Support: Must-Support---Slices</v>
      </c>
      <c r="V659" t="s">
        <v>1171</v>
      </c>
      <c r="W659" t="s">
        <v>1171</v>
      </c>
      <c r="X659" t="s">
        <v>1171</v>
      </c>
      <c r="Y659" t="s">
        <v>1171</v>
      </c>
      <c r="Z659" t="s">
        <v>1171</v>
      </c>
      <c r="AA659" t="s">
        <v>1171</v>
      </c>
      <c r="AB659" t="s">
        <v>1171</v>
      </c>
      <c r="AC659" t="s">
        <v>1171</v>
      </c>
      <c r="AD659" t="s">
        <v>1171</v>
      </c>
      <c r="AE659" t="s">
        <v>1171</v>
      </c>
    </row>
    <row r="660" spans="1:31" ht="52" thickBot="1" x14ac:dyDescent="0.25">
      <c r="A660" t="s">
        <v>1171</v>
      </c>
      <c r="B660" t="s">
        <v>1832</v>
      </c>
      <c r="C660" t="str">
        <f>"CONF-"&amp;TEXT(us_core_reqs[[#This Row],[ID*]], "0000")</f>
        <v>CONF-0872</v>
      </c>
      <c r="D660" s="11" t="s">
        <v>621</v>
      </c>
      <c r="E660" s="73" t="str" cm="1">
        <f t="array" ref="E660">_xlfn.TEXTJOIN(", ", TRUE, _xlfn.TEXTAFTER(_xlfn.TEXTSPLIT(us_core_reqs[[#This Row],[URL*]], ", "), "/", -1))</f>
        <v>must-support.html#must-support---slices</v>
      </c>
      <c r="F660" s="11" t="s">
        <v>2339</v>
      </c>
      <c r="G660" t="s">
        <v>29</v>
      </c>
      <c r="H660" cm="1">
        <f t="array" ref="H660">_xlfn.SWITCH(G660, "SHALL", 1, "SHOULD", 3, "MAY", 5, "SHOULD-NOT", 4, "SHALL-NOT", 2, "DEPRECATED", 6, 99)</f>
        <v>1</v>
      </c>
      <c r="I660" t="s">
        <v>2340</v>
      </c>
      <c r="J660" t="s">
        <v>30</v>
      </c>
      <c r="K660" t="b">
        <v>1</v>
      </c>
      <c r="L660" t="s">
        <v>1171</v>
      </c>
      <c r="M660" t="s">
        <v>1176</v>
      </c>
      <c r="N660" t="s">
        <v>1149</v>
      </c>
      <c r="O660" t="s">
        <v>1171</v>
      </c>
      <c r="P660" t="s">
        <v>1171</v>
      </c>
      <c r="Q660" t="s">
        <v>1171</v>
      </c>
      <c r="R660" t="s">
        <v>1171</v>
      </c>
      <c r="S660" s="70" t="str" cm="1">
        <f t="array" ref="S660">_xlfn.TEXTJOIN(",",TRUE,LEFT(TRIM(_xlfn.TEXTSPLIT(us_core_reqs[[#This Row],[reference]],",")),FIND(".html",TRIM(_xlfn.TEXTSPLIT(us_core_reqs[[#This Row],[reference]],",")))-1))</f>
        <v>must-support</v>
      </c>
      <c r="T660" s="70" t="str" cm="1">
        <f t="array" ref="T660">_xlfn.TEXTJOIN(",",TRUE,MID(TRIM(_xlfn.TEXTSPLIT(us_core_reqs[[#This Row],[reference]],",")),FIND("#",TRIM(_xlfn.TEXTSPLIT(us_core_reqs[[#This Row],[reference]],","))&amp;"#")+1,1000))</f>
        <v>must-support---slices</v>
      </c>
      <c r="U660" t="str" cm="1">
        <f t="array" ref="U660">_xlfn.TEXTJOIN(", ",TRUE,SUBSTITUTE(SUBSTITUTE(PROPER(SUBSTITUTE(TRIM(_xlfn.TEXTSPLIT(us_core_reqs[[#This Row],[Page]],","))," -"," "))&amp;": "&amp;PROPER(SUBSTITUTE(TRIM(_xlfn.TEXTSPLIT(us_core_reqs[[#This Row],[Section]],","))," -"," ")),"Us ","US        
  "),"Uscdi","USCDI"))</f>
        <v>Must-Support: Must-Support---Slices</v>
      </c>
      <c r="V660" t="s">
        <v>1171</v>
      </c>
      <c r="W660" t="s">
        <v>1171</v>
      </c>
      <c r="X660" t="s">
        <v>1171</v>
      </c>
      <c r="Y660" t="s">
        <v>1171</v>
      </c>
      <c r="Z660" t="s">
        <v>1171</v>
      </c>
      <c r="AA660" t="s">
        <v>1171</v>
      </c>
      <c r="AB660" t="s">
        <v>1171</v>
      </c>
      <c r="AC660" t="s">
        <v>1171</v>
      </c>
      <c r="AD660" t="s">
        <v>1140</v>
      </c>
      <c r="AE660" t="s">
        <v>1140</v>
      </c>
    </row>
    <row r="661" spans="1:31" ht="103" thickBot="1" x14ac:dyDescent="0.25">
      <c r="A661" t="b">
        <v>1</v>
      </c>
      <c r="B661">
        <v>873</v>
      </c>
      <c r="C661" t="str">
        <f>"CONF-"&amp;TEXT(us_core_reqs[[#This Row],[ID*]], "0000")</f>
        <v>CONF-0873</v>
      </c>
      <c r="D661" s="11" t="s">
        <v>614</v>
      </c>
      <c r="E661" s="73" t="str" cm="1">
        <f t="array" ref="E661">_xlfn.TEXTJOIN(", ", TRUE, _xlfn.TEXTAFTER(_xlfn.TEXTSPLIT(us_core_reqs[[#This Row],[URL*]], ", "), "/", -1))</f>
        <v>must-support.html#defined-pattern-elements</v>
      </c>
      <c r="F661" s="11" t="s">
        <v>653</v>
      </c>
      <c r="G661" t="s">
        <v>64</v>
      </c>
      <c r="H661" cm="1">
        <f t="array" ref="H661">_xlfn.SWITCH(G661, "SHALL", 1, "SHOULD", 3, "MAY", 5, "SHOULD-NOT", 4, "SHALL-NOT", 2, "DEPRECATED", 6, 99)</f>
        <v>6</v>
      </c>
      <c r="I661" t="s">
        <v>2312</v>
      </c>
      <c r="J661" t="s">
        <v>30</v>
      </c>
      <c r="K661" t="b">
        <v>1</v>
      </c>
      <c r="L661" t="s">
        <v>1171</v>
      </c>
      <c r="M661" t="b">
        <v>0</v>
      </c>
      <c r="O661" t="s">
        <v>1171</v>
      </c>
      <c r="P661" t="s">
        <v>1171</v>
      </c>
      <c r="Q661" t="s">
        <v>1171</v>
      </c>
      <c r="R661" t="s">
        <v>1171</v>
      </c>
      <c r="S661" s="70" t="str" cm="1">
        <f t="array" ref="S661">_xlfn.TEXTJOIN(",",TRUE,LEFT(TRIM(_xlfn.TEXTSPLIT(us_core_reqs[[#This Row],[reference]],",")),FIND(".html",TRIM(_xlfn.TEXTSPLIT(us_core_reqs[[#This Row],[reference]],",")))-1))</f>
        <v>must-support</v>
      </c>
      <c r="T661" s="70" t="str" cm="1">
        <f t="array" ref="T661">_xlfn.TEXTJOIN(",",TRUE,MID(TRIM(_xlfn.TEXTSPLIT(us_core_reqs[[#This Row],[reference]],",")),FIND("#",TRIM(_xlfn.TEXTSPLIT(us_core_reqs[[#This Row],[reference]],","))&amp;"#")+1,1000))</f>
        <v>defined-pattern-elements</v>
      </c>
      <c r="U661" t="str" cm="1">
        <f t="array" ref="U661">_xlfn.TEXTJOIN(", ",TRUE,SUBSTITUTE(SUBSTITUTE(PROPER(SUBSTITUTE(TRIM(_xlfn.TEXTSPLIT(us_core_reqs[[#This Row],[Page]],","))," -"," "))&amp;": "&amp;PROPER(SUBSTITUTE(TRIM(_xlfn.TEXTSPLIT(us_core_reqs[[#This Row],[Section]],","))," -"," ")),"Us ","US        
  "),"Uscdi","USCDI"))</f>
        <v>Must-Support: Defined-Pattern-Elements</v>
      </c>
      <c r="V661" t="s">
        <v>1171</v>
      </c>
      <c r="W661" t="s">
        <v>1171</v>
      </c>
      <c r="X661" t="s">
        <v>1171</v>
      </c>
      <c r="Y661" t="s">
        <v>1171</v>
      </c>
      <c r="Z661" t="s">
        <v>1171</v>
      </c>
      <c r="AA661" t="s">
        <v>1171</v>
      </c>
      <c r="AB661" t="s">
        <v>1171</v>
      </c>
      <c r="AC661" t="s">
        <v>1171</v>
      </c>
      <c r="AD661" t="s">
        <v>1140</v>
      </c>
      <c r="AE661" t="s">
        <v>1140</v>
      </c>
    </row>
    <row r="662" spans="1:31" ht="52" thickBot="1" x14ac:dyDescent="0.25">
      <c r="A662" t="b">
        <v>1</v>
      </c>
      <c r="B662">
        <v>874</v>
      </c>
      <c r="C662" t="str">
        <f>"CONF-"&amp;TEXT(us_core_reqs[[#This Row],[ID*]], "0000")</f>
        <v>CONF-0874</v>
      </c>
      <c r="D662" s="11" t="s">
        <v>1850</v>
      </c>
      <c r="E662" s="73" t="str" cm="1">
        <f t="array" ref="E662">_xlfn.TEXTJOIN(", ", TRUE, _xlfn.TEXTAFTER(_xlfn.TEXTSPLIT(us_core_reqs[[#This Row],[URL*]], ", "), "/", -1))</f>
        <v>must-support.html#must-support---primitive-elements</v>
      </c>
      <c r="F662" s="11" t="s">
        <v>1851</v>
      </c>
      <c r="G662" t="s">
        <v>64</v>
      </c>
      <c r="H662" cm="1">
        <f t="array" ref="H662">_xlfn.SWITCH(G662, "SHALL", 1, "SHOULD", 3, "MAY", 5, "SHOULD-NOT", 4, "SHALL-NOT", 2, "DEPRECATED", 6, 99)</f>
        <v>6</v>
      </c>
      <c r="I662" t="s">
        <v>2312</v>
      </c>
      <c r="J662" t="s">
        <v>30</v>
      </c>
      <c r="K662" t="b">
        <v>1</v>
      </c>
      <c r="L662" t="s">
        <v>1171</v>
      </c>
      <c r="M662" t="b">
        <v>0</v>
      </c>
      <c r="O662" t="s">
        <v>1171</v>
      </c>
      <c r="P662" t="s">
        <v>1171</v>
      </c>
      <c r="Q662" t="s">
        <v>1171</v>
      </c>
      <c r="R662" t="s">
        <v>1171</v>
      </c>
      <c r="S662" s="70" t="str" cm="1">
        <f t="array" ref="S662">_xlfn.TEXTJOIN(",",TRUE,LEFT(TRIM(_xlfn.TEXTSPLIT(us_core_reqs[[#This Row],[reference]],",")),FIND(".html",TRIM(_xlfn.TEXTSPLIT(us_core_reqs[[#This Row],[reference]],",")))-1))</f>
        <v>must-support</v>
      </c>
      <c r="T662" s="70" t="str" cm="1">
        <f t="array" ref="T662">_xlfn.TEXTJOIN(",",TRUE,MID(TRIM(_xlfn.TEXTSPLIT(us_core_reqs[[#This Row],[reference]],",")),FIND("#",TRIM(_xlfn.TEXTSPLIT(us_core_reqs[[#This Row],[reference]],","))&amp;"#")+1,1000))</f>
        <v>must-support---primitive-elements</v>
      </c>
      <c r="U662" t="str" cm="1">
        <f t="array" ref="U662">_xlfn.TEXTJOIN(", ",TRUE,SUBSTITUTE(SUBSTITUTE(PROPER(SUBSTITUTE(TRIM(_xlfn.TEXTSPLIT(us_core_reqs[[#This Row],[Page]],","))," -"," "))&amp;": "&amp;PROPER(SUBSTITUTE(TRIM(_xlfn.TEXTSPLIT(us_core_reqs[[#This Row],[Section]],","))," -"," ")),"Us ","US        
  "),"Uscdi","USCDI"))</f>
        <v>Must-Support: Must-Support---Primitive-Elements</v>
      </c>
      <c r="V662" t="s">
        <v>1171</v>
      </c>
      <c r="W662" t="s">
        <v>1171</v>
      </c>
      <c r="X662" t="s">
        <v>1171</v>
      </c>
      <c r="Y662" t="s">
        <v>1171</v>
      </c>
      <c r="Z662" t="s">
        <v>1171</v>
      </c>
      <c r="AA662" t="s">
        <v>1171</v>
      </c>
      <c r="AB662" t="s">
        <v>1171</v>
      </c>
      <c r="AC662" t="s">
        <v>1171</v>
      </c>
      <c r="AD662" t="s">
        <v>1140</v>
      </c>
      <c r="AE662" t="s">
        <v>1140</v>
      </c>
    </row>
    <row r="663" spans="1:31" ht="52" thickBot="1" x14ac:dyDescent="0.25">
      <c r="A663" t="b">
        <v>1</v>
      </c>
      <c r="B663">
        <v>875</v>
      </c>
      <c r="C663" t="str">
        <f>"CONF-"&amp;TEXT(us_core_reqs[[#This Row],[ID*]], "0000")</f>
        <v>CONF-0875</v>
      </c>
      <c r="D663" s="11" t="s">
        <v>616</v>
      </c>
      <c r="E663" s="73" t="str" cm="1">
        <f t="array" ref="E663">_xlfn.TEXTJOIN(", ", TRUE, _xlfn.TEXTAFTER(_xlfn.TEXTSPLIT(us_core_reqs[[#This Row],[URL*]], ", "), "/", -1))</f>
        <v>must-support.html#must-support---complex-elements</v>
      </c>
      <c r="F663" s="11" t="s">
        <v>1854</v>
      </c>
      <c r="G663" t="s">
        <v>64</v>
      </c>
      <c r="H663" cm="1">
        <f t="array" ref="H663">_xlfn.SWITCH(G663, "SHALL", 1, "SHOULD", 3, "MAY", 5, "SHOULD-NOT", 4, "SHALL-NOT", 2, "DEPRECATED", 6, 99)</f>
        <v>6</v>
      </c>
      <c r="I663" t="s">
        <v>2312</v>
      </c>
      <c r="J663" t="s">
        <v>30</v>
      </c>
      <c r="K663" t="b">
        <v>1</v>
      </c>
      <c r="L663" t="s">
        <v>1171</v>
      </c>
      <c r="M663" t="b">
        <v>0</v>
      </c>
      <c r="O663" t="s">
        <v>1171</v>
      </c>
      <c r="P663" t="s">
        <v>1171</v>
      </c>
      <c r="Q663" t="s">
        <v>1171</v>
      </c>
      <c r="R663" t="s">
        <v>1171</v>
      </c>
      <c r="S663" s="70" t="str" cm="1">
        <f t="array" ref="S663">_xlfn.TEXTJOIN(",",TRUE,LEFT(TRIM(_xlfn.TEXTSPLIT(us_core_reqs[[#This Row],[reference]],",")),FIND(".html",TRIM(_xlfn.TEXTSPLIT(us_core_reqs[[#This Row],[reference]],",")))-1))</f>
        <v>must-support</v>
      </c>
      <c r="T663" s="70" t="str" cm="1">
        <f t="array" ref="T663">_xlfn.TEXTJOIN(",",TRUE,MID(TRIM(_xlfn.TEXTSPLIT(us_core_reqs[[#This Row],[reference]],",")),FIND("#",TRIM(_xlfn.TEXTSPLIT(us_core_reqs[[#This Row],[reference]],","))&amp;"#")+1,1000))</f>
        <v>must-support---complex-elements</v>
      </c>
      <c r="U663" t="str" cm="1">
        <f t="array" ref="U663">_xlfn.TEXTJOIN(", ",TRUE,SUBSTITUTE(SUBSTITUTE(PROPER(SUBSTITUTE(TRIM(_xlfn.TEXTSPLIT(us_core_reqs[[#This Row],[Page]],","))," -"," "))&amp;": "&amp;PROPER(SUBSTITUTE(TRIM(_xlfn.TEXTSPLIT(us_core_reqs[[#This Row],[Section]],","))," -"," ")),"Us ","US        
  "),"Uscdi","USCDI"))</f>
        <v>Must-Support: Must-Support---Complex-Elements</v>
      </c>
      <c r="V663" t="s">
        <v>1171</v>
      </c>
      <c r="W663" t="s">
        <v>1171</v>
      </c>
      <c r="X663" t="s">
        <v>1171</v>
      </c>
      <c r="Y663" t="s">
        <v>1171</v>
      </c>
      <c r="Z663" t="s">
        <v>1171</v>
      </c>
      <c r="AA663" t="s">
        <v>1171</v>
      </c>
      <c r="AB663" t="s">
        <v>1171</v>
      </c>
      <c r="AC663" t="s">
        <v>1171</v>
      </c>
      <c r="AD663" t="s">
        <v>1140</v>
      </c>
      <c r="AE663" t="s">
        <v>1140</v>
      </c>
    </row>
    <row r="664" spans="1:31" ht="69" thickBot="1" x14ac:dyDescent="0.25">
      <c r="A664" t="b">
        <v>1</v>
      </c>
      <c r="B664">
        <v>876</v>
      </c>
      <c r="C664" t="str">
        <f>"CONF-"&amp;TEXT(us_core_reqs[[#This Row],[ID*]], "0000")</f>
        <v>CONF-0876</v>
      </c>
      <c r="D664" s="11" t="s">
        <v>616</v>
      </c>
      <c r="E664" s="73" t="str" cm="1">
        <f t="array" ref="E664">_xlfn.TEXTJOIN(", ", TRUE, _xlfn.TEXTAFTER(_xlfn.TEXTSPLIT(us_core_reqs[[#This Row],[URL*]], ", "), "/", -1))</f>
        <v>must-support.html#must-support---complex-elements</v>
      </c>
      <c r="F664" s="11" t="s">
        <v>1853</v>
      </c>
      <c r="G664" t="s">
        <v>64</v>
      </c>
      <c r="H664" cm="1">
        <f t="array" ref="H664">_xlfn.SWITCH(G664, "SHALL", 1, "SHOULD", 3, "MAY", 5, "SHOULD-NOT", 4, "SHALL-NOT", 2, "DEPRECATED", 6, 99)</f>
        <v>6</v>
      </c>
      <c r="I664" t="s">
        <v>2312</v>
      </c>
      <c r="J664" t="s">
        <v>30</v>
      </c>
      <c r="K664" t="b">
        <v>1</v>
      </c>
      <c r="M664" t="b">
        <v>0</v>
      </c>
      <c r="O664" t="s">
        <v>1171</v>
      </c>
      <c r="P664" t="s">
        <v>1171</v>
      </c>
      <c r="Q664" t="s">
        <v>1171</v>
      </c>
      <c r="R664" t="s">
        <v>1171</v>
      </c>
      <c r="S664" s="70" t="str" cm="1">
        <f t="array" ref="S664">_xlfn.TEXTJOIN(",",TRUE,LEFT(TRIM(_xlfn.TEXTSPLIT(us_core_reqs[[#This Row],[reference]],",")),FIND(".html",TRIM(_xlfn.TEXTSPLIT(us_core_reqs[[#This Row],[reference]],",")))-1))</f>
        <v>must-support</v>
      </c>
      <c r="T664" s="70" t="str" cm="1">
        <f t="array" ref="T664">_xlfn.TEXTJOIN(",",TRUE,MID(TRIM(_xlfn.TEXTSPLIT(us_core_reqs[[#This Row],[reference]],",")),FIND("#",TRIM(_xlfn.TEXTSPLIT(us_core_reqs[[#This Row],[reference]],","))&amp;"#")+1,1000))</f>
        <v>must-support---complex-elements</v>
      </c>
      <c r="U664" t="str" cm="1">
        <f t="array" ref="U664">_xlfn.TEXTJOIN(", ",TRUE,SUBSTITUTE(SUBSTITUTE(PROPER(SUBSTITUTE(TRIM(_xlfn.TEXTSPLIT(us_core_reqs[[#This Row],[Page]],","))," -"," "))&amp;": "&amp;PROPER(SUBSTITUTE(TRIM(_xlfn.TEXTSPLIT(us_core_reqs[[#This Row],[Section]],","))," -"," ")),"Us ","US        
  "),"Uscdi","USCDI"))</f>
        <v>Must-Support: Must-Support---Complex-Elements</v>
      </c>
      <c r="V664" t="s">
        <v>1171</v>
      </c>
      <c r="W664" t="s">
        <v>1171</v>
      </c>
      <c r="X664" t="s">
        <v>1171</v>
      </c>
      <c r="Y664" t="s">
        <v>1171</v>
      </c>
      <c r="Z664" t="s">
        <v>1171</v>
      </c>
      <c r="AA664" t="s">
        <v>1171</v>
      </c>
      <c r="AB664" t="s">
        <v>1171</v>
      </c>
      <c r="AC664" t="s">
        <v>1171</v>
      </c>
      <c r="AD664" t="s">
        <v>1140</v>
      </c>
      <c r="AE664" t="s">
        <v>1140</v>
      </c>
    </row>
    <row r="665" spans="1:31" ht="52" thickBot="1" x14ac:dyDescent="0.25">
      <c r="A665" t="b">
        <v>1</v>
      </c>
      <c r="B665">
        <v>877</v>
      </c>
      <c r="C665" t="str">
        <f>"CONF-"&amp;TEXT(us_core_reqs[[#This Row],[ID*]], "0000")</f>
        <v>CONF-0877</v>
      </c>
      <c r="D665" s="11" t="s">
        <v>617</v>
      </c>
      <c r="E665" s="73" t="str" cm="1">
        <f t="array" ref="E665">_xlfn.TEXTJOIN(", ", TRUE, _xlfn.TEXTAFTER(_xlfn.TEXTSPLIT(us_core_reqs[[#This Row],[URL*]], ", "), "/", -1))</f>
        <v>must-support.html#must-support---resource-references</v>
      </c>
      <c r="F665" s="11" t="s">
        <v>1857</v>
      </c>
      <c r="G665" t="s">
        <v>64</v>
      </c>
      <c r="H665" cm="1">
        <f t="array" ref="H665">_xlfn.SWITCH(G665, "SHALL", 1, "SHOULD", 3, "MAY", 5, "SHOULD-NOT", 4, "SHALL-NOT", 2, "DEPRECATED", 6, 99)</f>
        <v>6</v>
      </c>
      <c r="I665" t="s">
        <v>2312</v>
      </c>
      <c r="J665" t="s">
        <v>30</v>
      </c>
      <c r="L665" t="s">
        <v>1171</v>
      </c>
      <c r="M665" t="b">
        <v>0</v>
      </c>
      <c r="O665" t="s">
        <v>1171</v>
      </c>
      <c r="P665" t="s">
        <v>1171</v>
      </c>
      <c r="Q665" t="s">
        <v>1171</v>
      </c>
      <c r="R665" t="s">
        <v>1171</v>
      </c>
      <c r="S665" s="70" t="str" cm="1">
        <f t="array" ref="S665">_xlfn.TEXTJOIN(",",TRUE,LEFT(TRIM(_xlfn.TEXTSPLIT(us_core_reqs[[#This Row],[reference]],",")),FIND(".html",TRIM(_xlfn.TEXTSPLIT(us_core_reqs[[#This Row],[reference]],",")))-1))</f>
        <v>must-support</v>
      </c>
      <c r="T665" s="70" t="str" cm="1">
        <f t="array" ref="T665">_xlfn.TEXTJOIN(",",TRUE,MID(TRIM(_xlfn.TEXTSPLIT(us_core_reqs[[#This Row],[reference]],",")),FIND("#",TRIM(_xlfn.TEXTSPLIT(us_core_reqs[[#This Row],[reference]],","))&amp;"#")+1,1000))</f>
        <v>must-support---resource-references</v>
      </c>
      <c r="U665" t="str" cm="1">
        <f t="array" ref="U665">_xlfn.TEXTJOIN(", ",TRUE,SUBSTITUTE(SUBSTITUTE(PROPER(SUBSTITUTE(TRIM(_xlfn.TEXTSPLIT(us_core_reqs[[#This Row],[Page]],","))," -"," "))&amp;": "&amp;PROPER(SUBSTITUTE(TRIM(_xlfn.TEXTSPLIT(us_core_reqs[[#This Row],[Section]],","))," -"," ")),"Us ","US        
  "),"Uscdi","USCDI"))</f>
        <v>Must-Support: Must-Support---Resource-References</v>
      </c>
      <c r="V665" t="s">
        <v>1171</v>
      </c>
      <c r="W665" t="s">
        <v>1171</v>
      </c>
      <c r="X665" t="s">
        <v>1171</v>
      </c>
      <c r="Y665" t="s">
        <v>1171</v>
      </c>
      <c r="Z665" t="s">
        <v>1171</v>
      </c>
      <c r="AA665" t="s">
        <v>1171</v>
      </c>
      <c r="AB665" t="s">
        <v>1171</v>
      </c>
      <c r="AC665" t="s">
        <v>1171</v>
      </c>
      <c r="AD665" t="s">
        <v>1140</v>
      </c>
      <c r="AE665" t="s">
        <v>1140</v>
      </c>
    </row>
    <row r="666" spans="1:31" ht="52" thickBot="1" x14ac:dyDescent="0.25">
      <c r="A666" t="b">
        <v>1</v>
      </c>
      <c r="B666">
        <v>878</v>
      </c>
      <c r="C666" t="str">
        <f>"CONF-"&amp;TEXT(us_core_reqs[[#This Row],[ID*]], "0000")</f>
        <v>CONF-0878</v>
      </c>
      <c r="D666" s="11" t="s">
        <v>617</v>
      </c>
      <c r="E666" s="73" t="str" cm="1">
        <f t="array" ref="E666">_xlfn.TEXTJOIN(", ", TRUE, _xlfn.TEXTAFTER(_xlfn.TEXTSPLIT(us_core_reqs[[#This Row],[URL*]], ", "), "/", -1))</f>
        <v>must-support.html#must-support---resource-references</v>
      </c>
      <c r="F666" s="11" t="s">
        <v>1858</v>
      </c>
      <c r="G666" t="s">
        <v>64</v>
      </c>
      <c r="H666" cm="1">
        <f t="array" ref="H666">_xlfn.SWITCH(G666, "SHALL", 1, "SHOULD", 3, "MAY", 5, "SHOULD-NOT", 4, "SHALL-NOT", 2, "DEPRECATED", 6, 99)</f>
        <v>6</v>
      </c>
      <c r="I666" t="s">
        <v>2312</v>
      </c>
      <c r="J666" t="s">
        <v>30</v>
      </c>
      <c r="K666" t="b">
        <v>1</v>
      </c>
      <c r="L666" t="s">
        <v>1171</v>
      </c>
      <c r="M666" t="b">
        <v>0</v>
      </c>
      <c r="O666" t="s">
        <v>1171</v>
      </c>
      <c r="P666" t="s">
        <v>1171</v>
      </c>
      <c r="Q666" t="s">
        <v>1171</v>
      </c>
      <c r="R666" t="s">
        <v>1171</v>
      </c>
      <c r="S666" s="70" t="str" cm="1">
        <f t="array" ref="S666">_xlfn.TEXTJOIN(",",TRUE,LEFT(TRIM(_xlfn.TEXTSPLIT(us_core_reqs[[#This Row],[reference]],",")),FIND(".html",TRIM(_xlfn.TEXTSPLIT(us_core_reqs[[#This Row],[reference]],",")))-1))</f>
        <v>must-support</v>
      </c>
      <c r="T666" s="70" t="str" cm="1">
        <f t="array" ref="T666">_xlfn.TEXTJOIN(",",TRUE,MID(TRIM(_xlfn.TEXTSPLIT(us_core_reqs[[#This Row],[reference]],",")),FIND("#",TRIM(_xlfn.TEXTSPLIT(us_core_reqs[[#This Row],[reference]],","))&amp;"#")+1,1000))</f>
        <v>must-support---resource-references</v>
      </c>
      <c r="U666" t="str" cm="1">
        <f t="array" ref="U666">_xlfn.TEXTJOIN(", ",TRUE,SUBSTITUTE(SUBSTITUTE(PROPER(SUBSTITUTE(TRIM(_xlfn.TEXTSPLIT(us_core_reqs[[#This Row],[Page]],","))," -"," "))&amp;": "&amp;PROPER(SUBSTITUTE(TRIM(_xlfn.TEXTSPLIT(us_core_reqs[[#This Row],[Section]],","))," -"," ")),"Us ","US        
  "),"Uscdi","USCDI"))</f>
        <v>Must-Support: Must-Support---Resource-References</v>
      </c>
      <c r="V666" t="s">
        <v>1171</v>
      </c>
      <c r="W666" t="s">
        <v>1171</v>
      </c>
      <c r="X666" t="s">
        <v>1171</v>
      </c>
      <c r="Y666" t="s">
        <v>1171</v>
      </c>
      <c r="Z666" t="s">
        <v>1171</v>
      </c>
      <c r="AA666" t="s">
        <v>1171</v>
      </c>
      <c r="AB666" t="s">
        <v>1171</v>
      </c>
      <c r="AC666" t="s">
        <v>1171</v>
      </c>
      <c r="AD666" t="s">
        <v>1140</v>
      </c>
      <c r="AE666" t="s">
        <v>1140</v>
      </c>
    </row>
    <row r="667" spans="1:31" ht="69" thickBot="1" x14ac:dyDescent="0.25">
      <c r="A667" t="b">
        <v>1</v>
      </c>
      <c r="B667">
        <v>879</v>
      </c>
      <c r="C667" t="str">
        <f>"CONF-"&amp;TEXT(us_core_reqs[[#This Row],[ID*]], "0000")</f>
        <v>CONF-0879</v>
      </c>
      <c r="D667" s="11" t="s">
        <v>617</v>
      </c>
      <c r="E667" s="73" t="str" cm="1">
        <f t="array" ref="E667">_xlfn.TEXTJOIN(", ", TRUE, _xlfn.TEXTAFTER(_xlfn.TEXTSPLIT(us_core_reqs[[#This Row],[URL*]], ", "), "/", -1))</f>
        <v>must-support.html#must-support---resource-references</v>
      </c>
      <c r="F667" s="11" t="s">
        <v>1859</v>
      </c>
      <c r="G667" t="s">
        <v>64</v>
      </c>
      <c r="H667" cm="1">
        <f t="array" ref="H667">_xlfn.SWITCH(G667, "SHALL", 1, "SHOULD", 3, "MAY", 5, "SHOULD-NOT", 4, "SHALL-NOT", 2, "DEPRECATED", 6, 99)</f>
        <v>6</v>
      </c>
      <c r="I667" t="s">
        <v>2312</v>
      </c>
      <c r="J667" t="s">
        <v>30</v>
      </c>
      <c r="L667" t="s">
        <v>1171</v>
      </c>
      <c r="M667" t="b">
        <v>0</v>
      </c>
      <c r="O667" t="s">
        <v>1171</v>
      </c>
      <c r="P667" t="s">
        <v>1171</v>
      </c>
      <c r="Q667" t="s">
        <v>1171</v>
      </c>
      <c r="R667" t="s">
        <v>1171</v>
      </c>
      <c r="S667" s="70" t="str" cm="1">
        <f t="array" ref="S667">_xlfn.TEXTJOIN(",",TRUE,LEFT(TRIM(_xlfn.TEXTSPLIT(us_core_reqs[[#This Row],[reference]],",")),FIND(".html",TRIM(_xlfn.TEXTSPLIT(us_core_reqs[[#This Row],[reference]],",")))-1))</f>
        <v>must-support</v>
      </c>
      <c r="T667" s="70" t="str" cm="1">
        <f t="array" ref="T667">_xlfn.TEXTJOIN(",",TRUE,MID(TRIM(_xlfn.TEXTSPLIT(us_core_reqs[[#This Row],[reference]],",")),FIND("#",TRIM(_xlfn.TEXTSPLIT(us_core_reqs[[#This Row],[reference]],","))&amp;"#")+1,1000))</f>
        <v>must-support---resource-references</v>
      </c>
      <c r="U667" t="str" cm="1">
        <f t="array" ref="U667">_xlfn.TEXTJOIN(", ",TRUE,SUBSTITUTE(SUBSTITUTE(PROPER(SUBSTITUTE(TRIM(_xlfn.TEXTSPLIT(us_core_reqs[[#This Row],[Page]],","))," -"," "))&amp;": "&amp;PROPER(SUBSTITUTE(TRIM(_xlfn.TEXTSPLIT(us_core_reqs[[#This Row],[Section]],","))," -"," ")),"Us ","US        
  "),"Uscdi","USCDI"))</f>
        <v>Must-Support: Must-Support---Resource-References</v>
      </c>
      <c r="V667" t="s">
        <v>1171</v>
      </c>
      <c r="W667" t="s">
        <v>1171</v>
      </c>
      <c r="X667" t="s">
        <v>1171</v>
      </c>
      <c r="Y667" t="s">
        <v>1171</v>
      </c>
      <c r="Z667" t="s">
        <v>1171</v>
      </c>
      <c r="AA667" t="s">
        <v>1171</v>
      </c>
      <c r="AB667" t="s">
        <v>1171</v>
      </c>
      <c r="AC667" t="s">
        <v>1171</v>
      </c>
      <c r="AD667" t="s">
        <v>1140</v>
      </c>
      <c r="AE667" t="s">
        <v>1140</v>
      </c>
    </row>
    <row r="668" spans="1:31" ht="69" thickBot="1" x14ac:dyDescent="0.25">
      <c r="A668" t="b">
        <v>1</v>
      </c>
      <c r="B668">
        <v>880</v>
      </c>
      <c r="C668" t="str">
        <f>"CONF-"&amp;TEXT(us_core_reqs[[#This Row],[ID*]], "0000")</f>
        <v>CONF-0880</v>
      </c>
      <c r="D668" s="11" t="s">
        <v>617</v>
      </c>
      <c r="E668" s="73" t="str" cm="1">
        <f t="array" ref="E668">_xlfn.TEXTJOIN(", ", TRUE, _xlfn.TEXTAFTER(_xlfn.TEXTSPLIT(us_core_reqs[[#This Row],[URL*]], ", "), "/", -1))</f>
        <v>must-support.html#must-support---resource-references</v>
      </c>
      <c r="F668" s="11" t="s">
        <v>1860</v>
      </c>
      <c r="G668" t="s">
        <v>64</v>
      </c>
      <c r="H668" cm="1">
        <f t="array" ref="H668">_xlfn.SWITCH(G668, "SHALL", 1, "SHOULD", 3, "MAY", 5, "SHOULD-NOT", 4, "SHALL-NOT", 2, "DEPRECATED", 6, 99)</f>
        <v>6</v>
      </c>
      <c r="I668" t="s">
        <v>2312</v>
      </c>
      <c r="J668" t="s">
        <v>30</v>
      </c>
      <c r="K668" t="b">
        <v>1</v>
      </c>
      <c r="L668" t="s">
        <v>1171</v>
      </c>
      <c r="M668" t="b">
        <v>0</v>
      </c>
      <c r="O668" t="s">
        <v>1171</v>
      </c>
      <c r="P668" t="s">
        <v>1171</v>
      </c>
      <c r="Q668" t="s">
        <v>1171</v>
      </c>
      <c r="R668" t="s">
        <v>1171</v>
      </c>
      <c r="S668" s="70" t="str" cm="1">
        <f t="array" ref="S668">_xlfn.TEXTJOIN(",",TRUE,LEFT(TRIM(_xlfn.TEXTSPLIT(us_core_reqs[[#This Row],[reference]],",")),FIND(".html",TRIM(_xlfn.TEXTSPLIT(us_core_reqs[[#This Row],[reference]],",")))-1))</f>
        <v>must-support</v>
      </c>
      <c r="T668" s="70" t="str" cm="1">
        <f t="array" ref="T668">_xlfn.TEXTJOIN(",",TRUE,MID(TRIM(_xlfn.TEXTSPLIT(us_core_reqs[[#This Row],[reference]],",")),FIND("#",TRIM(_xlfn.TEXTSPLIT(us_core_reqs[[#This Row],[reference]],","))&amp;"#")+1,1000))</f>
        <v>must-support---resource-references</v>
      </c>
      <c r="U668" t="str" cm="1">
        <f t="array" ref="U668">_xlfn.TEXTJOIN(", ",TRUE,SUBSTITUTE(SUBSTITUTE(PROPER(SUBSTITUTE(TRIM(_xlfn.TEXTSPLIT(us_core_reqs[[#This Row],[Page]],","))," -"," "))&amp;": "&amp;PROPER(SUBSTITUTE(TRIM(_xlfn.TEXTSPLIT(us_core_reqs[[#This Row],[Section]],","))," -"," ")),"Us ","US        
  "),"Uscdi","USCDI"))</f>
        <v>Must-Support: Must-Support---Resource-References</v>
      </c>
      <c r="V668" t="s">
        <v>1171</v>
      </c>
      <c r="W668" t="s">
        <v>1171</v>
      </c>
      <c r="X668" t="s">
        <v>1171</v>
      </c>
      <c r="Y668" t="s">
        <v>1171</v>
      </c>
      <c r="Z668" t="s">
        <v>1171</v>
      </c>
      <c r="AA668" t="s">
        <v>1171</v>
      </c>
      <c r="AB668" t="s">
        <v>1171</v>
      </c>
      <c r="AC668" t="s">
        <v>1171</v>
      </c>
      <c r="AD668" t="s">
        <v>1140</v>
      </c>
      <c r="AE668" t="s">
        <v>1140</v>
      </c>
    </row>
    <row r="669" spans="1:31" ht="120" thickBot="1" x14ac:dyDescent="0.25">
      <c r="A669" t="b">
        <v>1</v>
      </c>
      <c r="B669">
        <v>881</v>
      </c>
      <c r="C669" t="str">
        <f>"CONF-"&amp;TEXT(us_core_reqs[[#This Row],[ID*]], "0000")</f>
        <v>CONF-0881</v>
      </c>
      <c r="D669" s="11" t="s">
        <v>617</v>
      </c>
      <c r="E669" s="73" t="str" cm="1">
        <f t="array" ref="E669">_xlfn.TEXTJOIN(", ", TRUE, _xlfn.TEXTAFTER(_xlfn.TEXTSPLIT(us_core_reqs[[#This Row],[URL*]], ", "), "/", -1))</f>
        <v>must-support.html#must-support---resource-references</v>
      </c>
      <c r="F669" s="11" t="s">
        <v>1864</v>
      </c>
      <c r="G669" t="s">
        <v>29</v>
      </c>
      <c r="H669" cm="1">
        <f t="array" ref="H669">_xlfn.SWITCH(G669, "SHALL", 1, "SHOULD", 3, "MAY", 5, "SHOULD-NOT", 4, "SHALL-NOT", 2, "DEPRECATED", 6, 99)</f>
        <v>1</v>
      </c>
      <c r="J669" t="s">
        <v>30</v>
      </c>
      <c r="L669" t="s">
        <v>1171</v>
      </c>
      <c r="M669" t="b">
        <v>0</v>
      </c>
      <c r="O669" t="s">
        <v>1171</v>
      </c>
      <c r="P669" t="s">
        <v>1171</v>
      </c>
      <c r="Q669" t="s">
        <v>1171</v>
      </c>
      <c r="R669" t="s">
        <v>1171</v>
      </c>
      <c r="S669" s="70" t="str" cm="1">
        <f t="array" ref="S669">_xlfn.TEXTJOIN(",",TRUE,LEFT(TRIM(_xlfn.TEXTSPLIT(us_core_reqs[[#This Row],[reference]],",")),FIND(".html",TRIM(_xlfn.TEXTSPLIT(us_core_reqs[[#This Row],[reference]],",")))-1))</f>
        <v>must-support</v>
      </c>
      <c r="T669" s="70" t="str" cm="1">
        <f t="array" ref="T669">_xlfn.TEXTJOIN(",",TRUE,MID(TRIM(_xlfn.TEXTSPLIT(us_core_reqs[[#This Row],[reference]],",")),FIND("#",TRIM(_xlfn.TEXTSPLIT(us_core_reqs[[#This Row],[reference]],","))&amp;"#")+1,1000))</f>
        <v>must-support---resource-references</v>
      </c>
      <c r="U669" t="str" cm="1">
        <f t="array" ref="U669">_xlfn.TEXTJOIN(", ",TRUE,SUBSTITUTE(SUBSTITUTE(PROPER(SUBSTITUTE(TRIM(_xlfn.TEXTSPLIT(us_core_reqs[[#This Row],[Page]],","))," -"," "))&amp;": "&amp;PROPER(SUBSTITUTE(TRIM(_xlfn.TEXTSPLIT(us_core_reqs[[#This Row],[Section]],","))," -"," ")),"Us ","US        
  "),"Uscdi","USCDI"))</f>
        <v>Must-Support: Must-Support---Resource-References</v>
      </c>
      <c r="V669" t="s">
        <v>1171</v>
      </c>
      <c r="W669" t="s">
        <v>1171</v>
      </c>
      <c r="X669" t="s">
        <v>1171</v>
      </c>
      <c r="Y669" t="s">
        <v>1171</v>
      </c>
      <c r="Z669" t="s">
        <v>1171</v>
      </c>
      <c r="AA669" t="s">
        <v>1171</v>
      </c>
      <c r="AB669" t="s">
        <v>1171</v>
      </c>
      <c r="AC669" t="s">
        <v>1171</v>
      </c>
      <c r="AD669" t="s">
        <v>1140</v>
      </c>
      <c r="AE669" t="s">
        <v>1140</v>
      </c>
    </row>
    <row r="670" spans="1:31" ht="120" thickBot="1" x14ac:dyDescent="0.25">
      <c r="A670" t="b">
        <v>1</v>
      </c>
      <c r="B670">
        <v>882</v>
      </c>
      <c r="C670" t="str">
        <f>"CONF-"&amp;TEXT(us_core_reqs[[#This Row],[ID*]], "0000")</f>
        <v>CONF-0882</v>
      </c>
      <c r="D670" s="11" t="s">
        <v>617</v>
      </c>
      <c r="E670" s="73" t="str" cm="1">
        <f t="array" ref="E670">_xlfn.TEXTJOIN(", ", TRUE, _xlfn.TEXTAFTER(_xlfn.TEXTSPLIT(us_core_reqs[[#This Row],[URL*]], ", "), "/", -1))</f>
        <v>must-support.html#must-support---resource-references</v>
      </c>
      <c r="F670" s="11" t="s">
        <v>1863</v>
      </c>
      <c r="G670" t="s">
        <v>29</v>
      </c>
      <c r="H670" cm="1">
        <f t="array" ref="H670">_xlfn.SWITCH(G670, "SHALL", 1, "SHOULD", 3, "MAY", 5, "SHOULD-NOT", 4, "SHALL-NOT", 2, "DEPRECATED", 6, 99)</f>
        <v>1</v>
      </c>
      <c r="J670" t="s">
        <v>58</v>
      </c>
      <c r="L670" t="s">
        <v>1171</v>
      </c>
      <c r="M670" t="b">
        <v>0</v>
      </c>
      <c r="O670" t="s">
        <v>1171</v>
      </c>
      <c r="P670" t="s">
        <v>1171</v>
      </c>
      <c r="Q670" t="s">
        <v>1171</v>
      </c>
      <c r="R670" t="s">
        <v>1171</v>
      </c>
      <c r="S670" s="70" t="str" cm="1">
        <f t="array" ref="S670">_xlfn.TEXTJOIN(",",TRUE,LEFT(TRIM(_xlfn.TEXTSPLIT(us_core_reqs[[#This Row],[reference]],",")),FIND(".html",TRIM(_xlfn.TEXTSPLIT(us_core_reqs[[#This Row],[reference]],",")))-1))</f>
        <v>must-support</v>
      </c>
      <c r="T670" s="70" t="str" cm="1">
        <f t="array" ref="T670">_xlfn.TEXTJOIN(",",TRUE,MID(TRIM(_xlfn.TEXTSPLIT(us_core_reqs[[#This Row],[reference]],",")),FIND("#",TRIM(_xlfn.TEXTSPLIT(us_core_reqs[[#This Row],[reference]],","))&amp;"#")+1,1000))</f>
        <v>must-support---resource-references</v>
      </c>
      <c r="U670" t="str" cm="1">
        <f t="array" ref="U670">_xlfn.TEXTJOIN(", ",TRUE,SUBSTITUTE(SUBSTITUTE(PROPER(SUBSTITUTE(TRIM(_xlfn.TEXTSPLIT(us_core_reqs[[#This Row],[Page]],","))," -"," "))&amp;": "&amp;PROPER(SUBSTITUTE(TRIM(_xlfn.TEXTSPLIT(us_core_reqs[[#This Row],[Section]],","))," -"," ")),"Us ","US        
  "),"Uscdi","USCDI"))</f>
        <v>Must-Support: Must-Support---Resource-References</v>
      </c>
      <c r="V670" t="s">
        <v>1171</v>
      </c>
      <c r="W670" t="s">
        <v>1171</v>
      </c>
      <c r="X670" t="s">
        <v>1171</v>
      </c>
      <c r="Y670" t="s">
        <v>1171</v>
      </c>
      <c r="Z670" t="s">
        <v>1171</v>
      </c>
      <c r="AA670" t="s">
        <v>1171</v>
      </c>
      <c r="AB670" t="s">
        <v>1171</v>
      </c>
      <c r="AC670" t="s">
        <v>1171</v>
      </c>
      <c r="AD670" t="s">
        <v>1140</v>
      </c>
      <c r="AE670" t="s">
        <v>1140</v>
      </c>
    </row>
    <row r="671" spans="1:31" ht="69" thickBot="1" x14ac:dyDescent="0.25">
      <c r="A671" t="b">
        <v>1</v>
      </c>
      <c r="B671">
        <v>883</v>
      </c>
      <c r="C671" t="str">
        <f>"CONF-"&amp;TEXT(us_core_reqs[[#This Row],[ID*]], "0000")</f>
        <v>CONF-0883</v>
      </c>
      <c r="D671" s="69" t="s">
        <v>2308</v>
      </c>
      <c r="E671" s="73" t="str" cm="1">
        <f t="array" ref="E671">_xlfn.TEXTJOIN(", ", TRUE, _xlfn.TEXTAFTER(_xlfn.TEXTSPLIT(us_core_reqs[[#This Row],[URL*]], ", "), "/", -1))</f>
        <v>must-support.html#must-support---resource-references</v>
      </c>
      <c r="F671" s="11" t="s">
        <v>1862</v>
      </c>
      <c r="G671" t="s">
        <v>29</v>
      </c>
      <c r="H671" cm="1">
        <f t="array" ref="H671">_xlfn.SWITCH(G671, "SHALL", 1, "SHOULD", 3, "MAY", 5, "SHOULD-NOT", 4, "SHALL-NOT", 2, "DEPRECATED", 6, 99)</f>
        <v>1</v>
      </c>
      <c r="J671" t="s">
        <v>30</v>
      </c>
      <c r="K671" t="b">
        <v>1</v>
      </c>
      <c r="L671" t="s">
        <v>1171</v>
      </c>
      <c r="M671" t="b">
        <v>0</v>
      </c>
      <c r="O671" t="s">
        <v>1171</v>
      </c>
      <c r="P671" t="s">
        <v>1171</v>
      </c>
      <c r="Q671" t="s">
        <v>1171</v>
      </c>
      <c r="R671" t="s">
        <v>1171</v>
      </c>
      <c r="S671" s="70" t="str" cm="1">
        <f t="array" ref="S671">_xlfn.TEXTJOIN(",",TRUE,LEFT(TRIM(_xlfn.TEXTSPLIT(us_core_reqs[[#This Row],[reference]],",")),FIND(".html",TRIM(_xlfn.TEXTSPLIT(us_core_reqs[[#This Row],[reference]],",")))-1))</f>
        <v>must-support</v>
      </c>
      <c r="T671" s="70" t="str" cm="1">
        <f t="array" ref="T671">_xlfn.TEXTJOIN(",",TRUE,MID(TRIM(_xlfn.TEXTSPLIT(us_core_reqs[[#This Row],[reference]],",")),FIND("#",TRIM(_xlfn.TEXTSPLIT(us_core_reqs[[#This Row],[reference]],","))&amp;"#")+1,1000))</f>
        <v>must-support---resource-references</v>
      </c>
      <c r="U671" t="str" cm="1">
        <f t="array" ref="U671">_xlfn.TEXTJOIN(", ",TRUE,SUBSTITUTE(SUBSTITUTE(PROPER(SUBSTITUTE(TRIM(_xlfn.TEXTSPLIT(us_core_reqs[[#This Row],[Page]],","))," -"," "))&amp;": "&amp;PROPER(SUBSTITUTE(TRIM(_xlfn.TEXTSPLIT(us_core_reqs[[#This Row],[Section]],","))," -"," ")),"Us ","US        
  "),"Uscdi","USCDI"))</f>
        <v>Must-Support: Must-Support---Resource-References</v>
      </c>
      <c r="V671" t="s">
        <v>1171</v>
      </c>
      <c r="W671" t="s">
        <v>1171</v>
      </c>
      <c r="X671" t="s">
        <v>1171</v>
      </c>
      <c r="Y671" t="s">
        <v>1171</v>
      </c>
      <c r="Z671" t="s">
        <v>1171</v>
      </c>
      <c r="AA671" t="s">
        <v>1171</v>
      </c>
      <c r="AB671" t="s">
        <v>1171</v>
      </c>
      <c r="AC671" t="s">
        <v>1171</v>
      </c>
      <c r="AD671" t="s">
        <v>1140</v>
      </c>
      <c r="AE671" t="s">
        <v>1140</v>
      </c>
    </row>
    <row r="672" spans="1:31" ht="52" thickBot="1" x14ac:dyDescent="0.25">
      <c r="A672" t="b">
        <v>1</v>
      </c>
      <c r="B672">
        <v>884</v>
      </c>
      <c r="C672" t="str">
        <f>"CONF-"&amp;TEXT(us_core_reqs[[#This Row],[ID*]], "0000")</f>
        <v>CONF-0884</v>
      </c>
      <c r="D672" s="11" t="s">
        <v>619</v>
      </c>
      <c r="E672" s="73" t="str" cm="1">
        <f t="array" ref="E672">_xlfn.TEXTJOIN(", ", TRUE, _xlfn.TEXTAFTER(_xlfn.TEXTSPLIT(us_core_reqs[[#This Row],[URL*]], ", "), "/", -1))</f>
        <v>must-support.html#must-support---choice-of-data-types</v>
      </c>
      <c r="F672" s="11" t="s">
        <v>1867</v>
      </c>
      <c r="G672" t="s">
        <v>29</v>
      </c>
      <c r="H672" cm="1">
        <f t="array" ref="H672">_xlfn.SWITCH(G672, "SHALL", 1, "SHOULD", 3, "MAY", 5, "SHOULD-NOT", 4, "SHALL-NOT", 2, "DEPRECATED", 6, 99)</f>
        <v>1</v>
      </c>
      <c r="J672" t="s">
        <v>30</v>
      </c>
      <c r="K672" t="b">
        <v>1</v>
      </c>
      <c r="M672" t="b">
        <v>0</v>
      </c>
      <c r="S672" s="70" t="str" cm="1">
        <f t="array" ref="S672">_xlfn.TEXTJOIN(",",TRUE,LEFT(TRIM(_xlfn.TEXTSPLIT(us_core_reqs[[#This Row],[reference]],",")),FIND(".html",TRIM(_xlfn.TEXTSPLIT(us_core_reqs[[#This Row],[reference]],",")))-1))</f>
        <v>must-support</v>
      </c>
      <c r="T672" s="70" t="str" cm="1">
        <f t="array" ref="T672">_xlfn.TEXTJOIN(",",TRUE,MID(TRIM(_xlfn.TEXTSPLIT(us_core_reqs[[#This Row],[reference]],",")),FIND("#",TRIM(_xlfn.TEXTSPLIT(us_core_reqs[[#This Row],[reference]],","))&amp;"#")+1,1000))</f>
        <v>must-support---choice-of-data-types</v>
      </c>
      <c r="U672"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thickBot="1" x14ac:dyDescent="0.25">
      <c r="A673" t="b">
        <v>1</v>
      </c>
      <c r="B673">
        <v>885</v>
      </c>
      <c r="C673" t="str">
        <f>"CONF-"&amp;TEXT(us_core_reqs[[#This Row],[ID*]], "0000")</f>
        <v>CONF-0885</v>
      </c>
      <c r="D673" s="11" t="s">
        <v>1888</v>
      </c>
      <c r="E673" s="73" t="str" cm="1">
        <f t="array" ref="E673">_xlfn.TEXTJOIN(", ", TRUE, _xlfn.TEXTAFTER(_xlfn.TEXTSPLIT(us_core_reqs[[#This Row],[URL*]], ", "), "/", -1))</f>
        <v>basic-provenance.html#individual-level-provenance</v>
      </c>
      <c r="F673" s="11" t="s">
        <v>1889</v>
      </c>
      <c r="G673" t="s">
        <v>32</v>
      </c>
      <c r="H673" cm="1">
        <f t="array" ref="H673">_xlfn.SWITCH(G673, "SHALL", 1, "SHOULD", 3, "MAY", 5, "SHOULD-NOT", 4, "SHALL-NOT", 2, "DEPRECATED", 6, 99)</f>
        <v>3</v>
      </c>
      <c r="J673" t="s">
        <v>30</v>
      </c>
      <c r="M673" t="b">
        <v>0</v>
      </c>
      <c r="S673" s="70" t="str" cm="1">
        <f t="array" ref="S673">_xlfn.TEXTJOIN(",",TRUE,LEFT(TRIM(_xlfn.TEXTSPLIT(us_core_reqs[[#This Row],[reference]],",")),FIND(".html",TRIM(_xlfn.TEXTSPLIT(us_core_reqs[[#This Row],[reference]],",")))-1))</f>
        <v>basic-provenance</v>
      </c>
      <c r="T673" s="70" t="str" cm="1">
        <f t="array" ref="T673">_xlfn.TEXTJOIN(",",TRUE,MID(TRIM(_xlfn.TEXTSPLIT(us_core_reqs[[#This Row],[reference]],",")),FIND("#",TRIM(_xlfn.TEXTSPLIT(us_core_reqs[[#This Row],[reference]],","))&amp;"#")+1,1000))</f>
        <v>individual-level-provenance</v>
      </c>
      <c r="U673"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customHeight="1" thickBot="1" x14ac:dyDescent="0.25">
      <c r="A674" t="b">
        <v>1</v>
      </c>
      <c r="B674">
        <v>886</v>
      </c>
      <c r="C674" t="str">
        <f>"CONF-"&amp;TEXT(us_core_reqs[[#This Row],[ID*]], "0000")</f>
        <v>CONF-0886</v>
      </c>
      <c r="D674" s="11" t="s">
        <v>2232</v>
      </c>
      <c r="E674" s="73" t="str" cm="1">
        <f t="array" ref="E674">_xlfn.TEXTJOIN(", ", TRUE, _xlfn.TEXTAFTER(_xlfn.TEXTSPLIT(us_core_reqs[[#This Row],[URL*]], ", "), "/", -1))</f>
        <v>StructureDefinition-us-core-encounter.html#profile-specific-implementation-guidance</v>
      </c>
      <c r="F674" s="80" t="s">
        <v>2290</v>
      </c>
      <c r="G674" t="s">
        <v>29</v>
      </c>
      <c r="H674" cm="1">
        <f t="array" ref="H674">_xlfn.SWITCH(G674, "SHALL", 1, "SHOULD", 3, "MAY", 5, "SHOULD-NOT", 4, "SHALL-NOT", 2, "DEPRECATED", 6, 99)</f>
        <v>1</v>
      </c>
      <c r="J674" t="s">
        <v>58</v>
      </c>
      <c r="S674" s="70" t="str" cm="1">
        <f t="array" ref="S674">_xlfn.TEXTJOIN(",",TRUE,LEFT(TRIM(_xlfn.TEXTSPLIT(us_core_reqs[[#This Row],[reference]],",")),FIND(".html",TRIM(_xlfn.TEXTSPLIT(us_core_reqs[[#This Row],[reference]],",")))-1))</f>
        <v>StructureDefinition-us-core-encounter</v>
      </c>
      <c r="T674" s="70" t="str" cm="1">
        <f t="array" ref="T674">_xlfn.TEXTJOIN(",",TRUE,MID(TRIM(_xlfn.TEXTSPLIT(us_core_reqs[[#This Row],[reference]],",")),FIND("#",TRIM(_xlfn.TEXTSPLIT(us_core_reqs[[#This Row],[reference]],","))&amp;"#")+1,1000))</f>
        <v>profile-specific-implementation-guidance</v>
      </c>
      <c r="U674"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customHeight="1" thickBot="1" x14ac:dyDescent="0.25">
      <c r="A675" t="b">
        <v>1</v>
      </c>
      <c r="B675">
        <v>887</v>
      </c>
      <c r="C675" t="str">
        <f>"CONF-"&amp;TEXT(us_core_reqs[[#This Row],[ID*]], "0000")</f>
        <v>CONF-0887</v>
      </c>
      <c r="D675" s="11" t="s">
        <v>2250</v>
      </c>
      <c r="E675" s="73" t="str" cm="1">
        <f t="array" ref="E675">_xlfn.TEXTJOIN(", ", TRUE, _xlfn.TEXTAFTER(_xlfn.TEXTSPLIT(us_core_reqs[[#This Row],[URL*]], ", "), "/", -1))</f>
        <v>StructureDefinition-us-core-observation-screening-assessment.html#profile-specific-implementation-guidance</v>
      </c>
      <c r="F675" s="11" t="s">
        <v>2148</v>
      </c>
      <c r="G675" t="s">
        <v>29</v>
      </c>
      <c r="H675" cm="1">
        <f t="array" ref="H675">_xlfn.SWITCH(G675, "SHALL", 1, "SHOULD", 3, "MAY", 5, "SHOULD-NOT", 4, "SHALL-NOT", 2, "DEPRECATED", 6, 99)</f>
        <v>1</v>
      </c>
      <c r="J675" t="s">
        <v>30</v>
      </c>
      <c r="S675" s="70" t="str" cm="1">
        <f t="array" ref="S675">_xlfn.TEXTJOIN(",",TRUE,LEFT(TRIM(_xlfn.TEXTSPLIT(us_core_reqs[[#This Row],[reference]],",")),FIND(".html",TRIM(_xlfn.TEXTSPLIT(us_core_reqs[[#This Row],[reference]],",")))-1))</f>
        <v>StructureDefinition-us-core-observation-screening-assessment</v>
      </c>
      <c r="T675" s="70" t="str" cm="1">
        <f t="array" ref="T675">_xlfn.TEXTJOIN(",",TRUE,MID(TRIM(_xlfn.TEXTSPLIT(us_core_reqs[[#This Row],[reference]],",")),FIND("#",TRIM(_xlfn.TEXTSPLIT(us_core_reqs[[#This Row],[reference]],","))&amp;"#")+1,1000))</f>
        <v>profile-specific-implementation-guidance</v>
      </c>
      <c r="U675"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customHeight="1" thickBot="1" x14ac:dyDescent="0.25">
      <c r="A676" t="b">
        <v>1</v>
      </c>
      <c r="B676">
        <v>888</v>
      </c>
      <c r="C676" t="str">
        <f>"CONF-"&amp;TEXT(us_core_reqs[[#This Row],[ID*]], "0000")</f>
        <v>CONF-0888</v>
      </c>
      <c r="D676" s="11" t="s">
        <v>2250</v>
      </c>
      <c r="E676" s="73" t="str" cm="1">
        <f t="array" ref="E676">_xlfn.TEXTJOIN(", ", TRUE, _xlfn.TEXTAFTER(_xlfn.TEXTSPLIT(us_core_reqs[[#This Row],[URL*]], ", "), "/", -1))</f>
        <v>StructureDefinition-us-core-observation-screening-assessment.html#profile-specific-implementation-guidance</v>
      </c>
      <c r="F676" s="11" t="s">
        <v>2149</v>
      </c>
      <c r="G676" t="s">
        <v>29</v>
      </c>
      <c r="H676" cm="1">
        <f t="array" ref="H676">_xlfn.SWITCH(G676, "SHALL", 1, "SHOULD", 3, "MAY", 5, "SHOULD-NOT", 4, "SHALL-NOT", 2, "DEPRECATED", 6, 99)</f>
        <v>1</v>
      </c>
      <c r="J676" t="s">
        <v>58</v>
      </c>
      <c r="S676" s="70" t="str" cm="1">
        <f t="array" ref="S676">_xlfn.TEXTJOIN(",",TRUE,LEFT(TRIM(_xlfn.TEXTSPLIT(us_core_reqs[[#This Row],[reference]],",")),FIND(".html",TRIM(_xlfn.TEXTSPLIT(us_core_reqs[[#This Row],[reference]],",")))-1))</f>
        <v>StructureDefinition-us-core-observation-screening-assessment</v>
      </c>
      <c r="T676" s="70" t="str" cm="1">
        <f t="array" ref="T676">_xlfn.TEXTJOIN(",",TRUE,MID(TRIM(_xlfn.TEXTSPLIT(us_core_reqs[[#This Row],[reference]],",")),FIND("#",TRIM(_xlfn.TEXTSPLIT(us_core_reqs[[#This Row],[reference]],","))&amp;"#")+1,1000))</f>
        <v>profile-specific-implementation-guidance</v>
      </c>
      <c r="U676"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customHeight="1" x14ac:dyDescent="0.2">
      <c r="A677" t="b">
        <v>1</v>
      </c>
      <c r="B677">
        <v>889</v>
      </c>
      <c r="C677" t="str">
        <f>"CONF-"&amp;TEXT(us_core_reqs[[#This Row],[ID*]], "0000")</f>
        <v>CONF-0889</v>
      </c>
      <c r="D677" s="11" t="s">
        <v>2316</v>
      </c>
      <c r="E677" s="11" t="str" cm="1">
        <f t="array" ref="E677">_xlfn.TEXTJOIN(", ", TRUE, _xlfn.TEXTAFTER(_xlfn.TEXTSPLIT(us_core_reqs[[#This Row],[URL*]], ", "), "/", -1))</f>
        <v>StructureDefinition-us-core-practitionerrole.html#profile-specific-implementation-guidance,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11" t="s">
        <v>2309</v>
      </c>
      <c r="G677" t="s">
        <v>32</v>
      </c>
      <c r="H677" cm="1">
        <f t="array" ref="H677">_xlfn.SWITCH(G677, "SHALL", 1, "SHOULD", 3, "MAY", 5, "SHOULD-NOT", 4, "SHALL-NOT", 2, "DEPRECATED", 6, 99)</f>
        <v>3</v>
      </c>
      <c r="J677" t="s">
        <v>30</v>
      </c>
      <c r="S677" s="70" t="str" cm="1">
        <f t="array" ref="S677">_xlfn.TEXTJOIN(",",TRUE,LEFT(TRIM(_xlfn.TEXTSPLIT(us_core_reqs[[#This Row],[reference]],",")),FIND(".html",TRIM(_xlfn.TEXTSPLIT(us_core_reqs[[#This Row],[reference]],",")))-1))</f>
        <v>StructureDefinition-us-core-practitionerrole,StructureDefinition-us-core-organization,StructureDefinition-us-core-patient,StructureDefinition-us-core-relatedperson</v>
      </c>
      <c r="T677" s="70"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t="str" cm="1">
        <f t="array" ref="U677">_xlfn.TEXTJOIN(", ",TRUE,SUBSTITUTE(SUBSTITUTE(PROPER(SUBSTITUTE(TRIM(_xlfn.TEXTSPLIT(us_core_reqs[[#This Row],[Page]],","))," -"," "))&amp;": "&amp;PROPER(SUBSTITUTE(TRIM(_xlfn.TEXTSPLIT(us_core_reqs[[#This Row],[Section]],","))," -"," ")),"Us ","US        
  "),"Uscdi","USCDI"))</f>
        <v>Structuredefinition-Us-Core-Practitionerrole: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customHeight="1" x14ac:dyDescent="0.2">
      <c r="A678" t="b">
        <v>1</v>
      </c>
      <c r="B678">
        <v>890</v>
      </c>
      <c r="C678" t="str">
        <f>"CONF-"&amp;TEXT(us_core_reqs[[#This Row],[ID*]], "0000")</f>
        <v>CONF-0890</v>
      </c>
      <c r="D678" t="s">
        <v>2317</v>
      </c>
      <c r="E678" s="11" t="str" cm="1">
        <f t="array" ref="E678">_xlfn.TEXTJOIN(", ", TRUE, _xlfn.TEXTAFTER(_xlfn.TEXTSPLIT(us_core_reqs[[#This Row],[URL*]], ", "), "/", -1))</f>
        <v>StructureDefinition-us-core-practitionerrole.html#profile-specific-implementation-guidance</v>
      </c>
      <c r="F678" s="80" t="s">
        <v>2319</v>
      </c>
      <c r="G678" t="s">
        <v>32</v>
      </c>
      <c r="H678" cm="1">
        <f t="array" ref="H678">_xlfn.SWITCH(G678, "SHALL", 1, "SHOULD", 3, "MAY", 5, "SHOULD-NOT", 4, "SHALL-NOT", 2, "DEPRECATED", 6, 99)</f>
        <v>3</v>
      </c>
      <c r="J678" t="s">
        <v>30</v>
      </c>
      <c r="S678" s="70" t="str" cm="1">
        <f t="array" ref="S678">_xlfn.TEXTJOIN(",",TRUE,LEFT(TRIM(_xlfn.TEXTSPLIT(us_core_reqs[[#This Row],[reference]],",")),FIND(".html",TRIM(_xlfn.TEXTSPLIT(us_core_reqs[[#This Row],[reference]],",")))-1))</f>
        <v>StructureDefinition-us-core-practitionerrole</v>
      </c>
      <c r="T678" s="70" t="str" cm="1">
        <f t="array" ref="T678">_xlfn.TEXTJOIN(",",TRUE,MID(TRIM(_xlfn.TEXTSPLIT(us_core_reqs[[#This Row],[reference]],",")),FIND("#",TRIM(_xlfn.TEXTSPLIT(us_core_reqs[[#This Row],[reference]],","))&amp;"#")+1,1000))</f>
        <v>profile-specific-implementation-guidance</v>
      </c>
      <c r="U678"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customHeight="1" thickBot="1" x14ac:dyDescent="0.25">
      <c r="A679" t="b">
        <v>1</v>
      </c>
      <c r="B679">
        <v>891</v>
      </c>
      <c r="C679" t="str">
        <f>"CONF-"&amp;TEXT(us_core_reqs[[#This Row],[ID*]], "0000")</f>
        <v>CONF-0891</v>
      </c>
      <c r="D679" t="s">
        <v>2317</v>
      </c>
      <c r="E679" s="11" t="str" cm="1">
        <f t="array" ref="E679">_xlfn.TEXTJOIN(", ", TRUE, _xlfn.TEXTAFTER(_xlfn.TEXTSPLIT(us_core_reqs[[#This Row],[URL*]], ", "), "/", -1))</f>
        <v>StructureDefinition-us-core-practitionerrole.html#profile-specific-implementation-guidance</v>
      </c>
      <c r="F679" s="79" t="s">
        <v>2318</v>
      </c>
      <c r="G679" t="s">
        <v>32</v>
      </c>
      <c r="H679" cm="1">
        <f t="array" ref="H679">_xlfn.SWITCH(G679, "SHALL", 1, "SHOULD", 3, "MAY", 5, "SHOULD-NOT", 4, "SHALL-NOT", 2, "DEPRECATED", 6, 99)</f>
        <v>3</v>
      </c>
      <c r="J679" t="s">
        <v>30</v>
      </c>
      <c r="S679" s="70" t="str" cm="1">
        <f t="array" ref="S679">_xlfn.TEXTJOIN(",",TRUE,LEFT(TRIM(_xlfn.TEXTSPLIT(us_core_reqs[[#This Row],[reference]],",")),FIND(".html",TRIM(_xlfn.TEXTSPLIT(us_core_reqs[[#This Row],[reference]],",")))-1))</f>
        <v>StructureDefinition-us-core-practitionerrole</v>
      </c>
      <c r="T679" s="70" t="str" cm="1">
        <f t="array" ref="T679">_xlfn.TEXTJOIN(",",TRUE,MID(TRIM(_xlfn.TEXTSPLIT(us_core_reqs[[#This Row],[reference]],",")),FIND("#",TRIM(_xlfn.TEXTSPLIT(us_core_reqs[[#This Row],[reference]],","))&amp;"#")+1,1000))</f>
        <v>profile-specific-implementation-guidance</v>
      </c>
      <c r="U679"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customHeight="1" thickBot="1" x14ac:dyDescent="0.25">
      <c r="A680" t="b">
        <v>1</v>
      </c>
      <c r="B680">
        <v>892</v>
      </c>
      <c r="C680" t="str">
        <f>"CONF-"&amp;TEXT(us_core_reqs[[#This Row],[ID*]], "0000")</f>
        <v>CONF-0892</v>
      </c>
      <c r="D680" t="s">
        <v>2323</v>
      </c>
      <c r="E680" s="73" t="str" cm="1">
        <f t="array" ref="E680">_xlfn.TEXTJOIN(", ", TRUE, _xlfn.TEXTAFTER(_xlfn.TEXTSPLIT(us_core_reqs[[#This Row],[URL*]], ", "), "/", -1))</f>
        <v>StructureDefinition-us-core-procedure.html#profile-specific-implementation-guidance</v>
      </c>
      <c r="F680" s="81" t="s">
        <v>2324</v>
      </c>
      <c r="G680" t="s">
        <v>32</v>
      </c>
      <c r="H680" cm="1">
        <f t="array" ref="H680">_xlfn.SWITCH(G680, "SHALL", 1, "SHOULD", 3, "MAY", 5, "SHOULD-NOT", 4, "SHALL-NOT", 2, "DEPRECATED", 6, 99)</f>
        <v>3</v>
      </c>
      <c r="J680" t="s">
        <v>30</v>
      </c>
      <c r="S680" s="70" t="str" cm="1">
        <f t="array" ref="S680">_xlfn.TEXTJOIN(",",TRUE,LEFT(TRIM(_xlfn.TEXTSPLIT(us_core_reqs[[#This Row],[reference]],",")),FIND(".html",TRIM(_xlfn.TEXTSPLIT(us_core_reqs[[#This Row],[reference]],",")))-1))</f>
        <v>StructureDefinition-us-core-procedure</v>
      </c>
      <c r="T680" s="70" t="str" cm="1">
        <f t="array" ref="T680">_xlfn.TEXTJOIN(",",TRUE,MID(TRIM(_xlfn.TEXTSPLIT(us_core_reqs[[#This Row],[reference]],",")),FIND("#",TRIM(_xlfn.TEXTSPLIT(us_core_reqs[[#This Row],[reference]],","))&amp;"#")+1,1000))</f>
        <v>profile-specific-implementation-guidance</v>
      </c>
      <c r="U680"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ht="112" customHeight="1" thickBot="1" x14ac:dyDescent="0.25">
      <c r="A681" t="b">
        <v>1</v>
      </c>
      <c r="B681">
        <v>893</v>
      </c>
      <c r="C681" t="str">
        <f>"CONF-"&amp;TEXT(us_core_reqs[[#This Row],[ID*]], "0000")</f>
        <v>CONF-0893</v>
      </c>
      <c r="D681" t="s">
        <v>2326</v>
      </c>
      <c r="E681" s="73" t="str" cm="1">
        <f t="array" ref="E681">_xlfn.TEXTJOIN(", ", TRUE, _xlfn.TEXTAFTER(_xlfn.TEXTSPLIT(us_core_reqs[[#This Row],[URL*]], ", "), "/", -1))</f>
        <v>StructureDefinition-us-core-provenance.html#profile-specific-implementation-guidance</v>
      </c>
      <c r="F681" s="81" t="s">
        <v>2328</v>
      </c>
      <c r="G681" t="s">
        <v>35</v>
      </c>
      <c r="H681" cm="1">
        <f t="array" ref="H681">_xlfn.SWITCH(G681, "SHALL", 1, "SHOULD", 3, "MAY", 5, "SHOULD-NOT", 4, "SHALL-NOT", 2, "DEPRECATED", 6, 99)</f>
        <v>5</v>
      </c>
      <c r="I681" t="s">
        <v>2327</v>
      </c>
      <c r="J681" t="s">
        <v>30</v>
      </c>
      <c r="S681" s="70" t="str" cm="1">
        <f t="array" ref="S681">_xlfn.TEXTJOIN(",",TRUE,LEFT(TRIM(_xlfn.TEXTSPLIT(us_core_reqs[[#This Row],[reference]],",")),FIND(".html",TRIM(_xlfn.TEXTSPLIT(us_core_reqs[[#This Row],[reference]],",")))-1))</f>
        <v>StructureDefinition-us-core-provenance</v>
      </c>
      <c r="T681" s="70" t="str" cm="1">
        <f t="array" ref="T681">_xlfn.TEXTJOIN(",",TRUE,MID(TRIM(_xlfn.TEXTSPLIT(us_core_reqs[[#This Row],[reference]],",")),FIND("#",TRIM(_xlfn.TEXTSPLIT(us_core_reqs[[#This Row],[reference]],","))&amp;"#")+1,1000))</f>
        <v>profile-specific-implementation-guidance</v>
      </c>
      <c r="U681"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ht="112" customHeight="1" thickBot="1" x14ac:dyDescent="0.25">
      <c r="A682" t="b">
        <v>1</v>
      </c>
      <c r="B682">
        <v>894</v>
      </c>
      <c r="C682" t="str">
        <f>"CONF-"&amp;TEXT(us_core_reqs[[#This Row],[ID*]], "0000")</f>
        <v>CONF-0894</v>
      </c>
      <c r="D682" t="s">
        <v>2317</v>
      </c>
      <c r="E682" s="11" t="str" cm="1">
        <f t="array" ref="E682">_xlfn.TEXTJOIN(", ", TRUE, _xlfn.TEXTAFTER(_xlfn.TEXTSPLIT(us_core_reqs[[#This Row],[URL*]], ", "), "/", -1))</f>
        <v>StructureDefinition-us-core-practitionerrole.html#profile-specific-implementation-guidance</v>
      </c>
      <c r="F682" s="82" t="s">
        <v>2349</v>
      </c>
      <c r="G682" t="s">
        <v>32</v>
      </c>
      <c r="H682" cm="1">
        <f t="array" ref="H682">_xlfn.SWITCH(G682, "SHALL", 1, "SHOULD", 3, "MAY", 5, "SHOULD-NOT", 4, "SHALL-NOT", 2, "DEPRECATED", 6, 99)</f>
        <v>3</v>
      </c>
      <c r="J682" t="s">
        <v>30</v>
      </c>
      <c r="S682" s="70" t="str" cm="1">
        <f t="array" ref="S682">_xlfn.TEXTJOIN(",",TRUE,LEFT(TRIM(_xlfn.TEXTSPLIT(us_core_reqs[[#This Row],[reference]],",")),FIND(".html",TRIM(_xlfn.TEXTSPLIT(us_core_reqs[[#This Row],[reference]],",")))-1))</f>
        <v>StructureDefinition-us-core-practitionerrole</v>
      </c>
      <c r="T682" s="70" t="str" cm="1">
        <f t="array" ref="T682">_xlfn.TEXTJOIN(",",TRUE,MID(TRIM(_xlfn.TEXTSPLIT(us_core_reqs[[#This Row],[reference]],",")),FIND("#",TRIM(_xlfn.TEXTSPLIT(us_core_reqs[[#This Row],[reference]],","))&amp;"#")+1,1000))</f>
        <v>profile-specific-implementation-guidance</v>
      </c>
      <c r="U682"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ht="112" customHeight="1" thickBot="1" x14ac:dyDescent="0.25">
      <c r="A683" t="b">
        <v>1</v>
      </c>
      <c r="B683">
        <v>895</v>
      </c>
      <c r="C683" t="str">
        <f>"CONF-"&amp;TEXT(us_core_reqs[[#This Row],[ID*]], "0000")</f>
        <v>CONF-0895</v>
      </c>
      <c r="D683" s="74" t="s">
        <v>2323</v>
      </c>
      <c r="E683" s="73" t="str" cm="1">
        <f t="array" ref="E683">_xlfn.TEXTJOIN(", ", TRUE, _xlfn.TEXTAFTER(_xlfn.TEXTSPLIT(us_core_reqs[[#This Row],[URL*]], ", "), "/", -1))</f>
        <v>StructureDefinition-us-core-procedure.html#profile-specific-implementation-guidance</v>
      </c>
      <c r="F683" s="71" t="s">
        <v>2350</v>
      </c>
      <c r="G683" t="s">
        <v>32</v>
      </c>
      <c r="H683" cm="1">
        <f t="array" ref="H683">_xlfn.SWITCH(G683, "SHALL", 1, "SHOULD", 3, "MAY", 5, "SHOULD-NOT", 4, "SHALL-NOT", 2, "DEPRECATED", 6, 99)</f>
        <v>3</v>
      </c>
      <c r="J683" t="s">
        <v>30</v>
      </c>
      <c r="S683" s="70" t="str" cm="1">
        <f t="array" ref="S683">_xlfn.TEXTJOIN(",",TRUE,LEFT(TRIM(_xlfn.TEXTSPLIT(us_core_reqs[[#This Row],[reference]],",")),FIND(".html",TRIM(_xlfn.TEXTSPLIT(us_core_reqs[[#This Row],[reference]],",")))-1))</f>
        <v>StructureDefinition-us-core-procedure</v>
      </c>
      <c r="T683" s="70" t="str" cm="1">
        <f t="array" ref="T683">_xlfn.TEXTJOIN(",",TRUE,MID(TRIM(_xlfn.TEXTSPLIT(us_core_reqs[[#This Row],[reference]],",")),FIND("#",TRIM(_xlfn.TEXTSPLIT(us_core_reqs[[#This Row],[reference]],","))&amp;"#")+1,1000))</f>
        <v>profile-specific-implementation-guidance</v>
      </c>
      <c r="U683"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s="68" customFormat="1" ht="112" customHeight="1" thickBot="1" x14ac:dyDescent="0.25">
      <c r="A684" s="68" t="b">
        <v>1</v>
      </c>
      <c r="B684" s="68">
        <v>896</v>
      </c>
      <c r="C684" s="68" t="str">
        <f>"CONF-"&amp;TEXT(us_core_reqs[[#This Row],[ID*]], "0000")</f>
        <v>CONF-0896</v>
      </c>
      <c r="D684" s="85" t="s">
        <v>2356</v>
      </c>
      <c r="E684" s="83" t="str" cm="1">
        <f t="array" ref="E684">_xlfn.TEXTJOIN(", ", TRUE, _xlfn.TEXTAFTER(_xlfn.TEXTSPLIT(us_core_reqs[[#This Row],[URL*]], ", "), "/", -1))</f>
        <v>general-requirements.html#extensible-binding-for-coded-elements</v>
      </c>
      <c r="F684" s="84" t="s">
        <v>2357</v>
      </c>
      <c r="G684" s="68" t="s">
        <v>32</v>
      </c>
      <c r="H684" s="68" cm="1">
        <f t="array" ref="H684">_xlfn.SWITCH(G684, "SHALL", 1, "SHOULD", 3, "MAY", 5, "SHOULD-NOT", 4, "SHALL-NOT", 2, "DEPRECATED", 6, 99)</f>
        <v>3</v>
      </c>
      <c r="J684" s="68" t="s">
        <v>30</v>
      </c>
      <c r="S684" s="72" t="str" cm="1">
        <f t="array" ref="S684">_xlfn.TEXTJOIN(",",TRUE,LEFT(TRIM(_xlfn.TEXTSPLIT(us_core_reqs[[#This Row],[reference]],",")),FIND(".html",TRIM(_xlfn.TEXTSPLIT(us_core_reqs[[#This Row],[reference]],",")))-1))</f>
        <v>general-requirements</v>
      </c>
      <c r="T684" s="72" t="str" cm="1">
        <f t="array" ref="T684">_xlfn.TEXTJOIN(",",TRUE,MID(TRIM(_xlfn.TEXTSPLIT(us_core_reqs[[#This Row],[reference]],",")),FIND("#",TRIM(_xlfn.TEXTSPLIT(us_core_reqs[[#This Row],[reference]],","))&amp;"#")+1,1000))</f>
        <v>extensible-binding-for-coded-elements</v>
      </c>
      <c r="U684" s="68"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ht="112" customHeight="1" thickBot="1" x14ac:dyDescent="0.25">
      <c r="A685" t="b">
        <v>1</v>
      </c>
      <c r="B685">
        <v>897</v>
      </c>
      <c r="C685" t="str">
        <f>"CONF-"&amp;TEXT(us_core_reqs[[#This Row],[ID*]], "0000")</f>
        <v>CONF-0897</v>
      </c>
      <c r="D685" t="s">
        <v>2356</v>
      </c>
      <c r="E685" s="73" t="str" cm="1">
        <f t="array" ref="E685">_xlfn.TEXTJOIN(", ", TRUE, _xlfn.TEXTAFTER(_xlfn.TEXTSPLIT(us_core_reqs[[#This Row],[URL*]], ", "), "/", -1))</f>
        <v>general-requirements.html#extensible-binding-for-coded-elements</v>
      </c>
      <c r="F685" s="71" t="s">
        <v>2358</v>
      </c>
      <c r="G685" t="s">
        <v>32</v>
      </c>
      <c r="H685" cm="1">
        <f t="array" ref="H685">_xlfn.SWITCH(G685, "SHALL", 1, "SHOULD", 3, "MAY", 5, "SHOULD-NOT", 4, "SHALL-NOT", 2, "DEPRECATED", 6, 99)</f>
        <v>3</v>
      </c>
      <c r="J685" t="s">
        <v>30</v>
      </c>
      <c r="S685" s="70" t="str" cm="1">
        <f t="array" ref="S685">_xlfn.TEXTJOIN(",",TRUE,LEFT(TRIM(_xlfn.TEXTSPLIT(us_core_reqs[[#This Row],[reference]],",")),FIND(".html",TRIM(_xlfn.TEXTSPLIT(us_core_reqs[[#This Row],[reference]],",")))-1))</f>
        <v>general-requirements</v>
      </c>
      <c r="T685" s="70" t="str" cm="1">
        <f t="array" ref="T685">_xlfn.TEXTJOIN(",",TRUE,MID(TRIM(_xlfn.TEXTSPLIT(us_core_reqs[[#This Row],[reference]],",")),FIND("#",TRIM(_xlfn.TEXTSPLIT(us_core_reqs[[#This Row],[reference]],","))&amp;"#")+1,1000))</f>
        <v>extensible-binding-for-coded-elements</v>
      </c>
      <c r="U685"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ht="112" customHeight="1" thickBot="1" x14ac:dyDescent="0.25">
      <c r="A686" t="b">
        <v>1</v>
      </c>
      <c r="B686">
        <v>898</v>
      </c>
      <c r="C686" t="str">
        <f>"CONF-"&amp;TEXT(us_core_reqs[[#This Row],[ID*]], "0000")</f>
        <v>CONF-0898</v>
      </c>
      <c r="D686" s="74" t="s">
        <v>2356</v>
      </c>
      <c r="E686" s="73" t="str" cm="1">
        <f t="array" ref="E686">_xlfn.TEXTJOIN(", ", TRUE, _xlfn.TEXTAFTER(_xlfn.TEXTSPLIT(us_core_reqs[[#This Row],[URL*]], ", "), "/", -1))</f>
        <v>general-requirements.html#extensible-binding-for-coded-elements</v>
      </c>
      <c r="F686" s="71" t="s">
        <v>2359</v>
      </c>
      <c r="G686" t="s">
        <v>35</v>
      </c>
      <c r="H686" cm="1">
        <f t="array" ref="H686">_xlfn.SWITCH(G686, "SHALL", 1, "SHOULD", 3, "MAY", 5, "SHOULD-NOT", 4, "SHALL-NOT", 2, "DEPRECATED", 6, 99)</f>
        <v>5</v>
      </c>
      <c r="J686" t="s">
        <v>30</v>
      </c>
      <c r="S686" s="70" t="str" cm="1">
        <f t="array" ref="S686">_xlfn.TEXTJOIN(",",TRUE,LEFT(TRIM(_xlfn.TEXTSPLIT(us_core_reqs[[#This Row],[reference]],",")),FIND(".html",TRIM(_xlfn.TEXTSPLIT(us_core_reqs[[#This Row],[reference]],",")))-1))</f>
        <v>general-requirements</v>
      </c>
      <c r="T686" s="70" t="str" cm="1">
        <f t="array" ref="T686">_xlfn.TEXTJOIN(",",TRUE,MID(TRIM(_xlfn.TEXTSPLIT(us_core_reqs[[#This Row],[reference]],",")),FIND("#",TRIM(_xlfn.TEXTSPLIT(us_core_reqs[[#This Row],[reference]],","))&amp;"#")+1,1000))</f>
        <v>extensible-binding-for-coded-elements</v>
      </c>
      <c r="U686"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ht="112" customHeight="1" thickBot="1" x14ac:dyDescent="0.25">
      <c r="A687" t="b">
        <v>1</v>
      </c>
      <c r="B687">
        <v>899</v>
      </c>
      <c r="C687" t="str">
        <f>"CONF-"&amp;TEXT(us_core_reqs[[#This Row],[ID*]], "0000")</f>
        <v>CONF-0899</v>
      </c>
      <c r="D687" t="s">
        <v>2360</v>
      </c>
      <c r="E687" s="73" t="str" cm="1">
        <f t="array" ref="E687">_xlfn.TEXTJOIN(", ", TRUE, _xlfn.TEXTAFTER(_xlfn.TEXTSPLIT(us_core_reqs[[#This Row],[URL*]], ", "), "/", -1))</f>
        <v>StructureDefinition-us-core-adi-documentreference.html#profile-specific-implementation-guidance</v>
      </c>
      <c r="F687" s="71" t="s">
        <v>2361</v>
      </c>
      <c r="G687" t="s">
        <v>32</v>
      </c>
      <c r="H687" cm="1">
        <f t="array" ref="H687">_xlfn.SWITCH(G687, "SHALL", 1, "SHOULD", 3, "MAY", 5, "SHOULD-NOT", 4, "SHALL-NOT", 2, "DEPRECATED", 6, 99)</f>
        <v>3</v>
      </c>
      <c r="J687" t="s">
        <v>30</v>
      </c>
      <c r="S687" s="70" t="str" cm="1">
        <f t="array" ref="S687">_xlfn.TEXTJOIN(",",TRUE,LEFT(TRIM(_xlfn.TEXTSPLIT(us_core_reqs[[#This Row],[reference]],",")),FIND(".html",TRIM(_xlfn.TEXTSPLIT(us_core_reqs[[#This Row],[reference]],",")))-1))</f>
        <v>StructureDefinition-us-core-adi-documentreference</v>
      </c>
      <c r="T687" s="70" t="str" cm="1">
        <f t="array" ref="T687">_xlfn.TEXTJOIN(",",TRUE,MID(TRIM(_xlfn.TEXTSPLIT(us_core_reqs[[#This Row],[reference]],",")),FIND("#",TRIM(_xlfn.TEXTSPLIT(us_core_reqs[[#This Row],[reference]],","))&amp;"#")+1,1000))</f>
        <v>profile-specific-implementation-guidance</v>
      </c>
      <c r="U687"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1:21" ht="112" customHeight="1" thickBot="1" x14ac:dyDescent="0.25">
      <c r="A688" t="b">
        <v>1</v>
      </c>
      <c r="B688">
        <v>900</v>
      </c>
      <c r="C688" t="str">
        <f>"CONF-"&amp;TEXT(us_core_reqs[[#This Row],[ID*]], "0000")</f>
        <v>CONF-0900</v>
      </c>
      <c r="D688" t="s">
        <v>2362</v>
      </c>
      <c r="E688" s="73" t="str" cm="1">
        <f t="array" ref="E688">_xlfn.TEXTJOIN(", ", TRUE, _xlfn.TEXTAFTER(_xlfn.TEXTSPLIT(us_core_reqs[[#This Row],[URL*]], ", "), "/", -1))</f>
        <v>StructureDefinition-us-core-condition-problems-health-concerns.html#profile-specific-implementation-guidance</v>
      </c>
      <c r="F688" s="71" t="s">
        <v>2363</v>
      </c>
      <c r="G688" t="s">
        <v>32</v>
      </c>
      <c r="H688" cm="1">
        <f t="array" ref="H688">_xlfn.SWITCH(G688, "SHALL", 1, "SHOULD", 3, "MAY", 5, "SHOULD-NOT", 4, "SHALL-NOT", 2, "DEPRECATED", 6, 99)</f>
        <v>3</v>
      </c>
      <c r="J688" t="s">
        <v>30</v>
      </c>
      <c r="S688" s="70" t="str" cm="1">
        <f t="array" ref="S688">_xlfn.TEXTJOIN(",",TRUE,LEFT(TRIM(_xlfn.TEXTSPLIT(us_core_reqs[[#This Row],[reference]],",")),FIND(".html",TRIM(_xlfn.TEXTSPLIT(us_core_reqs[[#This Row],[reference]],",")))-1))</f>
        <v>StructureDefinition-us-core-condition-problems-health-concerns</v>
      </c>
      <c r="T688" s="70" t="str" cm="1">
        <f t="array" ref="T688">_xlfn.TEXTJOIN(",",TRUE,MID(TRIM(_xlfn.TEXTSPLIT(us_core_reqs[[#This Row],[reference]],",")),FIND("#",TRIM(_xlfn.TEXTSPLIT(us_core_reqs[[#This Row],[reference]],","))&amp;"#")+1,1000))</f>
        <v>profile-specific-implementation-guidance</v>
      </c>
      <c r="U688" t="str" cm="1">
        <f t="array" ref="U688">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row>
    <row r="689" spans="1:21" ht="112" customHeight="1" thickBot="1" x14ac:dyDescent="0.25">
      <c r="A689" t="b">
        <v>1</v>
      </c>
      <c r="B689">
        <v>901</v>
      </c>
      <c r="C689" t="str">
        <f>"CONF-"&amp;TEXT(us_core_reqs[[#This Row],[ID*]], "0000")</f>
        <v>CONF-0901</v>
      </c>
      <c r="D689" t="s">
        <v>2364</v>
      </c>
      <c r="E689" s="73" t="str" cm="1">
        <f t="array" ref="E689">_xlfn.TEXTJOIN(", ", TRUE, _xlfn.TEXTAFTER(_xlfn.TEXTSPLIT(us_core_reqs[[#This Row],[URL*]], ", "), "/", -1))</f>
        <v>StructureDefinition-us-core-location.html#profile-specific-implementation-guidance</v>
      </c>
      <c r="F689" s="71" t="s">
        <v>2365</v>
      </c>
      <c r="G689" t="s">
        <v>35</v>
      </c>
      <c r="H689" cm="1">
        <f t="array" ref="H689">_xlfn.SWITCH(G689, "SHALL", 1, "SHOULD", 3, "MAY", 5, "SHOULD-NOT", 4, "SHALL-NOT", 2, "DEPRECATED", 6, 99)</f>
        <v>5</v>
      </c>
      <c r="J689" t="s">
        <v>30</v>
      </c>
      <c r="S689" s="70" t="str" cm="1">
        <f t="array" ref="S689">_xlfn.TEXTJOIN(",",TRUE,LEFT(TRIM(_xlfn.TEXTSPLIT(us_core_reqs[[#This Row],[reference]],",")),FIND(".html",TRIM(_xlfn.TEXTSPLIT(us_core_reqs[[#This Row],[reference]],",")))-1))</f>
        <v>StructureDefinition-us-core-location</v>
      </c>
      <c r="T689" s="70" t="str" cm="1">
        <f t="array" ref="T689">_xlfn.TEXTJOIN(",",TRUE,MID(TRIM(_xlfn.TEXTSPLIT(us_core_reqs[[#This Row],[reference]],",")),FIND("#",TRIM(_xlfn.TEXTSPLIT(us_core_reqs[[#This Row],[reference]],","))&amp;"#")+1,1000))</f>
        <v>profile-specific-implementation-guidance</v>
      </c>
      <c r="U689" t="str" cm="1">
        <f t="array" ref="U689">_xlfn.TEXTJOIN(", ",TRUE,SUBSTITUTE(SUBSTITUTE(PROPER(SUBSTITUTE(TRIM(_xlfn.TEXTSPLIT(us_core_reqs[[#This Row],[Page]],","))," -"," "))&amp;": "&amp;PROPER(SUBSTITUTE(TRIM(_xlfn.TEXTSPLIT(us_core_reqs[[#This Row],[Section]],","))," -"," ")),"Us ","US        
  "),"Uscdi","USCDI"))</f>
        <v>Structuredefinition-Us-Core-Location: Profile-Specific-Implementation-Guidance</v>
      </c>
    </row>
    <row r="690" spans="1:21" ht="112" customHeight="1" thickBot="1" x14ac:dyDescent="0.25">
      <c r="A690" t="b">
        <v>1</v>
      </c>
      <c r="B690">
        <v>902</v>
      </c>
      <c r="C690" t="str">
        <f>"CONF-"&amp;TEXT(us_core_reqs[[#This Row],[ID*]], "0000")</f>
        <v>CONF-0902</v>
      </c>
      <c r="D690" t="s">
        <v>2364</v>
      </c>
      <c r="E690" s="73" t="str" cm="1">
        <f t="array" ref="E690">_xlfn.TEXTJOIN(", ", TRUE, _xlfn.TEXTAFTER(_xlfn.TEXTSPLIT(us_core_reqs[[#This Row],[URL*]], ", "), "/", -1))</f>
        <v>StructureDefinition-us-core-location.html#profile-specific-implementation-guidance</v>
      </c>
      <c r="F690" s="71" t="s">
        <v>2366</v>
      </c>
      <c r="G690" t="s">
        <v>35</v>
      </c>
      <c r="H690" cm="1">
        <f t="array" ref="H690">_xlfn.SWITCH(G690, "SHALL", 1, "SHOULD", 3, "MAY", 5, "SHOULD-NOT", 4, "SHALL-NOT", 2, "DEPRECATED", 6, 99)</f>
        <v>5</v>
      </c>
      <c r="J690" t="s">
        <v>30</v>
      </c>
      <c r="K690" t="b">
        <v>1</v>
      </c>
      <c r="S690" s="70" t="str" cm="1">
        <f t="array" ref="S690">_xlfn.TEXTJOIN(",",TRUE,LEFT(TRIM(_xlfn.TEXTSPLIT(us_core_reqs[[#This Row],[reference]],",")),FIND(".html",TRIM(_xlfn.TEXTSPLIT(us_core_reqs[[#This Row],[reference]],",")))-1))</f>
        <v>StructureDefinition-us-core-location</v>
      </c>
      <c r="T690" s="70" t="str" cm="1">
        <f t="array" ref="T690">_xlfn.TEXTJOIN(",",TRUE,MID(TRIM(_xlfn.TEXTSPLIT(us_core_reqs[[#This Row],[reference]],",")),FIND("#",TRIM(_xlfn.TEXTSPLIT(us_core_reqs[[#This Row],[reference]],","))&amp;"#")+1,1000))</f>
        <v>profile-specific-implementation-guidance</v>
      </c>
      <c r="U690" t="str" cm="1">
        <f t="array" ref="U690">_xlfn.TEXTJOIN(", ",TRUE,SUBSTITUTE(SUBSTITUTE(PROPER(SUBSTITUTE(TRIM(_xlfn.TEXTSPLIT(us_core_reqs[[#This Row],[Page]],","))," -"," "))&amp;": "&amp;PROPER(SUBSTITUTE(TRIM(_xlfn.TEXTSPLIT(us_core_reqs[[#This Row],[Section]],","))," -"," ")),"Us ","US        
  "),"Uscdi","USCDI"))</f>
        <v>Structuredefinition-Us-Core-Location: Profile-Specific-Implementation-Guidance</v>
      </c>
    </row>
    <row r="691" spans="1:21" ht="112" customHeight="1" thickBot="1" x14ac:dyDescent="0.25">
      <c r="A691" t="b">
        <v>1</v>
      </c>
      <c r="B691">
        <v>903</v>
      </c>
      <c r="C691" t="str">
        <f>"CONF-"&amp;TEXT(us_core_reqs[[#This Row],[ID*]], "0000")</f>
        <v>CONF-0903</v>
      </c>
      <c r="D691" t="s">
        <v>2367</v>
      </c>
      <c r="E691" s="73" t="str" cm="1">
        <f t="array" ref="E691">_xlfn.TEXTJOIN(", ", TRUE, _xlfn.TEXTAFTER(_xlfn.TEXTSPLIT(us_core_reqs[[#This Row],[URL*]], ", "), "/", -1))</f>
        <v>StructureDefinition-us-core-goal.html#profile-specific-implementation-guidance</v>
      </c>
      <c r="F691" s="71" t="s">
        <v>2368</v>
      </c>
      <c r="G691" t="s">
        <v>32</v>
      </c>
      <c r="H691" cm="1">
        <f t="array" ref="H691">_xlfn.SWITCH(G691, "SHALL", 1, "SHOULD", 3, "MAY", 5, "SHOULD-NOT", 4, "SHALL-NOT", 2, "DEPRECATED", 6, 99)</f>
        <v>3</v>
      </c>
      <c r="J691" t="s">
        <v>30</v>
      </c>
      <c r="S691" s="70" t="str" cm="1">
        <f t="array" ref="S691">_xlfn.TEXTJOIN(",",TRUE,LEFT(TRIM(_xlfn.TEXTSPLIT(us_core_reqs[[#This Row],[reference]],",")),FIND(".html",TRIM(_xlfn.TEXTSPLIT(us_core_reqs[[#This Row],[reference]],",")))-1))</f>
        <v>StructureDefinition-us-core-goal</v>
      </c>
      <c r="T691" s="70" t="str" cm="1">
        <f t="array" ref="T691">_xlfn.TEXTJOIN(",",TRUE,MID(TRIM(_xlfn.TEXTSPLIT(us_core_reqs[[#This Row],[reference]],",")),FIND("#",TRIM(_xlfn.TEXTSPLIT(us_core_reqs[[#This Row],[reference]],","))&amp;"#")+1,1000))</f>
        <v>profile-specific-implementation-guidance</v>
      </c>
      <c r="U691" t="str" cm="1">
        <f t="array" ref="U691">_xlfn.TEXTJOIN(", ",TRUE,SUBSTITUTE(SUBSTITUTE(PROPER(SUBSTITUTE(TRIM(_xlfn.TEXTSPLIT(us_core_reqs[[#This Row],[Page]],","))," -"," "))&amp;": "&amp;PROPER(SUBSTITUTE(TRIM(_xlfn.TEXTSPLIT(us_core_reqs[[#This Row],[Section]],","))," -"," ")),"Us ","US        
  "),"Uscdi","USCDI"))</f>
        <v>Structuredefinition-Us-Core-Goal: Profile-Specific-Implementation-Guidance</v>
      </c>
    </row>
    <row r="692" spans="1:21" ht="112" customHeight="1" thickBot="1" x14ac:dyDescent="0.25">
      <c r="A692" t="b">
        <v>1</v>
      </c>
      <c r="B692">
        <v>904</v>
      </c>
      <c r="C692" t="str">
        <f>"CONF-"&amp;TEXT(us_core_reqs[[#This Row],[ID*]], "0000")</f>
        <v>CONF-0904</v>
      </c>
      <c r="D692" s="93" t="s">
        <v>2369</v>
      </c>
      <c r="E692" s="73" t="str" cm="1">
        <f t="array" ref="E692">_xlfn.TEXTJOIN(", ", TRUE, _xlfn.TEXTAFTER(_xlfn.TEXTSPLIT(us_core_reqs[[#This Row],[URL*]], ", "), "/", -1))</f>
        <v>StructureDefinition-us-core-servicerequest.html#profile-specific-implementation-guidance</v>
      </c>
      <c r="F692" s="71" t="s">
        <v>2370</v>
      </c>
      <c r="G692" t="s">
        <v>32</v>
      </c>
      <c r="H692" cm="1">
        <f t="array" ref="H692">_xlfn.SWITCH(G692, "SHALL", 1, "SHOULD", 3, "MAY", 5, "SHOULD-NOT", 4, "SHALL-NOT", 2, "DEPRECATED", 6, 99)</f>
        <v>3</v>
      </c>
      <c r="J692" t="s">
        <v>30</v>
      </c>
      <c r="S692" s="70" t="str" cm="1">
        <f t="array" ref="S692">_xlfn.TEXTJOIN(",",TRUE,LEFT(TRIM(_xlfn.TEXTSPLIT(us_core_reqs[[#This Row],[reference]],",")),FIND(".html",TRIM(_xlfn.TEXTSPLIT(us_core_reqs[[#This Row],[reference]],",")))-1))</f>
        <v>StructureDefinition-us-core-servicerequest</v>
      </c>
      <c r="T692" s="70" t="str" cm="1">
        <f t="array" ref="T692">_xlfn.TEXTJOIN(",",TRUE,MID(TRIM(_xlfn.TEXTSPLIT(us_core_reqs[[#This Row],[reference]],",")),FIND("#",TRIM(_xlfn.TEXTSPLIT(us_core_reqs[[#This Row],[reference]],","))&amp;"#")+1,1000))</f>
        <v>profile-specific-implementation-guidance</v>
      </c>
      <c r="U692" t="str" cm="1">
        <f t="array" ref="U692">_xlfn.TEXTJOIN(", ",TRUE,SUBSTITUTE(SUBSTITUTE(PROPER(SUBSTITUTE(TRIM(_xlfn.TEXTSPLIT(us_core_reqs[[#This Row],[Page]],","))," -"," "))&amp;": "&amp;PROPER(SUBSTITUTE(TRIM(_xlfn.TEXTSPLIT(us_core_reqs[[#This Row],[Section]],","))," -"," ")),"Us ","US        
  "),"Uscdi","USCDI"))</f>
        <v>Structuredefinition-Us-Core-Servicerequest: Profile-Specific-Implementation-Guidance</v>
      </c>
    </row>
    <row r="693" spans="1:21" ht="112" customHeight="1" thickBot="1" x14ac:dyDescent="0.25">
      <c r="A693" t="b">
        <v>1</v>
      </c>
      <c r="B693">
        <v>905</v>
      </c>
      <c r="C693" t="str">
        <f>"CONF-"&amp;TEXT(us_core_reqs[[#This Row],[ID*]], "0000")</f>
        <v>CONF-0905</v>
      </c>
      <c r="D693" s="93" t="s">
        <v>2369</v>
      </c>
      <c r="E693" s="73" t="str" cm="1">
        <f t="array" ref="E693">_xlfn.TEXTJOIN(", ", TRUE, _xlfn.TEXTAFTER(_xlfn.TEXTSPLIT(us_core_reqs[[#This Row],[URL*]], ", "), "/", -1))</f>
        <v>StructureDefinition-us-core-servicerequest.html#profile-specific-implementation-guidance</v>
      </c>
      <c r="F693" s="71" t="s">
        <v>2371</v>
      </c>
      <c r="G693" t="s">
        <v>35</v>
      </c>
      <c r="H693" cm="1">
        <f t="array" ref="H693">_xlfn.SWITCH(G693, "SHALL", 1, "SHOULD", 3, "MAY", 5, "SHOULD-NOT", 4, "SHALL-NOT", 2, "DEPRECATED", 6, 99)</f>
        <v>5</v>
      </c>
      <c r="J693" t="s">
        <v>30</v>
      </c>
      <c r="S693" s="70" t="str" cm="1">
        <f t="array" ref="S693">_xlfn.TEXTJOIN(",",TRUE,LEFT(TRIM(_xlfn.TEXTSPLIT(us_core_reqs[[#This Row],[reference]],",")),FIND(".html",TRIM(_xlfn.TEXTSPLIT(us_core_reqs[[#This Row],[reference]],",")))-1))</f>
        <v>StructureDefinition-us-core-servicerequest</v>
      </c>
      <c r="T693" s="70" t="str" cm="1">
        <f t="array" ref="T693">_xlfn.TEXTJOIN(",",TRUE,MID(TRIM(_xlfn.TEXTSPLIT(us_core_reqs[[#This Row],[reference]],",")),FIND("#",TRIM(_xlfn.TEXTSPLIT(us_core_reqs[[#This Row],[reference]],","))&amp;"#")+1,1000))</f>
        <v>profile-specific-implementation-guidance</v>
      </c>
      <c r="U693" t="str" cm="1">
        <f t="array" ref="U693">_xlfn.TEXTJOIN(", ",TRUE,SUBSTITUTE(SUBSTITUTE(PROPER(SUBSTITUTE(TRIM(_xlfn.TEXTSPLIT(us_core_reqs[[#This Row],[Page]],","))," -"," "))&amp;": "&amp;PROPER(SUBSTITUTE(TRIM(_xlfn.TEXTSPLIT(us_core_reqs[[#This Row],[Section]],","))," -"," ")),"Us ","US        
  "),"Uscdi","USCDI"))</f>
        <v>Structuredefinition-Us-Core-Servicerequest: Profile-Specific-Implementation-Guidance</v>
      </c>
    </row>
    <row r="694" spans="1:21" ht="112" customHeight="1" thickBot="1" x14ac:dyDescent="0.25">
      <c r="A694" t="b">
        <v>1</v>
      </c>
      <c r="B694">
        <v>906</v>
      </c>
      <c r="C694" t="str">
        <f>"CONF-"&amp;TEXT(us_core_reqs[[#This Row],[ID*]], "0000")</f>
        <v>CONF-0906</v>
      </c>
      <c r="D694" s="93" t="s">
        <v>2369</v>
      </c>
      <c r="E694" s="73" t="str" cm="1">
        <f t="array" ref="E694">_xlfn.TEXTJOIN(", ", TRUE, _xlfn.TEXTAFTER(_xlfn.TEXTSPLIT(us_core_reqs[[#This Row],[URL*]], ", "), "/", -1))</f>
        <v>StructureDefinition-us-core-servicerequest.html#profile-specific-implementation-guidance</v>
      </c>
      <c r="F694" s="71" t="s">
        <v>2372</v>
      </c>
      <c r="G694" t="s">
        <v>32</v>
      </c>
      <c r="H694" cm="1">
        <f t="array" ref="H694">_xlfn.SWITCH(G694, "SHALL", 1, "SHOULD", 3, "MAY", 5, "SHOULD-NOT", 4, "SHALL-NOT", 2, "DEPRECATED", 6, 99)</f>
        <v>3</v>
      </c>
      <c r="J694" t="s">
        <v>30</v>
      </c>
      <c r="S694" s="70" t="str" cm="1">
        <f t="array" ref="S694">_xlfn.TEXTJOIN(",",TRUE,LEFT(TRIM(_xlfn.TEXTSPLIT(us_core_reqs[[#This Row],[reference]],",")),FIND(".html",TRIM(_xlfn.TEXTSPLIT(us_core_reqs[[#This Row],[reference]],",")))-1))</f>
        <v>StructureDefinition-us-core-servicerequest</v>
      </c>
      <c r="T694" s="70" t="str" cm="1">
        <f t="array" ref="T694">_xlfn.TEXTJOIN(",",TRUE,MID(TRIM(_xlfn.TEXTSPLIT(us_core_reqs[[#This Row],[reference]],",")),FIND("#",TRIM(_xlfn.TEXTSPLIT(us_core_reqs[[#This Row],[reference]],","))&amp;"#")+1,1000))</f>
        <v>profile-specific-implementation-guidance</v>
      </c>
      <c r="U694" t="str" cm="1">
        <f t="array" ref="U694">_xlfn.TEXTJOIN(", ",TRUE,SUBSTITUTE(SUBSTITUTE(PROPER(SUBSTITUTE(TRIM(_xlfn.TEXTSPLIT(us_core_reqs[[#This Row],[Page]],","))," -"," "))&amp;": "&amp;PROPER(SUBSTITUTE(TRIM(_xlfn.TEXTSPLIT(us_core_reqs[[#This Row],[Section]],","))," -"," ")),"Us ","US        
  "),"Uscdi","USCDI"))</f>
        <v>Structuredefinition-Us-Core-Servicerequest: Profile-Specific-Implementation-Guidance</v>
      </c>
    </row>
    <row r="695" spans="1:21" ht="112" customHeight="1" thickBot="1" x14ac:dyDescent="0.25">
      <c r="A695" t="b">
        <v>1</v>
      </c>
      <c r="B695">
        <v>907</v>
      </c>
      <c r="C695" t="str">
        <f>"CONF-"&amp;TEXT(us_core_reqs[[#This Row],[ID*]], "0000")</f>
        <v>CONF-0907</v>
      </c>
      <c r="D695" s="93" t="s">
        <v>2369</v>
      </c>
      <c r="E695" s="73" t="str" cm="1">
        <f t="array" ref="E695">_xlfn.TEXTJOIN(", ", TRUE, _xlfn.TEXTAFTER(_xlfn.TEXTSPLIT(us_core_reqs[[#This Row],[URL*]], ", "), "/", -1))</f>
        <v>StructureDefinition-us-core-servicerequest.html#profile-specific-implementation-guidance</v>
      </c>
      <c r="F695" s="71" t="s">
        <v>2373</v>
      </c>
      <c r="G695" t="s">
        <v>32</v>
      </c>
      <c r="H695" cm="1">
        <f t="array" ref="H695">_xlfn.SWITCH(G695, "SHALL", 1, "SHOULD", 3, "MAY", 5, "SHOULD-NOT", 4, "SHALL-NOT", 2, "DEPRECATED", 6, 99)</f>
        <v>3</v>
      </c>
      <c r="J695" t="s">
        <v>30</v>
      </c>
      <c r="S695" s="70" t="str" cm="1">
        <f t="array" ref="S695">_xlfn.TEXTJOIN(",",TRUE,LEFT(TRIM(_xlfn.TEXTSPLIT(us_core_reqs[[#This Row],[reference]],",")),FIND(".html",TRIM(_xlfn.TEXTSPLIT(us_core_reqs[[#This Row],[reference]],",")))-1))</f>
        <v>StructureDefinition-us-core-servicerequest</v>
      </c>
      <c r="T695" s="70" t="str" cm="1">
        <f t="array" ref="T695">_xlfn.TEXTJOIN(",",TRUE,MID(TRIM(_xlfn.TEXTSPLIT(us_core_reqs[[#This Row],[reference]],",")),FIND("#",TRIM(_xlfn.TEXTSPLIT(us_core_reqs[[#This Row],[reference]],","))&amp;"#")+1,1000))</f>
        <v>profile-specific-implementation-guidance</v>
      </c>
      <c r="U695" t="str" cm="1">
        <f t="array" ref="U695">_xlfn.TEXTJOIN(", ",TRUE,SUBSTITUTE(SUBSTITUTE(PROPER(SUBSTITUTE(TRIM(_xlfn.TEXTSPLIT(us_core_reqs[[#This Row],[Page]],","))," -"," "))&amp;": "&amp;PROPER(SUBSTITUTE(TRIM(_xlfn.TEXTSPLIT(us_core_reqs[[#This Row],[Section]],","))," -"," ")),"Us ","US        
  "),"Uscdi","USCDI"))</f>
        <v>Structuredefinition-Us-Core-Servicerequest: Profile-Specific-Implementation-Guidance</v>
      </c>
    </row>
    <row r="696" spans="1:21" ht="112" customHeight="1" thickBot="1" x14ac:dyDescent="0.25">
      <c r="A696" t="b">
        <v>1</v>
      </c>
      <c r="B696">
        <v>908</v>
      </c>
      <c r="C696" t="str">
        <f>"CONF-"&amp;TEXT(us_core_reqs[[#This Row],[ID*]], "0000")</f>
        <v>CONF-0908</v>
      </c>
      <c r="D696" s="93" t="s">
        <v>2369</v>
      </c>
      <c r="E696" s="73" t="str" cm="1">
        <f t="array" ref="E696">_xlfn.TEXTJOIN(", ", TRUE, _xlfn.TEXTAFTER(_xlfn.TEXTSPLIT(us_core_reqs[[#This Row],[URL*]], ", "), "/", -1))</f>
        <v>StructureDefinition-us-core-servicerequest.html#profile-specific-implementation-guidance</v>
      </c>
      <c r="F696" s="71" t="s">
        <v>2374</v>
      </c>
      <c r="G696" t="s">
        <v>32</v>
      </c>
      <c r="H696" cm="1">
        <f t="array" ref="H696">_xlfn.SWITCH(G696, "SHALL", 1, "SHOULD", 3, "MAY", 5, "SHOULD-NOT", 4, "SHALL-NOT", 2, "DEPRECATED", 6, 99)</f>
        <v>3</v>
      </c>
      <c r="J696" t="s">
        <v>30</v>
      </c>
      <c r="S696" s="70" t="str" cm="1">
        <f t="array" ref="S696">_xlfn.TEXTJOIN(",",TRUE,LEFT(TRIM(_xlfn.TEXTSPLIT(us_core_reqs[[#This Row],[reference]],",")),FIND(".html",TRIM(_xlfn.TEXTSPLIT(us_core_reqs[[#This Row],[reference]],",")))-1))</f>
        <v>StructureDefinition-us-core-servicerequest</v>
      </c>
      <c r="T696" s="70" t="str" cm="1">
        <f t="array" ref="T696">_xlfn.TEXTJOIN(",",TRUE,MID(TRIM(_xlfn.TEXTSPLIT(us_core_reqs[[#This Row],[reference]],",")),FIND("#",TRIM(_xlfn.TEXTSPLIT(us_core_reqs[[#This Row],[reference]],","))&amp;"#")+1,1000))</f>
        <v>profile-specific-implementation-guidance</v>
      </c>
      <c r="U696" t="str" cm="1">
        <f t="array" ref="U696">_xlfn.TEXTJOIN(", ",TRUE,SUBSTITUTE(SUBSTITUTE(PROPER(SUBSTITUTE(TRIM(_xlfn.TEXTSPLIT(us_core_reqs[[#This Row],[Page]],","))," -"," "))&amp;": "&amp;PROPER(SUBSTITUTE(TRIM(_xlfn.TEXTSPLIT(us_core_reqs[[#This Row],[Section]],","))," -"," ")),"Us ","US        
  "),"Uscdi","USCDI"))</f>
        <v>Structuredefinition-Us-Core-Servicerequest: Profile-Specific-Implementation-Guidance</v>
      </c>
    </row>
    <row r="697" spans="1:21" ht="17" thickBot="1" x14ac:dyDescent="0.25">
      <c r="F697" s="73"/>
    </row>
  </sheetData>
  <phoneticPr fontId="19" type="noConversion"/>
  <hyperlinks>
    <hyperlink ref="D81" r:id="rId1" location="must-support-el+D647ements" xr:uid="{A14B4D5F-33FE-294C-9B9A-081DD89AA7C2}"/>
    <hyperlink ref="D447" r:id="rId2" location="profile-specific-implementation-guidance" xr:uid="{9D882741-CF51-4C45-B0F7-6C94CAD4BA65}"/>
    <hyperlink ref="D671" r:id="rId3" location="must-support---resource-references" xr:uid="{14998D6C-A755-4F40-9E34-CBC3EC657301}"/>
    <hyperlink ref="D626" r:id="rId4" location="profile-specific-implementation-guidance" xr:uid="{EBA66A9F-456B-474F-85E6-C7F26790FE73}"/>
    <hyperlink ref="D627" r:id="rId5" xr:uid="{C462776C-E249-A440-AA40-45D7519B3C44}"/>
    <hyperlink ref="D652" r:id="rId6" location="profile-specific-implementation-guidance" xr:uid="{F7A3A5A9-32F0-D44F-95FF-DAC143733C8B}"/>
    <hyperlink ref="D653" r:id="rId7" location="profile-specific-implementation-guidance" xr:uid="{29F7E16E-730B-BB4B-928E-85537A6B6C45}"/>
  </hyperlinks>
  <pageMargins left="0.7" right="0.7" top="0.75" bottom="0.75" header="0.3" footer="0.3"/>
  <pageSetup orientation="portrait" horizontalDpi="0" verticalDpi="0"/>
  <tableParts count="1">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0EBD6-F954-C44A-A184-A375D2D9AAD3}">
  <sheetPr codeName="Sheet8"/>
  <dimension ref="A1:C3"/>
  <sheetViews>
    <sheetView zoomScale="160" zoomScaleNormal="160" workbookViewId="0">
      <selection activeCell="C3" sqref="C3"/>
    </sheetView>
  </sheetViews>
  <sheetFormatPr baseColWidth="10" defaultRowHeight="16" x14ac:dyDescent="0.2"/>
  <cols>
    <col min="1" max="1" width="121" bestFit="1" customWidth="1"/>
    <col min="2" max="2" width="69.1640625" customWidth="1"/>
    <col min="3" max="3" width="57.1640625" customWidth="1"/>
  </cols>
  <sheetData>
    <row r="1" spans="1:3" ht="17" x14ac:dyDescent="0.2">
      <c r="A1" t="s">
        <v>2343</v>
      </c>
      <c r="B1" s="70" t="str" cm="1">
        <f t="array" ref="B1">_xlfn.TEXTJOIN(",",TRUE,LEFT(TRIM(_xlfn.TEXTSPLIT(A1,",")),FIND(".html",TRIM(_xlfn.TEXTSPLIT(A1,",")))-1))</f>
        <v>a</v>
      </c>
      <c r="C1" s="70" t="str" cm="1">
        <f t="array" ref="C1">_xlfn.TEXTJOIN(",",TRUE,MID(TRIM(_xlfn.TEXTSPLIT(A1,",")),FIND("#",TRIM(_xlfn.TEXTSPLIT(A1,","))&amp;"#")+1,1000))</f>
        <v>foo</v>
      </c>
    </row>
    <row r="2" spans="1:3" ht="17" x14ac:dyDescent="0.2">
      <c r="A2" t="s">
        <v>2344</v>
      </c>
      <c r="B2" s="70" t="str" cm="1">
        <f t="array" ref="B2">_xlfn.TEXTJOIN(",",TRUE,LEFT(TRIM(_xlfn.TEXTSPLIT(A2,",")),FIND(".html",TRIM(_xlfn.TEXTSPLIT(A2,",")))-1))</f>
        <v>a,b</v>
      </c>
      <c r="C2" s="70" t="str" cm="1">
        <f t="array" ref="C2">_xlfn.TEXTJOIN(",",TRUE,MID(TRIM(_xlfn.TEXTSPLIT(A2,",")),FIND("#",TRIM(_xlfn.TEXTSPLIT(A2,","))&amp;"#")+1,1000))</f>
        <v>foo,bar</v>
      </c>
    </row>
    <row r="3" spans="1:3" ht="17" x14ac:dyDescent="0.2">
      <c r="A3" t="s">
        <v>841</v>
      </c>
      <c r="B3" s="70" t="str" cm="1">
        <f t="array" ref="B3">_xlfn.TEXTJOIN(",",TRUE,LEFT(TRIM(_xlfn.TEXTSPLIT(A3,",")),FIND(".html",TRIM(_xlfn.TEXTSPLIT(A3,",")))-1))</f>
        <v>https://hl7.org/fhir/us/core/STU8/clinical-notes,https://hl7.org/fhir/us/core/STU8/clinical-notes</v>
      </c>
      <c r="C3" s="70" t="str" cm="1">
        <f t="array" ref="C3">_xlfn.TEXTJOIN(",",TRUE,MID(TRIM(_xlfn.TEXTSPLIT(A3,",")),FIND("#",TRIM(_xlfn.TEXTSPLIT(A3,","))&amp;"#")+1,1000))</f>
        <v>clinical-notes,support-requirements</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D21" sqref="D21"/>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9AD59-AF8C-3E4B-B411-77500DC2659E}">
  <sheetPr codeName="Sheet4"/>
  <dimension ref="A1"/>
  <sheetViews>
    <sheetView workbookViewId="0"/>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91" t="s">
        <v>578</v>
      </c>
      <c r="B1" s="92"/>
    </row>
    <row r="2" spans="1:2" ht="82.25" customHeight="1" x14ac:dyDescent="0.2">
      <c r="A2" s="92"/>
      <c r="B2" s="92"/>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Props1.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2.xml><?xml version="1.0" encoding="utf-8"?>
<ds:datastoreItem xmlns:ds="http://schemas.openxmlformats.org/officeDocument/2006/customXml" ds:itemID="{9225D6BB-BE6A-3148-AA42-4BBE2D66A470}">
  <ds:schemaRefs>
    <ds:schemaRef ds:uri="http://schemas.microsoft.com/DataMashup"/>
  </ds:schemaRefs>
</ds:datastoreItem>
</file>

<file path=customXml/itemProps3.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Info</vt:lpstr>
      <vt:lpstr>us_core_reqs</vt:lpstr>
      <vt:lpstr>Sheet2</vt:lpstr>
      <vt:lpstr>Requirements</vt:lpstr>
      <vt:lpstr>Sheet1</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2026-03-20T21:28:58Z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