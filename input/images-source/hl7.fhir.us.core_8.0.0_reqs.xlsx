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ehaas/Documents/FHIR/US-Core/input/images-source/"/>
    </mc:Choice>
  </mc:AlternateContent>
  <xr:revisionPtr revIDLastSave="0" documentId="13_ncr:1_{2F038A9D-206A-4B45-9CD2-45F687E57214}" xr6:coauthVersionLast="47" xr6:coauthVersionMax="47" xr10:uidLastSave="{00000000-0000-0000-0000-000000000000}"/>
  <bookViews>
    <workbookView xWindow="61120" yWindow="500" windowWidth="41160" windowHeight="28300" activeTab="1" xr2:uid="{D251129A-65BB-5042-909C-749E11B8C0B0}"/>
  </bookViews>
  <sheets>
    <sheet name="Info" sheetId="9" r:id="rId1"/>
    <sheet name="us_core_reqs" sheetId="11" r:id="rId2"/>
    <sheet name="Requirements" sheetId="5" r:id="rId3"/>
    <sheet name="Sheet1" sheetId="10" r:id="rId4"/>
    <sheet name="Metadata" sheetId="3" r:id="rId5"/>
    <sheet name="Change Log" sheetId="8" r:id="rId6"/>
    <sheet name="Column Data" sheetId="7" r:id="rId7"/>
  </sheets>
  <definedNames>
    <definedName name="_xlnm._FilterDatabase" localSheetId="2" hidden="1">Requirements!$A$1:$X$660</definedName>
    <definedName name="EXPLODE" localSheetId="0">_xlfn.LAMBDA(_xlpm.string,_xlfn.MAKEARRAY(1,LEN(_xlpm.string),_xlfn.LAMBDA(_xlpm.r,_xlpm.c,MID(_xlpm.string,_xlpm.c,1))))</definedName>
    <definedName name="EXPLODE">_xlfn.LAMBDA(_xlpm.string,_xlfn.MAKEARRAY(1,LEN(_xlpm.string),_xlfn.LAMBDA(_xlpm.r,_xlpm.c,MID(_xlpm.string,_xlpm.c,1))))</definedName>
    <definedName name="ExternalData_1" localSheetId="1" hidden="1">us_core_reqs!$A$1:$AD$673</definedName>
    <definedName name="FIND_DUPLICATES" localSheetId="0">_xlfn.LAMBDA(_xlpm.test_word,_xlpm.test_key,_xlpm.words,_xlpm.keys,_xlpm.threshold, _xlfn.LET(_xlpm.duplist,_xlfn._xlws.FILTER(_xlpm.keys,_xlfn.BYROW(_xlpm.words, _xlfn.LAMBDA(_xlpm.word, Info!HAMDIST(INDEX(_xlpm.word,1,1), _xlpm.test_word)&lt;_xlpm.threshold))),_xlfn.SINGLE(_xlfn._xlws.FILTER(_xlpm.duplist,_xlpm.duplist&lt;&gt;_xlpm.test_key,""))))</definedName>
    <definedName name="FIND_DUPLICATES">_xlfn.LAMBDA(_xlpm.test_word,_xlpm.test_key,_xlpm.words,_xlpm.keys,_xlpm.threshold, _xlfn.LET(_xlpm.duplist,_xlfn._xlws.FILTER(_xlpm.keys,_xlfn.BYROW(_xlpm.words, _xlfn.LAMBDA(_xlpm.word, HAMDIST(INDEX(_xlpm.word,1,1), _xlpm.test_word)&lt;_xlpm.threshold))),_xlfn.SINGLE(_xlfn._xlws.FILTER(_xlpm.duplist,_xlpm.duplist&lt;&gt;_xlpm.test_key,""))))</definedName>
    <definedName name="FIND_PARENT" localSheetId="0">_xlfn.LAMBDA(_xlpm.key,_xlfn.LET(_xlpm.revword,Info!STRREV(_xlpm.key),_xlpm.idx_underscore,FIND("_",_xlpm.revword),_xlpm.idx_dot,FIND(".",_xlpm.revword),_xlpm.substr,IF(_xlpm.idx_dot&lt;_xlpm.idx_underscore,RIGHT(_xlpm.revword,LEN(_xlpm.revword)-_xlpm.idx_dot),""),_xlpm.parent,IFERROR(Info!STRREV(_xlpm.substr),""),_xlpm.parent))</definedName>
    <definedName name="FIND_PARENT">_xlfn.LAMBDA(_xlpm.key,_xlfn.LET(_xlpm.revword,STRREV(_xlpm.key),_xlpm.idx_underscore,FIND("_",_xlpm.revword),_xlpm.idx_dot,FIND(".",_xlpm.revword),_xlpm.substr,IF(_xlpm.idx_dot&lt;_xlpm.idx_underscore,RIGHT(_xlpm.revword,LEN(_xlpm.revword)-_xlpm.idx_dot),""),_xlpm.parent,IFERROR(STRREV(_xlpm.substr),""),_xlpm.parent))</definedName>
    <definedName name="HAMDIST" localSheetId="0">_xlfn.LAMBDA(_xlpm.word1,_xlpm.word2,_xlfn.LET(_xlpm.length1,LEN(_xlpm.word1),_xlpm.length2,LEN(_xlpm.word2),_xlpm.a,Info!MAKE_EQ_LEN(_xlpm.word1,_xlpm.word2),_xlpm.eword1,INDEX(_xlpm.a,1,1),_xlpm.eword2,INDEX(_xlpm.a,2,1),_xlpm.output,IFERROR((SUM(1-(Info!EXPLODE(_xlpm.eword1)=Info!EXPLODE(_xlpm.eword2)))+ABS(_xlpm.length1-_xlpm.length2))/MAX(_xlpm.length1,_xlpm.length2), 1),_xlpm.output))</definedName>
    <definedName name="HAMDIST">_xlfn.LAMBDA(_xlpm.word1,_xlpm.word2,_xlfn.LET(_xlpm.length1,LEN(_xlpm.word1),_xlpm.length2,LEN(_xlpm.word2),_xlpm.a,MAKE_EQ_LEN(_xlpm.word1,_xlpm.word2),_xlpm.eword1,INDEX(_xlpm.a,1,1),_xlpm.eword2,INDEX(_xlpm.a,2,1),_xlpm.output,IFERROR((SUM(1-(EXPLODE(_xlpm.eword1)=EXPLODE(_xlpm.eword2)))+ABS(_xlpm.length1-_xlpm.length2))/MAX(_xlpm.length1,_xlpm.length2), 1),_xlpm.output))</definedName>
    <definedName name="IGNORE_HEADER" localSheetId="0">_xlfn.LAMBDA(_xlpm.array, _xlfn.LET(_xlpm.headerless_array,INDEX(_xlpm.array,2):INDEX(_xlpm.array,MAX(_xlfn._xlws.FILTER(ROW(_xlpm.array),IF(ISBLANK(_xlpm.array),0,1)=1))),_xlpm.no_zero_headerless_array, IF(_xlpm.headerless_array=0,"",_xlpm.headerless_array),_xlpm.no_zero_headerless_array))</definedName>
    <definedName name="IGNORE_HEADER">_xlfn.LAMBDA(_xlpm.array, _xlfn.LET(_xlpm.headerless_array,INDEX(_xlpm.array,2):INDEX(_xlpm.array,MAX(_xlfn._xlws.FILTER(ROW(_xlpm.array),IF(ISBLANK(_xlpm.array),0,1)=1))),_xlpm.no_zero_headerless_array, IF(_xlpm.headerless_array=0,"",_xlpm.headerless_array),_xlpm.no_zero_headerless_array))</definedName>
    <definedName name="MAKE_EQ_LEN" localSheetId="0">_xlfn.LAMBDA(_xlpm.word1,_xlpm.word2,_xlfn.MAKEARRAY(2,1,_xlfn.LAMBDA(_xlpm.r,_xlpm.c,_xlfn.LET(_xlpm.tword1,TRIM(_xlpm.word1),_xlpm.tword2,TRIM(_xlpm.word2),_xlpm.lword1,LEFT(_xlpm.tword1,LEN(_xlpm.tword2)),_xlpm.lword2,LEFT(_xlpm.tword2,LEN(_xlpm.tword1)),_xlpm.Output,IF(_xlpm.r=1,_xlpm.lword1,IF(_xlpm.r=2,_xlpm.lword2,"invalid")), _xlpm.Output))))</definedName>
    <definedName name="MAKE_EQ_LEN">_xlfn.LAMBDA(_xlpm.word1,_xlpm.word2,_xlfn.MAKEARRAY(2,1,_xlfn.LAMBDA(_xlpm.r,_xlpm.c,_xlfn.LET(_xlpm.tword1,TRIM(_xlpm.word1),_xlpm.tword2,TRIM(_xlpm.word2),_xlpm.lword1,LEFT(_xlpm.tword1,LEN(_xlpm.tword2)),_xlpm.lword2,LEFT(_xlpm.tword2,LEN(_xlpm.tword1)),_xlpm.Output,IF(_xlpm.r=1,_xlpm.lword1,IF(_xlpm.r=2,_xlpm.lword2,"invalid")), _xlpm.Output))))</definedName>
    <definedName name="PAGE_NAME" localSheetId="0">_xlfn.LAMBDA(_xlpm.url,IFERROR(_xlfn.LET(_xlpm.rev_string, Info!STRREV(_xlpm.url), _xlpm.hash_index,IFERROR(FIND("#", _xlpm.rev_string),-1),_xlpm.slash_index,IFERROR(FIND("/",_xlpm.rev_string),-1),_xlpm.page1, RIGHT(_xlpm.url, _xlpm.slash_index-1),_xlpm.page2,LEFT(_xlpm.page1,LEN(_xlpm.page1)-_xlpm.hash_index),_xlpm.html_index,FIND(".html",_xlpm.page2),_xlpm.page3,LEFT(_xlpm.page2,_xlpm.html_index-1),_xlpm.page3),""))</definedName>
    <definedName name="PAGE_NAME">_xlfn.LAMBDA(_xlpm.url,IFERROR(_xlfn.LET(_xlpm.rev_string, STRREV(_xlpm.url), _xlpm.hash_index,IFERROR(FIND("#", _xlpm.rev_string),-1),_xlpm.slash_index,IFERROR(FIND("/",_xlpm.rev_string),-1),_xlpm.page1, RIGHT(_xlpm.url, _xlpm.slash_index-1),_xlpm.page2,LEFT(_xlpm.page1,LEN(_xlpm.page1)-_xlpm.hash_index),_xlpm.html_index,FIND(".html",_xlpm.page2),_xlpm.page3,LEFT(_xlpm.page2,_xlpm.html_index-1),_xlpm.page3),""))</definedName>
    <definedName name="SECTION_NAME" localSheetId="0">_xlfn.LAMBDA(_xlpm.url,IFERROR(_xlfn.LET(_xlpm.rev_string, Info!STRREV(_xlpm.url), _xlpm.hash_index,FIND("#", _xlpm.rev_string),_xlpm.section, RIGHT(_xlpm.url, _xlpm.hash_index-1),_xlpm.section),""))</definedName>
    <definedName name="SECTION_NAME">_xlfn.LAMBDA(_xlpm.url,IFERROR(_xlfn.LET(_xlpm.rev_string, STRREV(_xlpm.url), _xlpm.hash_index,FIND("#", _xlpm.rev_string),_xlpm.section, RIGHT(_xlpm.url, _xlpm.hash_index-1),_xlpm.section),""))</definedName>
    <definedName name="STRREV" localSheetId="0">_xlfn.LAMBDA(_xlpm.word, _xlfn.CONCAT(MID(_xlpm.word,_xlfn.SEQUENCE(LEN(_xlpm.word),,LEN(_xlpm.word),-1),1)))</definedName>
    <definedName name="STRREV">_xlfn.LAMBDA(_xlpm.word, _xlfn.CONCAT(MID(_xlpm.word,_xlfn.SEQUENCE(LEN(_xlpm.word),,LEN(_xlpm.word),-1),1)))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90" i="11" l="1"/>
  <c r="S672" i="11"/>
  <c r="R672" i="11"/>
  <c r="E672" i="11"/>
  <c r="C672" i="11"/>
  <c r="S673" i="11"/>
  <c r="R673" i="11"/>
  <c r="S671" i="11"/>
  <c r="R671" i="11"/>
  <c r="S670" i="11"/>
  <c r="R670" i="11"/>
  <c r="S669" i="11"/>
  <c r="R669" i="11"/>
  <c r="S668" i="11"/>
  <c r="R668" i="11"/>
  <c r="S667" i="11"/>
  <c r="R667" i="11"/>
  <c r="S666" i="11"/>
  <c r="R666" i="11"/>
  <c r="S665" i="11"/>
  <c r="R665" i="11"/>
  <c r="S664" i="11"/>
  <c r="R664" i="11"/>
  <c r="S663" i="11"/>
  <c r="R663" i="11"/>
  <c r="S662" i="11"/>
  <c r="R662" i="11"/>
  <c r="S661" i="11"/>
  <c r="R661" i="11"/>
  <c r="S660" i="11"/>
  <c r="R660" i="11"/>
  <c r="S659" i="11"/>
  <c r="R659" i="11"/>
  <c r="S658" i="11"/>
  <c r="R658" i="11"/>
  <c r="S657" i="11"/>
  <c r="R657" i="11"/>
  <c r="S656" i="11"/>
  <c r="R656" i="11"/>
  <c r="S655" i="11"/>
  <c r="R655" i="11"/>
  <c r="S654" i="11"/>
  <c r="R654" i="11"/>
  <c r="S653" i="11"/>
  <c r="R653" i="11"/>
  <c r="S652" i="11"/>
  <c r="R652" i="11"/>
  <c r="S651" i="11"/>
  <c r="R651" i="11"/>
  <c r="S650" i="11"/>
  <c r="R650" i="11"/>
  <c r="S649" i="11"/>
  <c r="R649" i="11"/>
  <c r="S648" i="11"/>
  <c r="R648" i="11"/>
  <c r="S647" i="11"/>
  <c r="R647" i="11"/>
  <c r="S646" i="11"/>
  <c r="R646" i="11"/>
  <c r="S645" i="11"/>
  <c r="R645" i="11"/>
  <c r="S644" i="11"/>
  <c r="R644" i="11"/>
  <c r="S643" i="11"/>
  <c r="R643" i="11"/>
  <c r="S642" i="11"/>
  <c r="R642" i="11"/>
  <c r="S641" i="11"/>
  <c r="R641" i="11"/>
  <c r="S640" i="11"/>
  <c r="R640" i="11"/>
  <c r="S639" i="11"/>
  <c r="R639" i="11"/>
  <c r="S638" i="11"/>
  <c r="R638" i="11"/>
  <c r="S637" i="11"/>
  <c r="R637" i="11"/>
  <c r="S636" i="11"/>
  <c r="R636" i="11"/>
  <c r="S635" i="11"/>
  <c r="R635" i="11"/>
  <c r="S634" i="11"/>
  <c r="R634" i="11"/>
  <c r="S633" i="11"/>
  <c r="R633" i="11"/>
  <c r="S632" i="11"/>
  <c r="R632" i="11"/>
  <c r="S631" i="11"/>
  <c r="R631" i="11"/>
  <c r="S630" i="11"/>
  <c r="R630" i="11"/>
  <c r="S629" i="11"/>
  <c r="R629" i="11"/>
  <c r="S628" i="11"/>
  <c r="R628" i="11"/>
  <c r="S627" i="11"/>
  <c r="R627" i="11"/>
  <c r="S626" i="11"/>
  <c r="R626" i="11"/>
  <c r="S625" i="11"/>
  <c r="R625" i="11"/>
  <c r="S624" i="11"/>
  <c r="R624" i="11"/>
  <c r="S623" i="11"/>
  <c r="R623" i="11"/>
  <c r="S622" i="11"/>
  <c r="R622" i="11"/>
  <c r="S621" i="11"/>
  <c r="R621" i="11"/>
  <c r="S620" i="11"/>
  <c r="R620" i="11"/>
  <c r="S619" i="11"/>
  <c r="R619" i="11"/>
  <c r="S618" i="11"/>
  <c r="R618" i="11"/>
  <c r="S617" i="11"/>
  <c r="R617" i="11"/>
  <c r="S616" i="11"/>
  <c r="R616" i="11"/>
  <c r="S615" i="11"/>
  <c r="R615" i="11"/>
  <c r="S614" i="11"/>
  <c r="R614" i="11"/>
  <c r="S613" i="11"/>
  <c r="R613" i="11"/>
  <c r="S612" i="11"/>
  <c r="R612" i="11"/>
  <c r="S611" i="11"/>
  <c r="R611" i="11"/>
  <c r="S610" i="11"/>
  <c r="R610" i="11"/>
  <c r="S609" i="11"/>
  <c r="R609" i="11"/>
  <c r="S608" i="11"/>
  <c r="R608" i="11"/>
  <c r="S607" i="11"/>
  <c r="R607" i="11"/>
  <c r="S606" i="11"/>
  <c r="R606" i="11"/>
  <c r="S605" i="11"/>
  <c r="R605" i="11"/>
  <c r="S604" i="11"/>
  <c r="R604" i="11"/>
  <c r="S603" i="11"/>
  <c r="R603" i="11"/>
  <c r="S602" i="11"/>
  <c r="R602" i="11"/>
  <c r="S601" i="11"/>
  <c r="R601" i="11"/>
  <c r="S600" i="11"/>
  <c r="R600" i="11"/>
  <c r="S599" i="11"/>
  <c r="R599" i="11"/>
  <c r="S598" i="11"/>
  <c r="R598" i="11"/>
  <c r="S597" i="11"/>
  <c r="R597" i="11"/>
  <c r="S596" i="11"/>
  <c r="R596" i="11"/>
  <c r="S595" i="11"/>
  <c r="R595" i="11"/>
  <c r="S594" i="11"/>
  <c r="R594" i="11"/>
  <c r="S593" i="11"/>
  <c r="R593" i="11"/>
  <c r="S592" i="11"/>
  <c r="R592" i="11"/>
  <c r="S591" i="11"/>
  <c r="R591" i="11"/>
  <c r="S590" i="11"/>
  <c r="R590" i="11"/>
  <c r="S589" i="11"/>
  <c r="R589" i="11"/>
  <c r="S588" i="11"/>
  <c r="R588" i="11"/>
  <c r="S587" i="11"/>
  <c r="R587" i="11"/>
  <c r="S586" i="11"/>
  <c r="R586" i="11"/>
  <c r="S585" i="11"/>
  <c r="R585" i="11"/>
  <c r="S584" i="11"/>
  <c r="R584" i="11"/>
  <c r="S583" i="11"/>
  <c r="R583" i="11"/>
  <c r="S582" i="11"/>
  <c r="R582" i="11"/>
  <c r="S581" i="11"/>
  <c r="R581" i="11"/>
  <c r="S580" i="11"/>
  <c r="R580" i="11"/>
  <c r="S579" i="11"/>
  <c r="R579" i="11"/>
  <c r="S578" i="11"/>
  <c r="R578" i="11"/>
  <c r="S577" i="11"/>
  <c r="R577" i="11"/>
  <c r="S576" i="11"/>
  <c r="R576" i="11"/>
  <c r="S575" i="11"/>
  <c r="R575" i="11"/>
  <c r="S574" i="11"/>
  <c r="R574" i="11"/>
  <c r="S573" i="11"/>
  <c r="R573" i="11"/>
  <c r="S572" i="11"/>
  <c r="R572" i="11"/>
  <c r="S571" i="11"/>
  <c r="R571" i="11"/>
  <c r="S570" i="11"/>
  <c r="R570" i="11"/>
  <c r="S569" i="11"/>
  <c r="R569" i="11"/>
  <c r="S568" i="11"/>
  <c r="R568" i="11"/>
  <c r="S567" i="11"/>
  <c r="R567" i="11"/>
  <c r="S566" i="11"/>
  <c r="R566" i="11"/>
  <c r="S565" i="11"/>
  <c r="R565" i="11"/>
  <c r="S564" i="11"/>
  <c r="R564" i="11"/>
  <c r="S563" i="11"/>
  <c r="R563" i="11"/>
  <c r="S562" i="11"/>
  <c r="R562" i="11"/>
  <c r="S561" i="11"/>
  <c r="R561" i="11"/>
  <c r="S560" i="11"/>
  <c r="R560" i="11"/>
  <c r="S559" i="11"/>
  <c r="R559" i="11"/>
  <c r="S558" i="11"/>
  <c r="R558" i="11"/>
  <c r="S557" i="11"/>
  <c r="R557" i="11"/>
  <c r="S556" i="11"/>
  <c r="R556" i="11"/>
  <c r="S555" i="11"/>
  <c r="R555" i="11"/>
  <c r="S554" i="11"/>
  <c r="R554" i="11"/>
  <c r="S553" i="11"/>
  <c r="R553" i="11"/>
  <c r="S552" i="11"/>
  <c r="R552" i="11"/>
  <c r="S551" i="11"/>
  <c r="R551" i="11"/>
  <c r="S550" i="11"/>
  <c r="R550" i="11"/>
  <c r="S549" i="11"/>
  <c r="R549" i="11"/>
  <c r="S548" i="11"/>
  <c r="R548" i="11"/>
  <c r="S547" i="11"/>
  <c r="R547" i="11"/>
  <c r="S546" i="11"/>
  <c r="R546" i="11"/>
  <c r="S545" i="11"/>
  <c r="R545" i="11"/>
  <c r="S544" i="11"/>
  <c r="R544" i="11"/>
  <c r="S543" i="11"/>
  <c r="R543" i="11"/>
  <c r="S542" i="11"/>
  <c r="R542" i="11"/>
  <c r="S541" i="11"/>
  <c r="R541" i="11"/>
  <c r="S540" i="11"/>
  <c r="R540" i="11"/>
  <c r="S539" i="11"/>
  <c r="R539" i="11"/>
  <c r="S538" i="11"/>
  <c r="R538" i="11"/>
  <c r="S537" i="11"/>
  <c r="R537" i="11"/>
  <c r="S536" i="11"/>
  <c r="R536" i="11"/>
  <c r="S535" i="11"/>
  <c r="R535" i="11"/>
  <c r="S534" i="11"/>
  <c r="R534" i="11"/>
  <c r="S533" i="11"/>
  <c r="R533" i="11"/>
  <c r="S532" i="11"/>
  <c r="R532" i="11"/>
  <c r="S531" i="11"/>
  <c r="R531" i="11"/>
  <c r="S530" i="11"/>
  <c r="R530" i="11"/>
  <c r="S529" i="11"/>
  <c r="R529" i="11"/>
  <c r="S528" i="11"/>
  <c r="R528" i="11"/>
  <c r="S527" i="11"/>
  <c r="R527" i="11"/>
  <c r="S526" i="11"/>
  <c r="R526" i="11"/>
  <c r="S525" i="11"/>
  <c r="R525" i="11"/>
  <c r="S524" i="11"/>
  <c r="R524" i="11"/>
  <c r="S523" i="11"/>
  <c r="R523" i="11"/>
  <c r="S522" i="11"/>
  <c r="R522" i="11"/>
  <c r="S521" i="11"/>
  <c r="R521" i="11"/>
  <c r="S520" i="11"/>
  <c r="R520" i="11"/>
  <c r="S519" i="11"/>
  <c r="R519" i="11"/>
  <c r="S518" i="11"/>
  <c r="R518" i="11"/>
  <c r="S517" i="11"/>
  <c r="R517" i="11"/>
  <c r="S516" i="11"/>
  <c r="R516" i="11"/>
  <c r="S515" i="11"/>
  <c r="R515" i="11"/>
  <c r="S514" i="11"/>
  <c r="R514" i="11"/>
  <c r="S513" i="11"/>
  <c r="R513" i="11"/>
  <c r="S512" i="11"/>
  <c r="R512" i="11"/>
  <c r="S511" i="11"/>
  <c r="R511" i="11"/>
  <c r="S510" i="11"/>
  <c r="R510" i="11"/>
  <c r="S509" i="11"/>
  <c r="R509" i="11"/>
  <c r="S508" i="11"/>
  <c r="R508" i="11"/>
  <c r="S507" i="11"/>
  <c r="R507" i="11"/>
  <c r="S506" i="11"/>
  <c r="R506" i="11"/>
  <c r="S505" i="11"/>
  <c r="R505" i="11"/>
  <c r="S504" i="11"/>
  <c r="R504" i="11"/>
  <c r="S503" i="11"/>
  <c r="R503" i="11"/>
  <c r="S502" i="11"/>
  <c r="R502" i="11"/>
  <c r="S501" i="11"/>
  <c r="R501" i="11"/>
  <c r="S500" i="11"/>
  <c r="R500" i="11"/>
  <c r="S499" i="11"/>
  <c r="R499" i="11"/>
  <c r="S498" i="11"/>
  <c r="R498" i="11"/>
  <c r="S497" i="11"/>
  <c r="R497" i="11"/>
  <c r="S496" i="11"/>
  <c r="R496" i="11"/>
  <c r="S495" i="11"/>
  <c r="R495" i="11"/>
  <c r="S494" i="11"/>
  <c r="R494" i="11"/>
  <c r="S493" i="11"/>
  <c r="R493" i="11"/>
  <c r="S492" i="11"/>
  <c r="R492" i="11"/>
  <c r="S491" i="11"/>
  <c r="R491" i="11"/>
  <c r="S490" i="11"/>
  <c r="R490" i="11"/>
  <c r="S489" i="11"/>
  <c r="R489" i="11"/>
  <c r="S488" i="11"/>
  <c r="R488" i="11"/>
  <c r="S487" i="11"/>
  <c r="R487" i="11"/>
  <c r="S486" i="11"/>
  <c r="R486" i="11"/>
  <c r="S485" i="11"/>
  <c r="R485" i="11"/>
  <c r="S484" i="11"/>
  <c r="R484" i="11"/>
  <c r="S483" i="11"/>
  <c r="R483" i="11"/>
  <c r="S482" i="11"/>
  <c r="R482" i="11"/>
  <c r="S481" i="11"/>
  <c r="R481" i="11"/>
  <c r="S480" i="11"/>
  <c r="R480" i="11"/>
  <c r="S479" i="11"/>
  <c r="R479" i="11"/>
  <c r="S478" i="11"/>
  <c r="R478" i="11"/>
  <c r="S477" i="11"/>
  <c r="R477" i="11"/>
  <c r="S476" i="11"/>
  <c r="R476" i="11"/>
  <c r="S475" i="11"/>
  <c r="R475" i="11"/>
  <c r="S474" i="11"/>
  <c r="R474" i="11"/>
  <c r="S473" i="11"/>
  <c r="R473" i="11"/>
  <c r="S472" i="11"/>
  <c r="R472" i="11"/>
  <c r="S471" i="11"/>
  <c r="R471" i="11"/>
  <c r="S470" i="11"/>
  <c r="R470" i="11"/>
  <c r="S469" i="11"/>
  <c r="R469" i="11"/>
  <c r="S468" i="11"/>
  <c r="R468" i="11"/>
  <c r="S467" i="11"/>
  <c r="R467" i="11"/>
  <c r="S466" i="11"/>
  <c r="R466" i="11"/>
  <c r="S465" i="11"/>
  <c r="R465" i="11"/>
  <c r="S464" i="11"/>
  <c r="R464" i="11"/>
  <c r="S463" i="11"/>
  <c r="R463" i="11"/>
  <c r="S462" i="11"/>
  <c r="R462" i="11"/>
  <c r="S461" i="11"/>
  <c r="R461" i="11"/>
  <c r="S460" i="11"/>
  <c r="R460" i="11"/>
  <c r="S459" i="11"/>
  <c r="R459" i="11"/>
  <c r="S458" i="11"/>
  <c r="R458" i="11"/>
  <c r="S457" i="11"/>
  <c r="R457" i="11"/>
  <c r="S456" i="11"/>
  <c r="R456" i="11"/>
  <c r="S455" i="11"/>
  <c r="R455" i="11"/>
  <c r="S454" i="11"/>
  <c r="R454" i="11"/>
  <c r="S453" i="11"/>
  <c r="R453" i="11"/>
  <c r="S452" i="11"/>
  <c r="R452" i="11"/>
  <c r="S451" i="11"/>
  <c r="R451" i="11"/>
  <c r="S450" i="11"/>
  <c r="R450" i="11"/>
  <c r="S449" i="11"/>
  <c r="R449" i="11"/>
  <c r="S448" i="11"/>
  <c r="R448" i="11"/>
  <c r="S447" i="11"/>
  <c r="R447" i="11"/>
  <c r="S446" i="11"/>
  <c r="R446" i="11"/>
  <c r="S445" i="11"/>
  <c r="R445" i="11"/>
  <c r="S444" i="11"/>
  <c r="R444" i="11"/>
  <c r="S443" i="11"/>
  <c r="R443" i="11"/>
  <c r="S442" i="11"/>
  <c r="R442" i="11"/>
  <c r="S441" i="11"/>
  <c r="R441" i="11"/>
  <c r="S440" i="11"/>
  <c r="R440" i="11"/>
  <c r="S439" i="11"/>
  <c r="R439" i="11"/>
  <c r="S438" i="11"/>
  <c r="R438" i="11"/>
  <c r="S437" i="11"/>
  <c r="R437" i="11"/>
  <c r="S436" i="11"/>
  <c r="R436" i="11"/>
  <c r="S435" i="11"/>
  <c r="R435" i="11"/>
  <c r="S434" i="11"/>
  <c r="R434" i="11"/>
  <c r="S433" i="11"/>
  <c r="R433" i="11"/>
  <c r="S432" i="11"/>
  <c r="R432" i="11"/>
  <c r="S431" i="11"/>
  <c r="R431" i="11"/>
  <c r="S430" i="11"/>
  <c r="R430" i="11"/>
  <c r="S429" i="11"/>
  <c r="R429" i="11"/>
  <c r="S428" i="11"/>
  <c r="R428" i="11"/>
  <c r="S427" i="11"/>
  <c r="R427" i="11"/>
  <c r="S426" i="11"/>
  <c r="R426" i="11"/>
  <c r="S425" i="11"/>
  <c r="R425" i="11"/>
  <c r="S424" i="11"/>
  <c r="R424" i="11"/>
  <c r="S423" i="11"/>
  <c r="R423" i="11"/>
  <c r="S422" i="11"/>
  <c r="R422" i="11"/>
  <c r="S421" i="11"/>
  <c r="R421" i="11"/>
  <c r="S420" i="11"/>
  <c r="R420" i="11"/>
  <c r="S419" i="11"/>
  <c r="R419" i="11"/>
  <c r="S418" i="11"/>
  <c r="R418" i="11"/>
  <c r="S417" i="11"/>
  <c r="R417" i="11"/>
  <c r="S416" i="11"/>
  <c r="R416" i="11"/>
  <c r="S415" i="11"/>
  <c r="R415" i="11"/>
  <c r="S414" i="11"/>
  <c r="R414" i="11"/>
  <c r="S413" i="11"/>
  <c r="R413" i="11"/>
  <c r="S412" i="11"/>
  <c r="R412" i="11"/>
  <c r="S411" i="11"/>
  <c r="R411" i="11"/>
  <c r="S410" i="11"/>
  <c r="R410" i="11"/>
  <c r="S409" i="11"/>
  <c r="R409" i="11"/>
  <c r="S408" i="11"/>
  <c r="R408" i="11"/>
  <c r="S407" i="11"/>
  <c r="R407" i="11"/>
  <c r="S406" i="11"/>
  <c r="R406" i="11"/>
  <c r="S405" i="11"/>
  <c r="R405" i="11"/>
  <c r="S404" i="11"/>
  <c r="R404" i="11"/>
  <c r="S403" i="11"/>
  <c r="R403" i="11"/>
  <c r="S402" i="11"/>
  <c r="R402" i="11"/>
  <c r="S401" i="11"/>
  <c r="R401" i="11"/>
  <c r="S400" i="11"/>
  <c r="R400" i="11"/>
  <c r="S399" i="11"/>
  <c r="R399" i="11"/>
  <c r="S398" i="11"/>
  <c r="R398" i="11"/>
  <c r="S397" i="11"/>
  <c r="R397" i="11"/>
  <c r="S396" i="11"/>
  <c r="R396" i="11"/>
  <c r="S395" i="11"/>
  <c r="R395" i="11"/>
  <c r="S394" i="11"/>
  <c r="R394" i="11"/>
  <c r="S393" i="11"/>
  <c r="R393" i="11"/>
  <c r="S392" i="11"/>
  <c r="R392" i="11"/>
  <c r="S391" i="11"/>
  <c r="R391" i="11"/>
  <c r="S390" i="11"/>
  <c r="R390" i="11"/>
  <c r="S389" i="11"/>
  <c r="R389" i="11"/>
  <c r="S388" i="11"/>
  <c r="R388" i="11"/>
  <c r="S387" i="11"/>
  <c r="R387" i="11"/>
  <c r="S386" i="11"/>
  <c r="R386" i="11"/>
  <c r="S385" i="11"/>
  <c r="R385" i="11"/>
  <c r="S384" i="11"/>
  <c r="R384" i="11"/>
  <c r="S383" i="11"/>
  <c r="R383" i="11"/>
  <c r="S382" i="11"/>
  <c r="R382" i="11"/>
  <c r="S381" i="11"/>
  <c r="R381" i="11"/>
  <c r="S380" i="11"/>
  <c r="R380" i="11"/>
  <c r="S379" i="11"/>
  <c r="R379" i="11"/>
  <c r="S378" i="11"/>
  <c r="R378" i="11"/>
  <c r="S377" i="11"/>
  <c r="R377" i="11"/>
  <c r="S376" i="11"/>
  <c r="R376" i="11"/>
  <c r="S375" i="11"/>
  <c r="R375" i="11"/>
  <c r="S374" i="11"/>
  <c r="R374" i="11"/>
  <c r="S373" i="11"/>
  <c r="R373" i="11"/>
  <c r="S372" i="11"/>
  <c r="R372" i="11"/>
  <c r="S371" i="11"/>
  <c r="R371" i="11"/>
  <c r="S370" i="11"/>
  <c r="R370" i="11"/>
  <c r="S369" i="11"/>
  <c r="R369" i="11"/>
  <c r="S368" i="11"/>
  <c r="R368" i="11"/>
  <c r="S367" i="11"/>
  <c r="R367" i="11"/>
  <c r="S366" i="11"/>
  <c r="R366" i="11"/>
  <c r="S365" i="11"/>
  <c r="R365" i="11"/>
  <c r="S364" i="11"/>
  <c r="R364" i="11"/>
  <c r="S363" i="11"/>
  <c r="R363" i="11"/>
  <c r="S362" i="11"/>
  <c r="R362" i="11"/>
  <c r="S361" i="11"/>
  <c r="R361" i="11"/>
  <c r="S360" i="11"/>
  <c r="R360" i="11"/>
  <c r="S359" i="11"/>
  <c r="R359" i="11"/>
  <c r="S358" i="11"/>
  <c r="R358" i="11"/>
  <c r="S357" i="11"/>
  <c r="R357" i="11"/>
  <c r="S356" i="11"/>
  <c r="R356" i="11"/>
  <c r="S355" i="11"/>
  <c r="R355" i="11"/>
  <c r="S354" i="11"/>
  <c r="R354" i="11"/>
  <c r="S353" i="11"/>
  <c r="R353" i="11"/>
  <c r="S352" i="11"/>
  <c r="R352" i="11"/>
  <c r="S351" i="11"/>
  <c r="R351" i="11"/>
  <c r="S350" i="11"/>
  <c r="R350" i="11"/>
  <c r="S349" i="11"/>
  <c r="R349" i="11"/>
  <c r="S348" i="11"/>
  <c r="R348" i="11"/>
  <c r="S347" i="11"/>
  <c r="R347" i="11"/>
  <c r="S346" i="11"/>
  <c r="R346" i="11"/>
  <c r="S345" i="11"/>
  <c r="R345" i="11"/>
  <c r="S344" i="11"/>
  <c r="R344" i="11"/>
  <c r="S343" i="11"/>
  <c r="R343" i="11"/>
  <c r="S342" i="11"/>
  <c r="R342" i="11"/>
  <c r="S341" i="11"/>
  <c r="R341" i="11"/>
  <c r="S340" i="11"/>
  <c r="R340" i="11"/>
  <c r="S339" i="11"/>
  <c r="R339" i="11"/>
  <c r="S338" i="11"/>
  <c r="R338" i="11"/>
  <c r="S337" i="11"/>
  <c r="R337" i="11"/>
  <c r="S336" i="11"/>
  <c r="R336" i="11"/>
  <c r="S335" i="11"/>
  <c r="R335" i="11"/>
  <c r="S334" i="11"/>
  <c r="R334" i="11"/>
  <c r="S333" i="11"/>
  <c r="R333" i="11"/>
  <c r="S332" i="11"/>
  <c r="R332" i="11"/>
  <c r="S331" i="11"/>
  <c r="R331" i="11"/>
  <c r="S330" i="11"/>
  <c r="R330" i="11"/>
  <c r="S329" i="11"/>
  <c r="R329" i="11"/>
  <c r="S328" i="11"/>
  <c r="R328" i="11"/>
  <c r="S327" i="11"/>
  <c r="R327" i="11"/>
  <c r="S326" i="11"/>
  <c r="R326" i="11"/>
  <c r="S325" i="11"/>
  <c r="R325" i="11"/>
  <c r="S324" i="11"/>
  <c r="R324" i="11"/>
  <c r="S323" i="11"/>
  <c r="R323" i="11"/>
  <c r="S322" i="11"/>
  <c r="R322" i="11"/>
  <c r="S321" i="11"/>
  <c r="R321" i="11"/>
  <c r="S320" i="11"/>
  <c r="R320" i="11"/>
  <c r="S319" i="11"/>
  <c r="R319" i="11"/>
  <c r="S318" i="11"/>
  <c r="R318" i="11"/>
  <c r="S317" i="11"/>
  <c r="R317" i="11"/>
  <c r="S316" i="11"/>
  <c r="R316" i="11"/>
  <c r="S315" i="11"/>
  <c r="R315" i="11"/>
  <c r="S314" i="11"/>
  <c r="R314" i="11"/>
  <c r="S313" i="11"/>
  <c r="R313" i="11"/>
  <c r="S312" i="11"/>
  <c r="R312" i="11"/>
  <c r="S311" i="11"/>
  <c r="R311" i="11"/>
  <c r="S310" i="11"/>
  <c r="R310" i="11"/>
  <c r="S309" i="11"/>
  <c r="R309" i="11"/>
  <c r="S308" i="11"/>
  <c r="R308" i="11"/>
  <c r="S307" i="11"/>
  <c r="R307" i="11"/>
  <c r="S306" i="11"/>
  <c r="R306" i="11"/>
  <c r="S305" i="11"/>
  <c r="R305" i="11"/>
  <c r="S304" i="11"/>
  <c r="R304" i="11"/>
  <c r="S303" i="11"/>
  <c r="R303" i="11"/>
  <c r="S302" i="11"/>
  <c r="R302" i="11"/>
  <c r="S301" i="11"/>
  <c r="R301" i="11"/>
  <c r="S300" i="11"/>
  <c r="R300" i="11"/>
  <c r="S299" i="11"/>
  <c r="R299" i="11"/>
  <c r="S298" i="11"/>
  <c r="R298" i="11"/>
  <c r="S297" i="11"/>
  <c r="R297" i="11"/>
  <c r="S296" i="11"/>
  <c r="R296" i="11"/>
  <c r="S295" i="11"/>
  <c r="R295" i="11"/>
  <c r="S294" i="11"/>
  <c r="R294" i="11"/>
  <c r="S293" i="11"/>
  <c r="R293" i="11"/>
  <c r="S292" i="11"/>
  <c r="R292" i="11"/>
  <c r="S291" i="11"/>
  <c r="R291" i="11"/>
  <c r="S290" i="11"/>
  <c r="R290" i="11"/>
  <c r="S289" i="11"/>
  <c r="R289" i="11"/>
  <c r="S288" i="11"/>
  <c r="R288" i="11"/>
  <c r="S287" i="11"/>
  <c r="R287" i="11"/>
  <c r="S286" i="11"/>
  <c r="R286" i="11"/>
  <c r="S285" i="11"/>
  <c r="R285" i="11"/>
  <c r="S284" i="11"/>
  <c r="R284" i="11"/>
  <c r="S283" i="11"/>
  <c r="R283" i="11"/>
  <c r="S282" i="11"/>
  <c r="R282" i="11"/>
  <c r="S281" i="11"/>
  <c r="R281" i="11"/>
  <c r="S280" i="11"/>
  <c r="R280" i="11"/>
  <c r="S279" i="11"/>
  <c r="R279" i="11"/>
  <c r="S278" i="11"/>
  <c r="R278" i="11"/>
  <c r="S277" i="11"/>
  <c r="R277" i="11"/>
  <c r="S276" i="11"/>
  <c r="R276" i="11"/>
  <c r="S275" i="11"/>
  <c r="R275" i="11"/>
  <c r="S274" i="11"/>
  <c r="R274" i="11"/>
  <c r="S273" i="11"/>
  <c r="R273" i="11"/>
  <c r="S272" i="11"/>
  <c r="R272" i="11"/>
  <c r="S271" i="11"/>
  <c r="R271" i="11"/>
  <c r="S270" i="11"/>
  <c r="R270" i="11"/>
  <c r="S269" i="11"/>
  <c r="R269" i="11"/>
  <c r="S268" i="11"/>
  <c r="R268" i="11"/>
  <c r="S267" i="11"/>
  <c r="R267" i="11"/>
  <c r="S266" i="11"/>
  <c r="R266" i="11"/>
  <c r="S265" i="11"/>
  <c r="R265" i="11"/>
  <c r="S264" i="11"/>
  <c r="R264" i="11"/>
  <c r="S263" i="11"/>
  <c r="R263" i="11"/>
  <c r="S262" i="11"/>
  <c r="R262" i="11"/>
  <c r="S261" i="11"/>
  <c r="R261" i="11"/>
  <c r="S260" i="11"/>
  <c r="R260" i="11"/>
  <c r="S259" i="11"/>
  <c r="R259" i="11"/>
  <c r="S258" i="11"/>
  <c r="R258" i="11"/>
  <c r="S257" i="11"/>
  <c r="R257" i="11"/>
  <c r="S256" i="11"/>
  <c r="R256" i="11"/>
  <c r="S255" i="11"/>
  <c r="R255" i="11"/>
  <c r="S254" i="11"/>
  <c r="R254" i="11"/>
  <c r="S253" i="11"/>
  <c r="R253" i="11"/>
  <c r="S252" i="11"/>
  <c r="R252" i="11"/>
  <c r="S251" i="11"/>
  <c r="R251" i="11"/>
  <c r="S250" i="11"/>
  <c r="R250" i="11"/>
  <c r="S249" i="11"/>
  <c r="R249" i="11"/>
  <c r="S248" i="11"/>
  <c r="R248" i="11"/>
  <c r="S247" i="11"/>
  <c r="R247" i="11"/>
  <c r="S246" i="11"/>
  <c r="R246" i="11"/>
  <c r="S245" i="11"/>
  <c r="R245" i="11"/>
  <c r="S244" i="11"/>
  <c r="R244" i="11"/>
  <c r="S243" i="11"/>
  <c r="R243" i="11"/>
  <c r="S242" i="11"/>
  <c r="R242" i="11"/>
  <c r="S241" i="11"/>
  <c r="R241" i="11"/>
  <c r="S240" i="11"/>
  <c r="R240" i="11"/>
  <c r="S239" i="11"/>
  <c r="R239" i="11"/>
  <c r="S238" i="11"/>
  <c r="R238" i="11"/>
  <c r="S237" i="11"/>
  <c r="R237" i="11"/>
  <c r="S236" i="11"/>
  <c r="R236" i="11"/>
  <c r="S235" i="11"/>
  <c r="R235" i="11"/>
  <c r="S234" i="11"/>
  <c r="R234" i="11"/>
  <c r="S233" i="11"/>
  <c r="R233" i="11"/>
  <c r="S232" i="11"/>
  <c r="R232" i="11"/>
  <c r="S231" i="11"/>
  <c r="R231" i="11"/>
  <c r="S230" i="11"/>
  <c r="R230" i="11"/>
  <c r="S229" i="11"/>
  <c r="R229" i="11"/>
  <c r="S228" i="11"/>
  <c r="R228" i="11"/>
  <c r="S227" i="11"/>
  <c r="R227" i="11"/>
  <c r="S226" i="11"/>
  <c r="R226" i="11"/>
  <c r="S225" i="11"/>
  <c r="R225" i="11"/>
  <c r="S224" i="11"/>
  <c r="R224" i="11"/>
  <c r="S223" i="11"/>
  <c r="R223" i="11"/>
  <c r="S222" i="11"/>
  <c r="R222" i="11"/>
  <c r="S221" i="11"/>
  <c r="R221" i="11"/>
  <c r="S220" i="11"/>
  <c r="R220" i="11"/>
  <c r="S219" i="11"/>
  <c r="R219" i="11"/>
  <c r="S218" i="11"/>
  <c r="R218" i="11"/>
  <c r="S217" i="11"/>
  <c r="R217" i="11"/>
  <c r="S216" i="11"/>
  <c r="R216" i="11"/>
  <c r="S215" i="11"/>
  <c r="R215" i="11"/>
  <c r="S214" i="11"/>
  <c r="R214" i="11"/>
  <c r="S213" i="11"/>
  <c r="R213" i="11"/>
  <c r="S212" i="11"/>
  <c r="R212" i="11"/>
  <c r="S211" i="11"/>
  <c r="R211" i="11"/>
  <c r="S210" i="11"/>
  <c r="R210" i="11"/>
  <c r="S209" i="11"/>
  <c r="R209" i="11"/>
  <c r="S208" i="11"/>
  <c r="R208" i="11"/>
  <c r="S207" i="11"/>
  <c r="R207" i="11"/>
  <c r="S206" i="11"/>
  <c r="R206" i="11"/>
  <c r="S205" i="11"/>
  <c r="R205" i="11"/>
  <c r="S204" i="11"/>
  <c r="R204" i="11"/>
  <c r="S203" i="11"/>
  <c r="R203" i="11"/>
  <c r="S202" i="11"/>
  <c r="R202" i="11"/>
  <c r="S201" i="11"/>
  <c r="R201" i="11"/>
  <c r="S200" i="11"/>
  <c r="R200" i="11"/>
  <c r="S199" i="11"/>
  <c r="R199" i="11"/>
  <c r="S198" i="11"/>
  <c r="R198" i="11"/>
  <c r="S197" i="11"/>
  <c r="R197" i="11"/>
  <c r="S196" i="11"/>
  <c r="R196" i="11"/>
  <c r="S195" i="11"/>
  <c r="R195" i="11"/>
  <c r="S194" i="11"/>
  <c r="R194" i="11"/>
  <c r="S193" i="11"/>
  <c r="R193" i="11"/>
  <c r="S192" i="11"/>
  <c r="R192" i="11"/>
  <c r="S191" i="11"/>
  <c r="R191" i="11"/>
  <c r="S190" i="11"/>
  <c r="R190" i="11"/>
  <c r="S189" i="11"/>
  <c r="R189" i="11"/>
  <c r="S188" i="11"/>
  <c r="R188" i="11"/>
  <c r="S187" i="11"/>
  <c r="R187" i="11"/>
  <c r="S186" i="11"/>
  <c r="R186" i="11"/>
  <c r="S185" i="11"/>
  <c r="R185" i="11"/>
  <c r="S184" i="11"/>
  <c r="R184" i="11"/>
  <c r="S183" i="11"/>
  <c r="R183" i="11"/>
  <c r="S182" i="11"/>
  <c r="R182" i="11"/>
  <c r="S181" i="11"/>
  <c r="R181" i="11"/>
  <c r="S180" i="11"/>
  <c r="R180" i="11"/>
  <c r="S179" i="11"/>
  <c r="R179" i="11"/>
  <c r="S178" i="11"/>
  <c r="R178" i="11"/>
  <c r="S177" i="11"/>
  <c r="R177" i="11"/>
  <c r="S176" i="11"/>
  <c r="R176" i="11"/>
  <c r="S175" i="11"/>
  <c r="R175" i="11"/>
  <c r="S174" i="11"/>
  <c r="R174" i="11"/>
  <c r="S173" i="11"/>
  <c r="R173" i="11"/>
  <c r="S172" i="11"/>
  <c r="R172" i="11"/>
  <c r="S171" i="11"/>
  <c r="R171" i="11"/>
  <c r="S170" i="11"/>
  <c r="R170" i="11"/>
  <c r="S169" i="11"/>
  <c r="R169" i="11"/>
  <c r="S168" i="11"/>
  <c r="R168" i="11"/>
  <c r="S167" i="11"/>
  <c r="R167" i="11"/>
  <c r="S166" i="11"/>
  <c r="R166" i="11"/>
  <c r="S165" i="11"/>
  <c r="R165" i="11"/>
  <c r="S164" i="11"/>
  <c r="R164" i="11"/>
  <c r="S163" i="11"/>
  <c r="R163" i="11"/>
  <c r="S162" i="11"/>
  <c r="R162" i="11"/>
  <c r="S161" i="11"/>
  <c r="R161" i="11"/>
  <c r="S160" i="11"/>
  <c r="R160" i="11"/>
  <c r="S159" i="11"/>
  <c r="R159" i="11"/>
  <c r="S158" i="11"/>
  <c r="R158" i="11"/>
  <c r="S157" i="11"/>
  <c r="R157" i="11"/>
  <c r="S156" i="11"/>
  <c r="R156" i="11"/>
  <c r="S155" i="11"/>
  <c r="R155" i="11"/>
  <c r="S154" i="11"/>
  <c r="R154" i="11"/>
  <c r="S153" i="11"/>
  <c r="R153" i="11"/>
  <c r="S152" i="11"/>
  <c r="R152" i="11"/>
  <c r="S151" i="11"/>
  <c r="R151" i="11"/>
  <c r="S150" i="11"/>
  <c r="R150" i="11"/>
  <c r="S149" i="11"/>
  <c r="R149" i="11"/>
  <c r="S148" i="11"/>
  <c r="R148" i="11"/>
  <c r="S147" i="11"/>
  <c r="R147" i="11"/>
  <c r="S146" i="11"/>
  <c r="R146" i="11"/>
  <c r="S145" i="11"/>
  <c r="R145" i="11"/>
  <c r="S144" i="11"/>
  <c r="R144" i="11"/>
  <c r="S143" i="11"/>
  <c r="R143" i="11"/>
  <c r="S142" i="11"/>
  <c r="R142" i="11"/>
  <c r="S141" i="11"/>
  <c r="R141" i="11"/>
  <c r="S140" i="11"/>
  <c r="R140" i="11"/>
  <c r="S139" i="11"/>
  <c r="R139" i="11"/>
  <c r="S138" i="11"/>
  <c r="R138" i="11"/>
  <c r="S137" i="11"/>
  <c r="R137" i="11"/>
  <c r="S136" i="11"/>
  <c r="R136" i="11"/>
  <c r="S135" i="11"/>
  <c r="R135" i="11"/>
  <c r="S134" i="11"/>
  <c r="R134" i="11"/>
  <c r="S133" i="11"/>
  <c r="R133" i="11"/>
  <c r="S132" i="11"/>
  <c r="R132" i="11"/>
  <c r="S131" i="11"/>
  <c r="R131" i="11"/>
  <c r="S130" i="11"/>
  <c r="R130" i="11"/>
  <c r="S129" i="11"/>
  <c r="R129" i="11"/>
  <c r="S128" i="11"/>
  <c r="R128" i="11"/>
  <c r="S127" i="11"/>
  <c r="R127" i="11"/>
  <c r="S126" i="11"/>
  <c r="R126" i="11"/>
  <c r="S125" i="11"/>
  <c r="R125" i="11"/>
  <c r="S124" i="11"/>
  <c r="R124" i="11"/>
  <c r="S123" i="11"/>
  <c r="R123" i="11"/>
  <c r="S122" i="11"/>
  <c r="R122" i="11"/>
  <c r="S121" i="11"/>
  <c r="R121" i="11"/>
  <c r="S120" i="11"/>
  <c r="R120" i="11"/>
  <c r="S119" i="11"/>
  <c r="R119" i="11"/>
  <c r="S118" i="11"/>
  <c r="R118" i="11"/>
  <c r="S117" i="11"/>
  <c r="R117" i="11"/>
  <c r="S116" i="11"/>
  <c r="R116" i="11"/>
  <c r="S115" i="11"/>
  <c r="R115" i="11"/>
  <c r="S114" i="11"/>
  <c r="R114" i="11"/>
  <c r="S113" i="11"/>
  <c r="R113" i="11"/>
  <c r="S112" i="11"/>
  <c r="R112" i="11"/>
  <c r="S111" i="11"/>
  <c r="R111" i="11"/>
  <c r="S110" i="11"/>
  <c r="R110" i="11"/>
  <c r="S109" i="11"/>
  <c r="R109" i="11"/>
  <c r="S108" i="11"/>
  <c r="R108" i="11"/>
  <c r="S107" i="11"/>
  <c r="R107" i="11"/>
  <c r="S106" i="11"/>
  <c r="R106" i="11"/>
  <c r="S105" i="11"/>
  <c r="R105" i="11"/>
  <c r="S104" i="11"/>
  <c r="R104" i="11"/>
  <c r="S103" i="11"/>
  <c r="R103" i="11"/>
  <c r="S102" i="11"/>
  <c r="R102" i="11"/>
  <c r="S101" i="11"/>
  <c r="R101" i="11"/>
  <c r="S100" i="11"/>
  <c r="R100" i="11"/>
  <c r="S99" i="11"/>
  <c r="R99" i="11"/>
  <c r="S98" i="11"/>
  <c r="R98" i="11"/>
  <c r="S97" i="11"/>
  <c r="R97" i="11"/>
  <c r="S96" i="11"/>
  <c r="R96" i="11"/>
  <c r="S95" i="11"/>
  <c r="R95" i="11"/>
  <c r="S94" i="11"/>
  <c r="R94" i="11"/>
  <c r="S93" i="11"/>
  <c r="R93" i="11"/>
  <c r="S92" i="11"/>
  <c r="R92" i="11"/>
  <c r="S91" i="11"/>
  <c r="R91" i="11"/>
  <c r="S90" i="11"/>
  <c r="R90" i="11"/>
  <c r="S89" i="11"/>
  <c r="R89" i="11"/>
  <c r="S88" i="11"/>
  <c r="R88" i="11"/>
  <c r="S87" i="11"/>
  <c r="R87" i="11"/>
  <c r="S86" i="11"/>
  <c r="R86" i="11"/>
  <c r="S85" i="11"/>
  <c r="R85" i="11"/>
  <c r="S84" i="11"/>
  <c r="R84" i="11"/>
  <c r="S83" i="11"/>
  <c r="R83" i="11"/>
  <c r="S82" i="11"/>
  <c r="R82" i="11"/>
  <c r="S81" i="11"/>
  <c r="R81" i="11"/>
  <c r="S80" i="11"/>
  <c r="R80" i="11"/>
  <c r="S79" i="11"/>
  <c r="R79" i="11"/>
  <c r="S78" i="11"/>
  <c r="R78" i="11"/>
  <c r="S77" i="11"/>
  <c r="R77" i="11"/>
  <c r="S76" i="11"/>
  <c r="R76" i="11"/>
  <c r="S75" i="11"/>
  <c r="R75" i="11"/>
  <c r="S74" i="11"/>
  <c r="R74" i="11"/>
  <c r="S73" i="11"/>
  <c r="R73" i="11"/>
  <c r="S72" i="11"/>
  <c r="R72" i="11"/>
  <c r="S71" i="11"/>
  <c r="R71" i="11"/>
  <c r="S70" i="11"/>
  <c r="R70" i="11"/>
  <c r="S69" i="11"/>
  <c r="R69" i="11"/>
  <c r="S68" i="11"/>
  <c r="R68" i="11"/>
  <c r="S67" i="11"/>
  <c r="R67" i="11"/>
  <c r="S66" i="11"/>
  <c r="R66" i="11"/>
  <c r="S65" i="11"/>
  <c r="R65" i="11"/>
  <c r="S64" i="11"/>
  <c r="R64" i="11"/>
  <c r="S63" i="11"/>
  <c r="R63" i="11"/>
  <c r="S62" i="11"/>
  <c r="R62" i="11"/>
  <c r="S61" i="11"/>
  <c r="R61" i="11"/>
  <c r="S60" i="11"/>
  <c r="R60" i="11"/>
  <c r="S59" i="11"/>
  <c r="R59" i="11"/>
  <c r="S58" i="11"/>
  <c r="R58" i="11"/>
  <c r="S57" i="11"/>
  <c r="R57" i="11"/>
  <c r="S56" i="11"/>
  <c r="R56" i="11"/>
  <c r="S55" i="11"/>
  <c r="R55" i="11"/>
  <c r="S54" i="11"/>
  <c r="R54" i="11"/>
  <c r="S53" i="11"/>
  <c r="R53" i="11"/>
  <c r="S52" i="11"/>
  <c r="R52" i="11"/>
  <c r="S51" i="11"/>
  <c r="R51" i="11"/>
  <c r="S50" i="11"/>
  <c r="R50" i="11"/>
  <c r="S49" i="11"/>
  <c r="R49" i="11"/>
  <c r="S48" i="11"/>
  <c r="R48" i="11"/>
  <c r="S47" i="11"/>
  <c r="R47" i="11"/>
  <c r="S46" i="11"/>
  <c r="R46" i="11"/>
  <c r="S45" i="11"/>
  <c r="R45" i="11"/>
  <c r="S44" i="11"/>
  <c r="R44" i="11"/>
  <c r="S43" i="11"/>
  <c r="R43" i="11"/>
  <c r="S42" i="11"/>
  <c r="R42" i="11"/>
  <c r="S41" i="11"/>
  <c r="R41" i="11"/>
  <c r="S40" i="11"/>
  <c r="R40" i="11"/>
  <c r="S39" i="11"/>
  <c r="R39" i="11"/>
  <c r="S38" i="11"/>
  <c r="R38" i="11"/>
  <c r="S37" i="11"/>
  <c r="R37" i="11"/>
  <c r="S36" i="11"/>
  <c r="R36" i="11"/>
  <c r="S35" i="11"/>
  <c r="R35" i="11"/>
  <c r="S34" i="11"/>
  <c r="R34" i="11"/>
  <c r="S33" i="11"/>
  <c r="R33" i="11"/>
  <c r="S32" i="11"/>
  <c r="R32" i="11"/>
  <c r="S31" i="11"/>
  <c r="R31" i="11"/>
  <c r="S30" i="11"/>
  <c r="R30" i="11"/>
  <c r="S29" i="11"/>
  <c r="R29" i="11"/>
  <c r="S28" i="11"/>
  <c r="R28" i="11"/>
  <c r="S27" i="11"/>
  <c r="R27" i="11"/>
  <c r="S26" i="11"/>
  <c r="R26" i="11"/>
  <c r="S25" i="11"/>
  <c r="R25" i="11"/>
  <c r="S24" i="11"/>
  <c r="R24" i="11"/>
  <c r="S23" i="11"/>
  <c r="R23" i="11"/>
  <c r="S22" i="11"/>
  <c r="R22" i="11"/>
  <c r="S21" i="11"/>
  <c r="R21" i="11"/>
  <c r="S20" i="11"/>
  <c r="R20" i="11"/>
  <c r="S19" i="11"/>
  <c r="R19" i="11"/>
  <c r="S18" i="11"/>
  <c r="R18" i="11"/>
  <c r="S17" i="11"/>
  <c r="R17" i="11"/>
  <c r="S16" i="11"/>
  <c r="R16" i="11"/>
  <c r="S15" i="11"/>
  <c r="R15" i="11"/>
  <c r="S14" i="11"/>
  <c r="R14" i="11"/>
  <c r="S13" i="11"/>
  <c r="R13" i="11"/>
  <c r="S12" i="11"/>
  <c r="R12" i="11"/>
  <c r="S11" i="11"/>
  <c r="R11" i="11"/>
  <c r="S10" i="11"/>
  <c r="R10" i="11"/>
  <c r="S9" i="11"/>
  <c r="R9" i="11"/>
  <c r="S8" i="11"/>
  <c r="R8" i="11"/>
  <c r="S7" i="11"/>
  <c r="R7" i="11"/>
  <c r="S6" i="11"/>
  <c r="R6" i="11"/>
  <c r="S5" i="11"/>
  <c r="R5" i="11"/>
  <c r="S4" i="11"/>
  <c r="R4" i="11"/>
  <c r="S3" i="11"/>
  <c r="R3" i="11"/>
  <c r="R2" i="11"/>
  <c r="S2" i="11"/>
  <c r="C669" i="11"/>
  <c r="C668" i="11"/>
  <c r="C667" i="11"/>
  <c r="C666" i="11"/>
  <c r="C665" i="11"/>
  <c r="C664" i="11"/>
  <c r="C663" i="11"/>
  <c r="C662" i="11"/>
  <c r="C661" i="11"/>
  <c r="C660" i="11"/>
  <c r="C659" i="11"/>
  <c r="C658" i="11"/>
  <c r="C657" i="11"/>
  <c r="C656" i="11"/>
  <c r="C655" i="11"/>
  <c r="C654" i="11"/>
  <c r="C653" i="11"/>
  <c r="C652" i="11"/>
  <c r="C651" i="11"/>
  <c r="C650" i="11"/>
  <c r="C649" i="11"/>
  <c r="C648" i="11"/>
  <c r="C647" i="11"/>
  <c r="C646" i="11"/>
  <c r="C645" i="11"/>
  <c r="C644" i="11"/>
  <c r="C643" i="11"/>
  <c r="C642" i="11"/>
  <c r="C641" i="11"/>
  <c r="C640" i="11"/>
  <c r="C639" i="11"/>
  <c r="C638" i="11"/>
  <c r="C637" i="11"/>
  <c r="C636" i="11"/>
  <c r="C635" i="11"/>
  <c r="C634" i="11"/>
  <c r="C633" i="11"/>
  <c r="C632" i="11"/>
  <c r="C631" i="11"/>
  <c r="C630" i="11"/>
  <c r="C629" i="11"/>
  <c r="C628" i="11"/>
  <c r="C627" i="11"/>
  <c r="C626" i="11"/>
  <c r="C625" i="11"/>
  <c r="C624" i="11"/>
  <c r="C623" i="11"/>
  <c r="C622" i="11"/>
  <c r="C621" i="11"/>
  <c r="C620" i="11"/>
  <c r="C619" i="11"/>
  <c r="C618" i="11"/>
  <c r="C617" i="11"/>
  <c r="C616" i="11"/>
  <c r="C615" i="11"/>
  <c r="C614" i="11"/>
  <c r="C613" i="11"/>
  <c r="C612" i="11"/>
  <c r="C611" i="11"/>
  <c r="C610" i="11"/>
  <c r="C609" i="11"/>
  <c r="C608" i="11"/>
  <c r="C607" i="11"/>
  <c r="C606" i="11"/>
  <c r="C605" i="11"/>
  <c r="C604" i="11"/>
  <c r="C603" i="11"/>
  <c r="C602" i="11"/>
  <c r="C601" i="11"/>
  <c r="C600" i="11"/>
  <c r="C599" i="11"/>
  <c r="C598" i="11"/>
  <c r="C597" i="11"/>
  <c r="C596" i="11"/>
  <c r="C595" i="11"/>
  <c r="C594" i="11"/>
  <c r="C593" i="11"/>
  <c r="C592" i="11"/>
  <c r="C591" i="11"/>
  <c r="C590" i="11"/>
  <c r="C589" i="11"/>
  <c r="C588" i="11"/>
  <c r="C587" i="11"/>
  <c r="C586" i="11"/>
  <c r="C585" i="11"/>
  <c r="C584" i="11"/>
  <c r="C583" i="11"/>
  <c r="C582" i="11"/>
  <c r="C581" i="11"/>
  <c r="C580" i="11"/>
  <c r="C579" i="11"/>
  <c r="C578" i="11"/>
  <c r="C577" i="11"/>
  <c r="C576" i="11"/>
  <c r="C575" i="11"/>
  <c r="C574" i="11"/>
  <c r="C573" i="11"/>
  <c r="C572" i="11"/>
  <c r="C571" i="11"/>
  <c r="C570" i="11"/>
  <c r="C569" i="11"/>
  <c r="C568" i="11"/>
  <c r="C567" i="11"/>
  <c r="C566" i="11"/>
  <c r="C565" i="11"/>
  <c r="C564" i="11"/>
  <c r="C563" i="11"/>
  <c r="C562" i="11"/>
  <c r="C561" i="11"/>
  <c r="C560" i="11"/>
  <c r="C559" i="11"/>
  <c r="C558" i="11"/>
  <c r="C557" i="11"/>
  <c r="C556" i="11"/>
  <c r="C555" i="11"/>
  <c r="C554" i="11"/>
  <c r="C553" i="11"/>
  <c r="C552" i="11"/>
  <c r="C551" i="11"/>
  <c r="C550" i="11"/>
  <c r="C549" i="11"/>
  <c r="C548" i="11"/>
  <c r="C547" i="11"/>
  <c r="C546" i="11"/>
  <c r="C545" i="11"/>
  <c r="C544" i="11"/>
  <c r="C543" i="11"/>
  <c r="C542" i="11"/>
  <c r="C541" i="11"/>
  <c r="C540" i="11"/>
  <c r="C539" i="11"/>
  <c r="C538" i="11"/>
  <c r="C537" i="11"/>
  <c r="C536" i="11"/>
  <c r="C535" i="11"/>
  <c r="C534" i="11"/>
  <c r="C533" i="11"/>
  <c r="C532" i="11"/>
  <c r="C531" i="11"/>
  <c r="C530" i="11"/>
  <c r="C529" i="11"/>
  <c r="C528" i="11"/>
  <c r="C527" i="11"/>
  <c r="C526" i="11"/>
  <c r="C525" i="11"/>
  <c r="C524" i="11"/>
  <c r="C523" i="11"/>
  <c r="C522" i="11"/>
  <c r="C521" i="11"/>
  <c r="C520" i="11"/>
  <c r="C519" i="11"/>
  <c r="C518" i="11"/>
  <c r="C517" i="11"/>
  <c r="C516" i="11"/>
  <c r="C515" i="11"/>
  <c r="C514" i="11"/>
  <c r="C513" i="11"/>
  <c r="C512" i="11"/>
  <c r="C511" i="11"/>
  <c r="C510" i="11"/>
  <c r="C509" i="11"/>
  <c r="C508" i="11"/>
  <c r="C507" i="11"/>
  <c r="C506" i="11"/>
  <c r="C505" i="11"/>
  <c r="C504" i="11"/>
  <c r="C503" i="11"/>
  <c r="C502" i="11"/>
  <c r="C501" i="11"/>
  <c r="C500" i="11"/>
  <c r="C499" i="11"/>
  <c r="C498" i="11"/>
  <c r="C497" i="11"/>
  <c r="C496" i="11"/>
  <c r="C495" i="11"/>
  <c r="C494" i="11"/>
  <c r="C493" i="11"/>
  <c r="C492" i="11"/>
  <c r="C491" i="11"/>
  <c r="C490" i="11"/>
  <c r="C489" i="11"/>
  <c r="C488" i="11"/>
  <c r="C487" i="11"/>
  <c r="C486" i="11"/>
  <c r="C485" i="11"/>
  <c r="C484" i="11"/>
  <c r="C483" i="11"/>
  <c r="C482" i="11"/>
  <c r="C481" i="11"/>
  <c r="C480" i="11"/>
  <c r="C479" i="11"/>
  <c r="C478" i="11"/>
  <c r="C477" i="11"/>
  <c r="C476" i="11"/>
  <c r="C475" i="11"/>
  <c r="C474" i="11"/>
  <c r="C473" i="11"/>
  <c r="C472" i="11"/>
  <c r="C471" i="11"/>
  <c r="C470" i="11"/>
  <c r="C469" i="11"/>
  <c r="C468" i="11"/>
  <c r="C467" i="11"/>
  <c r="C466" i="11"/>
  <c r="C465" i="11"/>
  <c r="C464" i="11"/>
  <c r="C463" i="11"/>
  <c r="C462" i="11"/>
  <c r="C461" i="11"/>
  <c r="C460" i="11"/>
  <c r="C459" i="11"/>
  <c r="C458" i="11"/>
  <c r="C457" i="11"/>
  <c r="C456" i="11"/>
  <c r="C455" i="11"/>
  <c r="C454" i="11"/>
  <c r="C453" i="11"/>
  <c r="C452" i="11"/>
  <c r="C451" i="11"/>
  <c r="C450" i="11"/>
  <c r="C449" i="11"/>
  <c r="C448" i="11"/>
  <c r="C447" i="11"/>
  <c r="C446" i="11"/>
  <c r="C445" i="11"/>
  <c r="C444" i="11"/>
  <c r="C443" i="11"/>
  <c r="C442" i="11"/>
  <c r="C441" i="11"/>
  <c r="C440" i="11"/>
  <c r="C439" i="11"/>
  <c r="C438" i="11"/>
  <c r="C437" i="11"/>
  <c r="C436" i="11"/>
  <c r="C435" i="11"/>
  <c r="C434" i="11"/>
  <c r="C433" i="11"/>
  <c r="C432" i="11"/>
  <c r="C431" i="11"/>
  <c r="C430" i="11"/>
  <c r="C429" i="11"/>
  <c r="C428" i="11"/>
  <c r="C427" i="11"/>
  <c r="C426" i="11"/>
  <c r="C425" i="11"/>
  <c r="C424" i="11"/>
  <c r="C423" i="11"/>
  <c r="C422" i="11"/>
  <c r="C421" i="11"/>
  <c r="C420" i="11"/>
  <c r="C419" i="11"/>
  <c r="C418" i="11"/>
  <c r="C417" i="11"/>
  <c r="C416" i="11"/>
  <c r="C415" i="11"/>
  <c r="C414" i="11"/>
  <c r="C413" i="11"/>
  <c r="C412" i="11"/>
  <c r="C411" i="11"/>
  <c r="C410" i="11"/>
  <c r="C409" i="11"/>
  <c r="C408" i="11"/>
  <c r="C407" i="11"/>
  <c r="C406" i="11"/>
  <c r="C405" i="11"/>
  <c r="C404" i="11"/>
  <c r="C403" i="11"/>
  <c r="C402" i="11"/>
  <c r="C401" i="11"/>
  <c r="C400" i="11"/>
  <c r="C399" i="11"/>
  <c r="C398" i="11"/>
  <c r="C397" i="11"/>
  <c r="C396" i="11"/>
  <c r="C395" i="11"/>
  <c r="C394" i="11"/>
  <c r="C393" i="11"/>
  <c r="C392" i="11"/>
  <c r="C391" i="11"/>
  <c r="C390" i="11"/>
  <c r="C389" i="11"/>
  <c r="C388" i="11"/>
  <c r="C387" i="11"/>
  <c r="C386" i="11"/>
  <c r="C385" i="11"/>
  <c r="C384" i="11"/>
  <c r="C383" i="11"/>
  <c r="C382" i="11"/>
  <c r="C381" i="11"/>
  <c r="C380" i="11"/>
  <c r="C379" i="11"/>
  <c r="C378" i="11"/>
  <c r="C377" i="11"/>
  <c r="C376" i="11"/>
  <c r="C375" i="11"/>
  <c r="C374" i="11"/>
  <c r="C373" i="11"/>
  <c r="C372" i="11"/>
  <c r="C371" i="11"/>
  <c r="C370" i="11"/>
  <c r="C369" i="11"/>
  <c r="C368" i="11"/>
  <c r="C367" i="11"/>
  <c r="C366" i="11"/>
  <c r="C365" i="11"/>
  <c r="C364" i="11"/>
  <c r="C363" i="11"/>
  <c r="C362" i="11"/>
  <c r="C361" i="11"/>
  <c r="C360" i="11"/>
  <c r="C359" i="11"/>
  <c r="C358" i="11"/>
  <c r="C357" i="11"/>
  <c r="C356" i="11"/>
  <c r="C355" i="11"/>
  <c r="C354" i="11"/>
  <c r="C353" i="11"/>
  <c r="C352" i="11"/>
  <c r="C351" i="11"/>
  <c r="C350" i="11"/>
  <c r="C349" i="11"/>
  <c r="C348" i="11"/>
  <c r="C347" i="11"/>
  <c r="C346" i="11"/>
  <c r="C345" i="11"/>
  <c r="C344" i="11"/>
  <c r="C343" i="11"/>
  <c r="C342" i="11"/>
  <c r="C341" i="11"/>
  <c r="C340" i="11"/>
  <c r="C339" i="11"/>
  <c r="C338" i="11"/>
  <c r="C337" i="11"/>
  <c r="C336" i="11"/>
  <c r="C335" i="11"/>
  <c r="C334" i="11"/>
  <c r="C333" i="11"/>
  <c r="C332" i="11"/>
  <c r="C331" i="11"/>
  <c r="C330" i="11"/>
  <c r="C329" i="11"/>
  <c r="C328" i="11"/>
  <c r="C327" i="11"/>
  <c r="C326" i="11"/>
  <c r="C325" i="11"/>
  <c r="C324" i="11"/>
  <c r="C323" i="11"/>
  <c r="C322" i="11"/>
  <c r="C321" i="11"/>
  <c r="C320" i="11"/>
  <c r="C319" i="11"/>
  <c r="C318" i="11"/>
  <c r="C317" i="11"/>
  <c r="C316" i="11"/>
  <c r="C315" i="11"/>
  <c r="C314" i="11"/>
  <c r="C313" i="11"/>
  <c r="C312" i="11"/>
  <c r="C311" i="11"/>
  <c r="C310" i="11"/>
  <c r="C309" i="11"/>
  <c r="C308" i="11"/>
  <c r="C307" i="11"/>
  <c r="C306" i="11"/>
  <c r="C305" i="11"/>
  <c r="C304" i="11"/>
  <c r="C303" i="11"/>
  <c r="C302" i="11"/>
  <c r="C301" i="11"/>
  <c r="C300" i="11"/>
  <c r="C299" i="11"/>
  <c r="C298" i="11"/>
  <c r="C297" i="11"/>
  <c r="C296" i="11"/>
  <c r="C295" i="11"/>
  <c r="C294" i="11"/>
  <c r="C293" i="11"/>
  <c r="C292" i="11"/>
  <c r="C291" i="11"/>
  <c r="C290" i="11"/>
  <c r="C289" i="11"/>
  <c r="C288" i="11"/>
  <c r="C287" i="11"/>
  <c r="C286" i="11"/>
  <c r="C285" i="11"/>
  <c r="C284" i="11"/>
  <c r="C283" i="11"/>
  <c r="C282" i="11"/>
  <c r="C281" i="11"/>
  <c r="C280" i="11"/>
  <c r="C279" i="11"/>
  <c r="C278" i="11"/>
  <c r="C277" i="11"/>
  <c r="C276" i="11"/>
  <c r="C275" i="11"/>
  <c r="C274" i="11"/>
  <c r="C273" i="11"/>
  <c r="C272" i="11"/>
  <c r="C271" i="11"/>
  <c r="C270" i="11"/>
  <c r="C269" i="11"/>
  <c r="C268" i="11"/>
  <c r="C267" i="11"/>
  <c r="C266" i="11"/>
  <c r="C265" i="11"/>
  <c r="C264" i="11"/>
  <c r="C263" i="11"/>
  <c r="C262" i="11"/>
  <c r="C261" i="11"/>
  <c r="C260" i="11"/>
  <c r="C259" i="11"/>
  <c r="C258" i="11"/>
  <c r="C257" i="11"/>
  <c r="C256" i="11"/>
  <c r="C255" i="11"/>
  <c r="C254" i="11"/>
  <c r="C253" i="11"/>
  <c r="C252" i="11"/>
  <c r="C251" i="11"/>
  <c r="C250" i="11"/>
  <c r="C249" i="11"/>
  <c r="C248" i="11"/>
  <c r="C247" i="11"/>
  <c r="C246" i="11"/>
  <c r="C245" i="11"/>
  <c r="C244" i="11"/>
  <c r="C243" i="11"/>
  <c r="C242" i="11"/>
  <c r="C241" i="11"/>
  <c r="C240" i="11"/>
  <c r="C239" i="11"/>
  <c r="C238" i="11"/>
  <c r="C237" i="11"/>
  <c r="C236" i="11"/>
  <c r="C235" i="11"/>
  <c r="C234" i="11"/>
  <c r="C233" i="11"/>
  <c r="C232" i="11"/>
  <c r="C231" i="11"/>
  <c r="C230" i="11"/>
  <c r="C229" i="11"/>
  <c r="C228" i="11"/>
  <c r="C227" i="11"/>
  <c r="C226" i="11"/>
  <c r="C225" i="11"/>
  <c r="C224" i="11"/>
  <c r="C223" i="11"/>
  <c r="C222" i="11"/>
  <c r="C221" i="11"/>
  <c r="C220" i="11"/>
  <c r="C219" i="11"/>
  <c r="C218" i="11"/>
  <c r="C217" i="11"/>
  <c r="C216" i="11"/>
  <c r="C215" i="11"/>
  <c r="C214" i="11"/>
  <c r="C213" i="11"/>
  <c r="C212" i="11"/>
  <c r="C211" i="11"/>
  <c r="C210" i="11"/>
  <c r="C209" i="11"/>
  <c r="C208" i="11"/>
  <c r="C207" i="11"/>
  <c r="C206" i="11"/>
  <c r="C205" i="11"/>
  <c r="C204" i="11"/>
  <c r="C203" i="11"/>
  <c r="C202" i="11"/>
  <c r="C201" i="11"/>
  <c r="C200" i="11"/>
  <c r="C199" i="11"/>
  <c r="C198" i="11"/>
  <c r="C197" i="11"/>
  <c r="C196" i="11"/>
  <c r="C195" i="11"/>
  <c r="C194" i="11"/>
  <c r="C193" i="11"/>
  <c r="C192" i="11"/>
  <c r="C191" i="11"/>
  <c r="C190" i="11"/>
  <c r="C189" i="11"/>
  <c r="C188" i="11"/>
  <c r="C187" i="11"/>
  <c r="C186" i="11"/>
  <c r="C185" i="11"/>
  <c r="C184" i="11"/>
  <c r="C183" i="11"/>
  <c r="C182" i="11"/>
  <c r="C181" i="11"/>
  <c r="C180" i="11"/>
  <c r="C179" i="11"/>
  <c r="C178" i="11"/>
  <c r="C177" i="11"/>
  <c r="C176" i="11"/>
  <c r="C175" i="11"/>
  <c r="C174" i="11"/>
  <c r="C173" i="11"/>
  <c r="C172" i="11"/>
  <c r="C171" i="11"/>
  <c r="C170" i="11"/>
  <c r="C169" i="11"/>
  <c r="C168" i="11"/>
  <c r="C167" i="11"/>
  <c r="C166" i="11"/>
  <c r="C165" i="11"/>
  <c r="C164" i="11"/>
  <c r="C163" i="11"/>
  <c r="C162" i="11"/>
  <c r="C161" i="11"/>
  <c r="C160" i="11"/>
  <c r="C159" i="11"/>
  <c r="C158" i="11"/>
  <c r="C157" i="11"/>
  <c r="C156" i="11"/>
  <c r="C155" i="11"/>
  <c r="C154" i="11"/>
  <c r="C153" i="11"/>
  <c r="C152" i="11"/>
  <c r="C151" i="11"/>
  <c r="C150" i="11"/>
  <c r="C149" i="11"/>
  <c r="C148" i="11"/>
  <c r="C147" i="11"/>
  <c r="C146" i="11"/>
  <c r="C145" i="11"/>
  <c r="C144" i="11"/>
  <c r="C143" i="11"/>
  <c r="C142" i="11"/>
  <c r="C141" i="11"/>
  <c r="C140" i="11"/>
  <c r="C139" i="11"/>
  <c r="C138" i="11"/>
  <c r="C137" i="11"/>
  <c r="C136" i="11"/>
  <c r="C135" i="11"/>
  <c r="C134" i="11"/>
  <c r="C133" i="11"/>
  <c r="C132" i="11"/>
  <c r="C131" i="11"/>
  <c r="C130" i="11"/>
  <c r="C129" i="11"/>
  <c r="C128" i="11"/>
  <c r="C127" i="11"/>
  <c r="C126" i="11"/>
  <c r="C125" i="11"/>
  <c r="C124" i="11"/>
  <c r="C123" i="11"/>
  <c r="C122" i="11"/>
  <c r="C121" i="11"/>
  <c r="C120" i="11"/>
  <c r="C119" i="11"/>
  <c r="C118" i="11"/>
  <c r="C117" i="11"/>
  <c r="C116" i="11"/>
  <c r="C115" i="11"/>
  <c r="C114" i="11"/>
  <c r="C113" i="11"/>
  <c r="C112" i="11"/>
  <c r="C111" i="11"/>
  <c r="C110" i="11"/>
  <c r="C109" i="11"/>
  <c r="C108" i="11"/>
  <c r="C107" i="11"/>
  <c r="C106" i="11"/>
  <c r="C105" i="11"/>
  <c r="C104" i="11"/>
  <c r="C103" i="11"/>
  <c r="C102" i="11"/>
  <c r="C101" i="11"/>
  <c r="C100" i="11"/>
  <c r="C99" i="11"/>
  <c r="C98" i="11"/>
  <c r="C97" i="11"/>
  <c r="C96" i="11"/>
  <c r="C95" i="11"/>
  <c r="C94" i="11"/>
  <c r="C93" i="11"/>
  <c r="C92" i="11"/>
  <c r="C91" i="11"/>
  <c r="C90" i="11"/>
  <c r="C89" i="11"/>
  <c r="C88" i="11"/>
  <c r="C87" i="11"/>
  <c r="C86" i="11"/>
  <c r="C85" i="11"/>
  <c r="C84" i="11"/>
  <c r="C83" i="11"/>
  <c r="C82" i="11"/>
  <c r="C81" i="11"/>
  <c r="C80" i="11"/>
  <c r="C79" i="11"/>
  <c r="C78" i="11"/>
  <c r="C77" i="11"/>
  <c r="C76" i="11"/>
  <c r="C75" i="11"/>
  <c r="C74" i="11"/>
  <c r="C73" i="11"/>
  <c r="C72" i="11"/>
  <c r="C71" i="11"/>
  <c r="C70" i="11"/>
  <c r="C69" i="11"/>
  <c r="C68" i="11"/>
  <c r="C67" i="11"/>
  <c r="C66" i="11"/>
  <c r="C65" i="11"/>
  <c r="C64" i="11"/>
  <c r="C63" i="11"/>
  <c r="C62" i="11"/>
  <c r="C61" i="11"/>
  <c r="C60" i="11"/>
  <c r="C59" i="11"/>
  <c r="C58" i="11"/>
  <c r="C57" i="11"/>
  <c r="C56" i="11"/>
  <c r="C55" i="11"/>
  <c r="C54" i="11"/>
  <c r="C53" i="11"/>
  <c r="C52" i="11"/>
  <c r="C51" i="11"/>
  <c r="C50" i="11"/>
  <c r="C49" i="11"/>
  <c r="C48" i="11"/>
  <c r="C47" i="11"/>
  <c r="C46" i="11"/>
  <c r="C45" i="11"/>
  <c r="C44" i="11"/>
  <c r="C43" i="11"/>
  <c r="C42" i="11"/>
  <c r="C41" i="11"/>
  <c r="C40" i="11"/>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C13" i="11"/>
  <c r="C12" i="11"/>
  <c r="C11" i="11"/>
  <c r="C10" i="11"/>
  <c r="C9" i="11"/>
  <c r="C8" i="11"/>
  <c r="C7" i="11"/>
  <c r="C6" i="11"/>
  <c r="C5" i="11"/>
  <c r="C4" i="11"/>
  <c r="C3" i="11"/>
  <c r="C2" i="11"/>
  <c r="E671" i="11"/>
  <c r="E670" i="11"/>
  <c r="E669" i="11"/>
  <c r="E668" i="11"/>
  <c r="E667" i="11"/>
  <c r="E666" i="11"/>
  <c r="E665" i="11"/>
  <c r="E664" i="11"/>
  <c r="E663" i="11"/>
  <c r="E662" i="11"/>
  <c r="E661" i="11"/>
  <c r="E660" i="11"/>
  <c r="E659" i="11"/>
  <c r="E658" i="11"/>
  <c r="E657" i="11"/>
  <c r="E656" i="11"/>
  <c r="E655" i="11"/>
  <c r="E654" i="11"/>
  <c r="E653" i="11"/>
  <c r="E652" i="11"/>
  <c r="E651" i="11"/>
  <c r="E650" i="11"/>
  <c r="E649" i="11"/>
  <c r="E648" i="11"/>
  <c r="E647" i="11"/>
  <c r="E646" i="11"/>
  <c r="E645" i="11"/>
  <c r="E644" i="11"/>
  <c r="E643" i="11"/>
  <c r="E642" i="11"/>
  <c r="E641" i="11"/>
  <c r="E640" i="11"/>
  <c r="E639" i="11"/>
  <c r="E638" i="11"/>
  <c r="E637" i="11"/>
  <c r="E636" i="11"/>
  <c r="E635" i="11"/>
  <c r="E634" i="11"/>
  <c r="E633" i="11"/>
  <c r="E632" i="11"/>
  <c r="E631" i="11"/>
  <c r="E630" i="11"/>
  <c r="E629" i="11"/>
  <c r="E628" i="11"/>
  <c r="E627" i="11"/>
  <c r="E626" i="11"/>
  <c r="E625" i="11"/>
  <c r="E624" i="11"/>
  <c r="E623" i="11"/>
  <c r="E622" i="11"/>
  <c r="E621" i="11"/>
  <c r="E620" i="11"/>
  <c r="E619" i="11"/>
  <c r="E618" i="11"/>
  <c r="E617" i="11"/>
  <c r="E616" i="11"/>
  <c r="E615" i="11"/>
  <c r="E614" i="11"/>
  <c r="E613" i="11"/>
  <c r="E612" i="11"/>
  <c r="E611" i="11"/>
  <c r="E610" i="11"/>
  <c r="E609" i="11"/>
  <c r="E608" i="11"/>
  <c r="E607" i="11"/>
  <c r="E606" i="11"/>
  <c r="E605" i="11"/>
  <c r="E604" i="11"/>
  <c r="E603" i="11"/>
  <c r="E602" i="11"/>
  <c r="E601" i="11"/>
  <c r="E600" i="11"/>
  <c r="E599" i="11"/>
  <c r="E598" i="11"/>
  <c r="E597" i="11"/>
  <c r="E596" i="11"/>
  <c r="E595" i="11"/>
  <c r="E594" i="11"/>
  <c r="E593" i="11"/>
  <c r="E592" i="11"/>
  <c r="E591" i="11"/>
  <c r="E590" i="11"/>
  <c r="E589" i="11"/>
  <c r="E588" i="11"/>
  <c r="E587" i="11"/>
  <c r="E586" i="11"/>
  <c r="E585" i="11"/>
  <c r="E584" i="11"/>
  <c r="E583" i="11"/>
  <c r="E582" i="11"/>
  <c r="E581" i="11"/>
  <c r="E580" i="11"/>
  <c r="E579" i="11"/>
  <c r="E578" i="11"/>
  <c r="E577" i="11"/>
  <c r="E576" i="11"/>
  <c r="E575" i="11"/>
  <c r="E574" i="11"/>
  <c r="E573" i="11"/>
  <c r="E572" i="11"/>
  <c r="E571" i="11"/>
  <c r="E570" i="11"/>
  <c r="E569" i="11"/>
  <c r="E568" i="11"/>
  <c r="E567" i="11"/>
  <c r="E566" i="11"/>
  <c r="E565" i="11"/>
  <c r="E564" i="11"/>
  <c r="E563" i="11"/>
  <c r="E562" i="11"/>
  <c r="E561" i="11"/>
  <c r="E560" i="11"/>
  <c r="E559" i="11"/>
  <c r="E558" i="11"/>
  <c r="E557" i="11"/>
  <c r="E556" i="11"/>
  <c r="E555" i="11"/>
  <c r="E554" i="11"/>
  <c r="E553" i="11"/>
  <c r="E552" i="11"/>
  <c r="E551" i="11"/>
  <c r="E550" i="11"/>
  <c r="E549" i="11"/>
  <c r="E548" i="11"/>
  <c r="E547" i="11"/>
  <c r="E546" i="11"/>
  <c r="E545" i="11"/>
  <c r="E544" i="11"/>
  <c r="E543" i="11"/>
  <c r="E542" i="11"/>
  <c r="E541" i="11"/>
  <c r="E540" i="11"/>
  <c r="E539" i="11"/>
  <c r="E538" i="11"/>
  <c r="E537" i="11"/>
  <c r="E536" i="11"/>
  <c r="E535" i="11"/>
  <c r="E534" i="11"/>
  <c r="E533" i="11"/>
  <c r="E532" i="11"/>
  <c r="E531" i="11"/>
  <c r="E530" i="11"/>
  <c r="E529" i="11"/>
  <c r="E528" i="11"/>
  <c r="E527" i="11"/>
  <c r="E526" i="11"/>
  <c r="E525" i="11"/>
  <c r="E524" i="11"/>
  <c r="E523" i="11"/>
  <c r="E522" i="11"/>
  <c r="E521" i="11"/>
  <c r="E520" i="11"/>
  <c r="E519" i="11"/>
  <c r="E518" i="11"/>
  <c r="E517" i="11"/>
  <c r="E516" i="11"/>
  <c r="E515" i="11"/>
  <c r="E514" i="11"/>
  <c r="E513" i="11"/>
  <c r="E512" i="11"/>
  <c r="E511" i="11"/>
  <c r="E510" i="11"/>
  <c r="E509" i="11"/>
  <c r="E508" i="11"/>
  <c r="E507" i="11"/>
  <c r="E506" i="11"/>
  <c r="E505" i="11"/>
  <c r="E504" i="11"/>
  <c r="E503" i="11"/>
  <c r="E502" i="11"/>
  <c r="E501" i="11"/>
  <c r="E500" i="11"/>
  <c r="E499" i="11"/>
  <c r="E498" i="11"/>
  <c r="E497" i="11"/>
  <c r="E496" i="11"/>
  <c r="E495" i="11"/>
  <c r="E494" i="11"/>
  <c r="E493" i="11"/>
  <c r="E492" i="11"/>
  <c r="E491" i="11"/>
  <c r="E490" i="11"/>
  <c r="E489" i="11"/>
  <c r="E488" i="11"/>
  <c r="E487" i="11"/>
  <c r="E486" i="11"/>
  <c r="E485" i="11"/>
  <c r="E484" i="11"/>
  <c r="E483" i="11"/>
  <c r="E482" i="11"/>
  <c r="E481" i="11"/>
  <c r="E480" i="11"/>
  <c r="E479" i="11"/>
  <c r="E478" i="11"/>
  <c r="E477" i="11"/>
  <c r="E476" i="11"/>
  <c r="E475" i="11"/>
  <c r="E474" i="11"/>
  <c r="E473" i="11"/>
  <c r="E472" i="11"/>
  <c r="E471" i="11"/>
  <c r="E470" i="11"/>
  <c r="E469" i="11"/>
  <c r="E468" i="11"/>
  <c r="E467" i="11"/>
  <c r="E466" i="11"/>
  <c r="E465" i="11"/>
  <c r="E464" i="11"/>
  <c r="E463" i="11"/>
  <c r="E462" i="11"/>
  <c r="E461" i="11"/>
  <c r="E460" i="11"/>
  <c r="E459" i="11"/>
  <c r="E458" i="11"/>
  <c r="E457" i="11"/>
  <c r="E456" i="11"/>
  <c r="E455" i="11"/>
  <c r="E454" i="11"/>
  <c r="E453" i="11"/>
  <c r="E452" i="11"/>
  <c r="E451" i="11"/>
  <c r="E450" i="11"/>
  <c r="E449" i="11"/>
  <c r="E448" i="11"/>
  <c r="E447" i="11"/>
  <c r="E446" i="11"/>
  <c r="E445" i="11"/>
  <c r="E444" i="11"/>
  <c r="E443" i="11"/>
  <c r="E442" i="11"/>
  <c r="E441" i="11"/>
  <c r="E440" i="11"/>
  <c r="E439" i="11"/>
  <c r="E438" i="11"/>
  <c r="E437" i="11"/>
  <c r="E436" i="11"/>
  <c r="E435" i="11"/>
  <c r="E434" i="11"/>
  <c r="E433" i="11"/>
  <c r="E432" i="11"/>
  <c r="E431" i="11"/>
  <c r="E430" i="11"/>
  <c r="E429" i="11"/>
  <c r="E428" i="11"/>
  <c r="E427" i="11"/>
  <c r="E426" i="11"/>
  <c r="E425" i="11"/>
  <c r="E424" i="11"/>
  <c r="E423" i="11"/>
  <c r="E422" i="11"/>
  <c r="E421" i="11"/>
  <c r="E420" i="11"/>
  <c r="E419" i="11"/>
  <c r="E418" i="11"/>
  <c r="E417" i="11"/>
  <c r="E416" i="11"/>
  <c r="E415" i="11"/>
  <c r="E414" i="11"/>
  <c r="E413" i="11"/>
  <c r="E412" i="11"/>
  <c r="E411" i="11"/>
  <c r="E410" i="11"/>
  <c r="E409" i="11"/>
  <c r="E408" i="11"/>
  <c r="E407" i="11"/>
  <c r="E406" i="11"/>
  <c r="E405" i="11"/>
  <c r="E404" i="11"/>
  <c r="E403" i="11"/>
  <c r="E402" i="11"/>
  <c r="E401" i="11"/>
  <c r="E400" i="11"/>
  <c r="E399" i="11"/>
  <c r="E398" i="11"/>
  <c r="E397" i="11"/>
  <c r="E396" i="11"/>
  <c r="E395" i="11"/>
  <c r="E394" i="11"/>
  <c r="E393" i="11"/>
  <c r="E392" i="11"/>
  <c r="E391" i="11"/>
  <c r="E390" i="11"/>
  <c r="E389" i="11"/>
  <c r="E388" i="11"/>
  <c r="E387" i="11"/>
  <c r="E386" i="11"/>
  <c r="E385" i="11"/>
  <c r="E384" i="11"/>
  <c r="E383" i="11"/>
  <c r="E382" i="11"/>
  <c r="E381" i="11"/>
  <c r="E380" i="11"/>
  <c r="E379" i="11"/>
  <c r="E378" i="11"/>
  <c r="E377" i="11"/>
  <c r="E376" i="11"/>
  <c r="E375" i="11"/>
  <c r="E374" i="11"/>
  <c r="E373" i="11"/>
  <c r="E372" i="11"/>
  <c r="E371" i="11"/>
  <c r="E370" i="11"/>
  <c r="E369" i="11"/>
  <c r="E368" i="11"/>
  <c r="E367" i="11"/>
  <c r="E366" i="11"/>
  <c r="E365" i="11"/>
  <c r="E364" i="11"/>
  <c r="E363" i="11"/>
  <c r="E362" i="11"/>
  <c r="E361" i="11"/>
  <c r="E360" i="11"/>
  <c r="E359" i="11"/>
  <c r="E358" i="11"/>
  <c r="E357" i="11"/>
  <c r="E356" i="11"/>
  <c r="E355" i="11"/>
  <c r="E354" i="11"/>
  <c r="E353" i="11"/>
  <c r="E352" i="11"/>
  <c r="E351" i="11"/>
  <c r="E350" i="11"/>
  <c r="E349" i="11"/>
  <c r="E348" i="11"/>
  <c r="E347" i="11"/>
  <c r="E346" i="11"/>
  <c r="E345" i="11"/>
  <c r="E344" i="11"/>
  <c r="E343" i="11"/>
  <c r="E342" i="11"/>
  <c r="E341" i="11"/>
  <c r="E340" i="11"/>
  <c r="E339" i="11"/>
  <c r="E338" i="11"/>
  <c r="E337" i="11"/>
  <c r="E336" i="11"/>
  <c r="E335" i="11"/>
  <c r="E334" i="11"/>
  <c r="E333" i="11"/>
  <c r="E332" i="11"/>
  <c r="E331" i="11"/>
  <c r="E330" i="11"/>
  <c r="E329" i="11"/>
  <c r="E328" i="11"/>
  <c r="E327" i="11"/>
  <c r="E326" i="11"/>
  <c r="E325" i="11"/>
  <c r="E324" i="11"/>
  <c r="E323" i="11"/>
  <c r="E322" i="11"/>
  <c r="E321" i="11"/>
  <c r="E320" i="11"/>
  <c r="E319" i="11"/>
  <c r="E318" i="11"/>
  <c r="E317" i="11"/>
  <c r="E316" i="11"/>
  <c r="E315" i="11"/>
  <c r="E314" i="11"/>
  <c r="E313" i="11"/>
  <c r="E312" i="11"/>
  <c r="E311" i="11"/>
  <c r="E310" i="11"/>
  <c r="E309" i="11"/>
  <c r="E308" i="11"/>
  <c r="E307" i="11"/>
  <c r="E306" i="11"/>
  <c r="E305" i="11"/>
  <c r="E304" i="11"/>
  <c r="E303" i="11"/>
  <c r="E302" i="11"/>
  <c r="E301" i="11"/>
  <c r="E300" i="11"/>
  <c r="E299" i="11"/>
  <c r="E298" i="11"/>
  <c r="E297" i="11"/>
  <c r="E296" i="11"/>
  <c r="E295" i="11"/>
  <c r="E294" i="11"/>
  <c r="E293" i="11"/>
  <c r="E292" i="11"/>
  <c r="E291" i="11"/>
  <c r="E289" i="11"/>
  <c r="E288" i="11"/>
  <c r="E287" i="11"/>
  <c r="E286" i="11"/>
  <c r="E285" i="11"/>
  <c r="E284" i="11"/>
  <c r="E283" i="11"/>
  <c r="E282" i="11"/>
  <c r="E281" i="11"/>
  <c r="E280" i="11"/>
  <c r="E279" i="11"/>
  <c r="E278" i="11"/>
  <c r="E277" i="11"/>
  <c r="E276" i="11"/>
  <c r="E275" i="11"/>
  <c r="E274" i="11"/>
  <c r="E273" i="11"/>
  <c r="E272" i="11"/>
  <c r="E271" i="11"/>
  <c r="E270" i="11"/>
  <c r="E269" i="11"/>
  <c r="E268" i="11"/>
  <c r="E267" i="11"/>
  <c r="E266" i="11"/>
  <c r="E265" i="11"/>
  <c r="E264" i="11"/>
  <c r="E263" i="11"/>
  <c r="E262" i="11"/>
  <c r="E261" i="11"/>
  <c r="E260" i="11"/>
  <c r="E259" i="11"/>
  <c r="E258" i="11"/>
  <c r="E257" i="11"/>
  <c r="E256" i="11"/>
  <c r="E255" i="11"/>
  <c r="E254" i="11"/>
  <c r="E253" i="11"/>
  <c r="E252" i="11"/>
  <c r="E251" i="11"/>
  <c r="E250" i="11"/>
  <c r="E249" i="11"/>
  <c r="E248" i="11"/>
  <c r="E247" i="11"/>
  <c r="E246" i="11"/>
  <c r="E245" i="11"/>
  <c r="E244" i="11"/>
  <c r="E243" i="11"/>
  <c r="E242" i="11"/>
  <c r="E241" i="11"/>
  <c r="E240" i="11"/>
  <c r="E239" i="11"/>
  <c r="E238" i="11"/>
  <c r="E237" i="11"/>
  <c r="E236" i="11"/>
  <c r="E235" i="11"/>
  <c r="E234" i="11"/>
  <c r="E233" i="11"/>
  <c r="E232" i="11"/>
  <c r="E231" i="11"/>
  <c r="E230" i="11"/>
  <c r="E229" i="11"/>
  <c r="E228" i="11"/>
  <c r="E227" i="11"/>
  <c r="E226" i="11"/>
  <c r="E225" i="11"/>
  <c r="E224" i="11"/>
  <c r="E223" i="11"/>
  <c r="E222" i="11"/>
  <c r="E221" i="11"/>
  <c r="E220" i="11"/>
  <c r="E219" i="11"/>
  <c r="E218" i="11"/>
  <c r="E217" i="11"/>
  <c r="E216" i="11"/>
  <c r="E215" i="11"/>
  <c r="E214" i="11"/>
  <c r="E213" i="11"/>
  <c r="E212" i="11"/>
  <c r="E211" i="11"/>
  <c r="E210" i="11"/>
  <c r="E209" i="11"/>
  <c r="E208" i="11"/>
  <c r="E207" i="11"/>
  <c r="E206" i="11"/>
  <c r="E205" i="11"/>
  <c r="E204" i="11"/>
  <c r="E203" i="11"/>
  <c r="E202" i="11"/>
  <c r="E201" i="11"/>
  <c r="E200" i="11"/>
  <c r="E199" i="11"/>
  <c r="E198" i="11"/>
  <c r="E197" i="11"/>
  <c r="E196" i="11"/>
  <c r="E195" i="11"/>
  <c r="E194" i="11"/>
  <c r="E193" i="11"/>
  <c r="E192" i="11"/>
  <c r="E191" i="11"/>
  <c r="E190" i="11"/>
  <c r="E189" i="11"/>
  <c r="E188" i="11"/>
  <c r="E187" i="11"/>
  <c r="E186" i="11"/>
  <c r="E185" i="11"/>
  <c r="E184" i="11"/>
  <c r="E183" i="11"/>
  <c r="E182" i="11"/>
  <c r="E181" i="11"/>
  <c r="E180" i="11"/>
  <c r="E179" i="11"/>
  <c r="E178" i="11"/>
  <c r="E177" i="11"/>
  <c r="E176" i="11"/>
  <c r="E175" i="11"/>
  <c r="E174" i="11"/>
  <c r="E173" i="11"/>
  <c r="E172" i="11"/>
  <c r="E171" i="11"/>
  <c r="E170" i="11"/>
  <c r="E169" i="11"/>
  <c r="E168" i="11"/>
  <c r="E167" i="11"/>
  <c r="E166" i="11"/>
  <c r="E165" i="11"/>
  <c r="E164" i="11"/>
  <c r="E163" i="11"/>
  <c r="E162" i="11"/>
  <c r="E161" i="11"/>
  <c r="E160" i="11"/>
  <c r="E159" i="11"/>
  <c r="E158" i="11"/>
  <c r="E157" i="11"/>
  <c r="E156" i="11"/>
  <c r="E155" i="11"/>
  <c r="E154" i="11"/>
  <c r="E153" i="11"/>
  <c r="E152" i="11"/>
  <c r="E151" i="11"/>
  <c r="E150" i="11"/>
  <c r="E149" i="11"/>
  <c r="E148" i="11"/>
  <c r="E147" i="11"/>
  <c r="E146" i="11"/>
  <c r="E145" i="11"/>
  <c r="E144" i="11"/>
  <c r="E143" i="11"/>
  <c r="E142" i="11"/>
  <c r="E141" i="11"/>
  <c r="E140" i="11"/>
  <c r="E139" i="11"/>
  <c r="E138" i="11"/>
  <c r="E137" i="11"/>
  <c r="E136" i="11"/>
  <c r="E135" i="11"/>
  <c r="E134" i="11"/>
  <c r="E133" i="11"/>
  <c r="E132" i="11"/>
  <c r="E131" i="11"/>
  <c r="E130" i="11"/>
  <c r="E129" i="11"/>
  <c r="E128" i="11"/>
  <c r="E127" i="11"/>
  <c r="E126" i="11"/>
  <c r="E125" i="11"/>
  <c r="E124" i="11"/>
  <c r="E123" i="11"/>
  <c r="E122" i="11"/>
  <c r="E121" i="11"/>
  <c r="E120" i="11"/>
  <c r="E119" i="11"/>
  <c r="E118" i="11"/>
  <c r="E117" i="11"/>
  <c r="E116" i="11"/>
  <c r="E115" i="11"/>
  <c r="E114" i="11"/>
  <c r="E113" i="11"/>
  <c r="E112" i="11"/>
  <c r="E111" i="11"/>
  <c r="E110" i="11"/>
  <c r="E109" i="11"/>
  <c r="E108" i="11"/>
  <c r="E107" i="11"/>
  <c r="E106" i="11"/>
  <c r="E105" i="11"/>
  <c r="E104" i="11"/>
  <c r="E103" i="11"/>
  <c r="E102" i="11"/>
  <c r="E101" i="11"/>
  <c r="E100" i="11"/>
  <c r="E99" i="11"/>
  <c r="E98" i="11"/>
  <c r="E97" i="11"/>
  <c r="E96" i="11"/>
  <c r="E95" i="11"/>
  <c r="E94" i="11"/>
  <c r="E93" i="11"/>
  <c r="E92" i="11"/>
  <c r="E91" i="11"/>
  <c r="E90" i="11"/>
  <c r="E89" i="11"/>
  <c r="E88" i="11"/>
  <c r="E87" i="11"/>
  <c r="E86" i="11"/>
  <c r="E85" i="11"/>
  <c r="E84" i="11"/>
  <c r="E83" i="11"/>
  <c r="E82" i="11"/>
  <c r="E81" i="11"/>
  <c r="E80" i="11"/>
  <c r="E79" i="11"/>
  <c r="E78" i="11"/>
  <c r="E77" i="11"/>
  <c r="E76" i="11"/>
  <c r="E75" i="11"/>
  <c r="E74" i="11"/>
  <c r="E73" i="11"/>
  <c r="E72" i="11"/>
  <c r="E71" i="11"/>
  <c r="E70" i="11"/>
  <c r="E69" i="11"/>
  <c r="E68" i="11"/>
  <c r="E67" i="11"/>
  <c r="E66" i="11"/>
  <c r="E65" i="11"/>
  <c r="E64" i="11"/>
  <c r="E63" i="11"/>
  <c r="E62" i="11"/>
  <c r="E61" i="11"/>
  <c r="E60" i="11"/>
  <c r="E59" i="11"/>
  <c r="E58" i="11"/>
  <c r="E57" i="11"/>
  <c r="E56" i="11"/>
  <c r="E55" i="11"/>
  <c r="E54" i="11"/>
  <c r="E53" i="11"/>
  <c r="E52" i="11"/>
  <c r="E51" i="11"/>
  <c r="E50" i="11"/>
  <c r="E49" i="11"/>
  <c r="E48" i="11"/>
  <c r="E47" i="11"/>
  <c r="E46" i="11"/>
  <c r="E45" i="11"/>
  <c r="E44" i="11"/>
  <c r="E43" i="11"/>
  <c r="E42" i="11"/>
  <c r="E41" i="11"/>
  <c r="E40" i="11"/>
  <c r="E39" i="11"/>
  <c r="E38" i="11"/>
  <c r="E37" i="11"/>
  <c r="E36" i="11"/>
  <c r="E35" i="11"/>
  <c r="E34" i="11"/>
  <c r="E33" i="11"/>
  <c r="E32" i="11"/>
  <c r="E31" i="11"/>
  <c r="E30" i="11"/>
  <c r="E29" i="11"/>
  <c r="E28" i="11"/>
  <c r="E27" i="11"/>
  <c r="E26" i="11"/>
  <c r="E25" i="11"/>
  <c r="E24" i="11"/>
  <c r="E23" i="11"/>
  <c r="E22" i="11"/>
  <c r="E21" i="11"/>
  <c r="E20" i="11"/>
  <c r="E19" i="11"/>
  <c r="E18" i="11"/>
  <c r="E17" i="11"/>
  <c r="E16" i="11"/>
  <c r="E15" i="11"/>
  <c r="E14" i="11"/>
  <c r="E13" i="11"/>
  <c r="E12" i="11"/>
  <c r="E11" i="11"/>
  <c r="E10" i="11"/>
  <c r="E9" i="11"/>
  <c r="E8" i="11"/>
  <c r="E7" i="11"/>
  <c r="E6" i="11"/>
  <c r="E5" i="11"/>
  <c r="E4" i="11"/>
  <c r="E3" i="11"/>
  <c r="E2" i="11"/>
  <c r="E673" i="11"/>
  <c r="C673" i="11"/>
  <c r="C671" i="11"/>
  <c r="C670" i="11"/>
  <c r="P587" i="5"/>
  <c r="O587" i="5"/>
  <c r="N587" i="5" a="1"/>
  <c r="N587" i="5" s="1"/>
  <c r="M587" i="5" a="1"/>
  <c r="M587" i="5" s="1"/>
  <c r="P586" i="5"/>
  <c r="O586" i="5"/>
  <c r="N586" i="5" a="1"/>
  <c r="N586" i="5" s="1"/>
  <c r="M586" i="5" a="1"/>
  <c r="M586" i="5" s="1"/>
  <c r="T453" i="11" l="1"/>
  <c r="T461" i="11"/>
  <c r="T469" i="11"/>
  <c r="T477" i="11"/>
  <c r="T481" i="11"/>
  <c r="T485" i="11"/>
  <c r="T489" i="11"/>
  <c r="T493" i="11"/>
  <c r="T501" i="11"/>
  <c r="T5" i="11"/>
  <c r="T9" i="11"/>
  <c r="T13" i="11"/>
  <c r="T17" i="11"/>
  <c r="T21" i="11"/>
  <c r="T25" i="11"/>
  <c r="T29" i="11"/>
  <c r="T33" i="11"/>
  <c r="T37" i="11"/>
  <c r="T41" i="11"/>
  <c r="T45" i="11"/>
  <c r="T49" i="11"/>
  <c r="T53" i="11"/>
  <c r="T57" i="11"/>
  <c r="T61" i="11"/>
  <c r="T65" i="11"/>
  <c r="T69" i="11"/>
  <c r="T73" i="11"/>
  <c r="T77" i="11"/>
  <c r="T81" i="11"/>
  <c r="T85" i="11"/>
  <c r="T89" i="11"/>
  <c r="T93" i="11"/>
  <c r="T97" i="11"/>
  <c r="T101" i="11"/>
  <c r="T105" i="11"/>
  <c r="T109" i="11"/>
  <c r="T113" i="11"/>
  <c r="T117" i="11"/>
  <c r="T121" i="11"/>
  <c r="T125" i="11"/>
  <c r="T129" i="11"/>
  <c r="T133" i="11"/>
  <c r="T137" i="11"/>
  <c r="T141" i="11"/>
  <c r="T6" i="11"/>
  <c r="T10" i="11"/>
  <c r="T14" i="11"/>
  <c r="T18" i="11"/>
  <c r="T22" i="11"/>
  <c r="T26" i="11"/>
  <c r="T30" i="11"/>
  <c r="T34" i="11"/>
  <c r="T38" i="11"/>
  <c r="T42" i="11"/>
  <c r="T46" i="11"/>
  <c r="T50" i="11"/>
  <c r="T54" i="11"/>
  <c r="T58" i="11"/>
  <c r="T62" i="11"/>
  <c r="T66" i="11"/>
  <c r="T70" i="11"/>
  <c r="T74" i="11"/>
  <c r="T78" i="11"/>
  <c r="T82" i="11"/>
  <c r="T86" i="11"/>
  <c r="T90" i="11"/>
  <c r="T94" i="11"/>
  <c r="T98" i="11"/>
  <c r="T102" i="11"/>
  <c r="T3" i="11"/>
  <c r="T7" i="11"/>
  <c r="T11" i="11"/>
  <c r="T15" i="11"/>
  <c r="T19" i="11"/>
  <c r="T23" i="11"/>
  <c r="T27" i="11"/>
  <c r="T31" i="11"/>
  <c r="T35" i="11"/>
  <c r="T39" i="11"/>
  <c r="T43" i="11"/>
  <c r="T47" i="11"/>
  <c r="T51" i="11"/>
  <c r="T55" i="11"/>
  <c r="T59" i="11"/>
  <c r="T63" i="11"/>
  <c r="T67" i="11"/>
  <c r="T71" i="11"/>
  <c r="T75" i="11"/>
  <c r="T79" i="11"/>
  <c r="T83" i="11"/>
  <c r="T87" i="11"/>
  <c r="T91" i="11"/>
  <c r="T95" i="11"/>
  <c r="T99" i="11"/>
  <c r="T103" i="11"/>
  <c r="T107" i="11"/>
  <c r="T111" i="11"/>
  <c r="T115" i="11"/>
  <c r="T119" i="11"/>
  <c r="T123" i="11"/>
  <c r="T127" i="11"/>
  <c r="T131" i="11"/>
  <c r="T135" i="11"/>
  <c r="T139" i="11"/>
  <c r="T143" i="11"/>
  <c r="T147" i="11"/>
  <c r="T151" i="11"/>
  <c r="T155" i="11"/>
  <c r="T159" i="11"/>
  <c r="T163" i="11"/>
  <c r="T167" i="11"/>
  <c r="T171" i="11"/>
  <c r="T175" i="11"/>
  <c r="T179" i="11"/>
  <c r="T183" i="11"/>
  <c r="T187" i="11"/>
  <c r="T191" i="11"/>
  <c r="T195" i="11"/>
  <c r="T199" i="11"/>
  <c r="T203" i="11"/>
  <c r="T207" i="11"/>
  <c r="T211" i="11"/>
  <c r="T215" i="11"/>
  <c r="T219" i="11"/>
  <c r="T223" i="11"/>
  <c r="T227" i="11"/>
  <c r="T145" i="11"/>
  <c r="T149" i="11"/>
  <c r="T153" i="11"/>
  <c r="T157" i="11"/>
  <c r="T161" i="11"/>
  <c r="T165" i="11"/>
  <c r="T169" i="11"/>
  <c r="T173" i="11"/>
  <c r="T177" i="11"/>
  <c r="T181" i="11"/>
  <c r="T185" i="11"/>
  <c r="T189" i="11"/>
  <c r="T193" i="11"/>
  <c r="T197" i="11"/>
  <c r="T365" i="11"/>
  <c r="T373" i="11"/>
  <c r="T381" i="11"/>
  <c r="T389" i="11"/>
  <c r="T397" i="11"/>
  <c r="T405" i="11"/>
  <c r="T413" i="11"/>
  <c r="T417" i="11"/>
  <c r="T421" i="11"/>
  <c r="T425" i="11"/>
  <c r="T429" i="11"/>
  <c r="T437" i="11"/>
  <c r="T445" i="11"/>
  <c r="T106" i="11"/>
  <c r="T110" i="11"/>
  <c r="T114" i="11"/>
  <c r="T118" i="11"/>
  <c r="T122" i="11"/>
  <c r="T126" i="11"/>
  <c r="T130" i="11"/>
  <c r="T134" i="11"/>
  <c r="T138" i="11"/>
  <c r="T142" i="11"/>
  <c r="T146" i="11"/>
  <c r="T150" i="11"/>
  <c r="T154" i="11"/>
  <c r="T158" i="11"/>
  <c r="T162" i="11"/>
  <c r="T166" i="11"/>
  <c r="T170" i="11"/>
  <c r="T174" i="11"/>
  <c r="T178" i="11"/>
  <c r="T182" i="11"/>
  <c r="T186" i="11"/>
  <c r="T190" i="11"/>
  <c r="T194" i="11"/>
  <c r="T198" i="11"/>
  <c r="T202" i="11"/>
  <c r="T206" i="11"/>
  <c r="T210" i="11"/>
  <c r="T214" i="11"/>
  <c r="T218" i="11"/>
  <c r="T222" i="11"/>
  <c r="T226" i="11"/>
  <c r="T658" i="11"/>
  <c r="T662" i="11"/>
  <c r="T666" i="11"/>
  <c r="T670" i="11"/>
  <c r="T231" i="11"/>
  <c r="T235" i="11"/>
  <c r="T239" i="11"/>
  <c r="T243" i="11"/>
  <c r="T247" i="11"/>
  <c r="T251" i="11"/>
  <c r="T255" i="11"/>
  <c r="T259" i="11"/>
  <c r="T263" i="11"/>
  <c r="T267" i="11"/>
  <c r="T271" i="11"/>
  <c r="T275" i="11"/>
  <c r="T279" i="11"/>
  <c r="T283" i="11"/>
  <c r="T287" i="11"/>
  <c r="T291" i="11"/>
  <c r="T295" i="11"/>
  <c r="T303" i="11"/>
  <c r="T307" i="11"/>
  <c r="T311" i="11"/>
  <c r="T315" i="11"/>
  <c r="T319" i="11"/>
  <c r="T323" i="11"/>
  <c r="T327" i="11"/>
  <c r="T331" i="11"/>
  <c r="T335" i="11"/>
  <c r="T339" i="11"/>
  <c r="T343" i="11"/>
  <c r="T347" i="11"/>
  <c r="T351" i="11"/>
  <c r="T355" i="11"/>
  <c r="T359" i="11"/>
  <c r="T363" i="11"/>
  <c r="T367" i="11"/>
  <c r="T371" i="11"/>
  <c r="T375" i="11"/>
  <c r="T379" i="11"/>
  <c r="T383" i="11"/>
  <c r="T387" i="11"/>
  <c r="T391" i="11"/>
  <c r="T395" i="11"/>
  <c r="T399" i="11"/>
  <c r="T403" i="11"/>
  <c r="T407" i="11"/>
  <c r="T411" i="11"/>
  <c r="T415" i="11"/>
  <c r="T419" i="11"/>
  <c r="T423" i="11"/>
  <c r="T427" i="11"/>
  <c r="T431" i="11"/>
  <c r="T435" i="11"/>
  <c r="T439" i="11"/>
  <c r="T443" i="11"/>
  <c r="T447" i="11"/>
  <c r="T451" i="11"/>
  <c r="T455" i="11"/>
  <c r="T459" i="11"/>
  <c r="T463" i="11"/>
  <c r="T467" i="11"/>
  <c r="T471" i="11"/>
  <c r="T475" i="11"/>
  <c r="T479" i="11"/>
  <c r="T483" i="11"/>
  <c r="T487" i="11"/>
  <c r="T491" i="11"/>
  <c r="T495" i="11"/>
  <c r="T499" i="11"/>
  <c r="T503" i="11"/>
  <c r="T507" i="11"/>
  <c r="T511" i="11"/>
  <c r="T515" i="11"/>
  <c r="T519" i="11"/>
  <c r="T523" i="11"/>
  <c r="T527" i="11"/>
  <c r="T531" i="11"/>
  <c r="T535" i="11"/>
  <c r="T539" i="11"/>
  <c r="T543" i="11"/>
  <c r="T547" i="11"/>
  <c r="T551" i="11"/>
  <c r="T555" i="11"/>
  <c r="T559" i="11"/>
  <c r="T563" i="11"/>
  <c r="T567" i="11"/>
  <c r="T571" i="11"/>
  <c r="T230" i="11"/>
  <c r="T234" i="11"/>
  <c r="T246" i="11"/>
  <c r="T250" i="11"/>
  <c r="T254" i="11"/>
  <c r="T258" i="11"/>
  <c r="T262" i="11"/>
  <c r="T266" i="11"/>
  <c r="T270" i="11"/>
  <c r="T274" i="11"/>
  <c r="T278" i="11"/>
  <c r="T282" i="11"/>
  <c r="T286" i="11"/>
  <c r="T294" i="11"/>
  <c r="T302" i="11"/>
  <c r="T306" i="11"/>
  <c r="T310" i="11"/>
  <c r="T314" i="11"/>
  <c r="T318" i="11"/>
  <c r="T4" i="11"/>
  <c r="T8" i="11"/>
  <c r="T12" i="11"/>
  <c r="T16" i="11"/>
  <c r="T20" i="11"/>
  <c r="T24" i="11"/>
  <c r="T28" i="11"/>
  <c r="T32" i="11"/>
  <c r="T36" i="11"/>
  <c r="T40" i="11"/>
  <c r="T44" i="11"/>
  <c r="T48" i="11"/>
  <c r="T52" i="11"/>
  <c r="T56" i="11"/>
  <c r="T60" i="11"/>
  <c r="T64" i="11"/>
  <c r="T68" i="11"/>
  <c r="T72" i="11"/>
  <c r="T76" i="11"/>
  <c r="T80" i="11"/>
  <c r="T84" i="11"/>
  <c r="T88" i="11"/>
  <c r="T92" i="11"/>
  <c r="T96" i="11"/>
  <c r="T100" i="11"/>
  <c r="T104" i="11"/>
  <c r="T108" i="11"/>
  <c r="T112" i="11"/>
  <c r="T116" i="11"/>
  <c r="T120" i="11"/>
  <c r="T124" i="11"/>
  <c r="T128" i="11"/>
  <c r="T132" i="11"/>
  <c r="T136" i="11"/>
  <c r="T140" i="11"/>
  <c r="T144" i="11"/>
  <c r="T148" i="11"/>
  <c r="T152" i="11"/>
  <c r="T156" i="11"/>
  <c r="T160" i="11"/>
  <c r="T164" i="11"/>
  <c r="T168" i="11"/>
  <c r="T172" i="11"/>
  <c r="T176" i="11"/>
  <c r="T180" i="11"/>
  <c r="T184" i="11"/>
  <c r="T188" i="11"/>
  <c r="T192" i="11"/>
  <c r="T196" i="11"/>
  <c r="T200" i="11"/>
  <c r="T204" i="11"/>
  <c r="T208" i="11"/>
  <c r="T212" i="11"/>
  <c r="T216" i="11"/>
  <c r="T220" i="11"/>
  <c r="T224" i="11"/>
  <c r="T228" i="11"/>
  <c r="T232" i="11"/>
  <c r="T236" i="11"/>
  <c r="T240" i="11"/>
  <c r="T244" i="11"/>
  <c r="T248" i="11"/>
  <c r="T252" i="11"/>
  <c r="T256" i="11"/>
  <c r="T260" i="11"/>
  <c r="T264" i="11"/>
  <c r="T268" i="11"/>
  <c r="T272" i="11"/>
  <c r="T276" i="11"/>
  <c r="T280" i="11"/>
  <c r="T284" i="11"/>
  <c r="T201" i="11"/>
  <c r="T205" i="11"/>
  <c r="T209" i="11"/>
  <c r="T213" i="11"/>
  <c r="T217" i="11"/>
  <c r="T221" i="11"/>
  <c r="T225" i="11"/>
  <c r="T229" i="11"/>
  <c r="T233" i="11"/>
  <c r="T241" i="11"/>
  <c r="T245" i="11"/>
  <c r="T253" i="11"/>
  <c r="T261" i="11"/>
  <c r="T269" i="11"/>
  <c r="T285" i="11"/>
  <c r="T289" i="11"/>
  <c r="T293" i="11"/>
  <c r="T297" i="11"/>
  <c r="T301" i="11"/>
  <c r="T309" i="11"/>
  <c r="T317" i="11"/>
  <c r="T325" i="11"/>
  <c r="T333" i="11"/>
  <c r="T341" i="11"/>
  <c r="T349" i="11"/>
  <c r="T353" i="11"/>
  <c r="T357" i="11"/>
  <c r="T361" i="11"/>
  <c r="T509" i="11"/>
  <c r="T517" i="11"/>
  <c r="T525" i="11"/>
  <c r="T533" i="11"/>
  <c r="T541" i="11"/>
  <c r="T545" i="11"/>
  <c r="T549" i="11"/>
  <c r="T553" i="11"/>
  <c r="T557" i="11"/>
  <c r="T565" i="11"/>
  <c r="T573" i="11"/>
  <c r="T581" i="11"/>
  <c r="T589" i="11"/>
  <c r="T597" i="11"/>
  <c r="T605" i="11"/>
  <c r="T609" i="11"/>
  <c r="T613" i="11"/>
  <c r="T617" i="11"/>
  <c r="T621" i="11"/>
  <c r="T629" i="11"/>
  <c r="T637" i="11"/>
  <c r="T645" i="11"/>
  <c r="T653" i="11"/>
  <c r="T661" i="11"/>
  <c r="T669" i="11"/>
  <c r="T322" i="11"/>
  <c r="T326" i="11"/>
  <c r="T330" i="11"/>
  <c r="T334" i="11"/>
  <c r="T338" i="11"/>
  <c r="T342" i="11"/>
  <c r="T346" i="11"/>
  <c r="T350" i="11"/>
  <c r="T354" i="11"/>
  <c r="T358" i="11"/>
  <c r="T362" i="11"/>
  <c r="T366" i="11"/>
  <c r="T370" i="11"/>
  <c r="T374" i="11"/>
  <c r="T378" i="11"/>
  <c r="T382" i="11"/>
  <c r="T386" i="11"/>
  <c r="T390" i="11"/>
  <c r="T394" i="11"/>
  <c r="T398" i="11"/>
  <c r="T402" i="11"/>
  <c r="T406" i="11"/>
  <c r="T410" i="11"/>
  <c r="T414" i="11"/>
  <c r="T418" i="11"/>
  <c r="T422" i="11"/>
  <c r="T426" i="11"/>
  <c r="T430" i="11"/>
  <c r="T434" i="11"/>
  <c r="T438" i="11"/>
  <c r="T442" i="11"/>
  <c r="T446" i="11"/>
  <c r="T450" i="11"/>
  <c r="T454" i="11"/>
  <c r="T458" i="11"/>
  <c r="T462" i="11"/>
  <c r="T466" i="11"/>
  <c r="T470" i="11"/>
  <c r="T474" i="11"/>
  <c r="T478" i="11"/>
  <c r="T482" i="11"/>
  <c r="T486" i="11"/>
  <c r="T490" i="11"/>
  <c r="T494" i="11"/>
  <c r="T498" i="11"/>
  <c r="T502" i="11"/>
  <c r="T506" i="11"/>
  <c r="T510" i="11"/>
  <c r="T514" i="11"/>
  <c r="T518" i="11"/>
  <c r="T522" i="11"/>
  <c r="T526" i="11"/>
  <c r="T530" i="11"/>
  <c r="T534" i="11"/>
  <c r="T538" i="11"/>
  <c r="T542" i="11"/>
  <c r="T546" i="11"/>
  <c r="T550" i="11"/>
  <c r="T554" i="11"/>
  <c r="T558" i="11"/>
  <c r="T562" i="11"/>
  <c r="T566" i="11"/>
  <c r="T570" i="11"/>
  <c r="T574" i="11"/>
  <c r="T578" i="11"/>
  <c r="T582" i="11"/>
  <c r="T586" i="11"/>
  <c r="T590" i="11"/>
  <c r="T594" i="11"/>
  <c r="T598" i="11"/>
  <c r="T602" i="11"/>
  <c r="T606" i="11"/>
  <c r="T610" i="11"/>
  <c r="T614" i="11"/>
  <c r="T618" i="11"/>
  <c r="T622" i="11"/>
  <c r="T626" i="11"/>
  <c r="T630" i="11"/>
  <c r="T634" i="11"/>
  <c r="T638" i="11"/>
  <c r="T642" i="11"/>
  <c r="T646" i="11"/>
  <c r="T650" i="11"/>
  <c r="T654" i="11"/>
  <c r="T672" i="11"/>
  <c r="T288" i="11"/>
  <c r="T292" i="11"/>
  <c r="T296" i="11"/>
  <c r="T304" i="11"/>
  <c r="T308" i="11"/>
  <c r="T312" i="11"/>
  <c r="T316" i="11"/>
  <c r="T320" i="11"/>
  <c r="T324" i="11"/>
  <c r="T328" i="11"/>
  <c r="T332" i="11"/>
  <c r="T336" i="11"/>
  <c r="T277" i="11"/>
  <c r="T237" i="11"/>
  <c r="T249" i="11"/>
  <c r="T257" i="11"/>
  <c r="T265" i="11"/>
  <c r="T273" i="11"/>
  <c r="T281" i="11"/>
  <c r="T305" i="11"/>
  <c r="T313" i="11"/>
  <c r="T321" i="11"/>
  <c r="T329" i="11"/>
  <c r="T337" i="11"/>
  <c r="T345" i="11"/>
  <c r="T369" i="11"/>
  <c r="T377" i="11"/>
  <c r="T385" i="11"/>
  <c r="T393" i="11"/>
  <c r="T401" i="11"/>
  <c r="T409" i="11"/>
  <c r="T433" i="11"/>
  <c r="T441" i="11"/>
  <c r="T449" i="11"/>
  <c r="T457" i="11"/>
  <c r="T465" i="11"/>
  <c r="T473" i="11"/>
  <c r="T497" i="11"/>
  <c r="T505" i="11"/>
  <c r="T513" i="11"/>
  <c r="T521" i="11"/>
  <c r="T529" i="11"/>
  <c r="T537" i="11"/>
  <c r="T561" i="11"/>
  <c r="T569" i="11"/>
  <c r="T577" i="11"/>
  <c r="T585" i="11"/>
  <c r="T593" i="11"/>
  <c r="T601" i="11"/>
  <c r="T625" i="11"/>
  <c r="T633" i="11"/>
  <c r="T641" i="11"/>
  <c r="T649" i="11"/>
  <c r="T657" i="11"/>
  <c r="T665" i="11"/>
  <c r="T575" i="11"/>
  <c r="T579" i="11"/>
  <c r="T583" i="11"/>
  <c r="T587" i="11"/>
  <c r="T591" i="11"/>
  <c r="T595" i="11"/>
  <c r="T599" i="11"/>
  <c r="T603" i="11"/>
  <c r="T607" i="11"/>
  <c r="T611" i="11"/>
  <c r="T615" i="11"/>
  <c r="T619" i="11"/>
  <c r="T623" i="11"/>
  <c r="T627" i="11"/>
  <c r="T631" i="11"/>
  <c r="T635" i="11"/>
  <c r="T639" i="11"/>
  <c r="T643" i="11"/>
  <c r="T647" i="11"/>
  <c r="T651" i="11"/>
  <c r="T655" i="11"/>
  <c r="T659" i="11"/>
  <c r="T663" i="11"/>
  <c r="T667" i="11"/>
  <c r="T671" i="11"/>
  <c r="T340" i="11"/>
  <c r="T344" i="11"/>
  <c r="T348" i="11"/>
  <c r="T352" i="11"/>
  <c r="T356" i="11"/>
  <c r="T360" i="11"/>
  <c r="T364" i="11"/>
  <c r="T368" i="11"/>
  <c r="T372" i="11"/>
  <c r="T376" i="11"/>
  <c r="T380" i="11"/>
  <c r="T384" i="11"/>
  <c r="T388" i="11"/>
  <c r="T392" i="11"/>
  <c r="T396" i="11"/>
  <c r="T400" i="11"/>
  <c r="T404" i="11"/>
  <c r="T408" i="11"/>
  <c r="T412" i="11"/>
  <c r="T416" i="11"/>
  <c r="T420" i="11"/>
  <c r="T424" i="11"/>
  <c r="T428" i="11"/>
  <c r="T432" i="11"/>
  <c r="T436" i="11"/>
  <c r="T440" i="11"/>
  <c r="T444" i="11"/>
  <c r="T448" i="11"/>
  <c r="T452" i="11"/>
  <c r="T456" i="11"/>
  <c r="T460" i="11"/>
  <c r="T464" i="11"/>
  <c r="T468" i="11"/>
  <c r="T472" i="11"/>
  <c r="T476" i="11"/>
  <c r="T480" i="11"/>
  <c r="T484" i="11"/>
  <c r="T488" i="11"/>
  <c r="T492" i="11"/>
  <c r="T496" i="11"/>
  <c r="T500" i="11"/>
  <c r="T504" i="11"/>
  <c r="T508" i="11"/>
  <c r="T512" i="11"/>
  <c r="T516" i="11"/>
  <c r="T520" i="11"/>
  <c r="T524" i="11"/>
  <c r="T528" i="11"/>
  <c r="T532" i="11"/>
  <c r="T536" i="11"/>
  <c r="T540" i="11"/>
  <c r="T544" i="11"/>
  <c r="T548" i="11"/>
  <c r="T552" i="11"/>
  <c r="T556" i="11"/>
  <c r="T560" i="11"/>
  <c r="T564" i="11"/>
  <c r="T568" i="11"/>
  <c r="T572" i="11"/>
  <c r="T576" i="11"/>
  <c r="T580" i="11"/>
  <c r="T584" i="11"/>
  <c r="T588" i="11"/>
  <c r="T592" i="11"/>
  <c r="T596" i="11"/>
  <c r="T600" i="11"/>
  <c r="T604" i="11"/>
  <c r="T608" i="11"/>
  <c r="T612" i="11"/>
  <c r="T616" i="11"/>
  <c r="T620" i="11"/>
  <c r="T624" i="11"/>
  <c r="T628" i="11"/>
  <c r="T632" i="11"/>
  <c r="T636" i="11"/>
  <c r="T640" i="11"/>
  <c r="T644" i="11"/>
  <c r="T648" i="11"/>
  <c r="T652" i="11"/>
  <c r="T656" i="11"/>
  <c r="T660" i="11"/>
  <c r="T664" i="11"/>
  <c r="T668" i="11"/>
  <c r="T673" i="11"/>
  <c r="T298" i="11"/>
  <c r="T299" i="11"/>
  <c r="T290" i="11"/>
  <c r="T300" i="11"/>
  <c r="T2" i="11"/>
  <c r="T238" i="11"/>
  <c r="T242" i="11"/>
  <c r="P585" i="5"/>
  <c r="P534" i="5"/>
  <c r="P533" i="5"/>
  <c r="P532" i="5"/>
  <c r="P531" i="5"/>
  <c r="P530" i="5"/>
  <c r="P529" i="5"/>
  <c r="P528" i="5"/>
  <c r="P527" i="5"/>
  <c r="P526" i="5"/>
  <c r="P525" i="5"/>
  <c r="P524" i="5"/>
  <c r="P523" i="5"/>
  <c r="P522" i="5"/>
  <c r="P521" i="5"/>
  <c r="P520" i="5"/>
  <c r="P519" i="5"/>
  <c r="P518" i="5"/>
  <c r="P517" i="5"/>
  <c r="P516" i="5"/>
  <c r="P515" i="5"/>
  <c r="P514" i="5"/>
  <c r="P513" i="5"/>
  <c r="P512" i="5"/>
  <c r="P511" i="5"/>
  <c r="P510" i="5"/>
  <c r="P509" i="5"/>
  <c r="P508" i="5"/>
  <c r="P507" i="5"/>
  <c r="P506" i="5"/>
  <c r="P505" i="5"/>
  <c r="P504" i="5"/>
  <c r="P503" i="5"/>
  <c r="P502" i="5"/>
  <c r="P501" i="5"/>
  <c r="P500" i="5"/>
  <c r="P499" i="5"/>
  <c r="P498" i="5"/>
  <c r="P497" i="5"/>
  <c r="P496" i="5"/>
  <c r="P495" i="5"/>
  <c r="P494" i="5"/>
  <c r="P493" i="5"/>
  <c r="P492" i="5"/>
  <c r="P491" i="5"/>
  <c r="P490" i="5"/>
  <c r="P489" i="5"/>
  <c r="P488" i="5"/>
  <c r="P487" i="5"/>
  <c r="P486" i="5"/>
  <c r="P485" i="5"/>
  <c r="P484" i="5"/>
  <c r="P483" i="5"/>
  <c r="P482" i="5"/>
  <c r="P481" i="5"/>
  <c r="P480" i="5"/>
  <c r="P479" i="5"/>
  <c r="P478" i="5"/>
  <c r="P477" i="5"/>
  <c r="P476" i="5"/>
  <c r="P475" i="5"/>
  <c r="P474" i="5"/>
  <c r="P473" i="5"/>
  <c r="P472" i="5"/>
  <c r="P471" i="5"/>
  <c r="P470" i="5"/>
  <c r="P469" i="5"/>
  <c r="P468" i="5"/>
  <c r="P467" i="5"/>
  <c r="P466" i="5"/>
  <c r="P465" i="5"/>
  <c r="P464" i="5"/>
  <c r="P463" i="5"/>
  <c r="P462" i="5"/>
  <c r="P461" i="5"/>
  <c r="P460" i="5"/>
  <c r="P459" i="5"/>
  <c r="P458" i="5"/>
  <c r="P457" i="5"/>
  <c r="P456" i="5"/>
  <c r="P455" i="5"/>
  <c r="P454" i="5"/>
  <c r="P453" i="5"/>
  <c r="P452" i="5"/>
  <c r="P451" i="5"/>
  <c r="P450" i="5"/>
  <c r="P449" i="5"/>
  <c r="P448" i="5"/>
  <c r="P447" i="5"/>
  <c r="P446" i="5"/>
  <c r="P445" i="5"/>
  <c r="P444" i="5"/>
  <c r="P443" i="5"/>
  <c r="P442" i="5"/>
  <c r="P441" i="5"/>
  <c r="P440" i="5"/>
  <c r="P439" i="5"/>
  <c r="P438" i="5"/>
  <c r="P437" i="5"/>
  <c r="P436" i="5"/>
  <c r="P435" i="5"/>
  <c r="P434" i="5"/>
  <c r="P433" i="5"/>
  <c r="P432" i="5"/>
  <c r="P431" i="5"/>
  <c r="P430" i="5"/>
  <c r="P429" i="5"/>
  <c r="P428" i="5"/>
  <c r="P427" i="5"/>
  <c r="P426" i="5"/>
  <c r="P425" i="5"/>
  <c r="P424" i="5"/>
  <c r="P423" i="5"/>
  <c r="P422" i="5"/>
  <c r="P421" i="5"/>
  <c r="P420" i="5"/>
  <c r="P419" i="5"/>
  <c r="P418" i="5"/>
  <c r="P417" i="5"/>
  <c r="P416" i="5"/>
  <c r="P415" i="5"/>
  <c r="P414" i="5"/>
  <c r="P413" i="5"/>
  <c r="P412" i="5"/>
  <c r="P411" i="5"/>
  <c r="P410" i="5"/>
  <c r="P409" i="5"/>
  <c r="P408" i="5"/>
  <c r="P407" i="5"/>
  <c r="P406" i="5"/>
  <c r="P405" i="5"/>
  <c r="P404" i="5"/>
  <c r="P403" i="5"/>
  <c r="P402" i="5"/>
  <c r="P401" i="5"/>
  <c r="P400" i="5"/>
  <c r="P399" i="5"/>
  <c r="P398" i="5"/>
  <c r="P397" i="5"/>
  <c r="P396" i="5"/>
  <c r="P395" i="5"/>
  <c r="P394" i="5"/>
  <c r="P393" i="5"/>
  <c r="P392" i="5"/>
  <c r="P391" i="5"/>
  <c r="P390" i="5"/>
  <c r="P389" i="5"/>
  <c r="P388" i="5"/>
  <c r="P387" i="5"/>
  <c r="P386" i="5"/>
  <c r="P385" i="5"/>
  <c r="P384" i="5"/>
  <c r="P383" i="5"/>
  <c r="P382" i="5"/>
  <c r="P381" i="5"/>
  <c r="P380" i="5"/>
  <c r="P379" i="5"/>
  <c r="P378" i="5"/>
  <c r="P377" i="5"/>
  <c r="P376" i="5"/>
  <c r="P375" i="5"/>
  <c r="P374" i="5"/>
  <c r="P373" i="5"/>
  <c r="P372" i="5"/>
  <c r="P371" i="5"/>
  <c r="P370" i="5"/>
  <c r="P369" i="5"/>
  <c r="P368" i="5"/>
  <c r="P367" i="5"/>
  <c r="P366" i="5"/>
  <c r="P365" i="5"/>
  <c r="P364" i="5"/>
  <c r="P363" i="5"/>
  <c r="P362" i="5"/>
  <c r="P361" i="5"/>
  <c r="P360" i="5"/>
  <c r="P359" i="5"/>
  <c r="P358" i="5"/>
  <c r="P357" i="5"/>
  <c r="P356" i="5"/>
  <c r="P355" i="5"/>
  <c r="P354" i="5"/>
  <c r="P353" i="5"/>
  <c r="P352" i="5"/>
  <c r="P351" i="5"/>
  <c r="P350" i="5"/>
  <c r="P349" i="5"/>
  <c r="P348" i="5"/>
  <c r="P347" i="5"/>
  <c r="P346" i="5"/>
  <c r="P345" i="5"/>
  <c r="P344" i="5"/>
  <c r="P343" i="5"/>
  <c r="P342" i="5"/>
  <c r="P341" i="5"/>
  <c r="P340" i="5"/>
  <c r="P339" i="5"/>
  <c r="P338" i="5"/>
  <c r="P337" i="5"/>
  <c r="P336" i="5"/>
  <c r="P335" i="5"/>
  <c r="P334" i="5"/>
  <c r="P333" i="5"/>
  <c r="P332" i="5"/>
  <c r="P331" i="5"/>
  <c r="P330" i="5"/>
  <c r="P329" i="5"/>
  <c r="P328" i="5"/>
  <c r="P327" i="5"/>
  <c r="P326" i="5"/>
  <c r="P325" i="5"/>
  <c r="P324" i="5"/>
  <c r="P323" i="5"/>
  <c r="P322" i="5"/>
  <c r="P321" i="5"/>
  <c r="P320" i="5"/>
  <c r="P319" i="5"/>
  <c r="P318" i="5"/>
  <c r="P317" i="5"/>
  <c r="P316" i="5"/>
  <c r="P315" i="5"/>
  <c r="P314" i="5"/>
  <c r="P313" i="5"/>
  <c r="P312" i="5"/>
  <c r="P311" i="5"/>
  <c r="P310" i="5"/>
  <c r="P309" i="5"/>
  <c r="P308" i="5"/>
  <c r="P307" i="5"/>
  <c r="P306" i="5"/>
  <c r="P305" i="5"/>
  <c r="P304" i="5"/>
  <c r="P303" i="5"/>
  <c r="P302" i="5"/>
  <c r="P301" i="5"/>
  <c r="P300" i="5"/>
  <c r="P299" i="5"/>
  <c r="P298" i="5"/>
  <c r="P297" i="5"/>
  <c r="P296" i="5"/>
  <c r="P295" i="5"/>
  <c r="P294" i="5"/>
  <c r="P293" i="5"/>
  <c r="P292" i="5"/>
  <c r="P291" i="5"/>
  <c r="P290" i="5"/>
  <c r="P289" i="5"/>
  <c r="P288" i="5"/>
  <c r="P287" i="5"/>
  <c r="P286" i="5"/>
  <c r="P285" i="5"/>
  <c r="P284" i="5"/>
  <c r="P283" i="5"/>
  <c r="P282" i="5"/>
  <c r="P281" i="5"/>
  <c r="P280" i="5"/>
  <c r="P279" i="5"/>
  <c r="P278" i="5"/>
  <c r="P277" i="5"/>
  <c r="P276" i="5"/>
  <c r="P275" i="5"/>
  <c r="P274" i="5"/>
  <c r="P273" i="5"/>
  <c r="P272" i="5"/>
  <c r="P271" i="5"/>
  <c r="P270" i="5"/>
  <c r="P269" i="5"/>
  <c r="P268" i="5"/>
  <c r="P267" i="5"/>
  <c r="P266" i="5"/>
  <c r="P265" i="5"/>
  <c r="P264" i="5"/>
  <c r="P263" i="5"/>
  <c r="P262" i="5"/>
  <c r="P261" i="5"/>
  <c r="P260" i="5"/>
  <c r="P259" i="5"/>
  <c r="P258" i="5"/>
  <c r="P257" i="5"/>
  <c r="P256" i="5"/>
  <c r="P255" i="5"/>
  <c r="P254" i="5"/>
  <c r="P253" i="5"/>
  <c r="P252" i="5"/>
  <c r="P251" i="5"/>
  <c r="P250" i="5"/>
  <c r="P249" i="5"/>
  <c r="P248" i="5"/>
  <c r="P247" i="5"/>
  <c r="P238" i="5"/>
  <c r="P237" i="5"/>
  <c r="P236" i="5"/>
  <c r="P235" i="5"/>
  <c r="P234" i="5"/>
  <c r="P233" i="5"/>
  <c r="P232" i="5"/>
  <c r="P228" i="5"/>
  <c r="P227" i="5"/>
  <c r="P226" i="5"/>
  <c r="P225" i="5"/>
  <c r="P224" i="5"/>
  <c r="P223" i="5"/>
  <c r="P222" i="5"/>
  <c r="P221" i="5"/>
  <c r="P220" i="5"/>
  <c r="P219" i="5"/>
  <c r="P218" i="5"/>
  <c r="P217" i="5"/>
  <c r="P216" i="5"/>
  <c r="P215" i="5"/>
  <c r="P214" i="5"/>
  <c r="P213" i="5"/>
  <c r="P212" i="5"/>
  <c r="P211" i="5"/>
  <c r="P210" i="5"/>
  <c r="P209" i="5"/>
  <c r="P208" i="5"/>
  <c r="P207" i="5"/>
  <c r="P206" i="5"/>
  <c r="P205" i="5"/>
  <c r="P204" i="5"/>
  <c r="P203" i="5"/>
  <c r="P202" i="5"/>
  <c r="P201" i="5"/>
  <c r="P200" i="5"/>
  <c r="P199" i="5"/>
  <c r="P198" i="5"/>
  <c r="P197" i="5"/>
  <c r="P196" i="5"/>
  <c r="P195" i="5"/>
  <c r="P194" i="5"/>
  <c r="P193" i="5"/>
  <c r="P192" i="5"/>
  <c r="P191" i="5"/>
  <c r="P190" i="5"/>
  <c r="P189" i="5"/>
  <c r="P188" i="5"/>
  <c r="P187" i="5"/>
  <c r="P186" i="5"/>
  <c r="P185" i="5"/>
  <c r="P184" i="5"/>
  <c r="P183" i="5"/>
  <c r="P182" i="5"/>
  <c r="P181" i="5"/>
  <c r="P180" i="5"/>
  <c r="P179" i="5"/>
  <c r="P178" i="5"/>
  <c r="P177" i="5"/>
  <c r="P176" i="5"/>
  <c r="P175" i="5"/>
  <c r="P174" i="5"/>
  <c r="P173" i="5"/>
  <c r="P172" i="5"/>
  <c r="P171" i="5"/>
  <c r="P170" i="5"/>
  <c r="P169" i="5"/>
  <c r="P168" i="5"/>
  <c r="P167" i="5"/>
  <c r="P166" i="5"/>
  <c r="P165" i="5"/>
  <c r="P164" i="5"/>
  <c r="P163" i="5"/>
  <c r="P162" i="5"/>
  <c r="P161" i="5"/>
  <c r="P160" i="5"/>
  <c r="P159" i="5"/>
  <c r="P158" i="5"/>
  <c r="P157" i="5"/>
  <c r="P156" i="5"/>
  <c r="P155" i="5"/>
  <c r="P154" i="5"/>
  <c r="P153" i="5"/>
  <c r="P152" i="5"/>
  <c r="P151" i="5"/>
  <c r="P150" i="5"/>
  <c r="P149" i="5"/>
  <c r="P148" i="5"/>
  <c r="P147" i="5"/>
  <c r="P146" i="5"/>
  <c r="P145" i="5"/>
  <c r="P144" i="5"/>
  <c r="P143" i="5"/>
  <c r="P142" i="5"/>
  <c r="P141" i="5"/>
  <c r="P140" i="5"/>
  <c r="P139" i="5"/>
  <c r="P138" i="5"/>
  <c r="P137" i="5"/>
  <c r="P136" i="5"/>
  <c r="P135" i="5"/>
  <c r="P134" i="5"/>
  <c r="P133" i="5"/>
  <c r="P132" i="5"/>
  <c r="P131" i="5"/>
  <c r="P130" i="5"/>
  <c r="P129" i="5"/>
  <c r="P128" i="5"/>
  <c r="P127" i="5"/>
  <c r="P126" i="5"/>
  <c r="P125" i="5"/>
  <c r="P124" i="5"/>
  <c r="P123" i="5"/>
  <c r="P122" i="5"/>
  <c r="P121" i="5"/>
  <c r="P120" i="5"/>
  <c r="P119" i="5"/>
  <c r="P118" i="5"/>
  <c r="P117" i="5"/>
  <c r="P116" i="5"/>
  <c r="P115" i="5"/>
  <c r="P114" i="5"/>
  <c r="P113" i="5"/>
  <c r="P112" i="5"/>
  <c r="P111" i="5"/>
  <c r="P110" i="5"/>
  <c r="P109" i="5"/>
  <c r="P108" i="5"/>
  <c r="P107" i="5"/>
  <c r="P106" i="5"/>
  <c r="P105" i="5"/>
  <c r="P104" i="5"/>
  <c r="P103" i="5"/>
  <c r="P102" i="5"/>
  <c r="P101" i="5"/>
  <c r="P100" i="5"/>
  <c r="P99" i="5"/>
  <c r="P98" i="5"/>
  <c r="P97" i="5"/>
  <c r="P96" i="5"/>
  <c r="P95" i="5"/>
  <c r="P94" i="5"/>
  <c r="P93" i="5"/>
  <c r="P92" i="5"/>
  <c r="P91" i="5"/>
  <c r="P90" i="5"/>
  <c r="P89" i="5"/>
  <c r="P88" i="5"/>
  <c r="P87" i="5"/>
  <c r="P86" i="5"/>
  <c r="P85" i="5"/>
  <c r="P84" i="5"/>
  <c r="P83" i="5"/>
  <c r="P82" i="5"/>
  <c r="P81" i="5"/>
  <c r="P80" i="5"/>
  <c r="P79" i="5"/>
  <c r="P78" i="5"/>
  <c r="P77" i="5"/>
  <c r="P76" i="5"/>
  <c r="P75" i="5"/>
  <c r="P74" i="5"/>
  <c r="P73" i="5"/>
  <c r="P72" i="5"/>
  <c r="P71" i="5"/>
  <c r="P70" i="5"/>
  <c r="P69" i="5"/>
  <c r="P68" i="5"/>
  <c r="P67" i="5"/>
  <c r="P66" i="5"/>
  <c r="P65" i="5"/>
  <c r="P64" i="5"/>
  <c r="P63" i="5"/>
  <c r="P62" i="5"/>
  <c r="P61" i="5"/>
  <c r="P60" i="5"/>
  <c r="P59" i="5"/>
  <c r="P58" i="5"/>
  <c r="P57" i="5"/>
  <c r="P56" i="5"/>
  <c r="P55" i="5"/>
  <c r="P54" i="5"/>
  <c r="P53" i="5"/>
  <c r="P52" i="5"/>
  <c r="P51" i="5"/>
  <c r="P50" i="5"/>
  <c r="P49" i="5"/>
  <c r="P48" i="5"/>
  <c r="P47" i="5"/>
  <c r="P46" i="5"/>
  <c r="P45" i="5"/>
  <c r="P44" i="5"/>
  <c r="P43" i="5"/>
  <c r="P42" i="5"/>
  <c r="P41" i="5"/>
  <c r="P40" i="5"/>
  <c r="P39" i="5"/>
  <c r="P38" i="5"/>
  <c r="P37"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P8" i="5"/>
  <c r="P7" i="5"/>
  <c r="P6" i="5"/>
  <c r="P5" i="5"/>
  <c r="P4" i="5"/>
  <c r="P3" i="5"/>
  <c r="P2" i="5"/>
  <c r="O585" i="5" l="1"/>
  <c r="N585" i="5" a="1"/>
  <c r="N585" i="5" s="1"/>
  <c r="M585" i="5" a="1"/>
  <c r="M585" i="5" s="1"/>
  <c r="M583" i="5" a="1"/>
  <c r="M583" i="5" s="1"/>
  <c r="N583" i="5" a="1"/>
  <c r="N583" i="5" s="1"/>
  <c r="M584" i="5" a="1"/>
  <c r="M584" i="5" s="1"/>
  <c r="N584" i="5" a="1"/>
  <c r="N584" i="5" s="1"/>
  <c r="M533" i="5" a="1"/>
  <c r="M533" i="5" s="1"/>
  <c r="N533" i="5" a="1"/>
  <c r="N533" i="5" s="1"/>
  <c r="M534" i="5" a="1"/>
  <c r="M534" i="5" s="1"/>
  <c r="N534" i="5" a="1"/>
  <c r="N534" i="5" s="1"/>
  <c r="M535" i="5" a="1"/>
  <c r="M535" i="5" s="1"/>
  <c r="N535" i="5" a="1"/>
  <c r="N535" i="5" s="1"/>
  <c r="M536" i="5" a="1"/>
  <c r="M536" i="5" s="1"/>
  <c r="N536" i="5" a="1"/>
  <c r="N536" i="5" s="1"/>
  <c r="M537" i="5" a="1"/>
  <c r="M537" i="5" s="1"/>
  <c r="N537" i="5" a="1"/>
  <c r="N537" i="5" s="1"/>
  <c r="M538" i="5" a="1"/>
  <c r="M538" i="5" s="1"/>
  <c r="N538" i="5" a="1"/>
  <c r="N538" i="5" s="1"/>
  <c r="M539" i="5" a="1"/>
  <c r="M539" i="5" s="1"/>
  <c r="N539" i="5" a="1"/>
  <c r="N539" i="5" s="1"/>
  <c r="M540" i="5" a="1"/>
  <c r="M540" i="5" s="1"/>
  <c r="N540" i="5" a="1"/>
  <c r="N540" i="5" s="1"/>
  <c r="M541" i="5" a="1"/>
  <c r="M541" i="5" s="1"/>
  <c r="N541" i="5" a="1"/>
  <c r="N541" i="5" s="1"/>
  <c r="M542" i="5" a="1"/>
  <c r="M542" i="5" s="1"/>
  <c r="N542" i="5" a="1"/>
  <c r="N542" i="5" s="1"/>
  <c r="M543" i="5" a="1"/>
  <c r="M543" i="5" s="1"/>
  <c r="N543" i="5" a="1"/>
  <c r="N543" i="5" s="1"/>
  <c r="M544" i="5" a="1"/>
  <c r="M544" i="5" s="1"/>
  <c r="N544" i="5" a="1"/>
  <c r="N544" i="5" s="1"/>
  <c r="M545" i="5" a="1"/>
  <c r="M545" i="5" s="1"/>
  <c r="N545" i="5" a="1"/>
  <c r="N545" i="5" s="1"/>
  <c r="M546" i="5" a="1"/>
  <c r="M546" i="5" s="1"/>
  <c r="N546" i="5" a="1"/>
  <c r="N546" i="5" s="1"/>
  <c r="M547" i="5" a="1"/>
  <c r="M547" i="5" s="1"/>
  <c r="N547" i="5" a="1"/>
  <c r="N547" i="5" s="1"/>
  <c r="M548" i="5" a="1"/>
  <c r="M548" i="5" s="1"/>
  <c r="N548" i="5" a="1"/>
  <c r="N548" i="5" s="1"/>
  <c r="M549" i="5" a="1"/>
  <c r="M549" i="5" s="1"/>
  <c r="N549" i="5" a="1"/>
  <c r="N549" i="5" s="1"/>
  <c r="M550" i="5" a="1"/>
  <c r="M550" i="5" s="1"/>
  <c r="N550" i="5" a="1"/>
  <c r="N550" i="5" s="1"/>
  <c r="M551" i="5" a="1"/>
  <c r="M551" i="5" s="1"/>
  <c r="N551" i="5" a="1"/>
  <c r="N551" i="5" s="1"/>
  <c r="M552" i="5" a="1"/>
  <c r="M552" i="5" s="1"/>
  <c r="N552" i="5" a="1"/>
  <c r="N552" i="5" s="1"/>
  <c r="M553" i="5" a="1"/>
  <c r="M553" i="5" s="1"/>
  <c r="N553" i="5" a="1"/>
  <c r="N553" i="5" s="1"/>
  <c r="M554" i="5" a="1"/>
  <c r="M554" i="5" s="1"/>
  <c r="N554" i="5" a="1"/>
  <c r="N554" i="5" s="1"/>
  <c r="M555" i="5" a="1"/>
  <c r="M555" i="5" s="1"/>
  <c r="N555" i="5" a="1"/>
  <c r="N555" i="5" s="1"/>
  <c r="M556" i="5" a="1"/>
  <c r="M556" i="5" s="1"/>
  <c r="N556" i="5" a="1"/>
  <c r="N556" i="5" s="1"/>
  <c r="M557" i="5" a="1"/>
  <c r="M557" i="5" s="1"/>
  <c r="N557" i="5" a="1"/>
  <c r="N557" i="5" s="1"/>
  <c r="M558" i="5" a="1"/>
  <c r="M558" i="5" s="1"/>
  <c r="N558" i="5" a="1"/>
  <c r="N558" i="5" s="1"/>
  <c r="M559" i="5" a="1"/>
  <c r="M559" i="5" s="1"/>
  <c r="N559" i="5" a="1"/>
  <c r="N559" i="5" s="1"/>
  <c r="M560" i="5" a="1"/>
  <c r="M560" i="5" s="1"/>
  <c r="N560" i="5" a="1"/>
  <c r="N560" i="5" s="1"/>
  <c r="M561" i="5" a="1"/>
  <c r="M561" i="5" s="1"/>
  <c r="N561" i="5" a="1"/>
  <c r="N561" i="5" s="1"/>
  <c r="M562" i="5" a="1"/>
  <c r="M562" i="5" s="1"/>
  <c r="N562" i="5" a="1"/>
  <c r="N562" i="5" s="1"/>
  <c r="M563" i="5" a="1"/>
  <c r="M563" i="5" s="1"/>
  <c r="N563" i="5" a="1"/>
  <c r="N563" i="5" s="1"/>
  <c r="M564" i="5" a="1"/>
  <c r="M564" i="5" s="1"/>
  <c r="N564" i="5" a="1"/>
  <c r="N564" i="5" s="1"/>
  <c r="M565" i="5" a="1"/>
  <c r="M565" i="5" s="1"/>
  <c r="N565" i="5" a="1"/>
  <c r="N565" i="5" s="1"/>
  <c r="M566" i="5" a="1"/>
  <c r="M566" i="5" s="1"/>
  <c r="N566" i="5" a="1"/>
  <c r="N566" i="5" s="1"/>
  <c r="M567" i="5" a="1"/>
  <c r="M567" i="5" s="1"/>
  <c r="N567" i="5" a="1"/>
  <c r="N567" i="5" s="1"/>
  <c r="M568" i="5" a="1"/>
  <c r="M568" i="5" s="1"/>
  <c r="N568" i="5" a="1"/>
  <c r="N568" i="5" s="1"/>
  <c r="M569" i="5" a="1"/>
  <c r="M569" i="5" s="1"/>
  <c r="N569" i="5" a="1"/>
  <c r="N569" i="5" s="1"/>
  <c r="M570" i="5" a="1"/>
  <c r="M570" i="5" s="1"/>
  <c r="N570" i="5" a="1"/>
  <c r="N570" i="5" s="1"/>
  <c r="M571" i="5" a="1"/>
  <c r="M571" i="5" s="1"/>
  <c r="N571" i="5" a="1"/>
  <c r="N571" i="5" s="1"/>
  <c r="M572" i="5" a="1"/>
  <c r="M572" i="5" s="1"/>
  <c r="N572" i="5" a="1"/>
  <c r="N572" i="5" s="1"/>
  <c r="M573" i="5" a="1"/>
  <c r="M573" i="5" s="1"/>
  <c r="N573" i="5" a="1"/>
  <c r="N573" i="5" s="1"/>
  <c r="M574" i="5" a="1"/>
  <c r="M574" i="5" s="1"/>
  <c r="N574" i="5" a="1"/>
  <c r="N574" i="5" s="1"/>
  <c r="M575" i="5" a="1"/>
  <c r="M575" i="5" s="1"/>
  <c r="N575" i="5" a="1"/>
  <c r="N575" i="5" s="1"/>
  <c r="M576" i="5" a="1"/>
  <c r="M576" i="5" s="1"/>
  <c r="N576" i="5" a="1"/>
  <c r="N576" i="5" s="1"/>
  <c r="M577" i="5" a="1"/>
  <c r="M577" i="5" s="1"/>
  <c r="N577" i="5" a="1"/>
  <c r="N577" i="5" s="1"/>
  <c r="M578" i="5" a="1"/>
  <c r="M578" i="5" s="1"/>
  <c r="N578" i="5" a="1"/>
  <c r="N578" i="5" s="1"/>
  <c r="M579" i="5" a="1"/>
  <c r="M579" i="5" s="1"/>
  <c r="N579" i="5" a="1"/>
  <c r="N579" i="5" s="1"/>
  <c r="M580" i="5" a="1"/>
  <c r="M580" i="5" s="1"/>
  <c r="N580" i="5" a="1"/>
  <c r="N580" i="5" s="1"/>
  <c r="M581" i="5" a="1"/>
  <c r="M581" i="5" s="1"/>
  <c r="N581" i="5" a="1"/>
  <c r="N581" i="5" s="1"/>
  <c r="M582" i="5" a="1"/>
  <c r="M582" i="5" s="1"/>
  <c r="N582" i="5" a="1"/>
  <c r="N582" i="5" s="1"/>
  <c r="N324" i="5" a="1"/>
  <c r="N324" i="5" s="1"/>
  <c r="M324" i="5" a="1"/>
  <c r="M324" i="5" s="1"/>
  <c r="N323" i="5" a="1"/>
  <c r="N323" i="5" s="1"/>
  <c r="M323" i="5" a="1"/>
  <c r="M323" i="5" s="1"/>
  <c r="N322" i="5" a="1"/>
  <c r="N322" i="5" s="1"/>
  <c r="M322" i="5" a="1"/>
  <c r="M322" i="5" s="1"/>
  <c r="N321" i="5" a="1"/>
  <c r="N321" i="5" s="1"/>
  <c r="M321" i="5" a="1"/>
  <c r="M321" i="5" s="1"/>
  <c r="N320" i="5" a="1"/>
  <c r="N320" i="5" s="1"/>
  <c r="M320" i="5" a="1"/>
  <c r="M320" i="5" s="1"/>
  <c r="N319" i="5" a="1"/>
  <c r="N319" i="5" s="1"/>
  <c r="M319" i="5" a="1"/>
  <c r="M319" i="5" s="1"/>
  <c r="N318" i="5" a="1"/>
  <c r="N318" i="5" s="1"/>
  <c r="M318" i="5" a="1"/>
  <c r="M318" i="5" s="1"/>
  <c r="N317" i="5" a="1"/>
  <c r="N317" i="5" s="1"/>
  <c r="M317" i="5" a="1"/>
  <c r="M317" i="5" s="1"/>
  <c r="N316" i="5" a="1"/>
  <c r="N316" i="5" s="1"/>
  <c r="M316" i="5" a="1"/>
  <c r="M316" i="5" s="1"/>
  <c r="N315" i="5" a="1"/>
  <c r="N315" i="5" s="1"/>
  <c r="M315" i="5" a="1"/>
  <c r="M315" i="5" s="1"/>
  <c r="N314" i="5" a="1"/>
  <c r="N314" i="5" s="1"/>
  <c r="M314" i="5" a="1"/>
  <c r="M314" i="5" s="1"/>
  <c r="N313" i="5" a="1"/>
  <c r="N313" i="5" s="1"/>
  <c r="M313" i="5" a="1"/>
  <c r="M313" i="5" s="1"/>
  <c r="N312" i="5" a="1"/>
  <c r="N312" i="5" s="1"/>
  <c r="M312" i="5" a="1"/>
  <c r="M312" i="5" s="1"/>
  <c r="N311" i="5" a="1"/>
  <c r="N311" i="5" s="1"/>
  <c r="M311" i="5" a="1"/>
  <c r="M311" i="5" s="1"/>
  <c r="N310" i="5" a="1"/>
  <c r="N310" i="5" s="1"/>
  <c r="M310" i="5" a="1"/>
  <c r="M310" i="5" s="1"/>
  <c r="N309" i="5" a="1"/>
  <c r="N309" i="5" s="1"/>
  <c r="M309" i="5" a="1"/>
  <c r="M309" i="5" s="1"/>
  <c r="N308" i="5" a="1"/>
  <c r="N308" i="5" s="1"/>
  <c r="M308" i="5" a="1"/>
  <c r="M308" i="5" s="1"/>
  <c r="N307" i="5" a="1"/>
  <c r="N307" i="5" s="1"/>
  <c r="M307" i="5" a="1"/>
  <c r="M307" i="5" s="1"/>
  <c r="N306" i="5" a="1"/>
  <c r="N306" i="5" s="1"/>
  <c r="M306" i="5" a="1"/>
  <c r="M306" i="5" s="1"/>
  <c r="N305" i="5" a="1"/>
  <c r="N305" i="5" s="1"/>
  <c r="M305" i="5" a="1"/>
  <c r="M305" i="5" s="1"/>
  <c r="N304" i="5" a="1"/>
  <c r="N304" i="5" s="1"/>
  <c r="M304" i="5" a="1"/>
  <c r="M304" i="5" s="1"/>
  <c r="N303" i="5" a="1"/>
  <c r="N303" i="5" s="1"/>
  <c r="M303" i="5" a="1"/>
  <c r="M303" i="5" s="1"/>
  <c r="N302" i="5" a="1"/>
  <c r="N302" i="5" s="1"/>
  <c r="M302" i="5" a="1"/>
  <c r="M302" i="5" s="1"/>
  <c r="N301" i="5" a="1"/>
  <c r="N301" i="5" s="1"/>
  <c r="M301" i="5" a="1"/>
  <c r="M301" i="5" s="1"/>
  <c r="N300" i="5" a="1"/>
  <c r="N300" i="5" s="1"/>
  <c r="M300" i="5" a="1"/>
  <c r="M300" i="5" s="1"/>
  <c r="N299" i="5" a="1"/>
  <c r="N299" i="5" s="1"/>
  <c r="M299" i="5" a="1"/>
  <c r="M299" i="5" s="1"/>
  <c r="N298" i="5" a="1"/>
  <c r="N298" i="5" s="1"/>
  <c r="M298" i="5" a="1"/>
  <c r="M298" i="5" s="1"/>
  <c r="N297" i="5" a="1"/>
  <c r="N297" i="5" s="1"/>
  <c r="M297" i="5" a="1"/>
  <c r="M297" i="5" s="1"/>
  <c r="N296" i="5" a="1"/>
  <c r="N296" i="5" s="1"/>
  <c r="M296" i="5" a="1"/>
  <c r="M296" i="5" s="1"/>
  <c r="N295" i="5" a="1"/>
  <c r="N295" i="5" s="1"/>
  <c r="M295" i="5" a="1"/>
  <c r="M295" i="5" s="1"/>
  <c r="N294" i="5" a="1"/>
  <c r="N294" i="5" s="1"/>
  <c r="M294" i="5" a="1"/>
  <c r="M294" i="5" s="1"/>
  <c r="N293" i="5" a="1"/>
  <c r="N293" i="5" s="1"/>
  <c r="M293" i="5" a="1"/>
  <c r="M293" i="5" s="1"/>
  <c r="N292" i="5" a="1"/>
  <c r="N292" i="5" s="1"/>
  <c r="M292" i="5" a="1"/>
  <c r="M292" i="5" s="1"/>
  <c r="N291" i="5" a="1"/>
  <c r="N291" i="5" s="1"/>
  <c r="M291" i="5" a="1"/>
  <c r="M291" i="5" s="1"/>
  <c r="N290" i="5" a="1"/>
  <c r="N290" i="5" s="1"/>
  <c r="M290" i="5" a="1"/>
  <c r="M290" i="5" s="1"/>
  <c r="N289" i="5" a="1"/>
  <c r="N289" i="5" s="1"/>
  <c r="M289" i="5" a="1"/>
  <c r="M289" i="5" s="1"/>
  <c r="N288" i="5" a="1"/>
  <c r="N288" i="5" s="1"/>
  <c r="M288" i="5" a="1"/>
  <c r="M288" i="5" s="1"/>
  <c r="N287" i="5" a="1"/>
  <c r="N287" i="5" s="1"/>
  <c r="M287" i="5" a="1"/>
  <c r="M287" i="5" s="1"/>
  <c r="N286" i="5" a="1"/>
  <c r="N286" i="5" s="1"/>
  <c r="M286" i="5" a="1"/>
  <c r="M286" i="5" s="1"/>
  <c r="N285" i="5" a="1"/>
  <c r="N285" i="5" s="1"/>
  <c r="M285" i="5" a="1"/>
  <c r="M285" i="5" s="1"/>
  <c r="N284" i="5" a="1"/>
  <c r="N284" i="5" s="1"/>
  <c r="M284" i="5" a="1"/>
  <c r="M284" i="5" s="1"/>
  <c r="N283" i="5" a="1"/>
  <c r="N283" i="5" s="1"/>
  <c r="M283" i="5" a="1"/>
  <c r="M283" i="5" s="1"/>
  <c r="N282" i="5" a="1"/>
  <c r="N282" i="5" s="1"/>
  <c r="M282" i="5" a="1"/>
  <c r="M282" i="5" s="1"/>
  <c r="N281" i="5" a="1"/>
  <c r="N281" i="5" s="1"/>
  <c r="M281" i="5" a="1"/>
  <c r="M281" i="5" s="1"/>
  <c r="N280" i="5" a="1"/>
  <c r="N280" i="5" s="1"/>
  <c r="M280" i="5" a="1"/>
  <c r="M280" i="5" s="1"/>
  <c r="N279" i="5" a="1"/>
  <c r="N279" i="5" s="1"/>
  <c r="M279" i="5" a="1"/>
  <c r="M279" i="5" s="1"/>
  <c r="N278" i="5" a="1"/>
  <c r="N278" i="5" s="1"/>
  <c r="M278" i="5" a="1"/>
  <c r="M278" i="5" s="1"/>
  <c r="N277" i="5" a="1"/>
  <c r="N277" i="5" s="1"/>
  <c r="M277" i="5" a="1"/>
  <c r="M277" i="5" s="1"/>
  <c r="N276" i="5" a="1"/>
  <c r="N276" i="5" s="1"/>
  <c r="M276" i="5" a="1"/>
  <c r="M276" i="5" s="1"/>
  <c r="N275" i="5" a="1"/>
  <c r="N275" i="5" s="1"/>
  <c r="M275" i="5" a="1"/>
  <c r="M275" i="5" s="1"/>
  <c r="N274" i="5" a="1"/>
  <c r="N274" i="5" s="1"/>
  <c r="M274" i="5" a="1"/>
  <c r="M274" i="5" s="1"/>
  <c r="N273" i="5" a="1"/>
  <c r="N273" i="5" s="1"/>
  <c r="M273" i="5" a="1"/>
  <c r="M273" i="5" s="1"/>
  <c r="N272" i="5" a="1"/>
  <c r="N272" i="5" s="1"/>
  <c r="M272" i="5" a="1"/>
  <c r="M272" i="5" s="1"/>
  <c r="N271" i="5" a="1"/>
  <c r="N271" i="5" s="1"/>
  <c r="M271" i="5" a="1"/>
  <c r="M271" i="5" s="1"/>
  <c r="N270" i="5" a="1"/>
  <c r="N270" i="5" s="1"/>
  <c r="M270" i="5" a="1"/>
  <c r="M270" i="5" s="1"/>
  <c r="N269" i="5" a="1"/>
  <c r="N269" i="5" s="1"/>
  <c r="M269" i="5" a="1"/>
  <c r="M269" i="5" s="1"/>
  <c r="N268" i="5" a="1"/>
  <c r="N268" i="5" s="1"/>
  <c r="M268" i="5" a="1"/>
  <c r="M268" i="5" s="1"/>
  <c r="N267" i="5" a="1"/>
  <c r="N267" i="5" s="1"/>
  <c r="M267" i="5" a="1"/>
  <c r="M267" i="5" s="1"/>
  <c r="N266" i="5" a="1"/>
  <c r="N266" i="5" s="1"/>
  <c r="M266" i="5" a="1"/>
  <c r="M266" i="5" s="1"/>
  <c r="N265" i="5" a="1"/>
  <c r="N265" i="5" s="1"/>
  <c r="M265" i="5" a="1"/>
  <c r="M265" i="5" s="1"/>
  <c r="N264" i="5" a="1"/>
  <c r="N264" i="5" s="1"/>
  <c r="M264" i="5" a="1"/>
  <c r="M264" i="5" s="1"/>
  <c r="N263" i="5" a="1"/>
  <c r="N263" i="5" s="1"/>
  <c r="M263" i="5" a="1"/>
  <c r="M263" i="5" s="1"/>
  <c r="N262" i="5" a="1"/>
  <c r="N262" i="5" s="1"/>
  <c r="M262" i="5" a="1"/>
  <c r="M262" i="5" s="1"/>
  <c r="N261" i="5" a="1"/>
  <c r="N261" i="5" s="1"/>
  <c r="M261" i="5" a="1"/>
  <c r="M261" i="5" s="1"/>
  <c r="N260" i="5" a="1"/>
  <c r="N260" i="5" s="1"/>
  <c r="M260" i="5" a="1"/>
  <c r="M260" i="5" s="1"/>
  <c r="N259" i="5" a="1"/>
  <c r="N259" i="5" s="1"/>
  <c r="M259" i="5" a="1"/>
  <c r="M259" i="5" s="1"/>
  <c r="N258" i="5" a="1"/>
  <c r="N258" i="5" s="1"/>
  <c r="M258" i="5" a="1"/>
  <c r="M258" i="5" s="1"/>
  <c r="N257" i="5" a="1"/>
  <c r="N257" i="5" s="1"/>
  <c r="M257" i="5" a="1"/>
  <c r="M257" i="5" s="1"/>
  <c r="N256" i="5" a="1"/>
  <c r="N256" i="5" s="1"/>
  <c r="M256" i="5" a="1"/>
  <c r="M256" i="5" s="1"/>
  <c r="N255" i="5" a="1"/>
  <c r="N255" i="5" s="1"/>
  <c r="M255" i="5" a="1"/>
  <c r="M255" i="5" s="1"/>
  <c r="N254" i="5" a="1"/>
  <c r="N254" i="5" s="1"/>
  <c r="M254" i="5" a="1"/>
  <c r="M254" i="5" s="1"/>
  <c r="N253" i="5" a="1"/>
  <c r="N253" i="5" s="1"/>
  <c r="M253" i="5" a="1"/>
  <c r="M253" i="5" s="1"/>
  <c r="N252" i="5" a="1"/>
  <c r="N252" i="5" s="1"/>
  <c r="M252" i="5" a="1"/>
  <c r="M252" i="5" s="1"/>
  <c r="N251" i="5" a="1"/>
  <c r="N251" i="5" s="1"/>
  <c r="M251" i="5" a="1"/>
  <c r="M251" i="5" s="1"/>
  <c r="N250" i="5" a="1"/>
  <c r="N250" i="5" s="1"/>
  <c r="M250" i="5" a="1"/>
  <c r="M250" i="5" s="1"/>
  <c r="N249" i="5" a="1"/>
  <c r="N249" i="5" s="1"/>
  <c r="M249" i="5" a="1"/>
  <c r="M249" i="5" s="1"/>
  <c r="N248" i="5" a="1"/>
  <c r="N248" i="5" s="1"/>
  <c r="M248" i="5" a="1"/>
  <c r="M248" i="5" s="1"/>
  <c r="N247" i="5" a="1"/>
  <c r="N247" i="5" s="1"/>
  <c r="M247" i="5" a="1"/>
  <c r="M247" i="5" s="1"/>
  <c r="N246" i="5" a="1"/>
  <c r="N246" i="5" s="1"/>
  <c r="M246" i="5" a="1"/>
  <c r="M246" i="5" s="1"/>
  <c r="N245" i="5" a="1"/>
  <c r="N245" i="5" s="1"/>
  <c r="M245" i="5" a="1"/>
  <c r="M245" i="5" s="1"/>
  <c r="N244" i="5" a="1"/>
  <c r="N244" i="5" s="1"/>
  <c r="M244" i="5" a="1"/>
  <c r="M244" i="5" s="1"/>
  <c r="N243" i="5" a="1"/>
  <c r="N243" i="5" s="1"/>
  <c r="M243" i="5" a="1"/>
  <c r="M243" i="5" s="1"/>
  <c r="N242" i="5" a="1"/>
  <c r="N242" i="5" s="1"/>
  <c r="M242" i="5" a="1"/>
  <c r="M242" i="5" s="1"/>
  <c r="N241" i="5" a="1"/>
  <c r="N241" i="5" s="1"/>
  <c r="M241" i="5" a="1"/>
  <c r="M241" i="5" s="1"/>
  <c r="N240" i="5" a="1"/>
  <c r="N240" i="5" s="1"/>
  <c r="M240" i="5" a="1"/>
  <c r="M240" i="5" s="1"/>
  <c r="N239" i="5" a="1"/>
  <c r="N239" i="5" s="1"/>
  <c r="M239" i="5" a="1"/>
  <c r="M239" i="5" s="1"/>
  <c r="N238" i="5" a="1"/>
  <c r="N238" i="5" s="1"/>
  <c r="M238" i="5" a="1"/>
  <c r="M238" i="5" s="1"/>
  <c r="N237" i="5" a="1"/>
  <c r="N237" i="5" s="1"/>
  <c r="M237" i="5" a="1"/>
  <c r="M237" i="5" s="1"/>
  <c r="N236" i="5" a="1"/>
  <c r="N236" i="5" s="1"/>
  <c r="M236" i="5" a="1"/>
  <c r="M236" i="5" s="1"/>
  <c r="N235" i="5" a="1"/>
  <c r="N235" i="5" s="1"/>
  <c r="M235" i="5" a="1"/>
  <c r="M235" i="5" s="1"/>
  <c r="N234" i="5" a="1"/>
  <c r="N234" i="5" s="1"/>
  <c r="M234" i="5" a="1"/>
  <c r="M234" i="5" s="1"/>
  <c r="N233" i="5" a="1"/>
  <c r="N233" i="5" s="1"/>
  <c r="M233" i="5" a="1"/>
  <c r="M233" i="5" s="1"/>
  <c r="N232" i="5" a="1"/>
  <c r="N232" i="5" s="1"/>
  <c r="M232" i="5" a="1"/>
  <c r="M232" i="5" s="1"/>
  <c r="N231" i="5" a="1"/>
  <c r="N231" i="5" s="1"/>
  <c r="M231" i="5" a="1"/>
  <c r="M231" i="5" s="1"/>
  <c r="N230" i="5" a="1"/>
  <c r="N230" i="5" s="1"/>
  <c r="M230" i="5" a="1"/>
  <c r="M230" i="5" s="1"/>
  <c r="N229" i="5" a="1"/>
  <c r="N229" i="5" s="1"/>
  <c r="M229" i="5" a="1"/>
  <c r="M229" i="5" s="1"/>
  <c r="O307" i="5"/>
  <c r="O237" i="5"/>
  <c r="O238" i="5"/>
  <c r="O235" i="5"/>
  <c r="O236" i="5"/>
  <c r="O534" i="5"/>
  <c r="O533" i="5"/>
  <c r="N466" i="5" a="1"/>
  <c r="N466" i="5" s="1"/>
  <c r="M466" i="5" a="1"/>
  <c r="M466" i="5" s="1"/>
  <c r="N532" i="5" a="1"/>
  <c r="N532" i="5" s="1"/>
  <c r="M532" i="5" a="1"/>
  <c r="M532" i="5" s="1"/>
  <c r="N531" i="5" a="1"/>
  <c r="N531" i="5" s="1"/>
  <c r="M531" i="5" a="1"/>
  <c r="M531" i="5" s="1"/>
  <c r="N530" i="5" a="1"/>
  <c r="N530" i="5" s="1"/>
  <c r="M530" i="5" a="1"/>
  <c r="M530" i="5" s="1"/>
  <c r="N529" i="5" a="1"/>
  <c r="N529" i="5" s="1"/>
  <c r="M529" i="5" a="1"/>
  <c r="M529" i="5" s="1"/>
  <c r="N528" i="5" a="1"/>
  <c r="N528" i="5" s="1"/>
  <c r="M528" i="5" a="1"/>
  <c r="M528" i="5" s="1"/>
  <c r="N527" i="5" a="1"/>
  <c r="N527" i="5" s="1"/>
  <c r="M527" i="5" a="1"/>
  <c r="M527" i="5" s="1"/>
  <c r="N526" i="5" a="1"/>
  <c r="N526" i="5" s="1"/>
  <c r="M526" i="5" a="1"/>
  <c r="M526" i="5" s="1"/>
  <c r="N525" i="5" a="1"/>
  <c r="N525" i="5" s="1"/>
  <c r="M525" i="5" a="1"/>
  <c r="M525" i="5" s="1"/>
  <c r="N524" i="5" a="1"/>
  <c r="N524" i="5" s="1"/>
  <c r="M524" i="5" a="1"/>
  <c r="M524" i="5" s="1"/>
  <c r="N523" i="5" a="1"/>
  <c r="N523" i="5" s="1"/>
  <c r="M523" i="5" a="1"/>
  <c r="M523" i="5" s="1"/>
  <c r="N522" i="5" a="1"/>
  <c r="N522" i="5" s="1"/>
  <c r="M522" i="5" a="1"/>
  <c r="M522" i="5" s="1"/>
  <c r="N521" i="5" a="1"/>
  <c r="N521" i="5" s="1"/>
  <c r="M521" i="5" a="1"/>
  <c r="M521" i="5" s="1"/>
  <c r="N520" i="5" a="1"/>
  <c r="N520" i="5" s="1"/>
  <c r="M520" i="5" a="1"/>
  <c r="M520" i="5" s="1"/>
  <c r="N519" i="5" a="1"/>
  <c r="N519" i="5" s="1"/>
  <c r="M519" i="5" a="1"/>
  <c r="M519" i="5" s="1"/>
  <c r="N518" i="5" a="1"/>
  <c r="N518" i="5" s="1"/>
  <c r="M518" i="5" a="1"/>
  <c r="M518" i="5" s="1"/>
  <c r="N517" i="5" a="1"/>
  <c r="N517" i="5" s="1"/>
  <c r="M517" i="5" a="1"/>
  <c r="M517" i="5" s="1"/>
  <c r="N516" i="5" a="1"/>
  <c r="N516" i="5" s="1"/>
  <c r="M516" i="5" a="1"/>
  <c r="M516" i="5" s="1"/>
  <c r="N515" i="5" a="1"/>
  <c r="N515" i="5" s="1"/>
  <c r="M515" i="5" a="1"/>
  <c r="M515" i="5" s="1"/>
  <c r="N514" i="5" a="1"/>
  <c r="N514" i="5" s="1"/>
  <c r="M514" i="5" a="1"/>
  <c r="M514" i="5" s="1"/>
  <c r="N513" i="5" a="1"/>
  <c r="N513" i="5" s="1"/>
  <c r="M513" i="5" a="1"/>
  <c r="M513" i="5" s="1"/>
  <c r="N512" i="5" a="1"/>
  <c r="N512" i="5" s="1"/>
  <c r="M512" i="5" a="1"/>
  <c r="M512" i="5" s="1"/>
  <c r="N511" i="5" a="1"/>
  <c r="N511" i="5" s="1"/>
  <c r="M511" i="5" a="1"/>
  <c r="M511" i="5" s="1"/>
  <c r="N510" i="5" a="1"/>
  <c r="N510" i="5" s="1"/>
  <c r="M510" i="5" a="1"/>
  <c r="M510" i="5" s="1"/>
  <c r="N509" i="5" a="1"/>
  <c r="N509" i="5" s="1"/>
  <c r="M509" i="5" a="1"/>
  <c r="M509" i="5" s="1"/>
  <c r="N508" i="5" a="1"/>
  <c r="N508" i="5" s="1"/>
  <c r="M508" i="5" a="1"/>
  <c r="M508" i="5" s="1"/>
  <c r="N507" i="5" a="1"/>
  <c r="N507" i="5" s="1"/>
  <c r="M507" i="5" a="1"/>
  <c r="M507" i="5" s="1"/>
  <c r="N506" i="5" a="1"/>
  <c r="N506" i="5" s="1"/>
  <c r="M506" i="5" a="1"/>
  <c r="M506" i="5" s="1"/>
  <c r="N505" i="5" a="1"/>
  <c r="N505" i="5" s="1"/>
  <c r="M505" i="5" a="1"/>
  <c r="M505" i="5" s="1"/>
  <c r="N504" i="5" a="1"/>
  <c r="N504" i="5" s="1"/>
  <c r="M504" i="5" a="1"/>
  <c r="M504" i="5" s="1"/>
  <c r="N503" i="5" a="1"/>
  <c r="N503" i="5" s="1"/>
  <c r="M503" i="5" a="1"/>
  <c r="M503" i="5" s="1"/>
  <c r="N502" i="5" a="1"/>
  <c r="N502" i="5" s="1"/>
  <c r="M502" i="5" a="1"/>
  <c r="M502" i="5" s="1"/>
  <c r="N501" i="5" a="1"/>
  <c r="N501" i="5" s="1"/>
  <c r="M501" i="5" a="1"/>
  <c r="M501" i="5" s="1"/>
  <c r="N500" i="5" a="1"/>
  <c r="N500" i="5" s="1"/>
  <c r="M500" i="5" a="1"/>
  <c r="M500" i="5" s="1"/>
  <c r="N499" i="5" a="1"/>
  <c r="N499" i="5" s="1"/>
  <c r="M499" i="5" a="1"/>
  <c r="M499" i="5" s="1"/>
  <c r="N498" i="5" a="1"/>
  <c r="N498" i="5" s="1"/>
  <c r="M498" i="5" a="1"/>
  <c r="M498" i="5" s="1"/>
  <c r="N497" i="5" a="1"/>
  <c r="N497" i="5" s="1"/>
  <c r="M497" i="5" a="1"/>
  <c r="M497" i="5" s="1"/>
  <c r="N496" i="5" a="1"/>
  <c r="N496" i="5" s="1"/>
  <c r="M496" i="5" a="1"/>
  <c r="M496" i="5" s="1"/>
  <c r="N495" i="5" a="1"/>
  <c r="N495" i="5" s="1"/>
  <c r="M495" i="5" a="1"/>
  <c r="M495" i="5" s="1"/>
  <c r="N494" i="5" a="1"/>
  <c r="N494" i="5" s="1"/>
  <c r="M494" i="5" a="1"/>
  <c r="M494" i="5" s="1"/>
  <c r="N493" i="5" a="1"/>
  <c r="N493" i="5" s="1"/>
  <c r="M493" i="5" a="1"/>
  <c r="M493" i="5" s="1"/>
  <c r="N492" i="5" a="1"/>
  <c r="N492" i="5" s="1"/>
  <c r="M492" i="5" a="1"/>
  <c r="M492" i="5" s="1"/>
  <c r="N491" i="5" a="1"/>
  <c r="N491" i="5" s="1"/>
  <c r="M491" i="5" a="1"/>
  <c r="M491" i="5" s="1"/>
  <c r="N490" i="5" a="1"/>
  <c r="N490" i="5" s="1"/>
  <c r="M490" i="5" a="1"/>
  <c r="M490" i="5" s="1"/>
  <c r="N489" i="5" a="1"/>
  <c r="N489" i="5" s="1"/>
  <c r="M489" i="5" a="1"/>
  <c r="M489" i="5" s="1"/>
  <c r="N488" i="5" a="1"/>
  <c r="N488" i="5" s="1"/>
  <c r="M488" i="5" a="1"/>
  <c r="M488" i="5" s="1"/>
  <c r="N487" i="5" a="1"/>
  <c r="N487" i="5" s="1"/>
  <c r="M487" i="5" a="1"/>
  <c r="M487" i="5" s="1"/>
  <c r="N486" i="5" a="1"/>
  <c r="N486" i="5" s="1"/>
  <c r="M486" i="5" a="1"/>
  <c r="M486" i="5" s="1"/>
  <c r="N485" i="5" a="1"/>
  <c r="N485" i="5" s="1"/>
  <c r="M485" i="5" a="1"/>
  <c r="M485" i="5" s="1"/>
  <c r="N484" i="5" a="1"/>
  <c r="N484" i="5" s="1"/>
  <c r="M484" i="5" a="1"/>
  <c r="M484" i="5" s="1"/>
  <c r="N483" i="5" a="1"/>
  <c r="N483" i="5" s="1"/>
  <c r="M483" i="5" a="1"/>
  <c r="M483" i="5" s="1"/>
  <c r="N482" i="5" a="1"/>
  <c r="N482" i="5" s="1"/>
  <c r="M482" i="5" a="1"/>
  <c r="M482" i="5" s="1"/>
  <c r="N481" i="5" a="1"/>
  <c r="N481" i="5" s="1"/>
  <c r="M481" i="5" a="1"/>
  <c r="M481" i="5" s="1"/>
  <c r="N480" i="5" a="1"/>
  <c r="N480" i="5" s="1"/>
  <c r="M480" i="5" a="1"/>
  <c r="M480" i="5" s="1"/>
  <c r="N479" i="5" a="1"/>
  <c r="N479" i="5" s="1"/>
  <c r="M479" i="5" a="1"/>
  <c r="M479" i="5" s="1"/>
  <c r="N478" i="5" a="1"/>
  <c r="N478" i="5" s="1"/>
  <c r="M478" i="5" a="1"/>
  <c r="M478" i="5" s="1"/>
  <c r="N477" i="5" a="1"/>
  <c r="N477" i="5" s="1"/>
  <c r="M477" i="5" a="1"/>
  <c r="M477" i="5" s="1"/>
  <c r="N476" i="5" a="1"/>
  <c r="N476" i="5" s="1"/>
  <c r="M476" i="5" a="1"/>
  <c r="M476" i="5" s="1"/>
  <c r="N475" i="5" a="1"/>
  <c r="N475" i="5" s="1"/>
  <c r="M475" i="5" a="1"/>
  <c r="M475" i="5" s="1"/>
  <c r="N474" i="5" a="1"/>
  <c r="N474" i="5" s="1"/>
  <c r="M474" i="5" a="1"/>
  <c r="M474" i="5" s="1"/>
  <c r="N473" i="5" a="1"/>
  <c r="N473" i="5" s="1"/>
  <c r="M473" i="5" a="1"/>
  <c r="M473" i="5" s="1"/>
  <c r="N472" i="5" a="1"/>
  <c r="N472" i="5" s="1"/>
  <c r="M472" i="5" a="1"/>
  <c r="M472" i="5" s="1"/>
  <c r="N471" i="5" a="1"/>
  <c r="N471" i="5" s="1"/>
  <c r="M471" i="5" a="1"/>
  <c r="M471" i="5" s="1"/>
  <c r="N470" i="5" a="1"/>
  <c r="N470" i="5" s="1"/>
  <c r="M470" i="5" a="1"/>
  <c r="M470" i="5" s="1"/>
  <c r="N469" i="5" a="1"/>
  <c r="N469" i="5" s="1"/>
  <c r="M469" i="5" a="1"/>
  <c r="M469" i="5" s="1"/>
  <c r="N468" i="5" a="1"/>
  <c r="N468" i="5" s="1"/>
  <c r="M468" i="5" a="1"/>
  <c r="M468" i="5" s="1"/>
  <c r="N465" i="5" a="1"/>
  <c r="N465" i="5" s="1"/>
  <c r="M465" i="5" a="1"/>
  <c r="M465" i="5" s="1"/>
  <c r="N464" i="5" a="1"/>
  <c r="N464" i="5" s="1"/>
  <c r="M464" i="5" a="1"/>
  <c r="M464" i="5" s="1"/>
  <c r="N463" i="5" a="1"/>
  <c r="N463" i="5" s="1"/>
  <c r="M463" i="5" a="1"/>
  <c r="M463" i="5" s="1"/>
  <c r="N462" i="5" a="1"/>
  <c r="N462" i="5" s="1"/>
  <c r="M462" i="5" a="1"/>
  <c r="M462" i="5" s="1"/>
  <c r="N461" i="5" a="1"/>
  <c r="N461" i="5" s="1"/>
  <c r="M461" i="5" a="1"/>
  <c r="M461" i="5" s="1"/>
  <c r="N460" i="5" a="1"/>
  <c r="N460" i="5" s="1"/>
  <c r="M460" i="5" a="1"/>
  <c r="M460" i="5" s="1"/>
  <c r="N459" i="5" a="1"/>
  <c r="N459" i="5" s="1"/>
  <c r="M459" i="5" a="1"/>
  <c r="M459" i="5" s="1"/>
  <c r="N458" i="5" a="1"/>
  <c r="N458" i="5" s="1"/>
  <c r="M458" i="5" a="1"/>
  <c r="M458" i="5" s="1"/>
  <c r="N457" i="5" a="1"/>
  <c r="N457" i="5" s="1"/>
  <c r="M457" i="5" a="1"/>
  <c r="M457" i="5" s="1"/>
  <c r="N456" i="5" a="1"/>
  <c r="N456" i="5" s="1"/>
  <c r="M456" i="5" a="1"/>
  <c r="M456" i="5" s="1"/>
  <c r="N455" i="5" a="1"/>
  <c r="N455" i="5" s="1"/>
  <c r="M455" i="5" a="1"/>
  <c r="M455" i="5" s="1"/>
  <c r="N454" i="5" a="1"/>
  <c r="N454" i="5" s="1"/>
  <c r="M454" i="5" a="1"/>
  <c r="M454" i="5" s="1"/>
  <c r="N453" i="5" a="1"/>
  <c r="N453" i="5" s="1"/>
  <c r="M453" i="5" a="1"/>
  <c r="M453" i="5" s="1"/>
  <c r="N452" i="5" a="1"/>
  <c r="N452" i="5" s="1"/>
  <c r="M452" i="5" a="1"/>
  <c r="M452" i="5" s="1"/>
  <c r="N451" i="5" a="1"/>
  <c r="N451" i="5" s="1"/>
  <c r="M451" i="5" a="1"/>
  <c r="M451" i="5" s="1"/>
  <c r="N450" i="5" a="1"/>
  <c r="N450" i="5" s="1"/>
  <c r="M450" i="5" a="1"/>
  <c r="M450" i="5" s="1"/>
  <c r="N449" i="5" a="1"/>
  <c r="N449" i="5" s="1"/>
  <c r="M449" i="5" a="1"/>
  <c r="M449" i="5" s="1"/>
  <c r="N448" i="5" a="1"/>
  <c r="N448" i="5" s="1"/>
  <c r="M448" i="5" a="1"/>
  <c r="M448" i="5" s="1"/>
  <c r="N447" i="5" a="1"/>
  <c r="N447" i="5" s="1"/>
  <c r="M447" i="5" a="1"/>
  <c r="M447" i="5" s="1"/>
  <c r="N446" i="5" a="1"/>
  <c r="N446" i="5" s="1"/>
  <c r="M446" i="5" a="1"/>
  <c r="M446" i="5" s="1"/>
  <c r="N445" i="5" a="1"/>
  <c r="N445" i="5" s="1"/>
  <c r="M445" i="5" a="1"/>
  <c r="M445" i="5" s="1"/>
  <c r="N444" i="5" a="1"/>
  <c r="N444" i="5" s="1"/>
  <c r="M444" i="5" a="1"/>
  <c r="M444" i="5" s="1"/>
  <c r="N443" i="5" a="1"/>
  <c r="N443" i="5" s="1"/>
  <c r="M443" i="5" a="1"/>
  <c r="M443" i="5" s="1"/>
  <c r="N442" i="5" a="1"/>
  <c r="N442" i="5" s="1"/>
  <c r="M442" i="5" a="1"/>
  <c r="M442" i="5" s="1"/>
  <c r="N441" i="5" a="1"/>
  <c r="N441" i="5" s="1"/>
  <c r="M441" i="5" a="1"/>
  <c r="M441" i="5" s="1"/>
  <c r="N440" i="5" a="1"/>
  <c r="N440" i="5" s="1"/>
  <c r="M440" i="5" a="1"/>
  <c r="M440" i="5" s="1"/>
  <c r="N439" i="5" a="1"/>
  <c r="N439" i="5" s="1"/>
  <c r="M439" i="5" a="1"/>
  <c r="M439" i="5" s="1"/>
  <c r="N438" i="5" a="1"/>
  <c r="N438" i="5" s="1"/>
  <c r="M438" i="5" a="1"/>
  <c r="M438" i="5" s="1"/>
  <c r="N437" i="5" a="1"/>
  <c r="N437" i="5" s="1"/>
  <c r="M437" i="5" a="1"/>
  <c r="M437" i="5" s="1"/>
  <c r="N436" i="5" a="1"/>
  <c r="N436" i="5" s="1"/>
  <c r="M436" i="5" a="1"/>
  <c r="M436" i="5" s="1"/>
  <c r="N435" i="5" a="1"/>
  <c r="N435" i="5" s="1"/>
  <c r="M435" i="5" a="1"/>
  <c r="M435" i="5" s="1"/>
  <c r="N434" i="5" a="1"/>
  <c r="N434" i="5" s="1"/>
  <c r="M434" i="5" a="1"/>
  <c r="M434" i="5" s="1"/>
  <c r="N433" i="5" a="1"/>
  <c r="N433" i="5" s="1"/>
  <c r="M433" i="5" a="1"/>
  <c r="M433" i="5" s="1"/>
  <c r="N432" i="5" a="1"/>
  <c r="N432" i="5" s="1"/>
  <c r="M432" i="5" a="1"/>
  <c r="M432" i="5" s="1"/>
  <c r="N431" i="5" a="1"/>
  <c r="N431" i="5" s="1"/>
  <c r="M431" i="5" a="1"/>
  <c r="M431" i="5" s="1"/>
  <c r="N430" i="5" a="1"/>
  <c r="N430" i="5" s="1"/>
  <c r="M430" i="5" a="1"/>
  <c r="M430" i="5" s="1"/>
  <c r="N429" i="5" a="1"/>
  <c r="N429" i="5" s="1"/>
  <c r="M429" i="5" a="1"/>
  <c r="M429" i="5" s="1"/>
  <c r="N428" i="5" a="1"/>
  <c r="N428" i="5" s="1"/>
  <c r="M428" i="5" a="1"/>
  <c r="M428" i="5" s="1"/>
  <c r="N427" i="5" a="1"/>
  <c r="N427" i="5" s="1"/>
  <c r="M427" i="5" a="1"/>
  <c r="M427" i="5" s="1"/>
  <c r="N426" i="5" a="1"/>
  <c r="N426" i="5" s="1"/>
  <c r="M426" i="5" a="1"/>
  <c r="M426" i="5" s="1"/>
  <c r="N425" i="5" a="1"/>
  <c r="N425" i="5" s="1"/>
  <c r="M425" i="5" a="1"/>
  <c r="M425" i="5" s="1"/>
  <c r="N424" i="5" a="1"/>
  <c r="N424" i="5" s="1"/>
  <c r="M424" i="5" a="1"/>
  <c r="M424" i="5" s="1"/>
  <c r="N423" i="5" a="1"/>
  <c r="N423" i="5" s="1"/>
  <c r="M423" i="5" a="1"/>
  <c r="M423" i="5" s="1"/>
  <c r="N422" i="5" a="1"/>
  <c r="N422" i="5" s="1"/>
  <c r="M422" i="5" a="1"/>
  <c r="M422" i="5" s="1"/>
  <c r="N421" i="5" a="1"/>
  <c r="N421" i="5" s="1"/>
  <c r="M421" i="5" a="1"/>
  <c r="M421" i="5" s="1"/>
  <c r="N420" i="5" a="1"/>
  <c r="N420" i="5" s="1"/>
  <c r="M420" i="5" a="1"/>
  <c r="M420" i="5" s="1"/>
  <c r="N419" i="5" a="1"/>
  <c r="N419" i="5" s="1"/>
  <c r="M419" i="5" a="1"/>
  <c r="M419" i="5" s="1"/>
  <c r="N418" i="5" a="1"/>
  <c r="N418" i="5" s="1"/>
  <c r="M418" i="5" a="1"/>
  <c r="M418" i="5" s="1"/>
  <c r="N417" i="5" a="1"/>
  <c r="N417" i="5" s="1"/>
  <c r="M417" i="5" a="1"/>
  <c r="M417" i="5" s="1"/>
  <c r="N416" i="5" a="1"/>
  <c r="N416" i="5" s="1"/>
  <c r="M416" i="5" a="1"/>
  <c r="M416" i="5" s="1"/>
  <c r="N415" i="5" a="1"/>
  <c r="N415" i="5" s="1"/>
  <c r="M415" i="5" a="1"/>
  <c r="M415" i="5" s="1"/>
  <c r="N414" i="5" a="1"/>
  <c r="N414" i="5" s="1"/>
  <c r="M414" i="5" a="1"/>
  <c r="M414" i="5" s="1"/>
  <c r="N413" i="5" a="1"/>
  <c r="N413" i="5" s="1"/>
  <c r="M413" i="5" a="1"/>
  <c r="M413" i="5" s="1"/>
  <c r="N412" i="5" a="1"/>
  <c r="N412" i="5" s="1"/>
  <c r="M412" i="5" a="1"/>
  <c r="M412" i="5" s="1"/>
  <c r="N411" i="5" a="1"/>
  <c r="N411" i="5" s="1"/>
  <c r="M411" i="5" a="1"/>
  <c r="M411" i="5" s="1"/>
  <c r="N410" i="5" a="1"/>
  <c r="N410" i="5" s="1"/>
  <c r="M410" i="5" a="1"/>
  <c r="M410" i="5" s="1"/>
  <c r="N409" i="5" a="1"/>
  <c r="N409" i="5" s="1"/>
  <c r="M409" i="5" a="1"/>
  <c r="M409" i="5" s="1"/>
  <c r="N408" i="5" a="1"/>
  <c r="N408" i="5" s="1"/>
  <c r="M408" i="5" a="1"/>
  <c r="M408" i="5" s="1"/>
  <c r="N407" i="5" a="1"/>
  <c r="N407" i="5" s="1"/>
  <c r="M407" i="5" a="1"/>
  <c r="M407" i="5" s="1"/>
  <c r="N406" i="5" a="1"/>
  <c r="N406" i="5" s="1"/>
  <c r="M406" i="5" a="1"/>
  <c r="M406" i="5" s="1"/>
  <c r="N405" i="5" a="1"/>
  <c r="N405" i="5" s="1"/>
  <c r="M405" i="5" a="1"/>
  <c r="M405" i="5" s="1"/>
  <c r="N404" i="5" a="1"/>
  <c r="N404" i="5" s="1"/>
  <c r="M404" i="5" a="1"/>
  <c r="M404" i="5" s="1"/>
  <c r="N403" i="5" a="1"/>
  <c r="N403" i="5" s="1"/>
  <c r="M403" i="5" a="1"/>
  <c r="M403" i="5" s="1"/>
  <c r="N402" i="5" a="1"/>
  <c r="N402" i="5" s="1"/>
  <c r="M402" i="5" a="1"/>
  <c r="M402" i="5" s="1"/>
  <c r="N401" i="5" a="1"/>
  <c r="N401" i="5" s="1"/>
  <c r="M401" i="5" a="1"/>
  <c r="M401" i="5" s="1"/>
  <c r="N400" i="5" a="1"/>
  <c r="N400" i="5" s="1"/>
  <c r="M400" i="5" a="1"/>
  <c r="M400" i="5" s="1"/>
  <c r="N399" i="5" a="1"/>
  <c r="N399" i="5" s="1"/>
  <c r="M399" i="5" a="1"/>
  <c r="M399" i="5" s="1"/>
  <c r="N398" i="5" a="1"/>
  <c r="N398" i="5" s="1"/>
  <c r="M398" i="5" a="1"/>
  <c r="M398" i="5" s="1"/>
  <c r="N397" i="5" a="1"/>
  <c r="N397" i="5" s="1"/>
  <c r="M397" i="5" a="1"/>
  <c r="M397" i="5" s="1"/>
  <c r="N396" i="5" a="1"/>
  <c r="N396" i="5" s="1"/>
  <c r="M396" i="5" a="1"/>
  <c r="M396" i="5" s="1"/>
  <c r="N395" i="5" a="1"/>
  <c r="N395" i="5" s="1"/>
  <c r="M395" i="5" a="1"/>
  <c r="M395" i="5" s="1"/>
  <c r="N394" i="5" a="1"/>
  <c r="N394" i="5" s="1"/>
  <c r="M394" i="5" a="1"/>
  <c r="M394" i="5" s="1"/>
  <c r="N393" i="5" a="1"/>
  <c r="N393" i="5" s="1"/>
  <c r="M393" i="5" a="1"/>
  <c r="M393" i="5" s="1"/>
  <c r="N392" i="5" a="1"/>
  <c r="N392" i="5" s="1"/>
  <c r="M392" i="5" a="1"/>
  <c r="M392" i="5" s="1"/>
  <c r="N391" i="5" a="1"/>
  <c r="N391" i="5" s="1"/>
  <c r="M391" i="5" a="1"/>
  <c r="M391" i="5" s="1"/>
  <c r="N390" i="5" a="1"/>
  <c r="N390" i="5" s="1"/>
  <c r="M390" i="5" a="1"/>
  <c r="M390" i="5" s="1"/>
  <c r="N389" i="5" a="1"/>
  <c r="N389" i="5" s="1"/>
  <c r="M389" i="5" a="1"/>
  <c r="M389" i="5" s="1"/>
  <c r="N388" i="5" a="1"/>
  <c r="N388" i="5" s="1"/>
  <c r="M388" i="5" a="1"/>
  <c r="M388" i="5" s="1"/>
  <c r="N387" i="5" a="1"/>
  <c r="N387" i="5" s="1"/>
  <c r="M387" i="5" a="1"/>
  <c r="M387" i="5" s="1"/>
  <c r="N386" i="5" a="1"/>
  <c r="N386" i="5" s="1"/>
  <c r="M386" i="5" a="1"/>
  <c r="M386" i="5" s="1"/>
  <c r="N385" i="5" a="1"/>
  <c r="N385" i="5" s="1"/>
  <c r="M385" i="5" a="1"/>
  <c r="M385" i="5" s="1"/>
  <c r="N384" i="5" a="1"/>
  <c r="N384" i="5" s="1"/>
  <c r="M384" i="5" a="1"/>
  <c r="M384" i="5" s="1"/>
  <c r="N383" i="5" a="1"/>
  <c r="N383" i="5" s="1"/>
  <c r="M383" i="5" a="1"/>
  <c r="M383" i="5" s="1"/>
  <c r="N382" i="5" a="1"/>
  <c r="N382" i="5" s="1"/>
  <c r="M382" i="5" a="1"/>
  <c r="M382" i="5" s="1"/>
  <c r="N381" i="5" a="1"/>
  <c r="N381" i="5" s="1"/>
  <c r="M381" i="5" a="1"/>
  <c r="M381" i="5" s="1"/>
  <c r="N380" i="5" a="1"/>
  <c r="N380" i="5" s="1"/>
  <c r="M380" i="5" a="1"/>
  <c r="M380" i="5" s="1"/>
  <c r="N379" i="5" a="1"/>
  <c r="N379" i="5" s="1"/>
  <c r="M379" i="5" a="1"/>
  <c r="M379" i="5" s="1"/>
  <c r="N378" i="5" a="1"/>
  <c r="N378" i="5" s="1"/>
  <c r="M378" i="5" a="1"/>
  <c r="M378" i="5" s="1"/>
  <c r="N377" i="5" a="1"/>
  <c r="N377" i="5" s="1"/>
  <c r="M377" i="5" a="1"/>
  <c r="M377" i="5" s="1"/>
  <c r="N376" i="5" a="1"/>
  <c r="N376" i="5" s="1"/>
  <c r="M376" i="5" a="1"/>
  <c r="M376" i="5" s="1"/>
  <c r="N375" i="5" a="1"/>
  <c r="N375" i="5" s="1"/>
  <c r="M375" i="5" a="1"/>
  <c r="M375" i="5" s="1"/>
  <c r="N374" i="5" a="1"/>
  <c r="N374" i="5" s="1"/>
  <c r="M374" i="5" a="1"/>
  <c r="M374" i="5" s="1"/>
  <c r="N373" i="5" a="1"/>
  <c r="N373" i="5" s="1"/>
  <c r="M373" i="5" a="1"/>
  <c r="M373" i="5" s="1"/>
  <c r="N372" i="5" a="1"/>
  <c r="N372" i="5" s="1"/>
  <c r="M372" i="5" a="1"/>
  <c r="M372" i="5" s="1"/>
  <c r="N371" i="5" a="1"/>
  <c r="N371" i="5" s="1"/>
  <c r="M371" i="5" a="1"/>
  <c r="M371" i="5" s="1"/>
  <c r="N370" i="5" a="1"/>
  <c r="N370" i="5" s="1"/>
  <c r="M370" i="5" a="1"/>
  <c r="M370" i="5" s="1"/>
  <c r="N369" i="5" a="1"/>
  <c r="N369" i="5" s="1"/>
  <c r="M369" i="5" a="1"/>
  <c r="M369" i="5" s="1"/>
  <c r="N368" i="5" a="1"/>
  <c r="N368" i="5" s="1"/>
  <c r="M368" i="5" a="1"/>
  <c r="M368" i="5" s="1"/>
  <c r="N367" i="5" a="1"/>
  <c r="N367" i="5" s="1"/>
  <c r="M367" i="5" a="1"/>
  <c r="M367" i="5" s="1"/>
  <c r="N366" i="5" a="1"/>
  <c r="N366" i="5" s="1"/>
  <c r="M366" i="5" a="1"/>
  <c r="M366" i="5" s="1"/>
  <c r="N365" i="5" a="1"/>
  <c r="N365" i="5" s="1"/>
  <c r="M365" i="5" a="1"/>
  <c r="M365" i="5" s="1"/>
  <c r="N364" i="5" a="1"/>
  <c r="N364" i="5" s="1"/>
  <c r="M364" i="5" a="1"/>
  <c r="M364" i="5" s="1"/>
  <c r="N363" i="5" a="1"/>
  <c r="N363" i="5" s="1"/>
  <c r="M363" i="5" a="1"/>
  <c r="M363" i="5" s="1"/>
  <c r="N362" i="5" a="1"/>
  <c r="N362" i="5" s="1"/>
  <c r="M362" i="5" a="1"/>
  <c r="M362" i="5" s="1"/>
  <c r="N361" i="5" a="1"/>
  <c r="N361" i="5" s="1"/>
  <c r="M361" i="5" a="1"/>
  <c r="M361" i="5" s="1"/>
  <c r="N360" i="5" a="1"/>
  <c r="N360" i="5" s="1"/>
  <c r="M360" i="5" a="1"/>
  <c r="M360" i="5" s="1"/>
  <c r="N359" i="5" a="1"/>
  <c r="N359" i="5" s="1"/>
  <c r="M359" i="5" a="1"/>
  <c r="M359" i="5" s="1"/>
  <c r="N358" i="5" a="1"/>
  <c r="N358" i="5" s="1"/>
  <c r="M358" i="5" a="1"/>
  <c r="M358" i="5" s="1"/>
  <c r="N357" i="5" a="1"/>
  <c r="N357" i="5" s="1"/>
  <c r="M357" i="5" a="1"/>
  <c r="M357" i="5" s="1"/>
  <c r="N356" i="5" a="1"/>
  <c r="N356" i="5" s="1"/>
  <c r="M356" i="5" a="1"/>
  <c r="M356" i="5" s="1"/>
  <c r="N355" i="5" a="1"/>
  <c r="N355" i="5" s="1"/>
  <c r="M355" i="5" a="1"/>
  <c r="M355" i="5" s="1"/>
  <c r="N354" i="5" a="1"/>
  <c r="N354" i="5" s="1"/>
  <c r="M354" i="5" a="1"/>
  <c r="M354" i="5" s="1"/>
  <c r="N353" i="5" a="1"/>
  <c r="N353" i="5" s="1"/>
  <c r="M353" i="5" a="1"/>
  <c r="M353" i="5" s="1"/>
  <c r="N352" i="5" a="1"/>
  <c r="N352" i="5" s="1"/>
  <c r="M352" i="5" a="1"/>
  <c r="M352" i="5" s="1"/>
  <c r="N351" i="5" a="1"/>
  <c r="N351" i="5" s="1"/>
  <c r="M351" i="5" a="1"/>
  <c r="M351" i="5" s="1"/>
  <c r="N350" i="5" a="1"/>
  <c r="N350" i="5" s="1"/>
  <c r="M350" i="5" a="1"/>
  <c r="M350" i="5" s="1"/>
  <c r="N349" i="5" a="1"/>
  <c r="N349" i="5" s="1"/>
  <c r="M349" i="5" a="1"/>
  <c r="M349" i="5" s="1"/>
  <c r="N348" i="5" a="1"/>
  <c r="N348" i="5" s="1"/>
  <c r="M348" i="5" a="1"/>
  <c r="M348" i="5" s="1"/>
  <c r="N347" i="5" a="1"/>
  <c r="N347" i="5" s="1"/>
  <c r="M347" i="5" a="1"/>
  <c r="M347" i="5" s="1"/>
  <c r="N346" i="5" a="1"/>
  <c r="N346" i="5" s="1"/>
  <c r="M346" i="5" a="1"/>
  <c r="M346" i="5" s="1"/>
  <c r="N345" i="5" a="1"/>
  <c r="N345" i="5" s="1"/>
  <c r="M345" i="5" a="1"/>
  <c r="M345" i="5" s="1"/>
  <c r="N344" i="5" a="1"/>
  <c r="N344" i="5" s="1"/>
  <c r="M344" i="5" a="1"/>
  <c r="M344" i="5" s="1"/>
  <c r="N343" i="5" a="1"/>
  <c r="N343" i="5" s="1"/>
  <c r="M343" i="5" a="1"/>
  <c r="M343" i="5" s="1"/>
  <c r="N342" i="5" a="1"/>
  <c r="N342" i="5" s="1"/>
  <c r="M342" i="5" a="1"/>
  <c r="M342" i="5" s="1"/>
  <c r="N341" i="5" a="1"/>
  <c r="N341" i="5" s="1"/>
  <c r="M341" i="5" a="1"/>
  <c r="M341" i="5" s="1"/>
  <c r="N340" i="5" a="1"/>
  <c r="N340" i="5" s="1"/>
  <c r="M340" i="5" a="1"/>
  <c r="M340" i="5" s="1"/>
  <c r="N339" i="5" a="1"/>
  <c r="N339" i="5" s="1"/>
  <c r="M339" i="5" a="1"/>
  <c r="M339" i="5" s="1"/>
  <c r="N338" i="5" a="1"/>
  <c r="N338" i="5" s="1"/>
  <c r="M338" i="5" a="1"/>
  <c r="M338" i="5" s="1"/>
  <c r="N337" i="5" a="1"/>
  <c r="N337" i="5" s="1"/>
  <c r="M337" i="5" a="1"/>
  <c r="M337" i="5" s="1"/>
  <c r="N336" i="5" a="1"/>
  <c r="N336" i="5" s="1"/>
  <c r="M336" i="5" a="1"/>
  <c r="M336" i="5" s="1"/>
  <c r="N335" i="5" a="1"/>
  <c r="N335" i="5" s="1"/>
  <c r="M335" i="5" a="1"/>
  <c r="M335" i="5" s="1"/>
  <c r="N334" i="5" a="1"/>
  <c r="N334" i="5" s="1"/>
  <c r="M334" i="5" a="1"/>
  <c r="M334" i="5" s="1"/>
  <c r="N333" i="5" a="1"/>
  <c r="N333" i="5" s="1"/>
  <c r="M333" i="5" a="1"/>
  <c r="M333" i="5" s="1"/>
  <c r="N332" i="5" a="1"/>
  <c r="N332" i="5" s="1"/>
  <c r="M332" i="5" a="1"/>
  <c r="M332" i="5" s="1"/>
  <c r="N331" i="5" a="1"/>
  <c r="N331" i="5" s="1"/>
  <c r="M331" i="5" a="1"/>
  <c r="M331" i="5" s="1"/>
  <c r="N330" i="5" a="1"/>
  <c r="N330" i="5" s="1"/>
  <c r="M330" i="5" a="1"/>
  <c r="M330" i="5" s="1"/>
  <c r="N329" i="5" a="1"/>
  <c r="N329" i="5" s="1"/>
  <c r="M329" i="5" a="1"/>
  <c r="M329" i="5" s="1"/>
  <c r="N328" i="5" a="1"/>
  <c r="N328" i="5" s="1"/>
  <c r="M328" i="5" a="1"/>
  <c r="M328" i="5" s="1"/>
  <c r="N327" i="5" a="1"/>
  <c r="N327" i="5" s="1"/>
  <c r="M327" i="5" a="1"/>
  <c r="M327" i="5" s="1"/>
  <c r="N326" i="5" a="1"/>
  <c r="N326" i="5" s="1"/>
  <c r="M326" i="5" a="1"/>
  <c r="M326" i="5" s="1"/>
  <c r="N325" i="5" a="1"/>
  <c r="N325" i="5" s="1"/>
  <c r="M325" i="5" a="1"/>
  <c r="M325" i="5" s="1"/>
  <c r="N228" i="5" a="1"/>
  <c r="N228" i="5" s="1"/>
  <c r="M228" i="5" a="1"/>
  <c r="M228" i="5" s="1"/>
  <c r="N227" i="5" a="1"/>
  <c r="N227" i="5" s="1"/>
  <c r="M227" i="5" a="1"/>
  <c r="M227" i="5" s="1"/>
  <c r="N226" i="5" a="1"/>
  <c r="N226" i="5" s="1"/>
  <c r="M226" i="5" a="1"/>
  <c r="M226" i="5" s="1"/>
  <c r="N225" i="5" a="1"/>
  <c r="N225" i="5" s="1"/>
  <c r="M225" i="5" a="1"/>
  <c r="M225" i="5" s="1"/>
  <c r="N224" i="5" a="1"/>
  <c r="N224" i="5" s="1"/>
  <c r="M224" i="5" a="1"/>
  <c r="M224" i="5" s="1"/>
  <c r="N223" i="5" a="1"/>
  <c r="N223" i="5" s="1"/>
  <c r="M223" i="5" a="1"/>
  <c r="M223" i="5" s="1"/>
  <c r="N222" i="5" a="1"/>
  <c r="N222" i="5" s="1"/>
  <c r="M222" i="5" a="1"/>
  <c r="M222" i="5" s="1"/>
  <c r="N221" i="5" a="1"/>
  <c r="N221" i="5" s="1"/>
  <c r="M221" i="5" a="1"/>
  <c r="M221" i="5" s="1"/>
  <c r="N220" i="5" a="1"/>
  <c r="N220" i="5" s="1"/>
  <c r="M220" i="5" a="1"/>
  <c r="M220" i="5" s="1"/>
  <c r="N219" i="5" a="1"/>
  <c r="N219" i="5" s="1"/>
  <c r="M219" i="5" a="1"/>
  <c r="M219" i="5" s="1"/>
  <c r="N218" i="5" a="1"/>
  <c r="N218" i="5" s="1"/>
  <c r="M218" i="5" a="1"/>
  <c r="M218" i="5" s="1"/>
  <c r="N217" i="5" a="1"/>
  <c r="N217" i="5" s="1"/>
  <c r="M217" i="5" a="1"/>
  <c r="M217" i="5" s="1"/>
  <c r="N216" i="5" a="1"/>
  <c r="N216" i="5" s="1"/>
  <c r="M216" i="5" a="1"/>
  <c r="M216" i="5" s="1"/>
  <c r="N215" i="5" a="1"/>
  <c r="N215" i="5" s="1"/>
  <c r="M215" i="5" a="1"/>
  <c r="M215" i="5" s="1"/>
  <c r="N214" i="5" a="1"/>
  <c r="N214" i="5" s="1"/>
  <c r="M214" i="5" a="1"/>
  <c r="M214" i="5" s="1"/>
  <c r="N213" i="5" a="1"/>
  <c r="N213" i="5" s="1"/>
  <c r="M213" i="5" a="1"/>
  <c r="M213" i="5" s="1"/>
  <c r="N212" i="5" a="1"/>
  <c r="N212" i="5" s="1"/>
  <c r="M212" i="5" a="1"/>
  <c r="M212" i="5" s="1"/>
  <c r="N211" i="5" a="1"/>
  <c r="N211" i="5" s="1"/>
  <c r="M211" i="5" a="1"/>
  <c r="M211" i="5" s="1"/>
  <c r="N210" i="5" a="1"/>
  <c r="N210" i="5" s="1"/>
  <c r="M210" i="5" a="1"/>
  <c r="M210" i="5" s="1"/>
  <c r="N209" i="5" a="1"/>
  <c r="N209" i="5" s="1"/>
  <c r="M209" i="5" a="1"/>
  <c r="M209" i="5" s="1"/>
  <c r="N208" i="5" a="1"/>
  <c r="N208" i="5" s="1"/>
  <c r="M208" i="5" a="1"/>
  <c r="M208" i="5" s="1"/>
  <c r="N207" i="5" a="1"/>
  <c r="N207" i="5" s="1"/>
  <c r="M207" i="5" a="1"/>
  <c r="M207" i="5" s="1"/>
  <c r="N206" i="5" a="1"/>
  <c r="N206" i="5" s="1"/>
  <c r="M206" i="5" a="1"/>
  <c r="M206" i="5" s="1"/>
  <c r="N205" i="5" a="1"/>
  <c r="N205" i="5" s="1"/>
  <c r="M205" i="5" a="1"/>
  <c r="M205" i="5" s="1"/>
  <c r="N204" i="5" a="1"/>
  <c r="N204" i="5" s="1"/>
  <c r="M204" i="5" a="1"/>
  <c r="M204" i="5" s="1"/>
  <c r="N203" i="5" a="1"/>
  <c r="N203" i="5" s="1"/>
  <c r="M203" i="5" a="1"/>
  <c r="M203" i="5" s="1"/>
  <c r="N202" i="5" a="1"/>
  <c r="N202" i="5" s="1"/>
  <c r="M202" i="5" a="1"/>
  <c r="M202" i="5" s="1"/>
  <c r="N201" i="5" a="1"/>
  <c r="N201" i="5" s="1"/>
  <c r="M201" i="5" a="1"/>
  <c r="M201" i="5" s="1"/>
  <c r="N200" i="5" a="1"/>
  <c r="N200" i="5" s="1"/>
  <c r="M200" i="5" a="1"/>
  <c r="M200" i="5" s="1"/>
  <c r="N199" i="5" a="1"/>
  <c r="N199" i="5" s="1"/>
  <c r="M199" i="5" a="1"/>
  <c r="M199" i="5" s="1"/>
  <c r="N198" i="5" a="1"/>
  <c r="N198" i="5" s="1"/>
  <c r="M198" i="5" a="1"/>
  <c r="M198" i="5" s="1"/>
  <c r="N197" i="5" a="1"/>
  <c r="N197" i="5" s="1"/>
  <c r="M197" i="5" a="1"/>
  <c r="M197" i="5" s="1"/>
  <c r="N196" i="5" a="1"/>
  <c r="N196" i="5" s="1"/>
  <c r="M196" i="5" a="1"/>
  <c r="M196" i="5" s="1"/>
  <c r="N195" i="5" a="1"/>
  <c r="N195" i="5" s="1"/>
  <c r="M195" i="5" a="1"/>
  <c r="M195" i="5" s="1"/>
  <c r="N194" i="5" a="1"/>
  <c r="N194" i="5" s="1"/>
  <c r="M194" i="5" a="1"/>
  <c r="M194" i="5" s="1"/>
  <c r="N193" i="5" a="1"/>
  <c r="N193" i="5" s="1"/>
  <c r="M193" i="5" a="1"/>
  <c r="M193" i="5" s="1"/>
  <c r="N192" i="5" a="1"/>
  <c r="N192" i="5" s="1"/>
  <c r="M192" i="5" a="1"/>
  <c r="M192" i="5" s="1"/>
  <c r="N191" i="5" a="1"/>
  <c r="N191" i="5" s="1"/>
  <c r="M191" i="5" a="1"/>
  <c r="M191" i="5" s="1"/>
  <c r="N190" i="5" a="1"/>
  <c r="N190" i="5" s="1"/>
  <c r="M190" i="5" a="1"/>
  <c r="M190" i="5" s="1"/>
  <c r="N189" i="5" a="1"/>
  <c r="N189" i="5" s="1"/>
  <c r="M189" i="5" a="1"/>
  <c r="M189" i="5" s="1"/>
  <c r="N188" i="5" a="1"/>
  <c r="N188" i="5" s="1"/>
  <c r="M188" i="5" a="1"/>
  <c r="M188" i="5" s="1"/>
  <c r="N187" i="5" a="1"/>
  <c r="N187" i="5" s="1"/>
  <c r="M187" i="5" a="1"/>
  <c r="M187" i="5" s="1"/>
  <c r="N186" i="5" a="1"/>
  <c r="N186" i="5" s="1"/>
  <c r="M186" i="5" a="1"/>
  <c r="M186" i="5" s="1"/>
  <c r="N185" i="5" a="1"/>
  <c r="N185" i="5" s="1"/>
  <c r="M185" i="5" a="1"/>
  <c r="M185" i="5" s="1"/>
  <c r="N184" i="5" a="1"/>
  <c r="N184" i="5" s="1"/>
  <c r="M184" i="5" a="1"/>
  <c r="M184" i="5" s="1"/>
  <c r="N183" i="5" a="1"/>
  <c r="N183" i="5" s="1"/>
  <c r="M183" i="5" a="1"/>
  <c r="M183" i="5" s="1"/>
  <c r="N182" i="5" a="1"/>
  <c r="N182" i="5" s="1"/>
  <c r="M182" i="5" a="1"/>
  <c r="M182" i="5" s="1"/>
  <c r="N181" i="5" a="1"/>
  <c r="N181" i="5" s="1"/>
  <c r="M181" i="5" a="1"/>
  <c r="M181" i="5" s="1"/>
  <c r="N180" i="5" a="1"/>
  <c r="N180" i="5" s="1"/>
  <c r="M180" i="5" a="1"/>
  <c r="M180" i="5" s="1"/>
  <c r="N179" i="5" a="1"/>
  <c r="N179" i="5" s="1"/>
  <c r="M179" i="5" a="1"/>
  <c r="M179" i="5" s="1"/>
  <c r="N178" i="5" a="1"/>
  <c r="N178" i="5" s="1"/>
  <c r="M178" i="5" a="1"/>
  <c r="M178" i="5" s="1"/>
  <c r="N177" i="5" a="1"/>
  <c r="N177" i="5" s="1"/>
  <c r="M177" i="5" a="1"/>
  <c r="M177" i="5" s="1"/>
  <c r="N176" i="5" a="1"/>
  <c r="N176" i="5" s="1"/>
  <c r="M176" i="5" a="1"/>
  <c r="M176" i="5" s="1"/>
  <c r="N175" i="5" a="1"/>
  <c r="N175" i="5" s="1"/>
  <c r="M175" i="5" a="1"/>
  <c r="M175" i="5" s="1"/>
  <c r="N174" i="5" a="1"/>
  <c r="N174" i="5" s="1"/>
  <c r="M174" i="5" a="1"/>
  <c r="M174" i="5" s="1"/>
  <c r="N173" i="5" a="1"/>
  <c r="N173" i="5" s="1"/>
  <c r="M173" i="5" a="1"/>
  <c r="M173" i="5" s="1"/>
  <c r="N172" i="5" a="1"/>
  <c r="N172" i="5" s="1"/>
  <c r="M172" i="5" a="1"/>
  <c r="M172" i="5" s="1"/>
  <c r="N171" i="5" a="1"/>
  <c r="N171" i="5" s="1"/>
  <c r="M171" i="5" a="1"/>
  <c r="M171" i="5" s="1"/>
  <c r="N170" i="5" a="1"/>
  <c r="N170" i="5" s="1"/>
  <c r="M170" i="5" a="1"/>
  <c r="M170" i="5" s="1"/>
  <c r="N169" i="5" a="1"/>
  <c r="N169" i="5" s="1"/>
  <c r="M169" i="5" a="1"/>
  <c r="M169" i="5" s="1"/>
  <c r="N168" i="5" a="1"/>
  <c r="N168" i="5" s="1"/>
  <c r="M168" i="5" a="1"/>
  <c r="M168" i="5" s="1"/>
  <c r="N167" i="5" a="1"/>
  <c r="N167" i="5" s="1"/>
  <c r="M167" i="5" a="1"/>
  <c r="M167" i="5" s="1"/>
  <c r="N166" i="5" a="1"/>
  <c r="N166" i="5" s="1"/>
  <c r="M166" i="5" a="1"/>
  <c r="M166" i="5" s="1"/>
  <c r="N165" i="5" a="1"/>
  <c r="N165" i="5" s="1"/>
  <c r="M165" i="5" a="1"/>
  <c r="M165" i="5" s="1"/>
  <c r="N164" i="5" a="1"/>
  <c r="N164" i="5" s="1"/>
  <c r="M164" i="5" a="1"/>
  <c r="M164" i="5" s="1"/>
  <c r="N163" i="5" a="1"/>
  <c r="N163" i="5" s="1"/>
  <c r="M163" i="5" a="1"/>
  <c r="M163" i="5" s="1"/>
  <c r="N162" i="5" a="1"/>
  <c r="N162" i="5" s="1"/>
  <c r="M162" i="5" a="1"/>
  <c r="M162" i="5" s="1"/>
  <c r="N161" i="5" a="1"/>
  <c r="N161" i="5" s="1"/>
  <c r="M161" i="5" a="1"/>
  <c r="M161" i="5" s="1"/>
  <c r="N160" i="5" a="1"/>
  <c r="N160" i="5" s="1"/>
  <c r="M160" i="5" a="1"/>
  <c r="M160" i="5" s="1"/>
  <c r="N159" i="5" a="1"/>
  <c r="N159" i="5" s="1"/>
  <c r="M159" i="5" a="1"/>
  <c r="M159" i="5" s="1"/>
  <c r="N158" i="5" a="1"/>
  <c r="N158" i="5" s="1"/>
  <c r="M158" i="5" a="1"/>
  <c r="M158" i="5" s="1"/>
  <c r="N157" i="5" a="1"/>
  <c r="N157" i="5" s="1"/>
  <c r="M157" i="5" a="1"/>
  <c r="M157" i="5" s="1"/>
  <c r="N156" i="5" a="1"/>
  <c r="N156" i="5" s="1"/>
  <c r="M156" i="5" a="1"/>
  <c r="M156" i="5" s="1"/>
  <c r="N155" i="5" a="1"/>
  <c r="N155" i="5" s="1"/>
  <c r="M155" i="5" a="1"/>
  <c r="M155" i="5" s="1"/>
  <c r="N154" i="5" a="1"/>
  <c r="N154" i="5" s="1"/>
  <c r="M154" i="5" a="1"/>
  <c r="M154" i="5" s="1"/>
  <c r="N153" i="5" a="1"/>
  <c r="N153" i="5" s="1"/>
  <c r="M153" i="5" a="1"/>
  <c r="M153" i="5" s="1"/>
  <c r="N152" i="5" a="1"/>
  <c r="N152" i="5" s="1"/>
  <c r="M152" i="5" a="1"/>
  <c r="M152" i="5" s="1"/>
  <c r="N151" i="5" a="1"/>
  <c r="N151" i="5" s="1"/>
  <c r="M151" i="5" a="1"/>
  <c r="M151" i="5" s="1"/>
  <c r="N150" i="5" a="1"/>
  <c r="N150" i="5" s="1"/>
  <c r="M150" i="5" a="1"/>
  <c r="M150" i="5" s="1"/>
  <c r="N149" i="5" a="1"/>
  <c r="N149" i="5" s="1"/>
  <c r="M149" i="5" a="1"/>
  <c r="M149" i="5" s="1"/>
  <c r="N148" i="5" a="1"/>
  <c r="N148" i="5" s="1"/>
  <c r="M148" i="5" a="1"/>
  <c r="M148" i="5" s="1"/>
  <c r="N147" i="5" a="1"/>
  <c r="N147" i="5" s="1"/>
  <c r="M147" i="5" a="1"/>
  <c r="M147" i="5" s="1"/>
  <c r="N146" i="5" a="1"/>
  <c r="N146" i="5" s="1"/>
  <c r="M146" i="5" a="1"/>
  <c r="M146" i="5" s="1"/>
  <c r="N145" i="5" a="1"/>
  <c r="N145" i="5" s="1"/>
  <c r="M145" i="5" a="1"/>
  <c r="M145" i="5" s="1"/>
  <c r="N144" i="5" a="1"/>
  <c r="N144" i="5" s="1"/>
  <c r="M144" i="5" a="1"/>
  <c r="M144" i="5" s="1"/>
  <c r="N143" i="5" a="1"/>
  <c r="N143" i="5" s="1"/>
  <c r="M143" i="5" a="1"/>
  <c r="M143" i="5" s="1"/>
  <c r="N142" i="5" a="1"/>
  <c r="N142" i="5" s="1"/>
  <c r="M142" i="5" a="1"/>
  <c r="M142" i="5" s="1"/>
  <c r="N141" i="5" a="1"/>
  <c r="N141" i="5" s="1"/>
  <c r="M141" i="5" a="1"/>
  <c r="M141" i="5" s="1"/>
  <c r="N140" i="5" a="1"/>
  <c r="N140" i="5" s="1"/>
  <c r="M140" i="5" a="1"/>
  <c r="M140" i="5" s="1"/>
  <c r="N139" i="5" a="1"/>
  <c r="N139" i="5" s="1"/>
  <c r="M139" i="5" a="1"/>
  <c r="M139" i="5" s="1"/>
  <c r="N138" i="5" a="1"/>
  <c r="N138" i="5" s="1"/>
  <c r="M138" i="5" a="1"/>
  <c r="M138" i="5" s="1"/>
  <c r="N137" i="5" a="1"/>
  <c r="N137" i="5" s="1"/>
  <c r="M137" i="5" a="1"/>
  <c r="M137" i="5" s="1"/>
  <c r="N136" i="5" a="1"/>
  <c r="N136" i="5" s="1"/>
  <c r="M136" i="5" a="1"/>
  <c r="M136" i="5" s="1"/>
  <c r="N135" i="5" a="1"/>
  <c r="N135" i="5" s="1"/>
  <c r="M135" i="5" a="1"/>
  <c r="M135" i="5" s="1"/>
  <c r="N134" i="5" a="1"/>
  <c r="N134" i="5" s="1"/>
  <c r="M134" i="5" a="1"/>
  <c r="M134" i="5" s="1"/>
  <c r="N133" i="5" a="1"/>
  <c r="N133" i="5" s="1"/>
  <c r="M133" i="5" a="1"/>
  <c r="M133" i="5" s="1"/>
  <c r="N132" i="5" a="1"/>
  <c r="N132" i="5" s="1"/>
  <c r="M132" i="5" a="1"/>
  <c r="M132" i="5" s="1"/>
  <c r="N131" i="5" a="1"/>
  <c r="N131" i="5" s="1"/>
  <c r="M131" i="5" a="1"/>
  <c r="M131" i="5" s="1"/>
  <c r="N130" i="5" a="1"/>
  <c r="N130" i="5" s="1"/>
  <c r="M130" i="5" a="1"/>
  <c r="M130" i="5" s="1"/>
  <c r="N129" i="5" a="1"/>
  <c r="N129" i="5" s="1"/>
  <c r="M129" i="5" a="1"/>
  <c r="M129" i="5" s="1"/>
  <c r="N128" i="5" a="1"/>
  <c r="N128" i="5" s="1"/>
  <c r="M128" i="5" a="1"/>
  <c r="M128" i="5" s="1"/>
  <c r="N127" i="5" a="1"/>
  <c r="N127" i="5" s="1"/>
  <c r="M127" i="5" a="1"/>
  <c r="M127" i="5" s="1"/>
  <c r="N126" i="5" a="1"/>
  <c r="N126" i="5" s="1"/>
  <c r="M126" i="5" a="1"/>
  <c r="M126" i="5" s="1"/>
  <c r="N125" i="5" a="1"/>
  <c r="N125" i="5" s="1"/>
  <c r="M125" i="5" a="1"/>
  <c r="M125" i="5" s="1"/>
  <c r="N124" i="5" a="1"/>
  <c r="N124" i="5" s="1"/>
  <c r="M124" i="5" a="1"/>
  <c r="M124" i="5" s="1"/>
  <c r="N123" i="5" a="1"/>
  <c r="N123" i="5" s="1"/>
  <c r="M123" i="5" a="1"/>
  <c r="M123" i="5" s="1"/>
  <c r="N122" i="5" a="1"/>
  <c r="N122" i="5" s="1"/>
  <c r="M122" i="5" a="1"/>
  <c r="M122" i="5" s="1"/>
  <c r="N121" i="5" a="1"/>
  <c r="N121" i="5" s="1"/>
  <c r="M121" i="5" a="1"/>
  <c r="M121" i="5" s="1"/>
  <c r="N120" i="5" a="1"/>
  <c r="N120" i="5" s="1"/>
  <c r="M120" i="5" a="1"/>
  <c r="M120" i="5" s="1"/>
  <c r="N119" i="5" a="1"/>
  <c r="N119" i="5" s="1"/>
  <c r="M119" i="5" a="1"/>
  <c r="M119" i="5" s="1"/>
  <c r="N118" i="5" a="1"/>
  <c r="N118" i="5" s="1"/>
  <c r="M118" i="5" a="1"/>
  <c r="M118" i="5" s="1"/>
  <c r="N117" i="5" a="1"/>
  <c r="N117" i="5" s="1"/>
  <c r="M117" i="5" a="1"/>
  <c r="M117" i="5" s="1"/>
  <c r="N116" i="5" a="1"/>
  <c r="N116" i="5" s="1"/>
  <c r="M116" i="5" a="1"/>
  <c r="M116" i="5" s="1"/>
  <c r="N115" i="5" a="1"/>
  <c r="N115" i="5" s="1"/>
  <c r="M115" i="5" a="1"/>
  <c r="M115" i="5" s="1"/>
  <c r="N114" i="5" a="1"/>
  <c r="N114" i="5" s="1"/>
  <c r="M114" i="5" a="1"/>
  <c r="M114" i="5" s="1"/>
  <c r="N113" i="5" a="1"/>
  <c r="N113" i="5" s="1"/>
  <c r="M113" i="5" a="1"/>
  <c r="M113" i="5" s="1"/>
  <c r="N112" i="5" a="1"/>
  <c r="N112" i="5" s="1"/>
  <c r="M112" i="5" a="1"/>
  <c r="M112" i="5" s="1"/>
  <c r="N111" i="5" a="1"/>
  <c r="N111" i="5" s="1"/>
  <c r="M111" i="5" a="1"/>
  <c r="M111" i="5" s="1"/>
  <c r="N110" i="5" a="1"/>
  <c r="N110" i="5" s="1"/>
  <c r="M110" i="5" a="1"/>
  <c r="M110" i="5" s="1"/>
  <c r="N109" i="5" a="1"/>
  <c r="N109" i="5" s="1"/>
  <c r="M109" i="5" a="1"/>
  <c r="M109" i="5" s="1"/>
  <c r="N108" i="5" a="1"/>
  <c r="N108" i="5" s="1"/>
  <c r="M108" i="5" a="1"/>
  <c r="M108" i="5" s="1"/>
  <c r="N107" i="5" a="1"/>
  <c r="N107" i="5" s="1"/>
  <c r="M107" i="5" a="1"/>
  <c r="M107" i="5" s="1"/>
  <c r="N106" i="5" a="1"/>
  <c r="N106" i="5" s="1"/>
  <c r="M106" i="5" a="1"/>
  <c r="M106" i="5" s="1"/>
  <c r="N105" i="5" a="1"/>
  <c r="N105" i="5" s="1"/>
  <c r="M105" i="5" a="1"/>
  <c r="M105" i="5" s="1"/>
  <c r="N104" i="5" a="1"/>
  <c r="N104" i="5" s="1"/>
  <c r="M104" i="5" a="1"/>
  <c r="M104" i="5" s="1"/>
  <c r="N103" i="5" a="1"/>
  <c r="N103" i="5" s="1"/>
  <c r="M103" i="5" a="1"/>
  <c r="M103" i="5" s="1"/>
  <c r="N102" i="5" a="1"/>
  <c r="N102" i="5" s="1"/>
  <c r="M102" i="5" a="1"/>
  <c r="M102" i="5" s="1"/>
  <c r="N101" i="5" a="1"/>
  <c r="N101" i="5" s="1"/>
  <c r="M101" i="5" a="1"/>
  <c r="M101" i="5" s="1"/>
  <c r="N100" i="5" a="1"/>
  <c r="N100" i="5" s="1"/>
  <c r="M100" i="5" a="1"/>
  <c r="M100" i="5" s="1"/>
  <c r="N99" i="5" a="1"/>
  <c r="N99" i="5" s="1"/>
  <c r="M99" i="5" a="1"/>
  <c r="M99" i="5" s="1"/>
  <c r="N98" i="5" a="1"/>
  <c r="N98" i="5" s="1"/>
  <c r="M98" i="5" a="1"/>
  <c r="M98" i="5" s="1"/>
  <c r="N97" i="5" a="1"/>
  <c r="N97" i="5" s="1"/>
  <c r="M97" i="5" a="1"/>
  <c r="M97" i="5" s="1"/>
  <c r="N96" i="5" a="1"/>
  <c r="N96" i="5" s="1"/>
  <c r="M96" i="5" a="1"/>
  <c r="M96" i="5" s="1"/>
  <c r="N95" i="5" a="1"/>
  <c r="N95" i="5" s="1"/>
  <c r="M95" i="5" a="1"/>
  <c r="M95" i="5" s="1"/>
  <c r="N94" i="5" a="1"/>
  <c r="N94" i="5" s="1"/>
  <c r="M94" i="5" a="1"/>
  <c r="M94" i="5" s="1"/>
  <c r="N93" i="5" a="1"/>
  <c r="N93" i="5" s="1"/>
  <c r="M93" i="5" a="1"/>
  <c r="M93" i="5" s="1"/>
  <c r="N92" i="5" a="1"/>
  <c r="N92" i="5" s="1"/>
  <c r="M92" i="5" a="1"/>
  <c r="M92" i="5" s="1"/>
  <c r="N91" i="5" a="1"/>
  <c r="N91" i="5" s="1"/>
  <c r="M91" i="5" a="1"/>
  <c r="M91" i="5" s="1"/>
  <c r="N90" i="5" a="1"/>
  <c r="N90" i="5" s="1"/>
  <c r="M90" i="5" a="1"/>
  <c r="M90" i="5" s="1"/>
  <c r="N89" i="5" a="1"/>
  <c r="N89" i="5" s="1"/>
  <c r="M89" i="5" a="1"/>
  <c r="M89" i="5" s="1"/>
  <c r="N88" i="5" a="1"/>
  <c r="N88" i="5" s="1"/>
  <c r="M88" i="5" a="1"/>
  <c r="M88" i="5" s="1"/>
  <c r="N87" i="5" a="1"/>
  <c r="N87" i="5" s="1"/>
  <c r="M87" i="5" a="1"/>
  <c r="M87" i="5" s="1"/>
  <c r="N86" i="5" a="1"/>
  <c r="N86" i="5" s="1"/>
  <c r="M86" i="5" a="1"/>
  <c r="M86" i="5" s="1"/>
  <c r="N85" i="5" a="1"/>
  <c r="N85" i="5" s="1"/>
  <c r="M85" i="5" a="1"/>
  <c r="M85" i="5" s="1"/>
  <c r="N84" i="5" a="1"/>
  <c r="N84" i="5" s="1"/>
  <c r="M84" i="5" a="1"/>
  <c r="M84" i="5" s="1"/>
  <c r="N83" i="5" a="1"/>
  <c r="N83" i="5" s="1"/>
  <c r="M83" i="5" a="1"/>
  <c r="M83" i="5" s="1"/>
  <c r="N82" i="5" a="1"/>
  <c r="N82" i="5" s="1"/>
  <c r="M82" i="5" a="1"/>
  <c r="M82" i="5" s="1"/>
  <c r="N81" i="5" a="1"/>
  <c r="N81" i="5" s="1"/>
  <c r="M81" i="5" a="1"/>
  <c r="M81" i="5" s="1"/>
  <c r="N80" i="5" a="1"/>
  <c r="N80" i="5" s="1"/>
  <c r="M80" i="5" a="1"/>
  <c r="M80" i="5" s="1"/>
  <c r="N79" i="5" a="1"/>
  <c r="N79" i="5" s="1"/>
  <c r="M79" i="5" a="1"/>
  <c r="M79" i="5" s="1"/>
  <c r="N78" i="5" a="1"/>
  <c r="N78" i="5" s="1"/>
  <c r="M78" i="5" a="1"/>
  <c r="M78" i="5" s="1"/>
  <c r="N77" i="5" a="1"/>
  <c r="N77" i="5" s="1"/>
  <c r="M77" i="5" a="1"/>
  <c r="M77" i="5" s="1"/>
  <c r="N76" i="5" a="1"/>
  <c r="N76" i="5" s="1"/>
  <c r="M76" i="5" a="1"/>
  <c r="M76" i="5" s="1"/>
  <c r="N75" i="5" a="1"/>
  <c r="N75" i="5" s="1"/>
  <c r="M75" i="5" a="1"/>
  <c r="M75" i="5" s="1"/>
  <c r="N74" i="5" a="1"/>
  <c r="N74" i="5" s="1"/>
  <c r="M74" i="5" a="1"/>
  <c r="M74" i="5" s="1"/>
  <c r="N73" i="5" a="1"/>
  <c r="N73" i="5" s="1"/>
  <c r="M73" i="5" a="1"/>
  <c r="M73" i="5" s="1"/>
  <c r="N72" i="5" a="1"/>
  <c r="N72" i="5" s="1"/>
  <c r="M72" i="5" a="1"/>
  <c r="M72" i="5" s="1"/>
  <c r="N71" i="5" a="1"/>
  <c r="N71" i="5" s="1"/>
  <c r="M71" i="5" a="1"/>
  <c r="M71" i="5" s="1"/>
  <c r="N70" i="5" a="1"/>
  <c r="N70" i="5" s="1"/>
  <c r="M70" i="5" a="1"/>
  <c r="M70" i="5" s="1"/>
  <c r="N69" i="5" a="1"/>
  <c r="N69" i="5" s="1"/>
  <c r="M69" i="5" a="1"/>
  <c r="M69" i="5" s="1"/>
  <c r="N68" i="5" a="1"/>
  <c r="N68" i="5" s="1"/>
  <c r="M68" i="5" a="1"/>
  <c r="M68" i="5" s="1"/>
  <c r="N67" i="5" a="1"/>
  <c r="N67" i="5" s="1"/>
  <c r="M67" i="5" a="1"/>
  <c r="M67" i="5" s="1"/>
  <c r="N66" i="5" a="1"/>
  <c r="N66" i="5" s="1"/>
  <c r="M66" i="5" a="1"/>
  <c r="M66" i="5" s="1"/>
  <c r="N65" i="5" a="1"/>
  <c r="N65" i="5" s="1"/>
  <c r="M65" i="5" a="1"/>
  <c r="M65" i="5" s="1"/>
  <c r="N64" i="5" a="1"/>
  <c r="N64" i="5" s="1"/>
  <c r="M64" i="5" a="1"/>
  <c r="M64" i="5" s="1"/>
  <c r="N63" i="5" a="1"/>
  <c r="N63" i="5" s="1"/>
  <c r="M63" i="5" a="1"/>
  <c r="M63" i="5" s="1"/>
  <c r="N62" i="5" a="1"/>
  <c r="N62" i="5" s="1"/>
  <c r="M62" i="5" a="1"/>
  <c r="M62" i="5" s="1"/>
  <c r="N61" i="5" a="1"/>
  <c r="N61" i="5" s="1"/>
  <c r="M61" i="5" a="1"/>
  <c r="M61" i="5" s="1"/>
  <c r="N60" i="5" a="1"/>
  <c r="N60" i="5" s="1"/>
  <c r="M60" i="5" a="1"/>
  <c r="M60" i="5" s="1"/>
  <c r="N59" i="5" a="1"/>
  <c r="N59" i="5" s="1"/>
  <c r="M59" i="5" a="1"/>
  <c r="M59" i="5" s="1"/>
  <c r="N58" i="5" a="1"/>
  <c r="N58" i="5" s="1"/>
  <c r="M58" i="5" a="1"/>
  <c r="M58" i="5" s="1"/>
  <c r="N57" i="5" a="1"/>
  <c r="N57" i="5" s="1"/>
  <c r="M57" i="5" a="1"/>
  <c r="M57" i="5" s="1"/>
  <c r="N56" i="5" a="1"/>
  <c r="N56" i="5" s="1"/>
  <c r="M56" i="5" a="1"/>
  <c r="M56" i="5" s="1"/>
  <c r="N55" i="5" a="1"/>
  <c r="N55" i="5" s="1"/>
  <c r="M55" i="5" a="1"/>
  <c r="M55" i="5" s="1"/>
  <c r="N54" i="5" a="1"/>
  <c r="N54" i="5" s="1"/>
  <c r="M54" i="5" a="1"/>
  <c r="M54" i="5" s="1"/>
  <c r="N53" i="5" a="1"/>
  <c r="N53" i="5" s="1"/>
  <c r="M53" i="5" a="1"/>
  <c r="M53" i="5" s="1"/>
  <c r="N52" i="5" a="1"/>
  <c r="N52" i="5" s="1"/>
  <c r="M52" i="5" a="1"/>
  <c r="M52" i="5" s="1"/>
  <c r="N51" i="5" a="1"/>
  <c r="N51" i="5" s="1"/>
  <c r="M51" i="5" a="1"/>
  <c r="M51" i="5" s="1"/>
  <c r="N50" i="5" a="1"/>
  <c r="N50" i="5" s="1"/>
  <c r="M50" i="5" a="1"/>
  <c r="M50" i="5" s="1"/>
  <c r="N49" i="5" a="1"/>
  <c r="N49" i="5" s="1"/>
  <c r="M49" i="5" a="1"/>
  <c r="M49" i="5" s="1"/>
  <c r="N48" i="5" a="1"/>
  <c r="N48" i="5" s="1"/>
  <c r="M48" i="5" a="1"/>
  <c r="M48" i="5" s="1"/>
  <c r="N47" i="5" a="1"/>
  <c r="N47" i="5" s="1"/>
  <c r="M47" i="5" a="1"/>
  <c r="M47" i="5" s="1"/>
  <c r="N46" i="5" a="1"/>
  <c r="N46" i="5" s="1"/>
  <c r="M46" i="5" a="1"/>
  <c r="M46" i="5" s="1"/>
  <c r="N45" i="5" a="1"/>
  <c r="N45" i="5" s="1"/>
  <c r="M45" i="5" a="1"/>
  <c r="M45" i="5" s="1"/>
  <c r="N44" i="5" a="1"/>
  <c r="N44" i="5" s="1"/>
  <c r="M44" i="5" a="1"/>
  <c r="M44" i="5" s="1"/>
  <c r="N43" i="5" a="1"/>
  <c r="N43" i="5" s="1"/>
  <c r="M43" i="5" a="1"/>
  <c r="M43" i="5" s="1"/>
  <c r="N42" i="5" a="1"/>
  <c r="N42" i="5" s="1"/>
  <c r="M42" i="5" a="1"/>
  <c r="M42" i="5" s="1"/>
  <c r="N41" i="5" a="1"/>
  <c r="N41" i="5" s="1"/>
  <c r="M41" i="5" a="1"/>
  <c r="M41" i="5" s="1"/>
  <c r="N40" i="5" a="1"/>
  <c r="N40" i="5" s="1"/>
  <c r="M40" i="5" a="1"/>
  <c r="M40" i="5" s="1"/>
  <c r="N39" i="5" a="1"/>
  <c r="N39" i="5" s="1"/>
  <c r="M39" i="5" a="1"/>
  <c r="M39" i="5" s="1"/>
  <c r="N38" i="5" a="1"/>
  <c r="N38" i="5" s="1"/>
  <c r="M38" i="5" a="1"/>
  <c r="M38" i="5" s="1"/>
  <c r="N37" i="5" a="1"/>
  <c r="N37" i="5" s="1"/>
  <c r="M37" i="5" a="1"/>
  <c r="M37" i="5" s="1"/>
  <c r="N36" i="5" a="1"/>
  <c r="N36" i="5" s="1"/>
  <c r="M36" i="5" a="1"/>
  <c r="M36" i="5" s="1"/>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32" i="5"/>
  <c r="O233" i="5"/>
  <c r="O234"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N35" i="5" a="1"/>
  <c r="N35" i="5" s="1"/>
  <c r="M35" i="5" a="1"/>
  <c r="M35" i="5" s="1"/>
  <c r="N34" i="5" a="1"/>
  <c r="N34" i="5" s="1"/>
  <c r="M34" i="5" a="1"/>
  <c r="M34" i="5" s="1"/>
  <c r="O34" i="5"/>
  <c r="O35" i="5"/>
  <c r="N33" i="5" a="1"/>
  <c r="N33" i="5" s="1"/>
  <c r="M33" i="5" a="1"/>
  <c r="M33" i="5" s="1"/>
  <c r="N32" i="5" a="1"/>
  <c r="N32" i="5" s="1"/>
  <c r="M32" i="5" a="1"/>
  <c r="M32" i="5" s="1"/>
  <c r="N31" i="5" a="1"/>
  <c r="N31" i="5" s="1"/>
  <c r="M31" i="5" a="1"/>
  <c r="M31" i="5" s="1"/>
  <c r="O31" i="5"/>
  <c r="O32" i="5"/>
  <c r="O33" i="5"/>
  <c r="N30" i="5" a="1"/>
  <c r="N30" i="5" s="1"/>
  <c r="M30" i="5" a="1"/>
  <c r="M30" i="5" s="1"/>
  <c r="O30" i="5"/>
  <c r="N29" i="5" a="1"/>
  <c r="N29" i="5" s="1"/>
  <c r="M29" i="5" a="1"/>
  <c r="M29" i="5" s="1"/>
  <c r="N28" i="5" a="1"/>
  <c r="N28" i="5" s="1"/>
  <c r="M28" i="5" a="1"/>
  <c r="M28" i="5" s="1"/>
  <c r="O28" i="5"/>
  <c r="O29" i="5"/>
  <c r="N27" i="5" a="1"/>
  <c r="N27" i="5" s="1"/>
  <c r="M27" i="5" a="1"/>
  <c r="M27" i="5" s="1"/>
  <c r="N26" i="5" a="1"/>
  <c r="N26" i="5" s="1"/>
  <c r="M26" i="5" a="1"/>
  <c r="M26" i="5" s="1"/>
  <c r="N25" i="5" a="1"/>
  <c r="N25" i="5" s="1"/>
  <c r="M25" i="5" a="1"/>
  <c r="M25" i="5" s="1"/>
  <c r="N24" i="5" a="1"/>
  <c r="N24" i="5" s="1"/>
  <c r="M24" i="5" a="1"/>
  <c r="M24" i="5" s="1"/>
  <c r="N23" i="5" a="1"/>
  <c r="N23" i="5" s="1"/>
  <c r="M23" i="5" a="1"/>
  <c r="M23" i="5" s="1"/>
  <c r="N22" i="5" a="1"/>
  <c r="N22" i="5" s="1"/>
  <c r="M22" i="5" a="1"/>
  <c r="M22" i="5" s="1"/>
  <c r="O22" i="5"/>
  <c r="O23" i="5"/>
  <c r="O24" i="5"/>
  <c r="O25" i="5"/>
  <c r="O26" i="5"/>
  <c r="O27" i="5"/>
  <c r="N21" i="5" a="1"/>
  <c r="N21" i="5" s="1"/>
  <c r="M21" i="5" a="1"/>
  <c r="M21" i="5" s="1"/>
  <c r="N20" i="5" a="1"/>
  <c r="N20" i="5" s="1"/>
  <c r="M20" i="5" a="1"/>
  <c r="M20" i="5" s="1"/>
  <c r="O20" i="5"/>
  <c r="O21" i="5"/>
  <c r="N19" i="5" a="1"/>
  <c r="N19" i="5" s="1"/>
  <c r="M19" i="5" a="1"/>
  <c r="M19" i="5" s="1"/>
  <c r="N18" i="5" a="1"/>
  <c r="N18" i="5" s="1"/>
  <c r="M18" i="5" a="1"/>
  <c r="M18" i="5" s="1"/>
  <c r="N17" i="5" a="1"/>
  <c r="N17" i="5" s="1"/>
  <c r="M17" i="5" a="1"/>
  <c r="M17" i="5" s="1"/>
  <c r="N16" i="5" a="1"/>
  <c r="N16" i="5" s="1"/>
  <c r="M16" i="5" a="1"/>
  <c r="M16" i="5" s="1"/>
  <c r="N15" i="5" a="1"/>
  <c r="N15" i="5" s="1"/>
  <c r="M15" i="5" a="1"/>
  <c r="M15" i="5" s="1"/>
  <c r="N14" i="5" a="1"/>
  <c r="N14" i="5" s="1"/>
  <c r="M14" i="5" a="1"/>
  <c r="M14" i="5" s="1"/>
  <c r="N13" i="5" a="1"/>
  <c r="N13" i="5" s="1"/>
  <c r="M13" i="5" a="1"/>
  <c r="M13" i="5" s="1"/>
  <c r="N12" i="5" a="1"/>
  <c r="N12" i="5" s="1"/>
  <c r="M12" i="5" a="1"/>
  <c r="M12" i="5" s="1"/>
  <c r="N11" i="5" a="1"/>
  <c r="N11" i="5" s="1"/>
  <c r="M11" i="5" a="1"/>
  <c r="M11" i="5" s="1"/>
  <c r="N10" i="5" a="1"/>
  <c r="N10" i="5" s="1"/>
  <c r="M10" i="5" a="1"/>
  <c r="M10" i="5" s="1"/>
  <c r="N9" i="5" a="1"/>
  <c r="N9" i="5" s="1"/>
  <c r="M9" i="5" a="1"/>
  <c r="M9" i="5" s="1"/>
  <c r="N8" i="5" a="1"/>
  <c r="N8" i="5" s="1"/>
  <c r="M8" i="5" a="1"/>
  <c r="M8" i="5" s="1"/>
  <c r="N7" i="5" a="1"/>
  <c r="N7" i="5" s="1"/>
  <c r="M7" i="5" a="1"/>
  <c r="M7" i="5" s="1"/>
  <c r="N6" i="5" a="1"/>
  <c r="N6" i="5" s="1"/>
  <c r="M6" i="5" a="1"/>
  <c r="M6" i="5" s="1"/>
  <c r="N5" i="5" a="1"/>
  <c r="N5" i="5" s="1"/>
  <c r="M5" i="5" a="1"/>
  <c r="M5" i="5" s="1"/>
  <c r="N4" i="5" a="1"/>
  <c r="N4" i="5" s="1"/>
  <c r="M4" i="5" a="1"/>
  <c r="M4" i="5" s="1"/>
  <c r="N3" i="5" a="1"/>
  <c r="N3" i="5" s="1"/>
  <c r="M3" i="5" a="1"/>
  <c r="M3" i="5" s="1"/>
  <c r="O3" i="5"/>
  <c r="O4" i="5"/>
  <c r="O5" i="5"/>
  <c r="O6" i="5"/>
  <c r="O7" i="5"/>
  <c r="O8" i="5"/>
  <c r="O9" i="5"/>
  <c r="O10" i="5"/>
  <c r="O11" i="5"/>
  <c r="O12" i="5"/>
  <c r="O13" i="5"/>
  <c r="O14" i="5"/>
  <c r="O15" i="5"/>
  <c r="O16" i="5"/>
  <c r="O17" i="5"/>
  <c r="O18" i="5"/>
  <c r="O19" i="5"/>
  <c r="O2" i="5" l="1"/>
  <c r="M2" i="5" l="1" a="1"/>
  <c r="M2" i="5" s="1"/>
  <c r="N2" i="5" a="1"/>
  <c r="N2"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9548A1-8026-E046-8125-A3F554DEC7AF}" keepAlive="1" name="Query - us_core_reqs" description="Connection to the 'us_core_reqs' query in the workbook." type="5" refreshedVersion="8" background="1" saveData="1">
    <dbPr connection="Provider=Microsoft.Mashup.OleDb.1;Data Source=$Workbook$;Location=us_core_reqs;Extended Properties=&quot;&quot;" command="SELECT * FROM [us_core_req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<sst xmlns="http://schemas.openxmlformats.org/spreadsheetml/2006/main" count="19684" uniqueCount="2234">
  <si>
    <r>
      <rPr>
        <b/>
        <sz val="14"/>
        <color rgb="FF000000"/>
        <rFont val="Aptos Narrow"/>
        <scheme val="minor"/>
      </rPr>
      <t xml:space="preserve">Purpose
</t>
    </r>
    <r>
      <rPr>
        <sz val="11"/>
        <color rgb="FF000000"/>
        <rFont val="Aptos Narrow"/>
        <scheme val="minor"/>
      </rPr>
      <t xml:space="preserve">
The primary purpose of this document is to help developers create the </t>
    </r>
    <r>
      <rPr>
        <b/>
        <sz val="11"/>
        <color rgb="FF000000"/>
        <rFont val="Aptos Narrow"/>
        <scheme val="minor"/>
      </rPr>
      <t>Requirements List CSV</t>
    </r>
    <r>
      <rPr>
        <sz val="11"/>
        <color rgb="FF000000"/>
        <rFont val="Aptos Narrow"/>
        <scheme val="minor"/>
      </rPr>
      <t xml:space="preserve">  and </t>
    </r>
    <r>
      <rPr>
        <b/>
        <sz val="11"/>
        <color rgb="FF000000"/>
        <rFont val="Aptos Narrow"/>
        <scheme val="minor"/>
      </rPr>
      <t xml:space="preserve">Out-of-Scope Requirements List CSV </t>
    </r>
    <r>
      <rPr>
        <sz val="11"/>
        <color rgb="FF000000"/>
        <rFont val="Aptos Narrow"/>
        <scheme val="minor"/>
      </rPr>
      <t xml:space="preserve">documents. The </t>
    </r>
    <r>
      <rPr>
        <b/>
        <sz val="11"/>
        <color rgb="FF000000"/>
        <rFont val="Aptos Narrow"/>
        <scheme val="minor"/>
      </rPr>
      <t>Requirements CSV</t>
    </r>
    <r>
      <rPr>
        <sz val="11"/>
        <color rgb="FF000000"/>
        <rFont val="Aptos Narrow"/>
        <scheme val="minor"/>
      </rPr>
      <t xml:space="preserve"> is the authoritative source for  requirements extracted from an Implementation Guide. The </t>
    </r>
    <r>
      <rPr>
        <b/>
        <sz val="11"/>
        <color rgb="FF000000"/>
        <rFont val="Aptos Narrow"/>
        <scheme val="minor"/>
      </rPr>
      <t>Out-of-Scope Requirements List CSV</t>
    </r>
    <r>
      <rPr>
        <sz val="11"/>
        <color rgb="FF000000"/>
        <rFont val="Aptos Narrow"/>
        <scheme val="minor"/>
      </rPr>
      <t xml:space="preserve"> defines which requirements will not be tested in Inferno.
These two files will be combined with annotations within Inferno test kits indicating which tests verify which requirements to generate a</t>
    </r>
    <r>
      <rPr>
        <b/>
        <sz val="11"/>
        <color rgb="FF000000"/>
        <rFont val="Aptos Narrow"/>
        <scheme val="minor"/>
      </rPr>
      <t xml:space="preserve"> Requirement Coverage Matrix CSV</t>
    </r>
    <r>
      <rPr>
        <sz val="11"/>
        <color rgb="FF000000"/>
        <rFont val="Aptos Narrow"/>
        <scheme val="minor"/>
      </rPr>
      <t xml:space="preserve"> that details which requirements are verified and where work is still needed.
</t>
    </r>
    <r>
      <rPr>
        <b/>
        <sz val="14"/>
        <color rgb="FF000000"/>
        <rFont val="Aptos Narrow"/>
        <scheme val="minor"/>
      </rPr>
      <t xml:space="preserve">Filename and Requirement Set ID
</t>
    </r>
    <r>
      <rPr>
        <sz val="11"/>
        <color rgb="FF000000"/>
        <rFont val="Aptos Narrow"/>
        <scheme val="minor"/>
      </rPr>
      <t xml:space="preserve">
This document will be named using an official identifier for the requirement set (Requirement Set Id) with the suffix "_reqs".
To find the Requirement Set Id for an IG, scroll to the footer on the IG page and copy the identifier that looks like "hl7.fhir.us.davinci-drug-formulary#2.0.1". Then, replace the "#" with an underscore.
For example, the Requirement Set Id name for  the Da Vinci Drug Formulary v2.0.1 would be  "hl7.fhir.us.davinci-drug-formulary_2.0.1" and the excel file name would be "hl7.fhir.us.davinci-drug-formulary_2.0.1_reqs.xslx". 
This requirement set will also be used as the namespace for referencing requirements from this document and will be defined in the Metadata tab under "Id"</t>
    </r>
  </si>
  <si>
    <r>
      <rPr>
        <b/>
        <sz val="14"/>
        <color theme="1"/>
        <rFont val="Aptos Narrow (Body)"/>
      </rPr>
      <t>Exporting to CSVs</t>
    </r>
    <r>
      <rPr>
        <b/>
        <sz val="11"/>
        <color theme="1"/>
        <rFont val="Aptos Narrow"/>
        <scheme val="minor"/>
      </rPr>
      <t xml:space="preserve">
</t>
    </r>
    <r>
      <rPr>
        <sz val="11"/>
        <color theme="1"/>
        <rFont val="Aptos Narrow"/>
        <scheme val="minor"/>
      </rPr>
      <t>To export data from this sheet into the Requirements List CSV  and Out-of-Scope Requirements List CSV files, follow the instructions in the "</t>
    </r>
    <r>
      <rPr>
        <i/>
        <sz val="11"/>
        <color theme="1"/>
        <rFont val="Aptos Narrow"/>
        <scheme val="minor"/>
      </rPr>
      <t>Converting the template to source-controlled artifacts</t>
    </r>
    <r>
      <rPr>
        <sz val="11"/>
        <color theme="1"/>
        <rFont val="Aptos Narrow"/>
        <scheme val="minor"/>
      </rPr>
      <t xml:space="preserve">" section of the Requirements and Traceability guide located here: https://mitre.sharepoint.com/:f:/r/sites/Inferno/Shared%20Documents/Testing%20and%20Development/Requirements%20Gathering?csf=1&amp;web=1&amp;e=8aTIeB
</t>
    </r>
  </si>
  <si>
    <r>
      <rPr>
        <b/>
        <sz val="14"/>
        <color rgb="FF000000"/>
        <rFont val="Aptos Narrow (Body)"/>
      </rPr>
      <t>Extracting and Recording Requirements</t>
    </r>
    <r>
      <rPr>
        <b/>
        <sz val="12"/>
        <color rgb="FF000000"/>
        <rFont val="Aptos Narrow"/>
        <scheme val="minor"/>
      </rPr>
      <t xml:space="preserve">
</t>
    </r>
    <r>
      <rPr>
        <sz val="11"/>
        <color rgb="FF000000"/>
        <rFont val="Aptos Narrow"/>
        <scheme val="minor"/>
      </rPr>
      <t xml:space="preserve">
Extracting requirements from an IG is a necessary step towards creating a complete test kit and enabling traceability between tests and the requirements they are testing.
Extracting requirements from an IG is challenging. The requirements are often in a narrative context, use unclear language, and do not have an associated identifier. Details on breaking up compound requirements and clarifying the language for a requirement is included in </t>
    </r>
    <r>
      <rPr>
        <b/>
        <sz val="11"/>
        <color rgb="FF000000"/>
        <rFont val="Aptos Narrow"/>
        <scheme val="minor"/>
      </rPr>
      <t>Further Considerations</t>
    </r>
    <r>
      <rPr>
        <sz val="11"/>
        <color rgb="FF000000"/>
        <rFont val="Aptos Narrow"/>
        <scheme val="minor"/>
      </rPr>
      <t xml:space="preserve"> below.</t>
    </r>
  </si>
  <si>
    <r>
      <t xml:space="preserve">Exported Columns
Columns that get exported to the </t>
    </r>
    <r>
      <rPr>
        <b/>
        <sz val="11"/>
        <color rgb="FF000000"/>
        <rFont val="Aptos Narrow"/>
        <scheme val="minor"/>
      </rPr>
      <t xml:space="preserve">Requirements List CSV </t>
    </r>
    <r>
      <rPr>
        <sz val="11"/>
        <color rgb="FF000000"/>
        <rFont val="Aptos Narrow"/>
        <scheme val="minor"/>
      </rPr>
      <t>file are yellow. Many of these values map to elements within the R5 Requirements element. Columns that get exported into the</t>
    </r>
    <r>
      <rPr>
        <b/>
        <sz val="11"/>
        <color rgb="FF000000"/>
        <rFont val="Aptos Narrow"/>
        <scheme val="minor"/>
      </rPr>
      <t xml:space="preserve"> Out-of-Scope Requirements List CSV </t>
    </r>
    <r>
      <rPr>
        <sz val="11"/>
        <color rgb="FF000000"/>
        <rFont val="Aptos Narrow"/>
        <scheme val="minor"/>
      </rPr>
      <t xml:space="preserve"> file are orange. Do not remove, rename, or reorder these columns.
</t>
    </r>
    <r>
      <rPr>
        <b/>
        <sz val="11"/>
        <color rgb="FF000000"/>
        <rFont val="Aptos Narrow"/>
        <scheme val="minor"/>
      </rPr>
      <t xml:space="preserve">Required Columns
</t>
    </r>
    <r>
      <rPr>
        <sz val="11"/>
        <color rgb="FF000000"/>
        <rFont val="Aptos Narrow"/>
        <scheme val="minor"/>
      </rPr>
      <t>Required columns are denoted with an `*` in the column name.
You must populate required columns.</t>
    </r>
  </si>
  <si>
    <r>
      <rPr>
        <b/>
        <sz val="14"/>
        <color theme="1"/>
        <rFont val="Aptos Narrow (Body)"/>
      </rPr>
      <t>Auto-Generated Columns</t>
    </r>
    <r>
      <rPr>
        <b/>
        <sz val="11"/>
        <color theme="1"/>
        <rFont val="Aptos Narrow"/>
        <scheme val="minor"/>
      </rPr>
      <t xml:space="preserve">
</t>
    </r>
    <r>
      <rPr>
        <sz val="11"/>
        <color theme="1"/>
        <rFont val="Aptos Narrow"/>
        <scheme val="minor"/>
      </rPr>
      <t>Auto-Generated columns are blue.</t>
    </r>
    <r>
      <rPr>
        <b/>
        <sz val="11"/>
        <color theme="1"/>
        <rFont val="Aptos Narrow"/>
        <scheme val="minor"/>
      </rPr>
      <t xml:space="preserve">
</t>
    </r>
    <r>
      <rPr>
        <sz val="11"/>
        <color theme="1"/>
        <rFont val="Aptos Narrow"/>
        <scheme val="minor"/>
      </rPr>
      <t xml:space="preserve">Auto-Generated columns are populated based on information from the required columns.
</t>
    </r>
    <r>
      <rPr>
        <b/>
        <sz val="11"/>
        <color theme="1"/>
        <rFont val="Aptos Narrow"/>
        <scheme val="minor"/>
      </rPr>
      <t>Page</t>
    </r>
    <r>
      <rPr>
        <sz val="11"/>
        <color theme="1"/>
        <rFont val="Aptos Narrow"/>
        <scheme val="minor"/>
      </rPr>
      <t xml:space="preserve">
The page the requirement came from, extracted from the URL.
</t>
    </r>
    <r>
      <rPr>
        <b/>
        <sz val="11"/>
        <color theme="1"/>
        <rFont val="Aptos Narrow"/>
        <scheme val="minor"/>
      </rPr>
      <t>Section</t>
    </r>
    <r>
      <rPr>
        <sz val="11"/>
        <color theme="1"/>
        <rFont val="Aptos Narrow"/>
        <scheme val="minor"/>
      </rPr>
      <t xml:space="preserve">
The section the requirement came from, extracted from the URL.
</t>
    </r>
  </si>
  <si>
    <r>
      <rPr>
        <b/>
        <sz val="14"/>
        <color rgb="FF000000"/>
        <rFont val="Aptos Narrow (Body)"/>
      </rPr>
      <t>Helper Columns</t>
    </r>
    <r>
      <rPr>
        <b/>
        <sz val="11"/>
        <color rgb="FF000000"/>
        <rFont val="Aptos Narrow"/>
        <scheme val="minor"/>
      </rPr>
      <t xml:space="preserve">
</t>
    </r>
    <r>
      <rPr>
        <sz val="11"/>
        <color rgb="FF000000"/>
        <rFont val="Aptos Narrow"/>
        <scheme val="minor"/>
      </rPr>
      <t xml:space="preserve">
Helper columns are green and are meant to help you, the developer, write tests that align to the requirements. Modify, ignore, or delete as needed
</t>
    </r>
    <r>
      <rPr>
        <b/>
        <sz val="11"/>
        <color rgb="FF000000"/>
        <rFont val="Aptos Narrow"/>
        <scheme val="minor"/>
      </rPr>
      <t xml:space="preserve">Conditionality Description
</t>
    </r>
    <r>
      <rPr>
        <sz val="11"/>
        <color rgb="FF000000"/>
        <rFont val="Aptos Narrow"/>
        <scheme val="minor"/>
      </rPr>
      <t xml:space="preserve">If the requirement is conditional, detail on when it is in force.
</t>
    </r>
    <r>
      <rPr>
        <b/>
        <sz val="11"/>
        <color rgb="FF000000"/>
        <rFont val="Aptos Narrow"/>
        <scheme val="minor"/>
      </rPr>
      <t xml:space="preserve">Section #
</t>
    </r>
    <r>
      <rPr>
        <sz val="11"/>
        <color rgb="FF000000"/>
        <rFont val="Aptos Narrow"/>
        <scheme val="minor"/>
      </rPr>
      <t xml:space="preserve">Section number for the section of the IG the requirement comes from. Can be helpful for sorting and putting related / close-by sections together.
</t>
    </r>
    <r>
      <rPr>
        <b/>
        <sz val="11"/>
        <color rgb="FF000000"/>
        <rFont val="Aptos Narrow"/>
        <scheme val="minor"/>
      </rPr>
      <t xml:space="preserve">Group
</t>
    </r>
    <r>
      <rPr>
        <sz val="11"/>
        <color rgb="FF000000"/>
        <rFont val="Aptos Narrow"/>
        <scheme val="minor"/>
      </rPr>
      <t xml:space="preserve">Any label you like to help organize the requirements to make test development easier.
</t>
    </r>
    <r>
      <rPr>
        <b/>
        <sz val="11"/>
        <color rgb="FF000000"/>
        <rFont val="Aptos Narrow"/>
        <scheme val="minor"/>
      </rPr>
      <t xml:space="preserve">Priority
</t>
    </r>
    <r>
      <rPr>
        <sz val="11"/>
        <color rgb="FF000000"/>
        <rFont val="Aptos Narrow"/>
        <scheme val="minor"/>
      </rPr>
      <t xml:space="preserve">The relative priority of testing this requirement versus the other requirements. Helpful for determining what requirement tests to drop if time constraints become an issue.
</t>
    </r>
    <r>
      <rPr>
        <b/>
        <sz val="11"/>
        <color rgb="FF000000"/>
        <rFont val="Aptos Narrow"/>
        <scheme val="minor"/>
      </rPr>
      <t xml:space="preserve">Test Plan
</t>
    </r>
    <r>
      <rPr>
        <sz val="11"/>
        <color rgb="FF000000"/>
        <rFont val="Aptos Narrow"/>
        <scheme val="minor"/>
      </rPr>
      <t xml:space="preserve">A high level outline of how Inferno will test the requirement.
</t>
    </r>
    <r>
      <rPr>
        <b/>
        <sz val="11"/>
        <color rgb="FF000000"/>
        <rFont val="Aptos Narrow"/>
        <scheme val="minor"/>
      </rPr>
      <t xml:space="preserve">Questions
</t>
    </r>
    <r>
      <rPr>
        <sz val="11"/>
        <color rgb="FF000000"/>
        <rFont val="Aptos Narrow"/>
        <scheme val="minor"/>
      </rPr>
      <t xml:space="preserve">Any questions you have about the requirement.
</t>
    </r>
    <r>
      <rPr>
        <b/>
        <sz val="11"/>
        <color rgb="FF000000"/>
        <rFont val="Aptos Narrow"/>
        <scheme val="minor"/>
      </rPr>
      <t xml:space="preserve">Notes
</t>
    </r>
    <r>
      <rPr>
        <sz val="11"/>
        <color rgb="FF000000"/>
        <rFont val="Aptos Narrow"/>
        <scheme val="minor"/>
      </rPr>
      <t>Miscellaneous details without another place (e.g., why a requirement was deprecated)</t>
    </r>
  </si>
  <si>
    <r>
      <rPr>
        <b/>
        <sz val="14"/>
        <color theme="1"/>
        <rFont val="Aptos Narrow (Body)"/>
      </rPr>
      <t>Further considerations</t>
    </r>
    <r>
      <rPr>
        <sz val="11"/>
        <color theme="1"/>
        <rFont val="Aptos Narrow"/>
        <scheme val="minor"/>
      </rPr>
      <t xml:space="preserve">
</t>
    </r>
    <r>
      <rPr>
        <b/>
        <sz val="11"/>
        <color theme="1"/>
        <rFont val="Aptos Narrow"/>
        <scheme val="minor"/>
      </rPr>
      <t>How to handle compound requirements</t>
    </r>
    <r>
      <rPr>
        <sz val="11"/>
        <color theme="1"/>
        <rFont val="Aptos Narrow"/>
        <scheme val="minor"/>
      </rPr>
      <t xml:space="preserve">
Many statements in IGs are compound requirements: they contain multiple requirements in a single context.
Below is an example of splitting up a compound requirement:
Original text: The ice cream parlor SHALL sell ice cream in waffle cones and offer chocolate sprinkle toppings.
Requirements:
1. The ice cream parlor SHALL sell icecream in waffle cones.
2. The ice cream parlor SHALL... offer chocolate sprinkle toppings.
</t>
    </r>
    <r>
      <rPr>
        <b/>
        <sz val="11"/>
        <color theme="1"/>
        <rFont val="Aptos Narrow"/>
        <scheme val="minor"/>
      </rPr>
      <t xml:space="preserve">How to handle removing a requirement
</t>
    </r>
    <r>
      <rPr>
        <sz val="11"/>
        <color theme="1"/>
        <rFont val="Aptos Narrow"/>
        <scheme val="minor"/>
      </rPr>
      <t xml:space="preserve">If after release of the requirements artifact, if a requirement must be removed for some reason, its ID must be retired. To remove a requirement and indicate that the ID is retired, set the </t>
    </r>
    <r>
      <rPr>
        <b/>
        <sz val="11"/>
        <color theme="1"/>
        <rFont val="Aptos Narrow"/>
        <scheme val="minor"/>
      </rPr>
      <t>Conformance</t>
    </r>
    <r>
      <rPr>
        <sz val="11"/>
        <color theme="1"/>
        <rFont val="Aptos Narrow"/>
        <scheme val="minor"/>
      </rPr>
      <t xml:space="preserve"> column to DEPRECATED. Note that release may include the start of development of a test kit where requirement IDs have been mapped to tests as ensuring they are up to date with respect to the new requirement Ids may be tricky.
</t>
    </r>
    <r>
      <rPr>
        <b/>
        <sz val="11"/>
        <color theme="1"/>
        <rFont val="Aptos Narrow"/>
        <scheme val="minor"/>
      </rPr>
      <t>NOTE:</t>
    </r>
    <r>
      <rPr>
        <sz val="11"/>
        <color theme="1"/>
        <rFont val="Aptos Narrow"/>
        <scheme val="minor"/>
      </rPr>
      <t xml:space="preserve"> This is only necessary after release / use of the IDs within a test kit. Feel free to remove requirements, change IDs, etc., prior to this point.</t>
    </r>
  </si>
  <si>
    <t>ID*</t>
  </si>
  <si>
    <t>URL*</t>
  </si>
  <si>
    <t>Requirement*</t>
  </si>
  <si>
    <t>Conformance*</t>
  </si>
  <si>
    <t>Actors*</t>
  </si>
  <si>
    <t>Sub-Requirement(s)</t>
  </si>
  <si>
    <t>Conditionality</t>
  </si>
  <si>
    <t>Conditionality Details</t>
  </si>
  <si>
    <t>Verifiable?</t>
  </si>
  <si>
    <t>Verifiability Details</t>
  </si>
  <si>
    <t>Planning To Test?</t>
  </si>
  <si>
    <t>Planning To Test Details</t>
  </si>
  <si>
    <t>Page</t>
  </si>
  <si>
    <t>Section</t>
  </si>
  <si>
    <t>Verb Guess</t>
  </si>
  <si>
    <t>Actor Guess</t>
  </si>
  <si>
    <t>Section #</t>
  </si>
  <si>
    <t>Grouping</t>
  </si>
  <si>
    <t>Priority</t>
  </si>
  <si>
    <t>Test Plan</t>
  </si>
  <si>
    <t>Questions</t>
  </si>
  <si>
    <t>Notes</t>
  </si>
  <si>
    <t>SHALL</t>
  </si>
  <si>
    <t>Server</t>
  </si>
  <si>
    <t>2.1.2.1</t>
  </si>
  <si>
    <t>SHOULD</t>
  </si>
  <si>
    <t>2.1.2.2</t>
  </si>
  <si>
    <t>Servers may deploy and support one or more US Core Profiles to represent clinical information</t>
  </si>
  <si>
    <t>MAY</t>
  </si>
  <si>
    <t>This has an AND logic with one OR more of 4-8.  Restated: Servers MAY support requirement 3 and any requirement 4-8</t>
  </si>
  <si>
    <t>Server may deploy and support ... the following US Core interaction: “Quick Start” defined for each Profile</t>
  </si>
  <si>
    <t>Server may deploy and support ... the following US Core interaction: [Clinical Notes](https://hl7.org/fhir/us/core/clinical-notes.html)</t>
  </si>
  <si>
    <t>Server may deploy and support ... the following US Core interaction: [Medication List](https://hl7.org/fhir/us/core/medication-list.html)</t>
  </si>
  <si>
    <t>Server may deploy and support ... the following US Core interaction: [Basic Provenance](https://hl7.org/fhir/us/core/basic-provenance.html)</t>
  </si>
  <si>
    <t>Server may deploy and support ... the following US Core interaction: [Screening and Assessments](https://hl7.org/fhir/us/core/screening-and-assessments.html)</t>
  </si>
  <si>
    <t>Servers implementing ... [clinical information representation] can claim conformance to the US Core Profile content structure ... by implementing all or parts of the US Core CapabilityStatement into their capabilities.</t>
  </si>
  <si>
    <t>Servers implementing ... [interactions] can claim conformance to the ... RESTful interactions defined by implementing all or parts of the US Core CapabilityStatement into their capabilities</t>
  </si>
  <si>
    <t>Yes</t>
  </si>
  <si>
    <t>No</t>
  </si>
  <si>
    <t>This requirement is specific to testing for the 21st Century Cures Act and is not relevant to the IG tests</t>
  </si>
  <si>
    <t>This requirement is re-stated as a part of (g)(10) and is not tested as a part of US Core</t>
  </si>
  <si>
    <t>Both requirements 16 and 17 must be met</t>
  </si>
  <si>
    <t>[Required binding](http://hl7.org/fhir/R4/terminologies.html#required) to a ValueSet definition means that one of the codes from the specified ValueSet **SHALL** be used.</t>
  </si>
  <si>
    <t>Both 21 and 22 should be true</t>
  </si>
  <si>
    <t>2.1.3.1</t>
  </si>
  <si>
    <t>For `CodeableConcept`, which permits multiple codings and a text element, this [[Required binding](http://hl7.org/fhir/R4/terminologies.html#required) to a ValueSet definition] rule applies to at least one of the codings</t>
  </si>
  <si>
    <t>For a [[required binding](http://hl7.org/fhir/R4/terminologies.html#required) to a ValueSet definition], a `CodeableConcept`which permits multiple codings and a text element … [using] only text is not valid.</t>
  </si>
  <si>
    <t>SHALL NOT</t>
  </si>
  <si>
    <t>[When populating a coded element with a [required binding](http://hl7.org/fhir/R4/terminologies.html#required] to a ValueSet definition] US Core Responders **SHALL** provide a code exclusively from [the required binding] ValueSet</t>
  </si>
  <si>
    <t>when populating a code element with a required binding</t>
  </si>
  <si>
    <t>[When populating a coded element with a [required binding](http://hl7.org/fhir/R4/terminologies.html#required) to a ValueSet definition] US Core Requestors **SHALL** be capable of processing the code [from the required binding ValueSet]</t>
  </si>
  <si>
    <t>Client</t>
  </si>
  <si>
    <t>[Extensible binding] (http://hl7.org/fhir/R4/terminologies.html#extensible) means that one of the codes from the specified ValueSet **SHALL** be used if an applicable concept is present.</t>
  </si>
  <si>
    <t>when populating a coded element with an extensible binding</t>
  </si>
  <si>
    <t>2.1.3.3</t>
  </si>
  <si>
    <t>[When using an [extensible Binding] (http://hl7.org/fhir/R4/terminologies.html#extensible)] If no suitable code exists in the [extensible] ValueSet, alternate code(s) may be provided.</t>
  </si>
  <si>
    <t>For `CodeableConcept`, which permits multiple codings and a text element, [the [extensible binding] (http://hl7.org/fhir/R4/terminologies.html#extensible)] rule applies to at least one of the codings.</t>
  </si>
  <si>
    <t>DEPRECATED</t>
  </si>
  <si>
    <t>This is definitional, so marking as DEPRECATED</t>
  </si>
  <si>
    <t>For `CodeableConcept` [with an [extensible binding] (http://hl7.org/fhir/R4/terminologies.html#extensible) … If only text is available and it has no conceptual overlap with the bound coded values, then just text may be used.</t>
  </si>
  <si>
    <t>When claiming conformance to ... [to a US Core profile extensible binding rule, a] US Core Responders Shall provide:
A code from … [the] valueset 'DataElement.code.code' if the concept exists in the valueset [for a DataElement.code that has an extensible binding]
Or an alternative code if the concept does not exist in the valueset [for a DataElement.code that has an extensible binding]
Or text in ... `[DataElement.code.text]’ if only text is available [for a DataElement.code that has an extensible binding]</t>
  </si>
  <si>
    <t>One of the provisions (code, alt code, or text) Shall be met</t>
  </si>
  <si>
    <t>US Core Requestors SHALL be capable of processing the code in ['DataElement.code.code' or text in 'DataElement.code.text' for a DataElement.code that has an extensible binding]</t>
  </si>
  <si>
    <t>Servers ... SHALL be able to process [elements that are] [Mandatory](https://hl7.org/fhir/us/core/must-support.html) or [Must Support elements](https://hl7.org/fhir/us/core/must-support.html)</t>
  </si>
  <si>
    <t>Clients SHALL be able to process [elements that are] [Mandatory](https://hl7.org/fhir/us/core/must-support.html) or [Must Support elements](https://hl7.org/fhir/us/core/must-support.html)</t>
  </si>
  <si>
    <t>Not all modifier elements are Mandatory or Must Support, and there is no requirement for supporting them</t>
  </si>
  <si>
    <t>Servers **MAY** communicate a system-wide profile in their CapabilityStatement to identify which additional elements, including modifier elements, they support</t>
  </si>
  <si>
    <t>receivers SHOULD accept instances that ... contain unexpected data elements  [[definition](http://hl7.org/fhir/R4/conformance-rules.html#isModifier)]</t>
  </si>
  <si>
    <t>receivers SHOULD [NOT] accept instances that ... contain unexpected data elements … when those elements are modifier elements [[definition](http://hl7.org/fhir/R4/conformance-rules.html#isModifier)]</t>
  </si>
  <si>
    <t>SHOULD NOT</t>
  </si>
  <si>
    <t>Implementers SHOULD review the “Key Elements Tab” on the US Core profile pages.</t>
  </si>
  <si>
    <t>SHOULD requirement for implementers not systems themselves, so marking as deprecated</t>
  </si>
  <si>
    <t>If the source system does not have data for an element with a minimum cardinality = 0 (including elements labeled Must Support), the data element **SHALL** be omitted from the resource.</t>
  </si>
  <si>
    <t>If the source system does not have data for an element with a minimum cardinality = 0 (including elements labeled Must Support),</t>
  </si>
  <si>
    <t>2.1.6</t>
  </si>
  <si>
    <t>If the data element is a Mandatory element (in other words, where the minimum cardinality is &gt; 0), it **SHALL** be present even if the source system does not have data.</t>
  </si>
  <si>
    <t xml:space="preserve"> if the data element is a Mandatory element (in other words, where the minimum cardinality is &gt; 0)</t>
  </si>
  <si>
    <t>For [mandatory] non-coded data elements [where data is not available], use the [DataAbsentReason Extension](http://hl7.org/fhir/R4/extension-data-absent-reason.html) in the data type ... [with] the code `unknown` - The value is expected to exist but is not known.</t>
  </si>
  <si>
    <t>If the source system does not have data for a Mandatory element, the following must occur</t>
  </si>
  <si>
    <t>[In situations where data is not available] for [mandatory] coded data elements … [with] *example*, *preferred*, or *extensible* binding strengths (CodeableConcept or Coding datatypes) If the source system has text but no coded data, only the text element is used.</t>
  </si>
  <si>
    <t>[In situations where data is not available] for [mandatory] coded data elements… [with] *example*, *preferred*, or *extensible* binding strengths (CodeableConcept or Coding datatypes):
For Coding datatypes, the text-only data is represented as a display element</t>
  </si>
  <si>
    <t>This test should be conducted if requirement 42 is true. If the source system does not have data for a Mandatory element, the following must occur.</t>
  </si>
  <si>
    <t>[In situations where data is not available] for [mandatory] coded data elements… [with] *example*, *preferred*, or *extensible* binding strengths (CodeableConcept or Coding datatypes): … If there is neither text nor coded data ... [then] use the appropriate “unknown” concept code from the ValueSet if available.</t>
  </si>
  <si>
    <t>[In situations where data is not available] for [mandatory] coded data elements… [with] *example*, *preferred*, or *extensible* binding strengths (CodeableConcept or Coding datatypes): … If there is neither text nor coded data ... [then] if the ValueSet does not have the appropriate “unknown” concept code, use unknown from the [DataAbsentReason Code System](http://hl7.org/fhir/R4/codesystem-data-absent-reason.html).</t>
  </si>
  <si>
    <t>[In situations where data is not available] for [mandatory] coded data elements… [with] *required* binding strength (CodeableConcept or code datatypes): use the appropriate “unknown” concept code from the ValueSet if available</t>
  </si>
  <si>
    <t>[In situations where data is not available] for [mandatory] coded data elements… [with] *required* binding strength (CodeableConcept or code datatypes): If the ValueSet does not have the appropriate “unknown” concept code, you must use a concept from the ValueSet. Otherwise, the instance will not be conformant</t>
  </si>
  <si>
    <t xml:space="preserve">Logic: Is status element (AllergyIntolerance.clinicalStatus OR Condition.clinicalStatus OR DocumentReference.status OR
Immunization.status OR
Goal.lifecycleStatus) AND is this status element Mandatory for this resource-specific test AND the source system does not have data for a Mandatory element THEN must use ValueSet. </t>
  </si>
  <si>
    <t>[If the source system does not have data for a Mandatory element for a coded data element with *required* binding strength] If any of these status codes is missing [meaning it lacks an "unknown" or otherwise appropriate concept code from the ValueSet, a] 404 HTTP error code and an OperationOutcome **SHALL** be returned in response to a read transaction on the resource.</t>
  </si>
  <si>
    <t>If the source system does not have data for a Mandatory element for a coded data element with *required* binding strength, and the ValueSet does not have the appropriate "unknown" or otherwise appropriate concept code from the ValueSet</t>
  </si>
  <si>
    <t>[If the source system does not have data for a Mandatory element for a coded data element with *required* binding strength, and the ValueSet does not have the appropriate "unknown" concept code, then] if returning a response to a search, the problematic resource **SHALL** be excluded from the search set</t>
  </si>
  <si>
    <t>[If the source system does not have data for a Mandatory element for a coded data element with *required* binding strength, and the ValueSet does not have the appropriate "unknown" concept code, then] if returning a response to a search, … a *warning* OperationOutcome **SHOULD** be included indicating that other search results were found but could not be compliantly expressed and have been suppressed.</t>
  </si>
  <si>
    <t>Servers are strongly encouraged to support a query for resources without requiring a status parameter.</t>
  </si>
  <si>
    <t>If business requirements prohibit [querying a resource without a status parameter], they **SHALL** follow the guidelines here.</t>
  </si>
  <si>
    <t>If business requirements prohibit [querying a resource without a status parameter], requirements 65-73 must be met.</t>
  </si>
  <si>
    <t>[For systems that require a status parameter to be provided,] if a system doesn’t support a specific status code value that is queried, it **SHOULD** return an HTTP 200 status with a search bundle.</t>
  </si>
  <si>
    <t>If a system doesn’t support a specific status code value that is queried</t>
  </si>
  <si>
    <t>[For systems that require a status parameter to be provided,] if a system doesn’t support a specific status code value that is queried [and returns a search bundle],... [t]he search bundle **SHOULD** contain resources matching the search criteria</t>
  </si>
  <si>
    <t>If a system doesn’t support a specific status code value that is queried [and returns a search bundle]</t>
  </si>
  <si>
    <t>When an element is Mandatory, the data is expected always to be present.</t>
  </si>
  <si>
    <t>2.2.0.2</t>
  </si>
  <si>
    <t>For section 2.2, the text uses "US Core Responders" and "US Core Requestors". We are interpreting these as "Server" and "Client" respectively.</t>
  </si>
  <si>
    <t>For querying and reading US Core Profiles, Must Support on any profile data element **SHALL** be interpreted as follows…:
US Core Requestors **SHALL** be capable of processing resource instances containing the data elements without generating an error or causing the application to fail.</t>
  </si>
  <si>
    <t>For querying and reading US Core Profiles, Must Support on any profile data element **SHALL** be interpreted as follows…:
US Core Requestors **SHOULD** be capable of displaying the data elements for human use or storing it for other purposes.</t>
  </si>
  <si>
    <t>For querying and reading US Core Profiles, Must Support on any profile data element **SHALL** be interpreted as follows…:
When information on a particular data element is not present, and the reason for absence is unknown, US Core Responders **SHALL NOT** include the data elements in the resource instance returned as part of the query results.</t>
  </si>
  <si>
    <t>When information on a particular data element is not present, and the reason for absence is unknown,</t>
  </si>
  <si>
    <t>For querying and reading US Core Profiles, Must Support on any profile data element **SHALL** be interpreted as follows…:
When querying US Core Responders, US Core Requestors **SHALL** interpret missing data elements within resource instances as data not present in the US Core Responder’s system.</t>
  </si>
  <si>
    <t>For querying and reading US Core Profiles, Must Support on any profile data element **SHALL** be interpreted as follows…:
In cases where information on a specific data element is missing, and the US Core Responder knows the precise reason for the absence of data (other than suppressed data), US Core Responders **SHOULD** send the reason for the missing information.</t>
  </si>
  <si>
    <t>In cases where information on a specific data element is missing, and the US Core Responder knows the precise reason for the absence of data (other than suppressed data)</t>
  </si>
  <si>
    <t>Test missing-data section requirements 39-50, excluding requirements around using an 'unknown' reason code 44-47. For this test using an unknown code is not allowed.</t>
  </si>
  <si>
    <t>For querying and reading US Core Profiles, Must Support on any profile data element **SHALL** be interpreted as follows…:
US Core Requestors **SHALL** be able to process resource instances containing data elements asserting missing information.</t>
  </si>
  <si>
    <t>[US Core Requestors] seeking ONC certification</t>
  </si>
  <si>
    <t>2.2.0.3</t>
  </si>
  <si>
    <t>[US Core Responders] seeking ONC certification</t>
  </si>
  <si>
    <t>This requirement is specific to certification testing and is not relevant to the IG tests</t>
  </si>
  <si>
    <t>Implementors [US Core Requestors] [not] seeking ONC certification [in the ONC IT Health Certification program] **SHALL** interpret Additional USCDI Requirements as … optional.</t>
  </si>
  <si>
    <t>[US Core Requestors]  [not] seeking ONC certification</t>
  </si>
  <si>
    <t>Implementors [US Core Responders] [not] seeking ONC certification [in the ONC IT Health Certification program] **SHALL** interpret Additional USCDI Requirements as … optional.</t>
  </si>
  <si>
    <t>[US Core Responders] [not] seeking ONC certification</t>
  </si>
  <si>
    <t>2.2.0.4.4</t>
  </si>
  <si>
    <t>When claiming conformance to … [a profile with a category element defined by a pattern as described by [ElementDefinition.pattern](http://hl7.org/fhir/R4/elementdefinition-definitions.html#ElementDefinition.pattern_x_) requiring fixed values in profile.category.coding.system and profile.category.coding.code for a coding element] US Core Responders Shall provide these values in a profile.category</t>
  </si>
  <si>
    <t>When Conforming to ElementDefinition.pattern</t>
  </si>
  <si>
    <t>When claiming conformance to … [a profile with a category element defined by a pattern as described by [ElementDefinition.pattern](http://hl7.org/fhir/R4/elementdefinition-definitions.html#ElementDefinition.pattern_x_) requiring fixed values in profile.category.coding.system and profile.category.coding.code for a coding element] US Core Requestors Shall be capable of processing these values in profile.category</t>
  </si>
  <si>
    <t>2.2.0.4.5</t>
  </si>
  <si>
    <t>[W]hen claiming conformance [to a profile with a must support primitive element] … US Core responders SHALL be capable of providing the value [of the primitive element]</t>
  </si>
  <si>
    <t>[W]hen claiming conformance [to a profile with a must support primitive element] … US Core requestors SHALL be capable of processing the value [of the primitive element]</t>
  </si>
  <si>
    <t>2.2.0.4.6</t>
  </si>
  <si>
    <t>If any sub-element is marked as Must Support [for a complex element], it must also meet the Must Support requirements and satisfy the Must Support requirements for the parent element.</t>
  </si>
  <si>
    <t>When claiming conformance [to a must support complex element with no must support sub-elements] … US Core Responders SHALL be capable of providing a value in [the] sub-element</t>
  </si>
  <si>
    <t>When claiming conformance [to a must support complex element with no must support sub-elements] … US Core Requestors SHALL be capable of processing a value in [the complex element]</t>
  </si>
  <si>
    <t>When claiming conformance [to a must support complex element with one or more must support sub-elements] … US Core Responders SHALL be capable of providing a value in [each must support sub-element]</t>
  </si>
  <si>
    <t>When claiming conformance [to a must support complex element with one or more must support sub-elements] … US Core Requestors SHALL be capable of processing a values in [each must support sub-element]</t>
  </si>
  <si>
    <t>Systems [US Core Responders] can support the other elements [of a complex element, not labeled as a Must Support], but this is not a requirement of US Core</t>
  </si>
  <si>
    <t>Systems [US Core Requestors] can support the other elements [of a complex element, not labeled as a Must Support], but this is not a requirement of US Core</t>
  </si>
  <si>
    <t>The U.S. Core Data for Interoperability (USCDI) may require additional elements, [which is a requirement for certification in the ONC IT Health Certification program, but not a requirement of US Core conformance for US Core Responders]</t>
  </si>
  <si>
    <t>The U.S. Core Data for Interoperability (USCDI) may require additional elements, [which is a requirement for certification in the ONC IT Health Certification program, but not a requirement of US Core conformance for US Core Requestors]</t>
  </si>
  <si>
    <t>In certain profiles, only specific resource references are labeled as Must Support.
...
- US Core Responders **SHALL** be capable of providing [such an element] with a valid reference to [all listed Must Support profile(s).]</t>
  </si>
  <si>
    <t>2.2.0.4.7</t>
  </si>
  <si>
    <t>In certain profiles, only specific resource references are labeled as Must Support.
...
- US Core Requestors **SHALL** be capable of processing [such an element] with a valid reference to [all listed Must Support profile(s).]</t>
  </si>
  <si>
    <t>Systems [US Core Responders] can support other [resource] references [other than those labeled as Must Support], but this is not a requirement of US Core</t>
  </si>
  <si>
    <t>Systems [US Core Requestors] can support other [resource] references [other than those labeled as Must Support], but this is not a requirement of US Core</t>
  </si>
  <si>
    <t>In specific profiles, only a single resource reference is present on an element labeled Must Support.
...
- US Core Responders **SHALL** be capable of providing [such an element] with a valid reference to [the Must Support Profile.]</t>
  </si>
  <si>
    <t>In specific profiles, only a single resource reference is present on an element labeled Must Support.
…
- US Core Requestors **SHALL** be capable of processing [such an element] with a valid reference to [the Must Support Profile.]</t>
  </si>
  <si>
    <t>2.2.0.4.8</t>
  </si>
  <si>
    <t>2.2.0.4.9</t>
  </si>
  <si>
    <t>2.3.1.1</t>
  </si>
  <si>
    <t>At least one of the following SMART on FHIR Capability Sets SHOULD be supported for US Core Servers that support User-Facing Applications ...
[Patient Access Standalone Apps](http://hl7.org/fhir/smart-app-launch/STU2/conformance.html#patient-access-for-standalone-apps)
[Clinician Access for EHR Launch](http://hl7.org/fhir/smart-app-launch/STU2/conformance.html#clinician-access-for-standalone)</t>
  </si>
  <si>
    <t>Either Patient access or clinician access should be supported when support User facing applications</t>
  </si>
  <si>
    <t>2.3.1.2</t>
  </si>
  <si>
    <t>For certified systems[, those participating in the ONC IT Health Certification program], both SHALL be supported:
[Patient Access Standalone Apps](http://hl7.org/fhir/smart-app-launch/STU2/conformance.html#patient-access-for-standalone-apps)
[Clinician Access for EHR Launch](http://hl7.org/fhir/smart-app-launch/STU2/conformance.html#clinician-access-for-standalone)</t>
  </si>
  <si>
    <t>Both patient access and clinician shall be supported, when participating in ONC certification program</t>
  </si>
  <si>
    <t>2.3.2</t>
  </si>
  <si>
    <t>2.3.3.1</t>
  </si>
  <si>
    <t>Implementations [US Core Responders] supporting Backend Services ... SHALL include support for the ... system/scopes.</t>
  </si>
  <si>
    <t>US Core Server[s] SHALL support token introspection defined by the SMART App Launch Guide. For more details and additional consideration, see SMART App Launch’s [Token Introspection](http://hl7.org/fhir/smart-app-launch/STU2/token-introspection.html#token-introspection).</t>
  </si>
  <si>
    <t>Implementations meeting US EHR certification [of the ONC IT Health Certification program] requirements must support all US Core’s required scopes.</t>
  </si>
  <si>
    <t>Other systems only need to support scopes for the US Core APIs they support [instead of all US Core's required scopes]</t>
  </si>
  <si>
    <t>Servers MAY support other scopes in addition to those listed below and in the Quick Start sections.</t>
  </si>
  <si>
    <t>2.3.3.1.3</t>
  </si>
  <si>
    <t>2.3.4</t>
  </si>
  <si>
    <t>If AllergyIntolerance is a supported resource type</t>
  </si>
  <si>
    <t>2.3.4.1</t>
  </si>
  <si>
    <t>If CarePlan is a supported resource type</t>
  </si>
  <si>
    <t>If CareTeam is a supported resource type</t>
  </si>
  <si>
    <t>If Condition is a supported resource type</t>
  </si>
  <si>
    <t>If Coverage is a supported resource type</t>
  </si>
  <si>
    <t>If Device is a supported resource type</t>
  </si>
  <si>
    <t>If DiagnosticReport is a supported resource type</t>
  </si>
  <si>
    <t>If DocumentReference is a supported resource type</t>
  </si>
  <si>
    <t>If Encounter is a supported resource type</t>
  </si>
  <si>
    <t>If Goal is a supported resource type</t>
  </si>
  <si>
    <t>If Immunization is a supported resource type</t>
  </si>
  <si>
    <t>If MedicationDispense is a supported resource type</t>
  </si>
  <si>
    <t>If MedicationRequest is a supported resource type</t>
  </si>
  <si>
    <t>If Observation is a supported resource type</t>
  </si>
  <si>
    <t>If Organization is a supported resource type</t>
  </si>
  <si>
    <t>If Patient is a supported resource type</t>
  </si>
  <si>
    <t>If Practitioner is a supported resource type</t>
  </si>
  <si>
    <t>If PractitionerRole is a supported resource type</t>
  </si>
  <si>
    <t>If Procedure is a supported resource type</t>
  </si>
  <si>
    <t>If Provenance is a supported resource type</t>
  </si>
  <si>
    <t>If QuestionnaireResponse is a supported resource type</t>
  </si>
  <si>
    <t>If RelatedPerson is a supported resource type</t>
  </si>
  <si>
    <t>If ServiceRequest is a supported resource type</t>
  </si>
  <si>
    <t>If Specimen is a supported resource type</t>
  </si>
  <si>
    <t>2.3.4.2</t>
  </si>
  <si>
    <t>hl7.fhir.uv.smart-app-launch_2.0.0@372-374,376,377</t>
  </si>
  <si>
    <t>3.2.13</t>
  </si>
  <si>
    <t>subrequirements: points to SMART STU 2 requirements on the well-known endpoint</t>
  </si>
  <si>
    <t>3.3.1</t>
  </si>
  <si>
    <t>3.3.2</t>
  </si>
  <si>
    <t>Therefore, a [reference](http://hl7.org/fhir/R4/references.html) to a US Core resource SHOULD include a logical id (Reference.reference), not an identifier (Reference.identifier).</t>
  </si>
  <si>
    <t>3.4.1.4</t>
  </si>
  <si>
    <t>For all references, US Core Responders SHOULD return resources that conform to a US Core profile if a US Core profile exists for the resource type.</t>
  </si>
  <si>
    <t>3.4.2</t>
  </si>
  <si>
    <t>[I]f referencing a contained resource in a US Core Profile, the contained resource SHOULD be a US Core Profile if a US Core Profile exists for the resource type.</t>
  </si>
  <si>
    <t>3.6.3.1</t>
  </si>
  <si>
    <t>[M]asking data [where a specific piece of data is hidden for security and privacy reasons] SHOULD be handled based on implemented policies.</t>
  </si>
  <si>
    <t>3.6.3.2</t>
  </si>
  <si>
    <t>[When masking data] elements with a minimum cardinality = 0 (including elements labeled Must Support) [for security and privacy reasons], the element SHOULD be omitted from the resource.</t>
  </si>
  <si>
    <t>When masking data</t>
  </si>
  <si>
    <t>13.123.1.1</t>
  </si>
  <si>
    <t>[When masking] Mandatory elements (in other words, where the minimum cardinality is &gt; 0) [for security and privacy reasons, use the code “unknown” following the guidance on Missing Data in the Conformance Sections.</t>
  </si>
  <si>
    <t xml:space="preserve">It could be argued that this is a shall, but putting this requirement as a should in keeping with similar conformance designations of the other general guidance requirements. </t>
  </si>
  <si>
    <t>[When using SNOMED codes in US Core Profiles I]mplementers MAY use the default system URI [of [SNOMED CT](http://snomed.info/sct)], which refers to an unspecified edition/version [of SNOMED]</t>
  </si>
  <si>
    <t>When using SNOMED codes in US core profiles</t>
  </si>
  <si>
    <t>13.124.1.1</t>
  </si>
  <si>
    <t>13.125.1.1</t>
  </si>
  <si>
    <t>[If a] US Core Profiles binds the Quantity.code element in the Quantity datatype to the [UCUM](http://unitsofmeasure.org/) code system, [then] systems should also use UCUM for the optional valueRange and valueRatio datatypes (which are complex datatypes with Quantity elements)</t>
  </si>
  <si>
    <t>When using the quantity datatype with UCUM codes</t>
  </si>
  <si>
    <t>13.135.1.1</t>
  </si>
  <si>
    <t>[If a] US Core Profiles binds the Quantity.code element in the Quantity datatype to the [UCUM](http://unitsofmeasure.org/) code system, [when] UCUM code [is] provided [it SHOULD be indicated in the Quantity.unit and Quantity.code elements with Quantity.system = "http://unitsofmeasure.org"]</t>
  </si>
  <si>
    <t>13.129.1.1</t>
  </si>
  <si>
    <t>[If a] US Core Profiles binds the Quantity.code element in the Quantity datatype to the [UCUM](http://unitsofmeasure.org/) code system, [then] if UCUM units are unavailable, represent units in the unit element</t>
  </si>
  <si>
    <t>When using the quantity datatype and UCUM units are not available, but units are available</t>
  </si>
  <si>
    <t>[If a] US Core Profiles binds the Quantity.code element in the Quantity datatype to the [UCUM](http://unitsofmeasure.org/) code system, [when]
no units [are available systems SHOULD NOT supply the unit field]</t>
  </si>
  <si>
    <t>When using the quantity datatype and no units are available</t>
  </si>
  <si>
    <t>A FHIR Server SHOULD not delete records.</t>
  </si>
  <si>
    <t>If a system supports the deletion of records, they SHOULD refer to the [Deletion Safety Checks](http://hl7.org/fhir/R4/safety.html#conformance) in the FHIR specification.</t>
  </si>
  <si>
    <t>If system supports deletion of records</t>
  </si>
  <si>
    <t>13.130.1.1</t>
  </si>
  <si>
    <t>If entered in error</t>
  </si>
  <si>
    <t>13.131.1.1</t>
  </si>
  <si>
    <t>13.139.1.1</t>
  </si>
  <si>
    <t>the data provider SHOULD do their best to translate (safely) to the requested language [when accessing records in a native or requested language]</t>
  </si>
  <si>
    <t xml:space="preserve">When requesting a resource in a specifc language </t>
  </si>
  <si>
    <t>13.140.1.1</t>
  </si>
  <si>
    <t>Servers SHOULD support the [_lastUpdated](http://hl7.org/fhir/R4/search.html#lastUpdated) search parameter for US Core Profiles</t>
  </si>
  <si>
    <t>13.115.1.1</t>
  </si>
  <si>
    <t>13.141.1.1</t>
  </si>
  <si>
    <t>Servers SHALL document in CapabilityStatement.rest.resource.searchParam.documentation the types of changes that can be detected using the _lastUpdated search parameter</t>
  </si>
  <si>
    <t>13.136.1.1</t>
  </si>
  <si>
    <t>Servers can [MAY] choose to return the results in a series of pages to manage the number of search results returned.</t>
  </si>
  <si>
    <t>Servers SHALL support, at minimum, these … "Common Clinical Notes":
[Consultation Note (11488-4)](https://loinc.org/11488-4.html)</t>
  </si>
  <si>
    <t>13.145.1.1</t>
  </si>
  <si>
    <t>Servers SHALL support, at minimum, these … "Common Clinical Notes":
[Discharge Summary (18842-5)](https://loinc.org/18842-5.html)</t>
  </si>
  <si>
    <t>Servers SHALL support, at minimum, these … "Common Clinical Notes":
[History &amp; Physical Note (34117-2)](https://loinc.org/34117-2.html)</t>
  </si>
  <si>
    <t>Servers SHALL support, at minimum, these … "Common Clinical Notes":
[Procedures Note (28570-0)](https://loinc.org/28570-0.html)</t>
  </si>
  <si>
    <t>13.161.1.1</t>
  </si>
  <si>
    <t>Servers SHALL support, at minimum, these … "Common Clinical Notes":
[Progress Note (11506-3)](https://loinc.org/11506-3.html)</t>
  </si>
  <si>
    <t>13.165.1.1</t>
  </si>
  <si>
    <t>Servers SHALL support, at minimum, these … "Common Clinical Notes":
[Imaging Narrative (18748-4)](https://loinc.org/18748-4.html)</t>
  </si>
  <si>
    <t>Servers SHALL support, at minimum, these … "Common Clinical Notes":
[Laboratory Report Narrative (11502-2)](https://loinc.org/11502-2.html)</t>
  </si>
  <si>
    <t>13.149.1.1</t>
  </si>
  <si>
    <t>Servers SHALL support, at minimum, these … "Common Clinical Notes":
[Pathology Report Narrative (11526-1)](https://loinc.org/11526-1.html)</t>
  </si>
  <si>
    <t>Servers SHALL support, at minimum, these … DiagnosticReport categories:
[Cardiology (LP29708-2)](https://loinc.org/LP29708-2)</t>
  </si>
  <si>
    <t>13.151.1.1</t>
  </si>
  <si>
    <t>Servers SHALL support, at minimum, these … DiagnosticReport categories:
[Pathology (LP7839-6)](https://loinc.org/LP7839-6)</t>
  </si>
  <si>
    <t>Servers SHALL support, at minimum, these … DiagnosticReport categories:
[Radiology (LP29684-5)](https://loinc.org/LP29684-5)</t>
  </si>
  <si>
    <t>13.116.1.1</t>
  </si>
  <si>
    <t>systems are encouraged to support other common notes types, such as:
[Referral Note (57133-1)](https://loinc.org/57133-1.html)</t>
  </si>
  <si>
    <t>13.117.1.1</t>
  </si>
  <si>
    <t>systems are encouraged to support other common notes types, such as:
[Surgical Operation Note (11504-8)](https://loinc.org/11504-8.html)</t>
  </si>
  <si>
    <t>systems are encouraged to support other common notes types, such as:
[Nurse Note (34746-8)](https://loinc.org/34746-8.html)</t>
  </si>
  <si>
    <t>13.118.1.1</t>
  </si>
  <si>
    <t>To enable consistent access to scanned DiagnosticReport clinical reports, the FHIR Server SHALL expose these overlapping scanned or narrative-only reports through both DiagnosticReport and DocumentReference by representing the same attachment URL [as] DocumentReference.content.attachment.url [and] 
DiagnosticReport.presentedForm.url</t>
  </si>
  <si>
    <t>when DiagnosticReport.presentedForm.url references a Scan (PDF), that Attachment SHALL also be accessible through DocumentReference.content.attachment.url</t>
  </si>
  <si>
    <t>13.119.1.1</t>
  </si>
  <si>
    <t>13.120.1.1</t>
  </si>
  <si>
    <t>13.132.1.1</t>
  </si>
  <si>
    <t>13.133.1.1</t>
  </si>
  <si>
    <t xml:space="preserve">The following SHOULD be exposed via DiagnosticReport: Imaging Narrative
</t>
  </si>
  <si>
    <t>13.156.1.1</t>
  </si>
  <si>
    <t xml:space="preserve">The following SHOULD be exposed via DiagnosticReport: Laboratory Report Narrative
</t>
  </si>
  <si>
    <t xml:space="preserve">The following SHOULD be exposed via DiagnosticReport: Pathology Report Narrative
</t>
  </si>
  <si>
    <t>The following SHOULD be exposed via DiagnosticReport: Procedure Note</t>
  </si>
  <si>
    <t>Servers that support DiagnosticReport will include the clinical note narrative content in DiagnosticReport.presentedForm</t>
  </si>
  <si>
    <t>13.159.1.1</t>
  </si>
  <si>
    <t>13.150.1.1</t>
  </si>
  <si>
    <t>13.150.1.2</t>
  </si>
  <si>
    <t>Representing these as individual requirements to make it easier for testers to identify which where they failed the test. This said, this approach is lengthy and could be changed to a single line covering all possibilities (incoming, outgoing, documentReference, DiagnosticReport)</t>
  </si>
  <si>
    <t>13.150.1.3</t>
  </si>
  <si>
    <t>[The [MedicationAdministration](http://hl7.org/fhir/R4/medicationadministration.html) and [MedicationStatement](http://hl7.org/fhir/R4/medicationstatement.html)] medication resources are not profiled by US Core, and systems that support US Core are permitted to use them</t>
  </si>
  <si>
    <t>When using a code [to represent a medication][, the code SHALL follow the [extensible](http://hl7.org/fhir/R4/terminologies.html#extensible) binding rules to [Medication Clinical Drug (RxNorm)](https://vsac.nlm.nih.gov/valueset/2.16.840.1.113762.1.4.1010.4/expansion) - i.e., unless RxNorm does not cover the concept, the RxNorm code SHALL be used.</t>
  </si>
  <si>
    <t xml:space="preserve">When using a code to represent a medication for a medication </t>
  </si>
  <si>
    <t>13.147.1.1</t>
  </si>
  <si>
    <t>USCDI recommends the [National Drug Codes (NDC)](https://www.fda.gov/drugs/drug-approvals-and-databases/national-drug-code-directory) as an optional medication terminology. They can be supplied as an additional coding element [when representing a medication]</t>
  </si>
  <si>
    <t>13.148.1.1</t>
  </si>
  <si>
    <t>Servers may any combination of support inline code, reference to medication resources, and reference to contained medication resource</t>
  </si>
  <si>
    <t xml:space="preserve">If a medication resource is referenced as an external resource </t>
  </si>
  <si>
    <t>Clients shall support  support inline code, reference to medication resources, and reference to contained medication resource</t>
  </si>
  <si>
    <t>Requirements to access “all medications” [all historical, active, and future prescribed medications and medications entered in error and whose status is unknown.] and “all active medications” [all medications with an active status. Active medications do not include past, future, unknown status, and entered-in-error medications.] for a patient:
A MedicationRequest resource query:
SHALL include all prescribed and “self-prescribed” MedicationRequest resources with an intent = “plan” representing reported medications</t>
  </si>
  <si>
    <t>13.152.1.1</t>
  </si>
  <si>
    <t>13.153.1.1</t>
  </si>
  <si>
    <t>13.154.1.1</t>
  </si>
  <si>
    <t>Requirements to access “all medications” [all historical, active, and future prescribed medications and medications entered in error and whose status is unknown.] and “all active medications” [all medications with an active status. Active medications do not include past, future, unknown status, and entered-in-error medications.] for a patient:
A MedicationRequest resource query:
[Servers supporting the encounter element when] Searching by [encounter] context (i.e., for a given inpatient encounter) will return all medications ordered during that encounter, including medications administered in hospital and prescribed or discharge medications intended to be taken at home.</t>
  </si>
  <si>
    <t>13.155.1.1</t>
  </si>
  <si>
    <t>13.160.1.1</t>
  </si>
  <si>
    <t>Transformation of data from one format to another MAY change the authorship of the information, where the HIE is the author/author organization</t>
  </si>
  <si>
    <t>This is less a US Core requirement and more guidance on how data intermediaries should act, so marked as DEPRECATED</t>
  </si>
  <si>
    <t>The HIE must maintain the original data source.</t>
  </si>
  <si>
    <t>13.163.1.1</t>
  </si>
  <si>
    <t>13.2.1.2</t>
  </si>
  <si>
    <t>implementers [of US Core's framework of Screening and Assessments] SHOULD consider more constrained, domain-specific profiles derived from the US Core Profiles to meet the needs of their respective use cases.</t>
  </si>
  <si>
    <t>For API developers using US Core, it’s important to understand when to use the QuestionnaireResponse versus Observation to represent structured assessments and surveys. Here are some guidelines to help choose the appropriate profile:
Observations represent specific point-in-time facts that need to be searched, trended, the subject of statistical analysis, and directly referenced in support of other actions ... anything that meets one of the preceding criteria must be surfaced as an Observation.</t>
  </si>
  <si>
    <t>Included because it specifically references how developers should build things to function correctly.</t>
  </si>
  <si>
    <t>8.1</t>
  </si>
  <si>
    <t>For FHIR implementers, it is important to note that QuestionnaireResponse [which represent the source-of-truth of a completed form, shall] references a specific version of a form, whether it was represented as a FHIR Questionnaire or not. This reference provides the context of exactly what options were available, what logic was used to calculate answers, and what questions were asked.</t>
  </si>
  <si>
    <t xml:space="preserve">The USCDI Health Assessments Data Elements category codes ... SHOULD be used when generating resources that conform to these profiles:
US Core Simple Observation Profile
</t>
  </si>
  <si>
    <t>The USCDI Health Assessments Data Elements category codes ... SHOULD be used when generating resources that conform to these profiles:
US Core Observation Screening Assessment Profile</t>
  </si>
  <si>
    <t>The USCDI Health Assessments Data Elements category codes ... SHOULD be used when generating resources that conform to these profiles:
US Core Condition Problems and Health Concerns Profile</t>
  </si>
  <si>
    <t xml:space="preserve">The USCDI Health Assessments Data Elements category codes ... SHOULD be used when generating resources that conform to these profiles:
US Core ServiceRequest Profile
</t>
  </si>
  <si>
    <t>Implementers SHOULD treat these [USCDI Health Status Assessments Data Element] value sets as having an [extensible](http://hl7.org/fhir/R4/terminologies.html#extensible) binding.</t>
  </si>
  <si>
    <t>Servers SHOULD maintain a stable common identifier for a resource across [FHIR] versions.</t>
  </si>
  <si>
    <t>In an upgraded R4 endpoint, any data in FHIR DSTU2 SHOULD be in FHIR R4.</t>
  </si>
  <si>
    <t>The FHIR RESTful resource types supported in a DSTU2 implementation SHOULD be supported in a R4 implementation</t>
  </si>
  <si>
    <t>Requirements 290 &amp;291 are exceptions to this requirement</t>
  </si>
  <si>
    <t>The FHIR RESTful resource types supported in a DSTU2 implementation SHOULD be supported in a R4 implementation [with the] exception [of]
MedicationStatement may be deprecated, and the data SHOULD be mapped to MedicationRequest.</t>
  </si>
  <si>
    <t>The FHIR RESTful resource types supported in a DSTU2 implementation SHOULD be supported in a R4 implementation [with the] exception [of]
Care teams as represented by CarePlan in DSTU2 SHOULD be replaced by and the data mapped to CareTeam in R4</t>
  </si>
  <si>
    <t>Requirements 293 &amp;294 are exceptions to this requirement</t>
  </si>
  <si>
    <t>Servers SHOULD make available the same information in DSTU2 and R4 where the more recent standard allows.</t>
  </si>
  <si>
    <t>Requirements 296 &amp;297 are exceptions to this requirement</t>
  </si>
  <si>
    <t>Servers SHOULD make available the same information in DSTU2 and R4 where the more recent standard allows … [with the] exception [of]
MedicationStatement data [should be] mapped to MedicationRequest</t>
  </si>
  <si>
    <t>Servers SHOULD make available the same information in DSTU2 and R4 where the more recent standard allows … [with the] exception [of]
care teams, as represented by CarePlan, SHOULD be mapped to CareTeam in R4</t>
  </si>
  <si>
    <t>2.1.8</t>
  </si>
  <si>
    <t>Data SHOULD be maintained between [FHIR] versions (i.e., not be degraded).</t>
  </si>
  <si>
    <t>Separate authorization is required [between different versions of FHIR]</t>
  </si>
  <si>
    <t>[The clinical status of the allergy] SHALL be present if verification status is not “entered-in-error”</t>
  </si>
  <si>
    <t>[The clinical status of the allergy] SHALL NOT be present if verification Status is “entered-in-error”</t>
  </si>
  <si>
    <t>Each AllergyIntolerance Must Have: a patient</t>
  </si>
  <si>
    <t>Profile Specific Implementation Guidance:
No Known Allergies may be represented using the US Core-AllergyIntolerance profile</t>
  </si>
  <si>
    <t>Requirements 302 &amp; 303 are contraints on this requirement, if a system decides to use No Known Allergies, then 302 &amp;303 apply</t>
  </si>
  <si>
    <t>[When used No Known Allergies is documented the system Shall use an] appropriate negation code in AllergyIntolerence.code</t>
  </si>
  <si>
    <t>When no known allergies is documented in a US Core allergy profile</t>
  </si>
  <si>
    <t>[When used No Known Allergies is documented the system Shall use an] verification status in AllergyIntolerance.verificationStatus</t>
  </si>
  <si>
    <t>If a patient has not been asked about their allergies, this would be represented as:
AllergyIntolerance.code = “1631000175102” (Patient not asked (contextual qualifier) (qualifier value))
AllergyIntolerance.verificationStatus = “unconfirmed” or empty (in other words, then element omitted)</t>
  </si>
  <si>
    <t xml:space="preserve">If patient has not been asked about allergies then AllergyIntolerance.code = “1631000175102” &amp; AllergyIntolerance.verificationStatus = “unconfirmed” </t>
  </si>
  <si>
    <t>If a patient has been asked, but has indicated they have no known allergies, this would be represented as:
AllergyIntolerance.code = “716186003” (No known allergy (situation))
AllergyIntolerance.verificationStatus = “confirmed”</t>
  </si>
  <si>
    <t xml:space="preserve">If patient has not been asked about allergies then AllergyIntolerance.code = “716186003” &amp; AllergyIntolerance.verificationStatus = “confirmed” </t>
  </si>
  <si>
    <t>Considerations for systems aligning with [HL7 Consolidated (C-CDA)](http://www.hl7.org/implement/standards/product_brief.cfm?product_id=492) Care Plan requirements: US Core Goal SHOULD be present in CarePlan.goal</t>
  </si>
  <si>
    <t xml:space="preserve">Interpreted the requirement as a US Core requirement because US Core want implementers to align with existing C-CDA requirement. </t>
  </si>
  <si>
    <t>Considerations for systems aligning with [HL7 Consolidated (C-CDA)] (http://www.hl7.org/implement/standards/product_brief.cfm?product_id=492) Care Plan requirements: ... US Core Condition SHOULD be present in CarePlan.addresses</t>
  </si>
  <si>
    <t>Considerations for systems aligning with [HL7 Consolidated (C-CDA)] (http://www.hl7.org/implement/standards/product_brief.cfm?product_id=492) Care Plan requirements: Assessment and Plan MAY be included as narrative in CarePlan.text</t>
  </si>
  <si>
    <t>When conforming to the US Core CareTeam profile, Servers Shall support either US Core Practitioner Profile and US Core PractitionerRole</t>
  </si>
  <si>
    <t>[C]lient application[s conforming to the US Core CareTeam profile] SHALL support [US Core Practitioner Profile]</t>
  </si>
  <si>
    <t>[C]lient application[s conforming to the US Core CareTeam profile] SHALL support [US Core PractitionerRole Profile]</t>
  </si>
  <si>
    <t>[C]lient application[s conforming to the US Core CareTeam profile] SHALL support [US Core RelatedPerson Profile]</t>
  </si>
  <si>
    <t>This requirement could apply to all of US Core or just CareTeam. Since it is listed in careteam, using the narrow interpretation.</t>
  </si>
  <si>
    <t>Servers [conforming to the US Core CareTeam profile] that support only US Core Practitioner Profile and do not support the US Core PractitionerRole Profile SHALL provide implementation-specific guidance on how to access a provider’s location ... information using only the Practitioner resource.</t>
  </si>
  <si>
    <t>Servers [conforming to the US Core CareTeam profile] that support only US Core Practitioner Profile and do not support the US Core PractitionerRole Profile SHALL provide implementation-specific guidance on how to access a provider’s ... contact information using only the Practitioner resource.</t>
  </si>
  <si>
    <t>When representing problems and health concern data</t>
  </si>
  <si>
    <t>[Newly created Encounter Diagnosis records SHALL have a] Condition.code … [from the] [“current”](https://hl7.org/fhir/R5/terminologies.html#binding) … [value set] binding.</t>
  </si>
  <si>
    <t>When the record is newly entered</t>
  </si>
  <si>
    <t>[Historical Encounter Diagnosis records MAY have a] Condition.code … [from the] base “preferred” … [value set] binding.</t>
  </si>
  <si>
    <t>When the record is historical</t>
  </si>
  <si>
    <t>[A US Core Condition Encounter Diagnosis] encounter SHOULD always be referenced in Condition.encounter.</t>
  </si>
  <si>
    <t>When representing encounter diagnosis data</t>
  </si>
  <si>
    <t>If condition.category has a category of problem-list-item, then condition.clinicalStatus should be present</t>
  </si>
  <si>
    <t>A coverage.type of “81” (Self-pay) MAY be used to imply that the patient has no coverage or that an individual or organization other than an insurer is taking responsibility for payment for a portion of the health care costs.</t>
  </si>
  <si>
    <t>Implementers should refer to the [PHDSC Payer Type Committee User’s Guide](https://www.nahdo.org/sites/default/files/2020-12/SourceofPaymentTypologyUsersGuideVersion9.2December2020.pdf) for the Source of Payment Typology when selecting codes.</t>
  </si>
  <si>
    <t>To differentiate Medicare Parts A, B, C, and D systems can use the following codes [when sending Coverage.type]: [For] Part A and B [use] 121 (Medicare Fee For Service)</t>
  </si>
  <si>
    <t>To differentiate Medicare Parts A, B, C, and D systems can use the following codes: [For] Part C (Medicare Advantage Plan) [use] 111 (Medicare HMO), 112 (Medicare PPO), 113 (Medicare POS)</t>
  </si>
  <si>
    <t>To differentiate Medicare Parts A, B, C, and D systems can use the following codes: [For] Part D [use] 122 (Medicare Drug Benefit)</t>
  </si>
  <si>
    <t>If Insurers issue unique member IDs for dependents, then the memberId Coverage.identifier should be used [with the unique dependent ID] instead of Coverage.dependent to uniquely refer to the dependent with respect to their insurance.</t>
  </si>
  <si>
    <t>If dependents have unique insurance IDs (as opposed to using their guardian's insurance id), then use coverage.indentifier with the dependent ID</t>
  </si>
  <si>
    <t>For non-implantable devices (for example, software or crutches), use the base FHIR Device resource or other use case-specific Device profiles.</t>
  </si>
  <si>
    <t>Implementers are encouraged to use the FDA Global UDI Database (GUDID) and associated APIs to parse and validate the [unique device ID] UDI</t>
  </si>
  <si>
    <t>Implantable medical devices with UDI information SHALL represent the UDI code in Device.udiCarrier.carrierHRF</t>
  </si>
  <si>
    <t>UDI-PI elements present [in Device.udiCarrier.carrierHRF] SHALL be represented in the corresponding US Core Implantable Device Profile elements</t>
  </si>
  <si>
    <t>If UDI is not present and the manufacturer … is available, … [it] SHOULD be included to support historical reports of implantable medical devices [where] manufacturer [is sent in] Device.manufacturer</t>
  </si>
  <si>
    <t>IF UDI is not present and manufacturer is available, then send in device.manufacturer</t>
  </si>
  <si>
    <t>If UDI is not present and the ... model number information is available, … [it] SHOULD be included to support historical reports of implantable medical devices [where] model [is sent in] Device.model</t>
  </si>
  <si>
    <t>IF UDI is not present and model is available, then send in device.model</t>
  </si>
  <si>
    <t>Records of implanted devices MAY be queried against UDI data, including: UDI HRF string (udi-carrier)</t>
  </si>
  <si>
    <t>Records of implanted devices MAY be queried against UDI data, including:UDI Device Identifier (udi-di)</t>
  </si>
  <si>
    <t>Records of implanted devices MAY be queried against UDI data, including: Manufacturer (manufacturer)</t>
  </si>
  <si>
    <t>Records of implanted devices MAY be queried against UDI data, including: Model number (model)</t>
  </si>
  <si>
    <t>Implementers MAY also adopt custom SearchParameters for searching by lot numbers</t>
  </si>
  <si>
    <t>Implementers MAY also adopt custom SearchParameters for searching by serial number</t>
  </si>
  <si>
    <t>Implementers MAY also adopt custom SearchParameters for searching by expiration date</t>
  </si>
  <si>
    <t>Implementers MAY also adopt custom SearchParameters for searching by manufacture date</t>
  </si>
  <si>
    <t>Implementers MAY also adopt custom SearchParameters for searching by distinct identifier</t>
  </si>
  <si>
    <t>The diagnostically relevant time (known as the “effective time” and typically the time of specimen collection) … SHALL be present if status [of the diagnostic report] is ‘partial’, ‘preliminary’, ‘final’, ‘amended’, ‘corrected’, or ‘appended’.</t>
  </si>
  <si>
    <t>If the status of the diagnostic report is ‘partial’, ‘preliminary’, ‘final’, ‘amended’, ‘corrected’, or ‘appended’, then the report needs an effective time present</t>
  </si>
  <si>
    <t>When the report was released … SHALL be present if status [of the diagnostic report] is ‘partial’, ‘preliminary’, ‘final’, ‘amended’, ‘corrected’, or ‘appended’.</t>
  </si>
  <si>
    <t>If the status of the diagnostic report is ‘partial’, ‘preliminary’, ‘final’, ‘amended’, ‘corrected’, or ‘appended’, then the report needs an release time</t>
  </si>
  <si>
    <t>The DiagnosticReport.category binding Must Support, at a minimum, the US Core DiagnosticReport Category Codes of Cardiology, Radiology, and Pathology</t>
  </si>
  <si>
    <t>Other [diagnostic report] categories may be supported [when using US Core DiagnosticReport Profile for Report and Note Exchange]</t>
  </si>
  <si>
    <t>For Diagnostic Imaging Reports systems SHOULD support using the subset of LOINC codes defined in CONF-DIR-19 in HL7 Implementation Guide for CDA Release 2: Imaging Integration, Levels 1, 2, and 3, Basic Imaging Reports in CDA and DICOM Diagnostic Imaging Reports (DIR) - Universal Realm, Release 1.0.</t>
  </si>
  <si>
    <t>When sending Diagnostic imaging reports</t>
  </si>
  <si>
    <t>A US page that matches this CDA guide not found.</t>
  </si>
  <si>
    <t>[DocumentReference.type may also use] other category schemes such as the LOINC-based [Document Class Value Set](http://hl7.org/fhir/R4/valueset-document-classcodes.html) and [IHE XDSclassCode](https://wiki.ihe.net/index.php/XDS_classCode_Metadata_Coding_System)</t>
  </si>
  <si>
    <t>Either DocumentReference.attachment.url or DocumentReference.attachment.data  shall be supported though both are marked must support</t>
  </si>
  <si>
    <t>If the [content.url] endpoint is outside the FHIR base URL, it SHOULD NOT require additional authorization to access.</t>
  </si>
  <si>
    <t>If there are multiple DocumentReference.content element repetitions, these SHALL all represent the same document in different formats or attachment metadata</t>
  </si>
  <si>
    <t>The [documentReference.content] element SHALL NOT contain different versions of the same content.</t>
  </si>
  <si>
    <t>The organization responsible for the DocumentReference SHALL be present either in DocumentReference.custodian or accessible in the Provenance resource targeting the DocumentReference using Provenance.agent.who or Provenance.agent.onBehalfOf</t>
  </si>
  <si>
    <t xml:space="preserve">Servers shall support either Encounter.reasonCode or  Encounter.reasonReference </t>
  </si>
  <si>
    <t xml:space="preserve"> </t>
  </si>
  <si>
    <t>If Encounter.reasonReference references an Observation, it SHOULD conform to a US Core Observation [profile applicable to the observation being made]</t>
  </si>
  <si>
    <t>If Encounter.reasonReference references an Observation then the observation should conform to a US Core observation profile</t>
  </si>
  <si>
    <t>Servers shall support either Encounter.location.location or Encounter.serviceProvider</t>
  </si>
  <si>
    <t>If the event facility/location differs from the Encounter.location, systems SHOULD reference it directly</t>
  </si>
  <si>
    <t xml:space="preserve">If facility/location is different than the encounter location </t>
  </si>
  <si>
    <t>If the event facility/location differs from the Encounter.location, … systems SHALL use the location element for all resources where the element is available.</t>
  </si>
  <si>
    <t>If the event facility/location differs from the Encounter.location … systems MAY use the standard [Event Location Extension](http://hl7.org/fhir/StructureDefinition/event-location) for US Core DiagnosticReport Profile for Laboratory Results Reporting and US Core Observation Clinical Result Profile.</t>
  </si>
  <si>
    <t>[Servers shall] use the status code: not-done to represent that an immunization was not given.</t>
  </si>
  <si>
    <t>[For organization participating in the ONC Health IT Certification program] [CVX vaccine codes](https://www2a.cdc.gov/vaccines/iis/iisstandards/ndc_crosswalk.asp) are required</t>
  </si>
  <si>
    <t>For organizations participating in the IT Health Certification program</t>
  </si>
  <si>
    <t>This requirement is specific to certification testing and is not relevant to the US Core IG tests</t>
  </si>
  <si>
    <t>The preferred code system identifier … is [http://hl7.org/fhir/sid/cvx](http://hl7.org/fhir/sid/cvx) for CVX [vaccine codes]</t>
  </si>
  <si>
    <t>The preferred code system identifier … is [http://hl7.org/fhir/sid/ndc](http://hl7.org/fhir/sid/ndc) for NDC vaccine codes]</t>
  </si>
  <si>
    <t>Systems SHOULD follow the [Project US@ Technical Specification for Patient Addresses Final Version 1.0](https://asapnet.org/wp-content/uploads/2022/03/Project_US_FINAL_Technical_Specification_Version_1.0.pdf) as the standard style guide for Location.address.line</t>
  </si>
  <si>
    <t>Systems SHOULD follow the [Project US@ Technical Specification for Patient Addresses Final Version 1.0](https://asapnet.org/wp-content/uploads/2022/03/Project_US_FINAL_Technical_Specification_Version_1.0.pdf) as the standard style guide for Location.address.city</t>
  </si>
  <si>
    <t>When using a code [to represent a medication for a medication dispense], RXNorm concepts are used.</t>
  </si>
  <si>
    <t>When using a code to represent a medication for a medication dispense</t>
  </si>
  <si>
    <t>When using a code [to represent a medication for a medication dispense], [National Drug Codes (NDC)](https://www.fda.gov/drugs/drug-approvals-and-databases/national-drug-code-directory) can be supplied as an additional coding element.</t>
  </si>
  <si>
    <t>When referencing a Medication resource in .medicationReference, the resource may be [contained](http://hl7.org/fhir/R4/references.html#contained)</t>
  </si>
  <si>
    <t>When referencing a Medication resource in .medicationReference, the resource may be an external resource</t>
  </si>
  <si>
    <t>Servers shall support either a medication code or a medication reference</t>
  </si>
  <si>
    <t>If an external reference for a medication is used</t>
  </si>
  <si>
    <t>When recording “self-prescribed” medication, requester SHOULD be used to indicate the Patient or RelatedPerson as the prescriber</t>
  </si>
  <si>
    <t>Servers must support either medicationRequest.reportBoolean or MedicationRequest.reportedReference, but is not required to support both</t>
  </si>
  <si>
    <t>For organizations participating in the IT Health Certification program and supporting MedicationRequest.reasonReference</t>
  </si>
  <si>
    <t>Source EHR identifiers SHOULD be included to support deduplication across MedicationRequest resources.</t>
  </si>
  <si>
    <t>Servers SHALL follow the guidance on the Medication List page and return all active medications as MedicationRequest.</t>
  </si>
  <si>
    <t>The observations MAY have additional codes that translate or map to the Observation code or category codes [such as] … local system-specific codes [and] …more specific codes</t>
  </si>
  <si>
    <t>[For an Observation a] code system value SHOULD be supplied for each additional code</t>
  </si>
  <si>
    <t>Because the blood pressure values are communicated in the mandatory systolic and diastolic components [when using the US Core Average Blood Pressure Profile,] the Observation.value[x] element SHALL be omitted</t>
  </si>
  <si>
    <t>When using US Core Average Blood Pressure profile</t>
  </si>
  <si>
    <t>The context or precondition of a patient’s [care experience] preference SHOULD be supplied in the Observation.valueString or in an extension</t>
  </si>
  <si>
    <t>When using US Core Patient Care Experience Observation</t>
  </si>
  <si>
    <t>https://hl7.org/fhir/us/core/StructureDefinition-us-core-observation-clinical-result.html#mandatory-and-must-support-data-elements</t>
  </si>
  <si>
    <t>Servers SHOULD use the base FHIR [Observation Category Codes] (http://hl7.org/fhir/R4/valueset-observation-category.html) [in Observation.category]</t>
  </si>
  <si>
    <t>When using US Core Observation Clinical Result</t>
  </si>
  <si>
    <t>https://hl7.org/fhir/us/core/StructureDefinition-us-core-observation-clinical-result.html#mandatory-and-must-support-data-elements, https://hl7.org/fhir/us/core/StructureDefinition-us-core-observation-lab.html#mandatory-and-must-support-data-elements</t>
  </si>
  <si>
    <t>Systems SHOULD support Observation.effectivePeriod to accurately represent measurements over time</t>
  </si>
  <si>
    <t xml:space="preserve">When using US Core Observation Clinical or Lab Result </t>
  </si>
  <si>
    <t>https://hl7.org/fhir/us/core/StructureDefinition-us-core-observation-clinical-result.html#mandatory-and-must-support-data-elements, https://hl7.org/fhir/us/core/StructureDefinition-us-core-observation-lab.html#mandatory-and-must-support-data-elements, https://hl7.org/fhir/us/core/StructureDefinition-us-core-observation-screening-assessment.html#mandatory-and-must-support-data-elements, https://hl7.org/fhir/us/core/StructureDefinition-us-core-observation-lab.html#mandatory-and-must-support-data-elements</t>
  </si>
  <si>
    <t>An Observation.component without a value, SHALL include a reason why the data is absent</t>
  </si>
  <si>
    <t xml:space="preserve">When sending observation.component without observation.component.value </t>
  </si>
  <si>
    <t>Systems that never provide a component observation without a component value … [MAY choose not] to support Observation.component.dataAbsentReason</t>
  </si>
  <si>
    <t>Systems that always send component values with component observations are not required to support component dataAbsentReason</t>
  </si>
  <si>
    <t>An Observation without a value, SHALL include a reason why the data is absent</t>
  </si>
  <si>
    <t>When sending an Observation without a value</t>
  </si>
  <si>
    <t>[For] an Observation without a value … [Systems MAY choose not to] include a reason why the data is absent … [if] there are component observations or … reporting panel observations using Observation.hasMember</t>
  </si>
  <si>
    <t>When sending an Observation without a value systems are may choose not to send data absent reason if there are component observations or reporting panel observations using observation.hasMember</t>
  </si>
  <si>
    <t>Systems that never provide an observation without a value ... [MAY choose not] to support Observation.dataAbsentReason</t>
  </si>
  <si>
    <t>Systems that always provide an observation with a value</t>
  </si>
  <si>
    <t>https://hl7.org/fhir/us/core/StructureDefinition-us-core-observation-lab.html#mandatory-and-must-support-data-elements</t>
  </si>
  <si>
    <t>When sending US Core Lab Results</t>
  </si>
  <si>
    <t>https://hl7.org/fhir/us/core/StructureDefinition-us-core-observation-occupation.html#mandatory-and-must-support-data-elements</t>
  </si>
  <si>
    <t>When sending US Core Observation Occupation Profile</t>
  </si>
  <si>
    <t>https://hl7.org/fhir/us/core/StructureDefinition-us-core-observation-pregnancyintent.html#mandatory-and-must-support-data-elements</t>
  </si>
  <si>
    <t>https://hl7.org/fhir/us/core/StructureDefinition-us-core-observation-pregnancystatus.html#mandatory-and-must-support-data-elements</t>
  </si>
  <si>
    <t>https://hl7.org/fhir/us/core/StructureDefinition-us-core-observation-screening-assessment.html#mandatory-and-must-support-data-elements</t>
  </si>
  <si>
    <t>[For] multi-question surveys or assessments Observation.code is an overarching assessment or screening code, and the Observation.value element SHOULD be empty</t>
  </si>
  <si>
    <t>For multi-question surveys or assessments</t>
  </si>
  <si>
    <t>A practitioner’s clinical observation or assertion about a patient’s health status, which is not a response to a screening or assessment question,SHOULD use the [US Core Simple Observation Profile](https://hl7.org/fhir/us/core/StructureDefinition-us-core-simple-observation.html) instead [of the US Core Observation Screening Assessment Profile]</t>
  </si>
  <si>
    <t>For practitioner observations or assertions, which is not a response to a screening or assessment</t>
  </si>
  <si>
    <t>https://hl7.org/fhir/us/core/StructureDefinition-us-core-observation-sexual-orientation.html#mandatory-and-must-support-data-elements</t>
  </si>
  <si>
    <t>Additional codes that translate or map to the Observation code (e.g., local codes) are allowed [when using US Core Observation Sexual Orientation Profile]</t>
  </si>
  <si>
    <t xml:space="preserve">When using US Core Observation Sexual Orientation Profile </t>
  </si>
  <si>
    <t>An assertion or determination derived from screening and assessment tools SHOULD reference them using Observation.derivedFrom</t>
  </si>
  <si>
    <t>When using `Observation.derivedFrom’ to reference an Observation, the referenced Observation SHOULD be a US Core Observation</t>
  </si>
  <si>
    <t>Shall support at least one of the observation.derivedFrom references (none are marked as must support)</t>
  </si>
  <si>
    <t>[US Core] treatment intervention preferences expressed by a patient may be documented in narrative (text) form or the result of selecting from a list of options provided by the content creator/implementer.</t>
  </si>
  <si>
    <t>When using US Core treatment preference, preferences may be documented in a narrative section or from a list of option</t>
  </si>
  <si>
    <t>[When using US Core Treatment Intervention Preference Profile] the context or precondition of a patient’s preference SHOULD be supplied in the Observation.valueString ... or an extension</t>
  </si>
  <si>
    <t>When using US Core treatment preference, the preference should be supplied in a observation.valueString or extension</t>
  </si>
  <si>
    <t>[US Core Vital Signs] observations MAY have [component](http://hl7.org/fhir/R4/observation.html#gr-comp) observations … [see] FHIR core specification [vital signs table](http://hl7.org/fhir/R4/observation-vitalsigns.html#vitals-table) for examples</t>
  </si>
  <si>
    <t>Information about the growth chart tables used to determine percentiles SHOULD be supplied in Observation.note.text</t>
  </si>
  <si>
    <t>[In the US Core Blood Pressure Profile] because the blood pressure values are communicated in the mandatory systolic and diastolic components[,] the Observation.value[x] element SHOULD be omitted</t>
  </si>
  <si>
    <t>When using the us core blood pressure profile</t>
  </si>
  <si>
    <t>[In the US Core Blood Pressure Profile] because the blood pressure values are communicated in the mandatory systolic and diastolic components[,] an Observation without a systolic or diastolic result value, SHALL include a reason why the data is absent in Observation.component.dataAbsentReason</t>
  </si>
  <si>
    <t>Inspired oxygen therapy may be represented with [component](http://hl7.org/fhir/R4/observation.html#gr-comp) observations when measured at the same time as the pulse oximetry measurements [in the US Core Pulse Oximetry profile]</t>
  </si>
  <si>
    <t>When using the us core pulse oximetry profile</t>
  </si>
  <si>
    <t>Many pulse oximetry readings are taken while the patient is breathing room air. The concept of “room air” (unmodified, ambient air) SHOULD be represented as an inhaled oxygen flow rate of 0 liters/min</t>
  </si>
  <si>
    <t>When the patient is breathing room air, the inhaled oxygen flow rate should be 0 liters/min</t>
  </si>
  <si>
    <t>A pulse oximetry reading without inspired oxygen component observations may imply that the measurement was performed while the patient was breathing room air or that the inspired oxygen reading was omitted. To remove this uncertainty, the inspired oxygen [component](http://hl7.org/fhir/R4/observation.html#gr-comp) observations SHOULD be used [when using the US Core Pulse Oximetry profile.]</t>
  </si>
  <si>
    <t>Systems SHALL support National Provider Identifier (NPI) for organizations</t>
  </si>
  <si>
    <t>Systems … SHOULD the National Association of Insurance Commissioners NAIC Company code (sometimes called “NAIC Number” or “cocode”) for payers.</t>
  </si>
  <si>
    <t>Systems … SHOULD support Clinical Laboratory Improvement Amendments (CLIA) for laboratories</t>
  </si>
  <si>
    <t>Systems SHOULD follow the [Project US@ Technical Specification for Patient Addresses Final Version 1.0](https://asapnet.org/wp-content/uploads/2022/03/Project_US_FINAL_Technical_Specification_Version_1.0.pdf) as the standard style guide for Organization.address.line and Organization.address.city</t>
  </si>
  <si>
    <t>Proposal for a potentially better way to state this requirement: Certified system SHALL support Patient.deceasedDateTime and MAY support Patient.deceasedBoolean. Non certified system SHALL support at least one date type under Patient.deceased[x]</t>
  </si>
  <si>
    <t>Previous name is represented by setting Patient.name.use to “old” or providing an end date in Patient.name.period or doing both</t>
  </si>
  <si>
    <t>Previous name should be represented by setting  setting Patient.name.use to “old” or providing an end date in Patient.name.period</t>
  </si>
  <si>
    <t>Previous address is represented by setting Patient.address.use to “old” or providing an end date in Patient.address.period or doing both.</t>
  </si>
  <si>
    <t xml:space="preserve">Previous address is should be represented by setting Patient.address.use to “old” or providing an end date in Patient.address.period </t>
  </si>
  <si>
    <t>Communication.preferred MAY designate a preferred language when multiple languages are represented</t>
  </si>
  <si>
    <t>[Certifying systems](https://www.healthit.gov/topic/certification-ehrs/about-onc-health-it-certification-program) [, those that are participating in the ONC Health IT certification program,] SHALL ... follow the [Project US@ Technical Specification for Patient Addresses Final Version 1.0](https://asapnet.org/wp-content/uploads/2022/03/Project_US_FINAL_Technical_Specification_Version_1.0.pdf) as the standard style guide for Patient.address.line and Patient.address.city for new and updated records.</t>
  </si>
  <si>
    <t>Non-certifying systems[, systems that are not participating in the ONC Health IT certification program,] SHOULD follow the [Project US@ Technical Specification for Patient Addresses Final Version 1.0](https://asapnet.org/wp-content/uploads/2022/03/Project_US_FINAL_Technical_Specification_Version_1.0.pdf) as the standard style guide for Patient.address.line and Patient.address.city for new and updated records.</t>
  </si>
  <si>
    <t>[For systems participating in the ONC Health IT certification program,] this requirement [to follow the [Project US@ Technical Specification for Patient Addresses Final Version 1.0](https://asapnet.org/wp-content/uploads/2022/03/Project_US_FINAL_Technical_Specification_Version_1.0.pdf) for Patient.address.line and Patient.address.city] does not apply to historical records or documents that are exposed through FHIR-based APIs. [Organizations MAY choose not to use use Project US@ Technical Specification for Patient Addresses Final Version 1.0 when sending historical records]</t>
  </si>
  <si>
    <t>For organizations sending historical records and participating in the health IT certifictation program, they may choose not to follow Project US@ Technical Specification for Patient Addresses Final Version 1.0 when sending patient.address.line and patient.address.city</t>
  </si>
  <si>
    <t>The Patient’s Social Security Numbers SHOULD NOT be used as a patient identifier in Patient.identifier.value</t>
  </si>
  <si>
    <t>Servers that support US Core Practioner, but not US Core PractionerRole shall provide guidance on accessing provider locatin and contact information</t>
  </si>
  <si>
    <t>If the system supports US Core PractionerRole, they may choose not to support practioner.address, even though it is marked as must support</t>
  </si>
  <si>
    <t>When using US Core Practioner profile</t>
  </si>
  <si>
    <t>Only professional/work contact information about the practitioner SHOULD be available to the patient</t>
  </si>
  <si>
    <t>Systems SHOULD follow the [Project US@ Technical Specification for Patient Addresses Final Version 1.0](https://asapnet.org/wp-content/uploads/2022/03/Project_US_FINAL_Technical_Specification_Version_1.0.pdf) as the standard style guide for Practitioner.address.line and Practitioner.address.city.</t>
  </si>
  <si>
    <t>Procedure codes … [MAY] be taken from SNOMED-CT, CPT, HCPCS II, ICD-10-PCS, CDT, or LOINC [for procedure.code]</t>
  </si>
  <si>
    <t>[If using LOINC codes in procedure.code] only LOINC concepts that reflect actual procedures SHOULD be used</t>
  </si>
  <si>
    <t>If using LOINC codes in procedure.code</t>
  </si>
  <si>
    <t>[For organizations participating in the ONC Health IT Certification program] Servers … SHALL support ... US Core Procedure Profile for communicating the reason or justification for a referral as Additional USCDI Requirements</t>
  </si>
  <si>
    <t>For organizations participating in ONC certification</t>
  </si>
  <si>
    <t>[For organizations participating in the ONC Health IT Certification program] … Clients SHALL support ... US Core Procedure Profile for communicating the reason or justification for a referral as Additional USCDI Requirements</t>
  </si>
  <si>
    <t>[For organizations participating in the ONC Health IT Certification program,] when using Procedure.reasonReference Servers SHALL support at least one target resource in Procedure.reasonReference</t>
  </si>
  <si>
    <t xml:space="preserve"> For organizations participating in the ONC Health IT Certification program, using Procedure.reasonReference</t>
  </si>
  <si>
    <t>[For organizations participating in the ONC Health IT Certification program,] when using Procedure.reasonReference … Clients SHALL support all target resources in Procedure.reasonReference</t>
  </si>
  <si>
    <t>The US Core Provenance resource SHALL be supported for … [this] US Core resource type AllergyIntolerance</t>
  </si>
  <si>
    <t>The US Core Provenance resource SHALL be supported for … [this] US Core resource type CarePlan</t>
  </si>
  <si>
    <t>The US Core Provenance resource SHALL be supported for … [this] US Core resource type CareTeam</t>
  </si>
  <si>
    <t>The US Core Provenance resource SHALL be supported for … [this] US Core resource type Condition</t>
  </si>
  <si>
    <t>The US Core Provenance resource SHALL be supported for … [this] US Core resource type Coverage</t>
  </si>
  <si>
    <t>The US Core Provenance resource SHALL be supported for … [this] US Core resource type Device</t>
  </si>
  <si>
    <t>The US Core Provenance resource SHALL be supported for … [this] US Core resource type DiagnosticReport</t>
  </si>
  <si>
    <t>The US Core Provenance resource SHALL be supported for … [this] US Core resource type Document Reference</t>
  </si>
  <si>
    <t>The US Core Provenance resource SHALL be supported for … [this] US Core resource type Encounter</t>
  </si>
  <si>
    <t>The US Core Provenance resource SHALL be supported for … [this] US Core resource type Goal</t>
  </si>
  <si>
    <t>The US Core Provenance resource SHALL be supported for … [this] US Core resource type Immunization</t>
  </si>
  <si>
    <t>The US Core Provenance resource SHALL be supported for … [this] US Core resource type MedicationDispense</t>
  </si>
  <si>
    <t>The US Core Provenance resource SHALL be supported for … [this] US Core resource type MedicationRequest</t>
  </si>
  <si>
    <t>The US Core Provenance resource SHALL be supported for … [this] US Core resource type Observation</t>
  </si>
  <si>
    <t>The US Core Provenance resource SHALL be supported for … [this] US Core resource type Patient</t>
  </si>
  <si>
    <t>The US Core Provenance resource SHALL be supported for … [this] US Core resource type Procedure</t>
  </si>
  <si>
    <t>The US Core Provenance resource SHALL be supported for … [this] US Core resource type QuestionnaireResponse</t>
  </si>
  <si>
    <t>The US Core Provenance resource SHALL be supported for … [this] US Core resource type RelatedPerson</t>
  </si>
  <si>
    <t>The US Core Provenance resource SHALL be supported for … [this] US Core resource type ServiceRequest</t>
  </si>
  <si>
    <t>If a system receives a provider in Provenance.agent.who as free text, they must capture [the organization] who sent them the information [and upon] request ... SHALL provide this organization as the source</t>
  </si>
  <si>
    <t>If Provenance.agent.who is stored as free text, then the organization source shall be provided</t>
  </si>
  <si>
    <t>If a system receives a provider in Provenance.agent.who as free text, … [upon request they] MAY include the free text provider.</t>
  </si>
  <si>
    <t>If Provenance.agent.who is stored as free text, then the free text provider may be provided</t>
  </si>
  <si>
    <t>Systems that need to know the activity has occurred SHOULD populate the activity [Provenance.activity]</t>
  </si>
  <si>
    <t>If the QuestionnaireResponse is based on a non-FHIR form [then a] ... FHIR Questionnaire [needs to] represent at least the relevant metadata</t>
  </si>
  <si>
    <t xml:space="preserve"> If the QuestionnaireResponse is based on a non-FHIR form</t>
  </si>
  <si>
    <t>If the QuestionnaireResponse is based on a non-FHIR form [then a] … FHIR Questionnaire's questions may be omitted</t>
  </si>
  <si>
    <t>Systems SHOULD follow the [Project US@ Technical Specification for Patient Addresses Final Version 1.0](https://asapnet.org/wp-content/uploads/2022/03/Project_US_FINAL_Technical_Specification_Version_1.0.pdf) as the standard style guide for RelatedPerson.address.line and RelatedPerson.address.city</t>
  </si>
  <si>
    <t>The ServiceRequest.code value ... SHOULD be constrained to a subset for a particular use case or domain</t>
  </si>
  <si>
    <t>[For organizations participating in the ONC Health IT Certification program] Servers … SHALL support ... US Core Service Request Profile for communicating the reason or justification for a referral as Additional USCDI Requirements</t>
  </si>
  <si>
    <t>[For organizations participating in the ONC Health IT Certification program] … Clients SHALL support ... US Core ServiceRequest Profile for communicating the reason or justification for a referral as Additional USCDI Requirements</t>
  </si>
  <si>
    <t>[For organizations participating in the ONC Health IT Certification program,] when using ServiceRequest.reasonReference Servers SHALL support at least one target resource in ServiceRequest.reasonReference</t>
  </si>
  <si>
    <t>[For organizations participating in the ONC Health IT Certification program,] when using ServiceRequest.reasonReference … Clients SHALL support all target resources in ServiceRequest.reasonReference</t>
  </si>
  <si>
    <t>Since the binding [for Specimen.type and additional USCDI elements] is [extensible](http://hl7.org/fhir/R4/terminologies.html#extensible) when a code is unavailable, just text is allowed [and conformant].</t>
  </si>
  <si>
    <t>Shall support either Specimen.identifier or Specimen.accessionIdentifier</t>
  </si>
  <si>
    <t>Clients may request Specimen resources be included with the Observation or DiagnosticReport resource query.</t>
  </si>
  <si>
    <t>[Clients] MAY support the transaction interaction</t>
  </si>
  <si>
    <t>[Clients] MAY support the batch interaction</t>
  </si>
  <si>
    <t>[Clients] MAY support the search-system interaction</t>
  </si>
  <si>
    <t>[Clients] MAY support the history-system interaction</t>
  </si>
  <si>
    <t>US Core Server SHALL support the US Core Patient resource profile</t>
  </si>
  <si>
    <t>US Core Server SHALL support … at least one additional resource profile [in addition to the US Core Patient resource profile] from the list of US Core Profiles</t>
  </si>
  <si>
    <t>US Core Server SHALL … Implement the RESTful behavior according to the FHIR specification.</t>
  </si>
  <si>
    <t>US Core Server SHALL … return the following response class (Status 400) [for] invalid parameters</t>
  </si>
  <si>
    <t>US Core Server SHALL … return the following response class (Status 401/4xx) [for] unauthorized request</t>
  </si>
  <si>
    <t>US Core Server SHALL … return the following response class (Status 403) [for] insufficient scopes</t>
  </si>
  <si>
    <t>US Core Server SHALL … return the following response class (Status 404) [for] unknown resource</t>
  </si>
  <si>
    <t>US Core Server SHALL … support JSON source formats for all US Core interactions.</t>
  </si>
  <si>
    <t>US Core Server SHOULD … support XML source formats for all US Core interactions.</t>
  </si>
  <si>
    <t>US Core Server SHOULD … identify the US Core profiles supported as part of the FHIR meta.profile attribute for each instance.</t>
  </si>
  <si>
    <t>Shall reject unauthorized requests by returning HTTP 401, 403, 404</t>
  </si>
  <si>
    <t>[Server] MAY support the transaction interaction</t>
  </si>
  <si>
    <t>[Server] MAY support the batch interaction</t>
  </si>
  <si>
    <t>[Server] MAY support the search-system interaction</t>
  </si>
  <si>
    <t>[Server] MAY support the history-system interaction</t>
  </si>
  <si>
    <t>[US Core Servers] SHOULD support [$expand](http://hl7.org/fhir/OperationDefinition/ValueSet-expand) operation</t>
  </si>
  <si>
    <t>Systems SHALL establish a risk analysis and management regime that conforms with HIPAA security regulatory requirements</t>
  </si>
  <si>
    <t>US Federal systems SHOULD conform with the risk management and mitigation requirements defined in NIST 800 series documents.</t>
  </si>
  <si>
    <t>US Federal systems … SHOULD include security category assignment following NIST 800-60 vol. 2 Appendix D.14.</t>
  </si>
  <si>
    <t>The coordination of risk management and the related security and privacy controls … SHOULD be defined in the Business Associate Agreement when available.</t>
  </si>
  <si>
    <t>Systems SHALL reference a single time source to establish a common time base for security auditing and clinical data records among computing systems.</t>
  </si>
  <si>
    <t>The selected time service SHOULD be documented in the Business Associate Agreement when available.</t>
  </si>
  <si>
    <t>Systems SHALL keep audit logs of the various transactions.</t>
  </si>
  <si>
    <t>Systems SHALL use TLS version 1.2 or higher for all transmissions not taking place over a secure network connection.</t>
  </si>
  <si>
    <t>US Federal systems SHOULD conform with FIPS PUB 140-2.</t>
  </si>
  <si>
    <t>Systems SHALL conform to [FHIR Communications Security](http://hl7.org/fhir/R4/security.html#http) requirements.</t>
  </si>
  <si>
    <t>Systems SHALL implement consent requirements per their state, local, and institutional policies.</t>
  </si>
  <si>
    <t>The Business Associate Agreements SHOULD document systems’ mutual consent requirements.</t>
  </si>
  <si>
    <t>Systems MAY implement the [FHIR Digital Signatures](http://hl7.org/fhir/R4/security.html#digital%20signatures)</t>
  </si>
  <si>
    <t>Systems MAY protect the confidentiality of data at rest via encryption and associated access controls.</t>
  </si>
  <si>
    <t>The [additional] current binding [[FHIR R5 link](https://hl7.org/fhir/R5/terminologies.html#binding)] requires newly recorded, non-legacy data to be drawn from the [bound] value set.</t>
  </si>
  <si>
    <t>When exchanging non-legacy data</t>
  </si>
  <si>
    <t>If the QuestionnaireResponse is based on a non-FHIR form [then a] ... FHIR Questionnaire [will communicate] the identifier of the non-FHIR form instead of the canonical URI using the US Core Extension Questionnaire URI extension.</t>
  </si>
  <si>
    <r>
      <t xml:space="preserve">Metadata
</t>
    </r>
    <r>
      <rPr>
        <sz val="12"/>
        <color rgb="FF000000"/>
        <rFont val="Aptos Narrow"/>
        <scheme val="minor"/>
      </rPr>
      <t xml:space="preserve">The metadata provides identifying information and context for the collection of requirements. 
Filling out these fields is </t>
    </r>
    <r>
      <rPr>
        <b/>
        <sz val="12"/>
        <color rgb="FF000000"/>
        <rFont val="Aptos Narrow"/>
        <scheme val="minor"/>
      </rPr>
      <t>optional</t>
    </r>
    <r>
      <rPr>
        <sz val="12"/>
        <color rgb="FF000000"/>
        <rFont val="Aptos Narrow"/>
        <scheme val="minor"/>
      </rPr>
      <t xml:space="preserve">.
These fields map directly to the R5 Requirements fields.
Suggested values:
</t>
    </r>
    <r>
      <rPr>
        <b/>
        <sz val="12"/>
        <color rgb="FF000000"/>
        <rFont val="Aptos Narrow"/>
        <scheme val="minor"/>
      </rPr>
      <t xml:space="preserve">Id: </t>
    </r>
    <r>
      <rPr>
        <sz val="12"/>
        <color rgb="FF000000"/>
        <rFont val="Aptos Narrow"/>
        <scheme val="minor"/>
      </rPr>
      <t xml:space="preserve">The requirement set ID. This should be the namespace without version information. See the Info tab for details. For example, for the Da Vinci Drug Formulary v2.0.1, it would be  "hl7.fhir.us.davinci-drug-formulary_2.0.1".
</t>
    </r>
    <r>
      <rPr>
        <b/>
        <sz val="12"/>
        <color rgb="FF000000"/>
        <rFont val="Aptos Narrow"/>
        <scheme val="minor"/>
      </rPr>
      <t xml:space="preserve">URL: </t>
    </r>
    <r>
      <rPr>
        <sz val="12"/>
        <color rgb="FF000000"/>
        <rFont val="Aptos Narrow"/>
        <scheme val="minor"/>
      </rPr>
      <t xml:space="preserve">&lt;inferno base url&gt;/&lt;Name&gt;
</t>
    </r>
    <r>
      <rPr>
        <b/>
        <sz val="12"/>
        <color rgb="FF000000"/>
        <rFont val="Aptos Narrow"/>
        <scheme val="minor"/>
      </rPr>
      <t>Title:</t>
    </r>
    <r>
      <rPr>
        <sz val="12"/>
        <color rgb="FF000000"/>
        <rFont val="Aptos Narrow"/>
        <scheme val="minor"/>
      </rPr>
      <t xml:space="preserve"> &lt;Implementation Guide title / Source document title&gt; Requirements
</t>
    </r>
    <r>
      <rPr>
        <b/>
        <sz val="12"/>
        <color rgb="FF000000"/>
        <rFont val="Aptos Narrow"/>
        <scheme val="minor"/>
      </rPr>
      <t>Status</t>
    </r>
    <r>
      <rPr>
        <sz val="12"/>
        <color rgb="FF000000"/>
        <rFont val="Aptos Narrow"/>
        <scheme val="minor"/>
      </rPr>
      <t xml:space="preserve">: draft
</t>
    </r>
    <r>
      <rPr>
        <b/>
        <sz val="12"/>
        <color rgb="FF000000"/>
        <rFont val="Aptos Narrow"/>
        <scheme val="minor"/>
      </rPr>
      <t>Publisher:</t>
    </r>
    <r>
      <rPr>
        <sz val="12"/>
        <color rgb="FF000000"/>
        <rFont val="Aptos Narrow"/>
        <scheme val="minor"/>
      </rPr>
      <t xml:space="preserve"> Inferno
</t>
    </r>
    <r>
      <rPr>
        <b/>
        <sz val="12"/>
        <color rgb="FF000000"/>
        <rFont val="Aptos Narrow"/>
        <scheme val="minor"/>
      </rPr>
      <t xml:space="preserve">Copyright:
</t>
    </r>
    <r>
      <rPr>
        <sz val="12"/>
        <color rgb="FF000000"/>
        <rFont val="Aptos Narrow"/>
        <scheme val="minor"/>
      </rPr>
      <t xml:space="preserve">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t>
    </r>
    <r>
      <rPr>
        <b/>
        <sz val="12"/>
        <color rgb="FF000000"/>
        <rFont val="Aptos Narrow"/>
        <scheme val="minor"/>
      </rPr>
      <t xml:space="preserve">Copyright Label: </t>
    </r>
    <r>
      <rPr>
        <sz val="12"/>
        <color rgb="FF000000"/>
        <rFont val="Aptos Narrow"/>
        <scheme val="minor"/>
      </rPr>
      <t xml:space="preserve">Copyright (c) &lt;year&gt; The MITRE Corporation
</t>
    </r>
    <r>
      <rPr>
        <b/>
        <sz val="12"/>
        <color rgb="FF000000"/>
        <rFont val="Aptos Narrow"/>
        <scheme val="minor"/>
      </rPr>
      <t>Reference:</t>
    </r>
    <r>
      <rPr>
        <sz val="12"/>
        <color rgb="FF000000"/>
        <rFont val="Aptos Narrow"/>
        <scheme val="minor"/>
      </rPr>
      <t xml:space="preserve">&lt;Implementation Guide URL&gt; </t>
    </r>
    <r>
      <rPr>
        <i/>
        <sz val="12"/>
        <color rgb="FF000000"/>
        <rFont val="Aptos Narrow"/>
        <scheme val="minor"/>
      </rPr>
      <t>E.g., for  Da Vinci Payer Data Exchange (v2.0.0: STU2), Reference would be https://hl7.org/fhir/us/davinci-pdex/STU2/.</t>
    </r>
  </si>
  <si>
    <t>Id</t>
  </si>
  <si>
    <t>URL</t>
  </si>
  <si>
    <t>Version</t>
  </si>
  <si>
    <t>0.1</t>
  </si>
  <si>
    <t>Title</t>
  </si>
  <si>
    <t>US Core Implementation Guide Requirements</t>
  </si>
  <si>
    <t>Status</t>
  </si>
  <si>
    <t>draft</t>
  </si>
  <si>
    <t>Publisher</t>
  </si>
  <si>
    <t>Inferno</t>
  </si>
  <si>
    <t>Description</t>
  </si>
  <si>
    <t>Purpose</t>
  </si>
  <si>
    <t>Copyright</t>
  </si>
  <si>
    <t>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t>
  </si>
  <si>
    <t>Copyright Label</t>
  </si>
  <si>
    <t>Reference</t>
  </si>
  <si>
    <t>Author</t>
  </si>
  <si>
    <t>Email</t>
  </si>
  <si>
    <t>Summary of changes</t>
  </si>
  <si>
    <t>Date</t>
  </si>
  <si>
    <t>Eric Whitebay</t>
  </si>
  <si>
    <t>ewhitebay@mitre.org</t>
  </si>
  <si>
    <t>Initial input of requirements</t>
  </si>
  <si>
    <t>Conformance</t>
  </si>
  <si>
    <t>Scope</t>
  </si>
  <si>
    <t>ATTESTATION</t>
  </si>
  <si>
    <t>AUTOMATION</t>
  </si>
  <si>
    <t>OUT OF SCOPE</t>
  </si>
  <si>
    <t>hl7.fhir.us.core_8.0.0</t>
  </si>
  <si>
    <t>https://hl7.org/fhir/us/core/STU8/</t>
  </si>
  <si>
    <t>Copyright (c) 2025 The MITRE Corporation</t>
  </si>
  <si>
    <t>https://hl7.org/fhir/us/core/STU8/general-requirements.html#profile-only-support</t>
  </si>
  <si>
    <t>https://hl7.org/fhir/us/core/STU8/general-requirements.html#translations</t>
  </si>
  <si>
    <t>https://hl7.org/fhir/us/core/STU8/must-support.html#must-support-elements</t>
  </si>
  <si>
    <t>https://hl7.org/fhir/us/core/STU8/must-support.html#additional-uscdi-requirements</t>
  </si>
  <si>
    <t>https://hl7.org/fhir/us/core/STU8/must-support.html#defined-pattern-elements</t>
  </si>
  <si>
    <t>https://hl7.org/fhir/us/core/STU8/must-support.html#must-support---primitive-element</t>
  </si>
  <si>
    <t>https://hl7.org/fhir/us/core/STU8/must-support.html#must-support---complex-elements</t>
  </si>
  <si>
    <t>https://hl7.org/fhir/us/core/STU8/must-support.html#must-support---resource-references</t>
  </si>
  <si>
    <t>https://hl7.org/fhir/us/core/STU8/must-support.html#must-support-targets-for-us-core-profiles</t>
  </si>
  <si>
    <t>https://hl7.org/fhir/us/core/STU8/must-support.html#must-support---choice-of-data-types</t>
  </si>
  <si>
    <t>https://hl7.org/fhir/us/core/STU8/must-support.html#must-support---choice-of-profile-elements</t>
  </si>
  <si>
    <t>https://hl7.org/fhir/us/core/STU8/must-support.html#must-support---slices</t>
  </si>
  <si>
    <t>https://hl7.org/fhir/us/core/STU8/scopes.html#smart-scopes</t>
  </si>
  <si>
    <t>https://hl7.org/fhir/us/core/STU8/scopes.html#scopes-for-requesting-fhir-resources-by-type</t>
  </si>
  <si>
    <t>https://hl7.org/fhir/us/core/STU8/scopes.html#granular-scopes-for-requesting-fhir-resources</t>
  </si>
  <si>
    <t>https://hl7.org/fhir/us/core/STU8/scopes.html#additional-us-core-requirements</t>
  </si>
  <si>
    <t>https://hl7.org/fhir/us/core/STU8/general-guidance.html#searching-using-lastupdated</t>
  </si>
  <si>
    <t>https://hl7.org/fhir/us/core/STU8/clinical-notes.html#clinical-notes</t>
  </si>
  <si>
    <t>https://hl7.org/fhir/us/core/STU8/clinical-notes.html#support-requirements</t>
  </si>
  <si>
    <t>https://hl7.org/fhir/us/core/STU8/medication-list.html#fetching-all-medications-active-medications-and-all-medications-for-an-encounter</t>
  </si>
  <si>
    <t>https://hl7.org/fhir/us/core/STU8/screening-and-assessments.html#clinical-judgments</t>
  </si>
  <si>
    <t>https://hl7.org/fhir/us/core/STU8/screening-and-assessments.html#structured-screening-and-assessments</t>
  </si>
  <si>
    <t>https://hl7.org/fhir/us/core/STU8/screening-and-assessments.html#category-codes</t>
  </si>
  <si>
    <t>https://hl7.org/fhir/us/core/STU8/security.html#patient-privacy-and-security</t>
  </si>
  <si>
    <t>https://hl7.org/fhir/us/core/STU8/StructureDefinition-us-core-allergyintolerance.html#mandatory-and-must-support-data-elements</t>
  </si>
  <si>
    <t>https://hl7.org/fhir/us/core/STU8/StructureDefinition-us-core-average-blood-pressure.html#mandatory-and-must-support-data-elements</t>
  </si>
  <si>
    <t>https://hl7.org/fhir/us/core/STU8/StructureDefinition-us-core-careplan.html#mandatory-and-must-support-data-elements</t>
  </si>
  <si>
    <t>https://hl7.org/fhir/us/core/STU8/StructureDefinition-us-core-condition-encounter-diagnosis.html#mandatory-and-must-support-data-elements</t>
  </si>
  <si>
    <t>https://hl7.org/fhir/us/core/STU8/StructureDefinition-us-core-condition-problems-health-concerns.html#mandatory-and-must-support-data-elements</t>
  </si>
  <si>
    <t>https://hl7.org/fhir/us/core/STU8/StructureDefinition-us-core-coverage.html#mandatory-and-must-support-data-elements</t>
  </si>
  <si>
    <t>https://hl7.org/fhir/us/core/STU8/StructureDefinition-us-core-diagnosticreport-lab.html#mandatory-and-must-support-data-elements</t>
  </si>
  <si>
    <t>https://hl7.org/fhir/us/core/STU8/StructureDefinition-us-core-diagnosticreport-note.html#mandatory-and-must-support-data-elements</t>
  </si>
  <si>
    <t>https://hl7.org/fhir/us/core/STU8/StructureDefinition-us-core-documentreference.html</t>
  </si>
  <si>
    <t>Change in v8.0.0: "translations" becomes "additional codings"</t>
  </si>
  <si>
    <t>Alternate codes may be provided in addition to the standard codes defined in required or extensible ValueSets. These alternate codes are called "additional codings".</t>
  </si>
  <si>
    <t>[The additional codings] may be equivalent to or narrower in meaning than the standard concept code.</t>
  </si>
  <si>
    <t>Removed in v8.0.0</t>
  </si>
  <si>
    <t>For querying and reading US Core Profiles, Must Support on any profile data element **SHALL** be interpreted as follows…:
[The US Core Requesters processing of the resource instances] may result in a determination not to use the resource if the resource content does not meet business requirements.</t>
  </si>
  <si>
    <t>Implementors [US Core Requestors] seeking ONC certification [in the ONC IT Health Certification program] **SHALL** interpret Additional USCDI Requirements as Must Support elements as documented above and below;</t>
  </si>
  <si>
    <t>Implementors [US Core Responders] seeking ONC certification [in the ONC IT Health Certification program] **SHALL** interpret Additional USCDI Requirements as Must Support elements as documented above and below;</t>
  </si>
  <si>
    <t>This requirement is re-stated as a part of (g)(10) and is not tested as a part of US Core.
Changed in v8.0.0 from "above" to "above and below"</t>
  </si>
  <si>
    <t>Changed in v8.0.0 from "above" to "above and below"</t>
  </si>
  <si>
    <t>Marked DEPRECATED because this is an example.</t>
  </si>
  <si>
    <t>If an element is marked as *Additional USCDI* and defined by a pattern [as described by [ElementDefinition.pattern](http://hl7.org/fhir/R4/elementdefinition-definitions.html#ElementDefinition.pattern_x_)], then the pattern defines the elements *and* element values that the Certifying System **SHALL** be capable of providing.</t>
  </si>
  <si>
    <t xml:space="preserve">
Primitive elements are single elements with a primitive value…. If they are marked as *Additional USCDI*, then the Certifying System **SHALL** be capable of providing the element value to meet the *Additional USCDI* requirement.</t>
  </si>
  <si>
    <t xml:space="preserve">For any complex element marked as *Additional USCDI*, the Certifying System **SHALL** be capable of providing at least one of the sub-element values. </t>
  </si>
  <si>
    <t>If any sub-element is marked as *Additional USCDI* [for a complex element], it must also meet the *Additional USCDI* requirements and satisfy the *Additional USCDI* requirements for the parent element.</t>
  </si>
  <si>
    <t>[I]f any sub-element is marked as Must Support or Additional USCDI [for a complex element] and the parent element is not, there is no expectation that you must support the parent.</t>
  </si>
  <si>
    <t>[I]f any sub-element is marked as *Additional USCDI* [for a complex element] and the parent element is not… [and] the parent element is represented in the structure, Certifying System **SHALL** support the sub-elements labeled as *Additional USCDI*.</t>
  </si>
  <si>
    <t>Changed in v8.0.0: Added "or Additional USCDI"</t>
  </si>
  <si>
    <t>[I]f any sub-element is marked as Must Support [for a complex element] and the parent element is not… [and] the parent element is represented in the structure, Servers SHALL support the sub-element(s) marked as Must Support.</t>
  </si>
  <si>
    <t>Changed in v8.0.0: "you must support the sub-element (s)" -&gt; "</t>
  </si>
  <si>
    <t>Change in v8.0.0: Added "Additional USCDI". Modified intro text from:
Some elements allow different data types (e.g., Observation.effective[x]) for their content. Only specific data type choice elements are labeled Must Support in these situations.
To
[If a profile has] a Must Support element [with] a choice of datatypes for its content, [and some of] the datatypes … are labeled as Must Support[, or a profile has] an Additional USCDI element [with] a choice of datatypes for its content, [and some of] the datatypes … are labeled as Additional USCDI</t>
  </si>
  <si>
    <t>[If a profile has] a Must Support element [with] a choice of datatypes for its content [and some of] the datatypes … are labeled as Must Support[, or a profile has] an Additional USCDI element [with] a choice of datatypes for its content [and some of] the datatypes … are labeled as Additional USCDI
… When claiming conformance to [such a] profile:
- US Core Responders **SHALL** be capable of populating [the Must Support or Additional USCDI data type choice]</t>
  </si>
  <si>
    <t>[If a profile has] a Must Support element [with] a choice of datatypes for its content [and some of] the datatypes … are labeled as Must Support[, or a profile has] an Additional USCDI element [with] a choice of datatypes for its content [and some of] the datatypes … are labeled as Additional USCDI
…
[US Core Requestors] **MAY** support ... processing other [data type] choice elements (such as Observation.effectivePeriod), but this is not a requirement of US Core.</t>
  </si>
  <si>
    <t>[If a profile has] a Must Support element [with] a choice of datatypes for its content [and some of] the datatypes … are labeled as Must Support[, or a profile has] an Additional USCDI element [with] a choice of datatypes for its content [and some of] the datatypes … are labeled as Additional USCDI
…
[US Core Responders] **MAY** support populating ... other [data type] choice elements (such as Observation.effectivePeriod), but this is not a requirement of US Core.</t>
  </si>
  <si>
    <t xml:space="preserve">Change in v8.0.0: Added " or Additional USCDI"
</t>
  </si>
  <si>
    <t xml:space="preserve">Change in v8.0.0: Added " or Additional USCDI". Added "or Certifying System "
</t>
  </si>
  <si>
    <t>When a Reference type element is labeled as Must Support and has a single target profile referenced, the target profile **SHALL** be supported.</t>
  </si>
  <si>
    <t>When a Reference type element is labeled as Additional USCDI and has a single target profile referenced, the target profile **SHALL** be supported for Certifying Systems.</t>
  </si>
  <si>
    <t>[If a profile has] a Must Support element [with] a choice of datatypes for its content [and some of] the datatypes … are labeled as Must Support[, or a profile has] an Additional USCDI element [with] a choice of datatypes for its content [and some of] the datatypes … are labeled as Additional USCDI
… When claiming conformance to [such a] profile:
- US Core Requestors **SHALL** be capable of processing [the Must Support or data type choice]</t>
  </si>
  <si>
    <t>When a Reference type element is labeled as Must Support, has multiple target profiles referenced, and specific targets are labeled as Must Support, the Must Support target profile(s) **SHALL** be supported.</t>
  </si>
  <si>
    <t>When a Reference type element labeled as Additional USCDI, has multiple target profiles referenced, and specific targets are labeled as Must Support, the Must Support target profile(s) **SHALL** be supported by Certifying Systems.</t>
  </si>
  <si>
    <t xml:space="preserve">The following scopes that correspond directly to FHIR resource types **SHALL** be supported
...
[For] CarePlan [the] &lt;patient|user|system&gt;/CarePlan.rs [see [SMART Clinical Scope Syntax](https://hl7.org/fhir/smart-app-launch/STU2/scopes-and-launch-context.html#clinical-scope-syntax) for details on clinical data scopes] 
</t>
  </si>
  <si>
    <t>The following scopes that correspond directly to FHIR resource types **SHALL** be supported
...
[For] CareTeam [the] &lt;patient|user|system&gt;/CareTeam.rs [see [SMART Clinical Scope Syntax](https://hl7.org/fhir/smart-app-launch/STU2/scopes-and-launch-context.html#clinical-scope-syntax) for details on clinical data scopes]</t>
  </si>
  <si>
    <t>The following scopes that correspond directly to FHIR resource types **SHALL** be supported
...
[For] Condition [the] &lt;patient|user|system&gt;/Condition.rs [see [SMART Clinical Scope Syntax](https://hl7.org/fhir/smart-app-launch/STU2/scopes-and-launch-context.html#clinical-scope-syntax) for details on clinical data scopes]</t>
  </si>
  <si>
    <t>The following scopes that correspond directly to FHIR resource types **SHALL** be supported
...
[For] Coverage [the] &lt;patient|user|system&gt;/Coverage.rs [see [SMART Clinical Scope Syntax](https://hl7.org/fhir/smart-app-launch/STU2/scopes-and-launch-context.html#clinical-scope-syntax) for details on clinical data scopes]</t>
  </si>
  <si>
    <t>The following scopes that correspond directly to FHIR resource types **SHALL** be supported
...
[For] Device [the] &lt;patient|user|system&gt;/Device.rs [see [SMART Clinical Scope Syntax](https://hl7.org/fhir/smart-app-launch/STU2/scopes-and-launch-context.html#clinical-scope-syntax) for details on clinical data scopes]</t>
  </si>
  <si>
    <t>The following scopes that correspond directly to FHIR resource types **SHALL** be supported
...
[For] DiagnosticReport [the] &lt;patient|user|system&gt;/DiagnosticReport.rs [see [SMART Clinical Scope Syntax](https://hl7.org/fhir/smart-app-launch/STU2/scopes-and-launch-context.html#clinical-scope-syntax) for details on clinical data scopes]</t>
  </si>
  <si>
    <t>The following scopes that correspond directly to FHIR resource types **SHALL** be supported
...
[For] DocumentReference [the] &lt;patient|user|system&gt;/DocumentReference.rs [see [SMART Clinical Scope Syntax](https://hl7.org/fhir/smart-app-launch/STU2/scopes-and-launch-context.html#clinical-scope-syntax) for details on clinical data scopes]</t>
  </si>
  <si>
    <t>The following scopes that correspond directly to FHIR resource types **SHALL** be supported
...
[For] Encounter [the] &lt;patient|user|system&gt;/Encounter.rs [see [SMART Clinical Scope Syntax](https://hl7.org/fhir/smart-app-launch/STU2/scopes-and-launch-context.html#clinical-scope-syntax) for details on clinical data scopes]</t>
  </si>
  <si>
    <t>The following scopes that correspond directly to FHIR resource types **SHALL** be supported
...
[For] Goal [the] &lt;patient|user|system&gt;/Goal.rs [see [SMART Clinical Scope Syntax](https://hl7.org/fhir/smart-app-launch/STU2/scopes-and-launch-context.html#clinical-scope-syntax) for details on clinical data scopes]</t>
  </si>
  <si>
    <t>The following scopes that correspond directly to FHIR resource types **SHALL** be supported
...
[For] Immunization [the] &lt;patient|user|system&gt;/Immunization.rs [see [SMART Clinical Scope Syntax](https://hl7.org/fhir/smart-app-launch/STU2/scopes-and-launch-context.html#clinical-scope-syntax) for details on clinical data scopes]</t>
  </si>
  <si>
    <t>The following scopes that correspond directly to FHIR resource types **SHALL** be supported
...
[For] MedicationDispense [the] &lt;patient|user|system&gt;/MedicationDispense.rs [see [SMART Clinical Scope Syntax](https://hl7.org/fhir/smart-app-launch/STU2/scopes-and-launch-context.html#clinical-scope-syntax) for details on clinical data scopes]</t>
  </si>
  <si>
    <t>The following scopes that correspond directly to FHIR resource types **SHALL** be supported
...
[For] MedicationRequest [the] &lt;patient|user|system&gt;/MedicationRequest.rs [see [SMART Clinical Scope Syntax](https://hl7.org/fhir/smart-app-launch/STU2/scopes-and-launch-context.html#clinical-scope-syntax) for details on clinical data scopes]</t>
  </si>
  <si>
    <t>The following scopes that correspond directly to FHIR resource types **SHALL** be supported
...
[For] Observation [the] &lt;patient|user|system&gt;/Observation.rs [see [SMART Clinical Scope Syntax](https://hl7.org/fhir/smart-app-launch/STU2/scopes-and-launch-context.html#clinical-scope-syntax) for details on clinical data scopes]</t>
  </si>
  <si>
    <t>The following scopes that correspond directly to FHIR resource types **SHALL** be supported
...
[For] Organization [the] &lt;patient|user|system&gt;/Organization.rs [see [SMART Clinical Scope Syntax](https://hl7.org/fhir/smart-app-launch/STU2/scopes-and-launch-context.html#clinical-scope-syntax) for details on clinical data scopes]</t>
  </si>
  <si>
    <t>The following scopes that correspond directly to FHIR resource types **SHALL** be supported
...
[For] Patient [the] &lt;patient|user|system&gt;/Patient.rs [see [SMART Clinical Scope Syntax](https://hl7.org/fhir/smart-app-launch/STU2/scopes-and-launch-context.html#clinical-scope-syntax) for details on clinical data scopes]</t>
  </si>
  <si>
    <t>The following scopes that correspond directly to FHIR resource types **SHALL** be supported
...
[For] Practitioner [the] &lt;patient|user|system&gt;/Practitioner.rs [see [SMART Clinical Scope Syntax](https://hl7.org/fhir/smart-app-launch/STU2/scopes-and-launch-context.html#clinical-scope-syntax) for details on clinical data scopes]</t>
  </si>
  <si>
    <t>The following scopes that correspond directly to FHIR resource types **SHALL** be supported
...
[For] PractitionerRole [the] &lt;patient|user|system&gt;/PractitionerRole.rs [see [SMART Clinical Scope Syntax](https://hl7.org/fhir/smart-app-launch/STU2/scopes-and-launch-context.html#clinical-scope-syntax) for details on clinical data scopes]</t>
  </si>
  <si>
    <t>The following scopes that correspond directly to FHIR resource types **SHALL** be supported
...
[For] Procedure [the] &lt;patient|user|system&gt;/Procedure.rs [see [SMART Clinical Scope Syntax](https://hl7.org/fhir/smart-app-launch/STU2/scopes-and-launch-context.html#clinical-scope-syntax) for details on clinical data scopes]</t>
  </si>
  <si>
    <t>The following scopes that correspond directly to FHIR resource types **SHALL** be supported
...
[For] Provenance [the] &lt;patient|user|system&gt;/Provenance.rs [see [SMART Clinical Scope Syntax](https://hl7.org/fhir/smart-app-launch/STU2/scopes-and-launch-context.html#clinical-scope-syntax) for details on clinical data scopes]</t>
  </si>
  <si>
    <t>The following scopes that correspond directly to FHIR resource types **SHALL** be supported
...
[For] QuestionnaireResponse [the] &lt;patient|user|system&gt;/QuestionnaireResponse.rs [see [SMART Clinical Scope Syntax](https://hl7.org/fhir/smart-app-launch/STU2/scopes-and-launch-context.html#clinical-scope-syntax) for details on clinical data scopes]</t>
  </si>
  <si>
    <t>The following scopes that correspond directly to FHIR resource types **SHALL** be supported
...
[For] RelatedPerson [the] &lt;patient|user|system&gt;/RelatedPerson.rs [see [SMART Clinical Scope Syntax](https://hl7.org/fhir/smart-app-launch/STU2/scopes-and-launch-context.html#clinical-scope-syntax) for details on clinical data scopes]</t>
  </si>
  <si>
    <t>The following scopes that correspond directly to FHIR resource types **SHALL** be supported
...
[For] ServiceRequest [the] &lt;patient|user|system&gt;/ServiceRequest.rs [see [SMART Clinical Scope Syntax](https://hl7.org/fhir/smart-app-launch/STU2/scopes-and-launch-context.html#clinical-scope-syntax) for details on clinical data scopes]</t>
  </si>
  <si>
    <t>The following scopes that correspond directly to FHIR resource types **SHALL** be supported
...
[For] Specimen [the] &lt;patient|user|system&gt;/Specimen.rs [see [SMART Clinical Scope Syntax](https://hl7.org/fhir/smart-app-launch/STU2/scopes-and-launch-context.html#clinical-scope-syntax) for details on clinical data scopes]</t>
  </si>
  <si>
    <t xml:space="preserve">The following scopes that correspond directly to FHIR resource types **SHALL** be supported
...
[For] AllergyIntolerance [the] &lt;patient|user|system&gt;/AllergyIntolerance.rs [see [SMART Clinical Scope Syntax](https://hl7.org/fhir/smart-app-launch/STU2/scopes-and-launch-context.html#clinical-scope-syntax) for details on clinical data scopes] 
</t>
  </si>
  <si>
    <t>Change in v8.0.0: "The Following Resource Level Scopes SHALL Be Supported" -&gt; "The following scopes that correspond directly to FHIR resource types SHALL be supported"</t>
  </si>
  <si>
    <t>The following scopes that correspond directly to FHIR resource types **MAY** be supported
...
[For] Medication [the] &lt;patient|user|system&gt;/Medication.rs [see [SMART Clinical Scope Syntax](https://hl7.org/fhir/smart-app-launch/STU2/scopes-and-launch-context.html#clinical-scope-syntax) for details on clinical data scopes]</t>
  </si>
  <si>
    <t>The following scopes that correspond directly to FHIR resource types **MAY** be supported
...
[For] Location [the] &lt;patient|user|system&gt;/Location.rs [see [SMART Clinical Scope Syntax](https://hl7.org/fhir/smart-app-launch/STU2/scopes-and-launch-context.html#clinical-scope-syntax) for details on clinical data scopes]</t>
  </si>
  <si>
    <t>Change in v8.0.0: "The Following Resource Level Scopes MAY Be Supported" -&gt; "The following scopes that correspond directly to FHIR resource types **MAY** be supported"</t>
  </si>
  <si>
    <t>Change in v8.0.0: Capitalization changes</t>
  </si>
  <si>
    <t>The following granular scopes **SHALL** be supported
...
[For] Condition [the] &lt;patient|user|system&gt;/Condition.rs?category=http://hl7.org/fhir/us/core/CodeSystem/condition-category|health-concern [see [SMART Clinical Scope Syntax](https://hl7.org/fhir/smart-app-launch/STU2/scopes-and-launch-context.html#clinical-scope-syntax) for details on clinical data scopes]</t>
  </si>
  <si>
    <t>The following granular scopes **SHALL** be supported
...
[For] Condition [the] &lt;patient|user|system&gt;/Condition.rs?category=http://terminology.hl7.org/CodeSystem/condition-category|encounter-diagnosis [see [SMART Clinical Scope Syntax](https://hl7.org/fhir/smart-app-launch/STU2/scopes-and-launch-context.html#clinical-scope-syntax) for details on clinical data scopes]</t>
  </si>
  <si>
    <t>The following granular scopes **SHALL** be supported
...
[For] Condition [the] &lt;patient|user|system&gt;/Condition.rs?category=http://terminology.hl7.org/CodeSystem/condition-category|problem-list-item [see [SMART Clinical Scope Syntax](https://hl7.org/fhir/smart-app-launch/STU2/scopes-and-launch-context.html#clinical-scope-syntax) for details on clinical data scopes]</t>
  </si>
  <si>
    <t>The following granular scopes **SHALL** be supported
...
[For] Observation [the] &lt;patient|user|system&gt;/Observation.rs?category=http://hl7.org/fhir/us/core/CodeSystem/us-core-category|sdoh [see [SMART Clinical Scope Syntax](https://hl7.org/fhir/smart-app-launch/STU2/scopes-and-launch-context.html#clinical-scope-syntax) for details on clinical data scopes]</t>
  </si>
  <si>
    <t>The following granular scopes **SHALL** be supported
...
[For] Observation [the] &lt;patient|user|system&gt;/Observation.rs?category=http://terminology.hl7.org//CodeSystem-observation-category|social-history [see [SMART Clinical Scope Syntax](https://hl7.org/fhir/smart-app-launch/STU2/scopes-and-launch-context.html#clinical-scope-syntax) for details on clinical data scopes]</t>
  </si>
  <si>
    <t>The following granular scopes **SHALL** be supported
...
[For] Observation [the] &lt;patient|user|system&gt;/Observation.rs?category=http://terminology.hl7.org/CodeSystem/observation-category|laboratory [see [SMART Clinical Scope Syntax](https://hl7.org/fhir/smart-app-launch/STU2/scopes-and-launch-context.html#clinical-scope-syntax) for details on clinical data scopes]</t>
  </si>
  <si>
    <t>The following granular scopes **SHALL** be supported
...
[For] Observation [the] &lt;patient|user|system&gt;/Observation.rs?category=http://terminology.hl7.org/CodeSystem/observation-category|survey [see [SMART Clinical Scope Syntax](https://hl7.org/fhir/smart-app-launch/STU2/scopes-and-launch-context.html#clinical-scope-syntax) for details on clinical data scopes]</t>
  </si>
  <si>
    <t>The following granular scopes **SHALL** be supported
...
[For] Observation [the] &lt;patient|user|system&gt;/Observation.rs?category=http://terminology.hl7.org/CodeSystem/observation-category|vital-signs [see [SMART Clinical Scope Syntax](https://hl7.org/fhir/smart-app-launch/STU2/scopes-and-launch-context.html#clinical-scope-syntax) for details on clinical data scopes]</t>
  </si>
  <si>
    <t>The following granular scopes **SHOULD** be supported
...
[For] DocumentReference [the] &lt;patient|user|system&gt;/DocumentReference.rs?category=http://hl7.org/fhir/us/core/CodeSystem/us-core-documentreference-category|clinical-note [see [SMART Clinical Scope Syntax](https://hl7.org/fhir/smart-app-launch/STU2/scopes-and-launch-context.html#clinical-scope-syntax) for details on clinical data scopes]</t>
  </si>
  <si>
    <t>Servers ... SHOULD populate [Resource.meta.lastUpdated](http://hl7.org/fhir/R4/resource.html#Meta) for US Core Profiles as accurately as possible.</t>
  </si>
  <si>
    <t>Change in v8.0.0: Meta.lastUpdated -&gt; Resource.meta.lastUpdated</t>
  </si>
  <si>
    <t>If the Server does not support the _include search parameter, Clients **SHOULD** consolidate duplicate searches before searching for referenced resources in the result set</t>
  </si>
  <si>
    <t>The [HTTP Cache-Control](https://httpwg.org/specs/rfc9111.html) response header stores a response associated with a request and reuses the stored response for subsequent requests. If Cache-Control is present in the Server response headers, the Clients **SHOULD NOT** search the same data within the time stated in Cache-Control headers.</t>
  </si>
  <si>
    <t>Servers SHALL support, at minimum, these … "Common Clinical Notes":
[Surgical Operation Note (11504-8)](https://loinc.org/11504-8.html)</t>
  </si>
  <si>
    <t>Servers SHALL support, at minimum, these … "Common Clinical Notes":
[Emergency Department Note (34111-5)](https://loinc.org/34111-5.html)</t>
  </si>
  <si>
    <t>Change in v8.0.0: 
A MedicationRequest resource query:
    SHALL be all that is required.
        See the General Guidance section for additional rules and expectations for Servers Requiring Status.
-&gt;
A MedicationRequest resource query SHALL be all that is required to access "all medications" or "all active medications" for a patient. (In other words, no other medication resource type needs to be fetched)</t>
  </si>
  <si>
    <t>Change in v8.0.0: 
SHALL include all MedicationRequest resources with an intent = “order” representing authorized medication orders directly derived from the system’s orders.
-&gt;
The query result SHALL include all MedicationRequest resources with a MedicationRequest.intent = "order" representing authorized medication orders directly derived from the system's orders.</t>
  </si>
  <si>
    <t>Change in v8.0.0:
SHALL include all prescribed and “self-prescribed” MedicationRequest resources with an intent = “plan” representing reported medications 
-&gt;
The query result SHALL include all prescribed and "self-prescribed" MedicationRequest resources with a MedicationRequest.intent = "plan" representing reported medications.</t>
  </si>
  <si>
    <t>Requirements to access “all medications” [all historical, active, and future prescribed medications and medications entered in error and whose status is unknown.] and “all active medications” [all medications with an active status. Active medications do not include past, future, unknown status, and entered-in-error medications.] for a patient:
A MedicationRequest resource query **SHALL** be all that is required to access "all medications" or "all active medications" for a patient. (In other words, no other medication resource type needs to be fetched)</t>
  </si>
  <si>
    <t>Requirements to access “all medications” [all historical, active, and future prescribed medications and medications entered in error and whose status is unknown.] and “all active medications” [all medications with an active status. Active medications do not include past, future, unknown status, and entered-in-error medications.] for a patient:
The [MedicationRequest resource] query result **SHALL** include all MedicationRequest resources with a `MedicationRequest.intent` = "order" representing authorized medication orders directly derived from the system's orders.</t>
  </si>
  <si>
    <t>Requirements to access “all medications” [all historical, active, and future prescribed medications and medications entered in error and whose status is unknown.] and “all active medications” [all medications with an active status. Active medications do not include past, future, unknown status, and entered-in-error medications.] for a patient:
The [MedicationRequest resource] query result **SHALL** include all prescribed and "self-prescribed" MedicationRequest resources with a `MedicationRequest.intent` = "plan" representing reported medications.</t>
  </si>
  <si>
    <t>Duplicate of 254 (note: 254 changed in v8.0.0)</t>
  </si>
  <si>
    <t>Change in v8.0.0: Was previously nested under requirement 254. Stands alone in v8.0.0</t>
  </si>
  <si>
    <t>Requirements to access “all medications” [all historical, active, and future prescribed medications and medications entered in error and whose status is unknown.] and “all active medications” [all medications with an active status. Active medications do not include past, future, unknown status, and entered-in-error medications.] for a patient:
Servers [MAY] use the `MedicationRequest.reported[x]` element to indicate ... the source of the report.</t>
  </si>
  <si>
    <t>Requirements to access “all medications” [all historical, active, and future prescribed medications and medications entered in error and whose status is unknown.] and “all active medications” [all medications with an active status. Active medications do not include past, future, unknown status, and entered-in-error medications.] for a patient:
Servers **SHALL** use the `MedicationRequest.reported[x]` element to indicate that the MedicationRequest record was captured as a secondary "reported" record rather than an original primary source-of-truth record.</t>
  </si>
  <si>
    <t>Requirements to access “all medications” [all historical, active, and future prescribed medications and medications entered in error and whose status is unknown.] and “all active medications” [all medications with an active status. Active medications do not include past, future, unknown status, and entered-in-error medications.] for a patient:
When recording "self-prescribed" medication, Servers **SHOULD** use the `MedicationRequest.requester` element to indicate the Patient or RelatedPerson is the prescriber.</t>
  </si>
  <si>
    <t>Change in v8.0.0:
The encounter element SHOULD be supported. Searching by context (i.e., for a given inpatient encounter) will return all medications ordered during that encounter, including medications administered in hospital and prescribed or discharge medications intended to be taken at home.
-&gt;
Servers SHOULD support the encounter search parameter. Searching by encounter will return all medications ordered during that encounter, including medications administered in the hospital and prescribed or discharge medications intended to be taken at home.</t>
  </si>
  <si>
    <t xml:space="preserve">Requirements to access “all medications” [all historical, active, and future prescribed medications and medications entered in error and whose status is unknown.] and “all active medications” [all medications with an active status. Active medications do not include past, future, unknown status, and entered-in-error medications.] for a patient:
Servers **SHOULD** support the encounter search parameter. </t>
  </si>
  <si>
    <t>Requirements to access “all medications” [all historical, active, and future prescribed medications and medications entered in error and whose status is unknown.] and “all active medications” [all medications with an active status. Active medications do not include past, future, unknown status, and entered-in-error medications.] for a patient:
[If Servers support the encounter search parameter, s]earching by encounter will return all medications ordered during that encounter, including medications administered in the hospital and prescribed or discharge medications intended to be taken at home.</t>
  </si>
  <si>
    <t>Duplicate of requirement 260. (note that 260 was updated in v8.0.0)</t>
  </si>
  <si>
    <t>Requirements to access “all medications” [all historical, active, and future prescribed medications and medications entered in error and whose status is unknown.] and “all active medications” [all medications with an active status. Active medications do not include past, future, unknown status, and entered-in-error medications.] for a patient:
Servers **MAY** support the search parameters `category`and `encounter`. This search will return all medications ordered during an encounter for a given MedicationRequest.category such as "inpatient".</t>
  </si>
  <si>
    <t>Change in v8.0.0:
The category and encounter elements MAY be used together to get the intersection of medications for a given encounter (i.e., the context) that were administered during as an inpatient (i.e., the category).
-&gt;
Servers MAY support the search parameters category and encounter. This search will return all medications ordered during an encounter for a given MedicationRequest.category such as "inpatient".</t>
  </si>
  <si>
    <t>Change in v8.0.0:
When a Simple Observation or Problem or Health Concern is recorded based on a structured screening and assessment (see below), the US Core Simple Observation Profile SHOULD reference it using the derivedFrom element and the US Core Condition Problems and Health Concerns Profile using the evidence.detail element
-&gt;
The US Core Simple Observation Profile's Observation.derivedFrom element SHOULD reference the Structured Screening and Assessment upon which clinical judgment observations are made (see below). Likewise, the US Core Condition Profile's Condition.evidence.detail element SHOULD reference the Structured Screening and Assessment which assist in diagnosing problems or health concerns.</t>
  </si>
  <si>
    <t>Servers that support the USCDI Health Status/Assessments Data Class **SHALL** support the US Core Observation Screening Assessment Profile</t>
  </si>
  <si>
    <t>Servers that support the USCDI Health Status/Assessments Data Class ... **SHOULD** support the SDC Base Questionnaire and the US Core QuestionnaireResponse Profile."</t>
  </si>
  <si>
    <t>API consumers can query by category  when accessing patient information.</t>
  </si>
  <si>
    <t>Change in v8.0.0: Removed "(for example, `sdoh`)"</t>
  </si>
  <si>
    <t>For the US Core Simple Observation Profile, Servers **SHALL** support all the category codes [listed](https://hl7.org/fhir/us/core/STU8/screening-and-assessments.html#category-codes).</t>
  </si>
  <si>
    <t>For the … US Core Observation Screening Assessment Profiles, Servers **SHALL** support all the category codes [listed](https://hl7.org/fhir/us/core/STU8/screening-and-assessments.html#category-codes).</t>
  </si>
  <si>
    <t>For the US Core Condition Problems and Health Concerns Profile, Servers **SHALL** support the code ,"sdoh"</t>
  </si>
  <si>
    <t>For the US Core Condition Problems and Health Concerns Profile, Servers **SHOULD** support the other category codes [listed](https://hl7.org/fhir/us/core/STU8/screening-and-assessments.html#category-codes).</t>
  </si>
  <si>
    <t>For the US Core ServiceRequest Profile, Servers SHOULD support all the [[listed](https://hl7.org/fhir/us/core/STU8/screening-and-assessments.html#category-codes)] category codes.</t>
  </si>
  <si>
    <t>[Clients] SHOULD Support the Following Implementation Guide [SMART App Launch version 2.0.0 and later](http://hl7.org/fhir/smart-app-launch/history.html)</t>
  </si>
  <si>
    <t>Change in v8.0.0:
"SHOULD Support the Following Implementation Guides:
    SMART Application Launch Framework Implementation Guide
-&gt;
SHOULD Support the Following Implementation Guides:
    SMART App Launch version 2.0.0 and later"</t>
  </si>
  <si>
    <t xml:space="preserve">US Core SearchParameters referenced in [the US Core Client] CapabilityStatement that are derived from standard FHIR SearchParameters are only defined to document ... Client expectations. They specify additional expectations for the following SearchParameter elements:B7
- multipleAnd
- multipleOr
- comparator
- modifier
- chain
They **SHALL NOT** be interpreted as search parameters for search. </t>
  </si>
  <si>
    <t xml:space="preserve">US Core SearchParameters referenced in [the US Core Client] CapabilityStatement that are derived from standard FHIR SearchParameters are only defined to document Server ... expectations. They specify additional expectations for the following SearchParameter elements:B7
- multipleAnd
- multipleOr
- comparator
- modifier
- chain
They **SHALL NOT** be interpreted as search parameters for search. </t>
  </si>
  <si>
    <t>Servers ... **SHOULD** use the standard FHIR SearchParameters.</t>
  </si>
  <si>
    <t>Clients **SHOULD** use the standard FHIR SearchParameters.</t>
  </si>
  <si>
    <t>[Servers] SHOULD Support the ...
[SMART App Launch version 2.0.0 and later](http://hl7.org/fhir/smart-app-launch/history.html)</t>
  </si>
  <si>
    <t>USCDI’s applicable vocabulary standards for Encounter Diagnosis are SNOMED CT and ICD-10-CM. The US Core Condition Codes only supports ICD-9-CM for historical purposes. When using ICD codes, only non-header ICD-10-CM codes SHOULD be used as the primary code for current encounter diagnoses.</t>
  </si>
  <si>
    <t>Change in v8.0.0: 
The US Core Condition Codes only supports ICD-9-CM for historical purposes. ICD-10-CM is available and SHOULD be used as the primary code for current encounter diagnoses.
-&gt;
The US Core Condition Codes only supports ICD-9-CM for historical purposes. When using ICD codes, only non-header ICD-10-CM codes SHOULD be used as the primary code for current encounter diagnoses.</t>
  </si>
  <si>
    <t>[The Server **SHALL** support the] category of "problem-list-item"</t>
  </si>
  <si>
    <t>[The Server **SHALL** support the] category of "health-concern"</t>
  </si>
  <si>
    <t>Certifying Systems **SHALL** support, a category of "sdoh"</t>
  </si>
  <si>
    <t>Certifying Systems ... **SHOULD** support the ... [US Core Simple Observation Category](https://hl7.org/fhir/us/core/STU8/ValueSet-us-core-simple-observation-category.html) codes</t>
  </si>
  <si>
    <t>Certifying Systems ... **MAY** support other categories</t>
  </si>
  <si>
    <t>If the category is "problem-list-item", Condition.clinicalStatus SHOULD be present.</t>
  </si>
  <si>
    <t>Change in v8.0.0:
If Condition.category contains a Problem List item category (problem-list-item), Condition.clinicalStatus SHOULD be present.
-&gt;
    If the category is "problem-list-item", Condition.clinicalStatus SHOULD be present.</t>
  </si>
  <si>
    <t>The `DiagnosticRequest.basedOn` element connects the DiagnosticReport to the originating order in the EHR. Systems that initiate the order **SHOULD** use this element when reporting the results.</t>
  </si>
  <si>
    <t>The `DiagnosticReport.media.link` element **SHOULD** be used to support links to various patient-friendly content, such as jpg images of x-rays (see the DiagnosticReport Chest X-ray Report Example).</t>
  </si>
  <si>
    <t>The `DiagnosticReport.imagingStudy` element **SHOULD** be used to support exchange with systems that can view DICOM (Digital Imaging and Communications in Medicine) studies, series, and SOP (Service-Object Pair) instances referenced in the -[ImagingStudy](http://hl7.org/fhir/R4/imagingstudy.html) resource.</t>
  </si>
  <si>
    <t>The DocumentReference.type binding Must Support, at a minimum, the 10 [Common Clinical Notes](https://hl7.org/fhir/us/core/STU8/StructureDefinition-us-core-documentreference.html#mandatory-and-must-support-data-elements)</t>
  </si>
  <si>
    <t>Change in v8.0.0: 
The DocumentReference.type binding Must Support, at a minimum, the 5 Common Clinical Notes and may extend to the whole US Core DocumentReference Type Value Set
-&gt;
The DocumentReference.type binding Must Support, at a minimum, the 10 Common Clinical Notes and may extend to the whole US Core DocumentReference Type Value Set</t>
  </si>
  <si>
    <t>https://hl7.org/fhir/us/core/STU8/StructureDefinition-us-core-encounter.html#mandatory-and-must-support-data-elements</t>
  </si>
  <si>
    <t>Although the [US Core Interpreter Needed] extension is marked as an Additional USCDI Requirements on both US Core Patient and US Core Encounter Profiles, the certifying Server system is not required to support the extension on both profiles, but **SHALL** support the extension on at least one.</t>
  </si>
  <si>
    <t>Removed in v8.0.0:
 [Meta.lastUpdated guidance will change from a (SHOULD) to requirements (SHALL) in the next version of US Core]</t>
  </si>
  <si>
    <t>Removed in v8.0.0:
[This will change to a SHALL requirement in US Core v8.0.0]</t>
  </si>
  <si>
    <t>Removed in v8.0.0:
[Note: US Core authors will] upgrade the Meta.lastUpdated guidance [from] (SHOULD) to ... (SHALL) in the next version of US Core</t>
  </si>
  <si>
    <t>[NDC vaccine codes](http://www2a.cdc.gov/vaccines/iis/iisstandards/ndc_crosswalk.asp) SHOULD be supported as an additional code [of [CVX Vaccine Codes](https://www2a.cdc.gov/vaccines/iis/iisstandards/ndc_crosswalk.asp)]</t>
  </si>
  <si>
    <t>Change in v8.0.0: translation -&gt; additional code</t>
  </si>
  <si>
    <t>There is no guarantee that vaccine lot numbers are globally unique, and they are not recommended for matching or de-duplication across systems unless used with other data elements such as a vaccine product code, manufacturer code, or date of administration. Implementers **MAY** communicate the `Immunization.manufacturer` to ensure global uniqueness to lot numbers.</t>
  </si>
  <si>
    <t>https://hl7.org/fhir/us/core/STU8/StructureDefinition-us-core-immunization.html#mandatory-and-must-support-data-elements</t>
  </si>
  <si>
    <t>Servers **SHALL** return all active medications following the [Get All Active Medications](https://hl7.org/fhir/us/core/STU8/medication-list.html#get-all-active-medications) guidance.</t>
  </si>
  <si>
    <t>https://hl7.org/fhir/us/core/STU8/StructureDefinition-us-core-medicationrequest.html#mandatory-and-must-support-data-elements</t>
  </si>
  <si>
    <t>[For US Core Laboratory Result Observation Profile, even] when the specimen type is already implied by the LOINC code used in `Observation.code` (e.g., a LOINC code for Blood Glucose), the `Observation.specimen` element **SHOULD** also be populated with the referenced Specimen resource to explicitly communicate the collected specimen type.</t>
  </si>
  <si>
    <t>[For US Core Laboratory Result Observation Profile, the] type of specimen [in `Observation.specimen`] SHOULD not conflict with the LOINC code [in `Observation.code`].</t>
  </si>
  <si>
    <t>https://hl7.org/fhir/us/core/STU8/StructureDefinition-us-core-observation-lab.html#mandatory-and-must-support-data-elements</t>
  </si>
  <si>
    <t>[For the US Core Observation Screening Assessment Profile, the]  category type "survey" is required.</t>
  </si>
  <si>
    <t>[For the US Core Observation Screening Assessment Profile,] Certifying Systems **SHALL** support, the [US Core Screening Assessment Observation Category](https://hl7.org/fhir/us/core/STU8/ValueSet-us-core-screening-assessment-observation-category.html) codes</t>
  </si>
  <si>
    <t>[For the US Core Observation Screening Assessment Profile,] Certifying Systems **SHOULD** support, the [US Core Screening Assessment Observation Maximum Category](https://hl7.org/fhir/us/core/STU8/ValueSet-us-core-screening-assessment-observation-maximum-category.html) codes</t>
  </si>
  <si>
    <t>[For the US Core Observation Screening Assessment Profile,] Certifying Systems **MAY** support other codes.</t>
  </si>
  <si>
    <t>https://hl7.org/fhir/us/core/STU8/StructureDefinition-us-core-observation-screening-assessment.html#mandatory-and-must-support-data-elements</t>
  </si>
  <si>
    <t>Change in v8.0.0: 
US Core Observation Profile
-&gt;
US Core Observation Screening Assessment Profile</t>
  </si>
  <si>
    <t>[For the US Core Observation Screening Assessment Profile,] the Client system ... SHALL support [both] Reference(US Core Observation Screening Assessment Profile) [and] Reference(US Core QuestionnaireResponse Profile) for Observation.derivedFrom</t>
  </si>
  <si>
    <t>[For the US Core Observation Screening Assessment Profile,] when using Observation.derivedFrom to reference an Observation, the referenced Observation SHOULD be a US Core Observation.</t>
  </si>
  <si>
    <t>Although Patient.deceased[x] is marked as additional USCDI, certifying systems are not required to support both [boolean and dateTime data types], but SHALL support [at] least Patient.deceasedDateTime</t>
  </si>
  <si>
    <t>Change in v8.0.0:
MAY include additional detailed codes from CDC Race and Ethnicity Codes
-&gt;
MAY include additional codes from the detailed ethnicity and detailed race value sets drawn from the Race &amp; Ethnicity - CDC (CDCREC) code system</t>
  </si>
  <si>
    <t xml:space="preserve">Change in v8.0.0
Must Support at least one category code from the OMB Race and Ethnicity Categories
-&gt;
Must Support at least one category code from the OMB Race and Ethnicity Category Value Sets that draw from the Race &amp; Ethnicity - CDC (CDCREC) code system. </t>
  </si>
  <si>
    <t>when using the US Core Race Extension</t>
  </si>
  <si>
    <t>When using the US Core Ethnicity Extension</t>
  </si>
  <si>
    <t>When using the US Core Race Extension</t>
  </si>
  <si>
    <t>certifying systems</t>
  </si>
  <si>
    <t>https://hl7.org/fhir/us/core/STU8/StructureDefinition-us-core-patient.html#mandatory-and-must-support-data-elements</t>
  </si>
  <si>
    <t>Although the [[US Core Interpreter Needed Extension](https://hl7.org/fhir/us/core/STU8/StructureDefinition-us-core-interpreter-needed.html)] is marked as an Additional USCDI Requirement on both US Core Patient and US Core Encounter Profiles, the certifying Server system is not required to support the extension on both profiles but **SHALL** support the extension on at least one.</t>
  </si>
  <si>
    <t>Servers can use the [US Core Interpreter Needed Extension](https://hl7.org/fhir/us/core/STU8/StructureDefinition-us-core-interpreter-needed.html) on [the [US Core Patient Profile](https://hl7.org/fhir/us/core/STU8/StructureDefinition-us-core-patient.html)] or the [US Core Encounter Profile](https://hl7.org/fhir/us/core/STU8/StructureDefinition-us-core-encounter.html) to communicate whether a patient needs an interpreter.</t>
  </si>
  <si>
    <t>The certifying Client application **SHALL** support the [[US Core Interpreter Needed Extension](https://hl7.org/fhir/us/core/STU8/StructureDefinition-us-core-interpreter-needed.html)] on [the [US Core Patient Profile](https://hl7.org/fhir/us/core/STU8/StructureDefinition-us-core-patient.html)] .</t>
  </si>
  <si>
    <t xml:space="preserve">The certifying Client application **SHALL** support the [[US Core Interpreter Needed Extension](https://hl7.org/fhir/us/core/STU8/StructureDefinition-us-core-interpreter-needed.html)] on [the [US Core Encounter Profile](https://hl7.org/fhir/us/core/STU8/StructureDefinition-us-core-encounter.html)]. </t>
  </si>
  <si>
    <t>certifying Client</t>
  </si>
  <si>
    <t>certifying Server</t>
  </si>
  <si>
    <t>Systems **SHOULD** designate the patient's preferred language in the Patient.communication.preferred element.</t>
  </si>
  <si>
    <t>Added clarification here because although there is a link, testers not using the link could get confused as to which certification is this is referring to US Core or ONC 
This requirement is specific to certification testing and is not relevant to the IG tests
Change in v8.0.0:
Note: Substance unchanged so not modifying requirement text.
Certifying systems SHALL and non-certifying systems SHOULD follow the Project US@ Technical Specification for Patient Addresses Final Version 1.0 as the standard style guide for Patient.address.line and Patient.address.city for new and updated records.
-&gt;
The USCDI Patient Demographics Data Class requires following the Project US@ Technical Specification for Patient Addresses Final Version 1.0 for patient addresses. For new and updated records, Certifying Systems SHALL and non-Certifying Systems SHOULD follow it as the standard style guide for Patient addresses.
    Consult the style guide for details about the format for the Address datatypes elements, especially Patient.address.line and Patient.address.city.</t>
  </si>
  <si>
    <t>Change in v8.0.0:
Note: Substance unchanged so not modifying requirement text.
Certifying systems SHALL and non-certifying systems SHOULD follow the Project US@ Technical Specification for Patient Addresses Final Version 1.0 as the standard style guide for Patient.address.line and Patient.address.city for new and updated records.
-&gt;
The USCDI Patient Demographics Data Class requires following the Project US@ Technical Specification for Patient Addresses Final Version 1.0 for patient addresses. For new and updated records, Certifying Systems SHALL and non-Certifying Systems SHOULD follow it as the standard style guide for Patient addresses.
    Consult the style guide for details about the format for the Address datatypes elements, especially Patient.address.line and Patient.address.city.</t>
  </si>
  <si>
    <t>This requirement is specific to certification testing and is not relevant to the US Core IG tests
Change in v8.0.0:
Note: Substance unchanged so not modifying requirement text.
Certifying systems SHALL and non-certifying systems SHOULD follow the Project US@ Technical Specification for Patient Addresses Final Version 1.0 as the standard style guide for Patient.address.line and Patient.address.city for new and updated records.
-&gt;
The USCDI Patient Demographics Data Class requires following the Project US@ Technical Specification for Patient Addresses Final Version 1.0 for patient addresses. For new and updated records, Certifying Systems SHALL and non-Certifying Systems SHOULD follow it as the standard style guide for Patient addresses.
    Consult the style guide for details about the format for the Address datatypes elements, especially Patient.address.line and Patient.address.city.</t>
  </si>
  <si>
    <t>communication.preferred MAY designate a preferred language when multiple languages are represented</t>
  </si>
  <si>
    <t>The `Procedure.performed` is mandatory if `Procedure.status` is "completed" or "in-progress".</t>
  </si>
  <si>
    <t>https://hl7.org/fhir/us/core/STU8/StructureDefinition-us-core-procedure.html#mandatory-and-must-support-data-elements</t>
  </si>
  <si>
    <t>`Procedure.status` is "completed" or "in-progress".</t>
  </si>
  <si>
    <t>The Must Support `ServiceRequest.category` is bound, at a minimum, to the [US Core ServiceRequest Category Codes](https://hl7.org/fhir/us/core/STU8/ValueSet-us-core-servicerequest-category.html), and other category codes can be used.</t>
  </si>
  <si>
    <t>Change in v8.0.0:
The ServiceRequest.category binding Must Support, at a minimum, the US Core ServiceRequest Category Codes. However, this value set can be treated as extensible, and other category codes can be used instead.
-&gt;
The Must Support ServiceRequest.category is bound, at a minimum, to the US Core ServiceRequest Category Codes, and other category codes can be used.</t>
  </si>
  <si>
    <t>[In the [US Core ServiceRequest Profile](https://hl7.org/fhir/us/core/STU8/StructureDefinition-us-core-servicerequest.html), for] the USCDI Laboratory Order, ... implementers SHOULD use the corresponding category codes listed ... below:
- [108252007 Laboratory procedure (procedure)](https://browser.ihtsdotools.org/?perspective=full&amp;conceptId1=108252007&amp;edition=MAIN/2024-10-01&amp;release=&amp;languages=en&amp;latestRedirect=false)</t>
  </si>
  <si>
    <t>[In the [US Core ServiceRequest Profile](https://hl7.org/fhir/us/core/STU8/StructureDefinition-us-core-servicerequest.html), for] the USCDI ... Imaging Order, ... implementers SHOULD use the corresponding category codes listed ... below:
- [363679005 Imaging (procedure)](https://browser.ihtsdotools.org/?perspective=full&amp;conceptId1=363679005&amp;edition=MAIN/2024-10-01&amp;release=&amp;languages=en&amp;latestRedirect=false)</t>
  </si>
  <si>
    <t>[In the [US Core ServiceRequest Profile](https://hl7.org/fhir/us/core/STU8/StructureDefinition-us-core-servicerequest.html), for] the USCDI ... Clinical Test Order, ... implementers SHOULD use the corresponding category codes listed ... below:
- [386053000 Evaluation procedure (procedure)](https://browser.ihtsdotools.org/?perspective=full&amp;conceptId1=386053000&amp;edition=MAIN/2024-10-01&amp;release=&amp;languages=en&amp;latestRedirect=false)
- [410606002 Social service procedure (procedure)](https://browser.ihtsdotools.org/?perspective=full&amp;conceptId1=410606002&amp;edition=MAIN/2024-10-01&amp;release=&amp;languages=en&amp;latestRedirect=false)
- [387713003 Surgical procedure (procedure)](https://browser.ihtsdotools.org/?perspective=full&amp;conceptId1=387713003&amp;edition=MAIN/2024-10-01&amp;release=&amp;languages=en&amp;latestRedirect=false)</t>
  </si>
  <si>
    <t>[In the [US Core ServiceRequest Profile](https://hl7.org/fhir/us/core/STU8/StructureDefinition-us-core-servicerequest.html), for] the USCDI ... Procedure Order Data Elements, implementers SHOULD use the corresponding category codes listed ... below:
- [386053000 Evaluation procedure (procedure)](https://browser.ihtsdotools.org/?perspective=full&amp;conceptId1=386053000&amp;edition=MAIN/2024-10-01&amp;release=&amp;languages=en&amp;latestRedirect=false)
- [410606002 Social service procedure (procedure)](https://browser.ihtsdotools.org/?perspective=full&amp;conceptId1=410606002&amp;edition=MAIN/2024-10-01&amp;release=&amp;languages=en&amp;latestRedirect=false)
- [387713003 Surgical procedure (procedure)](https://browser.ihtsdotools.org/?perspective=full&amp;conceptId1=387713003&amp;edition=MAIN/2024-10-01&amp;release=&amp;languages=en&amp;latestRedirect=false)</t>
  </si>
  <si>
    <t>https://hl7.org/fhir/us/core/STU8/StructureDefinition-us-core-servicerequest.html#root</t>
  </si>
  <si>
    <t>Change in v8.0.0:
Note: non-substantive so requirements text left unchanged.
The ServiceRequest.code value set is broad to accommodate a wide variety of use cases and SHOULD be constrained to a subset for a particular use case or domain. (for example, LOINC for laboratory orders.)
-&gt;
The ServiceRequest.code is bound to US Core Procedure Codes, a broadly defined value set that accommodates many healthcare domains. However, implementers SHOULD constrain the value set to a subset for a particular domain.</t>
  </si>
  <si>
    <t>https://hl7.org/fhir/us/core/STU8/general-requirements.html#profile-support--interaction-support</t>
  </si>
  <si>
    <t>https://hl7.org/fhir/us/core/STU8/general-requirements.html#claiming-conformance-to-a-us-core-profile</t>
  </si>
  <si>
    <t>https://hl7.org/fhir/us/core/STU8/general-requirements.html#required-bindings-for-coded-elements</t>
  </si>
  <si>
    <t>https://hl7.org/fhir/us/core/STU8/general-requirements.html#extensible-binding-for-coded-elements</t>
  </si>
  <si>
    <t>https://hl7.org/fhir/us/core/STU8/general-requirements.html#modifier-elements</t>
  </si>
  <si>
    <t>https://hl7.org/fhir/us/core/STU8/general-requirements.html#missing-data</t>
  </si>
  <si>
    <t>https://hl7.org/fhir/us/core/STU8/general-requirements.html#fhir-restful-search-api-requirements</t>
  </si>
  <si>
    <t>[When sending reason for missing information, follow] the same methdology outlined in the [Missing Data](https://hl7.org/fhir/us/core/STU8/general-requirements.html#missing-data) section but using the appropriate reason code instead of unknown [reason code].</t>
  </si>
  <si>
    <t>https://hl7.org/fhir/us/core/STU8/scopes.html#capability-sets</t>
  </si>
  <si>
    <t>https://hl7.org/fhir/us/core/STU8/scopes.html#capabilities-for-implementations-supporting-user-facing-applications</t>
  </si>
  <si>
    <t>https://hl7.org/fhir/us/core/STU8/scopes.html#capabilities-for-implementations-supporting-backend-services</t>
  </si>
  <si>
    <t>https://hl7.org/fhir/us/core/STU8/scopes.html#us-core-scopes</t>
  </si>
  <si>
    <t>https://hl7.org/fhir/us/core/STU8/scopes.html#scopes-for-requesting-fhir-resources-by-type, https://hl7.org/fhir/us/core/STU8/StructureDefinition-us-core-allergyintolerance.html#us-core-scopes</t>
  </si>
  <si>
    <t>https://hl7.org/fhir/us/core/STU8/general-guidance.html#referencing-us-core-profiles</t>
  </si>
  <si>
    <t>https://hl7.org/fhir/us/core/STU8/general-guidance.html#contained-resources</t>
  </si>
  <si>
    <t>https://hl7.org/fhir/us/core/STU8/general-guidance.html#snomed-ct-united-states-edition</t>
  </si>
  <si>
    <t>https://hl7.org/fhir/us/core/STU8/general-guidance.html#using-ucum-codes-in-the-quantity-datatype</t>
  </si>
  <si>
    <t>https://hl7.org/fhir/us/core/STU8/general-guidance.html#representing-deleted-information, https://hl7.org/fhir/us/core/STU8/general-guidance.html#representing-entered-in-error-information</t>
  </si>
  <si>
    <t>https://hl7.org/fhir/us/core/STU8/general-guidance.html#representing-deleted-information</t>
  </si>
  <si>
    <t>https://hl7.org/fhir/us/core/STU8/general-guidance.html#representing-entered-in-error-information</t>
  </si>
  <si>
    <t>https://hl7.org/fhir/us/core/STU8/general-guidance.html#language-support</t>
  </si>
  <si>
    <t>https://hl7.org/fhir/us/core/STU8/general-guidance.html#compartment-based-search</t>
  </si>
  <si>
    <t>https://hl7.org/fhir/us/core/STU8/general-guidance.html#across-platform-searches</t>
  </si>
  <si>
    <t>https://hl7.org/fhir/us/core/STU8/general-guidance.html#limiting-the-number-of-search-results</t>
  </si>
  <si>
    <t>https://hl7.org/fhir/us/core/STU8/clinical-notes.html#clinical-notes, https://hl7.org/fhir/us/core/STU8/clinical-notes.html#support-requirements</t>
  </si>
  <si>
    <t>https://hl7.org/fhir/us/core/STU8/clinical-notes.html#fhir-resources-to-exchange-clinical-notes</t>
  </si>
  <si>
    <t>https://hl7.org/fhir/us/core/STU8/medication-list.html#background-on-the-fhir-medications-resources</t>
  </si>
  <si>
    <t>https://hl7.org/fhir/us/core/STU8/medication-list.html#options-for-representing-medication</t>
  </si>
  <si>
    <t>https://hl7.org/fhir/us/core/STU8/medication-list.html#de-duplication-of-data</t>
  </si>
  <si>
    <t>https://hl7.org/fhir/us/core/STU8/basic-provenance.html#hie-transformation</t>
  </si>
  <si>
    <t>An agent.type=”assembler”, agent.type=”transmitter”, or other agents from [Provenance Agent Type](https://hl7.org/fhir/us/core/STU8/ValueSet-us-core-provenance-participant-type.html) value set MAY also be included.</t>
  </si>
  <si>
    <t>https://hl7.org/fhir/us/core/STU8/screening-and-assessments.html#introduction</t>
  </si>
  <si>
    <t>https://hl7.org/fhir/us/core/STU8/screening-and-assessments.html#choosing-between-questionnaireresponse-and-observation</t>
  </si>
  <si>
    <t>https://hl7.org/fhir/us/core/STU8/screening-and-assessments.html#uscdi-health-assessments-data-element-value-sets</t>
  </si>
  <si>
    <t>https://hl7.org/fhir/us/core/STU8/changes-between-versions.html#endpoint-discoverability</t>
  </si>
  <si>
    <t>https://hl7.org/fhir/us/core/STU8/changes-between-versions.html#no-guarantee-that-resource-ids-are-preserved</t>
  </si>
  <si>
    <t>https://hl7.org/fhir/us/core/STU8/changes-between-versions.html#expectation-that-fhir-dstu2-data-is-preserved-in-fhir-r4</t>
  </si>
  <si>
    <t>https://hl7.org/fhir/us/core/STU8/changes-between-versions.html#expectation-that-fhir-dstu2-data-is-preserved-in-fhir-r5</t>
  </si>
  <si>
    <t>https://hl7.org/fhir/us/core/STU8/changes-between-versions.html#expectation-that-fhir-dstu2-data-is-preserved-in-fhir-r7</t>
  </si>
  <si>
    <t>https://hl7.org/fhir/us/core/STU8/changes-between-versions.html#expectation-that-fhir-dstu2-data-is-preserved-in-fhir-r8</t>
  </si>
  <si>
    <t>https://hl7.org/fhir/us/core/STU8/changes-between-versions.html#expectation-that-fhir-dstu2-data-is-preserved-in-fhir-r9</t>
  </si>
  <si>
    <t>https://hl7.org/fhir/us/core/STU8/changes-between-versions.html#expectation-that-fhir-dstu2-data-is-preserved-in-fhir-r10</t>
  </si>
  <si>
    <t>https://hl7.org/fhir/us/core/STU8/changes-between-versions.html#expectation-that-fhir-dstu2-data-is-preserved-in-fhir-r11</t>
  </si>
  <si>
    <t>https://hl7.org/fhir/us/core/STU8/changes-between-versions.html#expectation-that-fhir-dstu2-data-is-preserved-in-fhir-r12</t>
  </si>
  <si>
    <t>https://hl7.org/fhir/us/core/STU8/changes-between-versions.html#expectation-that-fhir-dstu2-data-is-preserved-in-fhir-r13</t>
  </si>
  <si>
    <t>https://hl7.org/fhir/us/core/STU8/changes-between-versions.html#authorization-across-versions</t>
  </si>
  <si>
    <t>https://hl7.org/fhir/us/core/STU8/StructureDefinition-us-core-careteam.html#mandatory-and-must-support-data-elements</t>
  </si>
  <si>
    <t>For Problems and Health Concerns [records, systems SHOULD] use the [US Core Condition Problems and Health Concerns Profile](https://hl7.org/fhir/us/core/STU8/StructureDefinition-us-core-condition-problems-health-concerns.html).</t>
  </si>
  <si>
    <t>https://hl7.org/fhir/us/core/STU8/StructureDefinition-us-core-condition-encounter-diagnosis.html#mandatory-and-must-support-data-elements, https://hl7.org/fhir/us/core/STU8/StructureDefinition-us-core-condition-problems-health-concerns.html#mandatory-and-must-support-data-elements</t>
  </si>
  <si>
    <t>For Encounter Diagnosis [records, systems SHOULD] use the [US Core Condition Encounter Diagnosis Profile](https://hl7.org/fhir/us/core/STU8/StructureDefinition-us-core-condition-encounter-diagnosis.html).</t>
  </si>
  <si>
    <t>https://hl7.org/fhir/us/core/STU8/StructureDefinition-us-core-implantable-device.html#mandatory-and-must-support-data-elements</t>
  </si>
  <si>
    <t>https://hl7.org/fhir/us/core/STU8/StructureDefinition-us-core-diagnosticreport-lab.html#mandatory-and-must-support-data-elements, https://hl7.org/fhir/us/core/STU8/StructureDefinition-us-core-diagnosticreport-note.html#mandatory-and-must-support-data-elements</t>
  </si>
  <si>
    <t>https://hl7.org/fhir/us/core/STU8/StructureDefinition-us-core-documentreference.html#mandatory-and-must-support-data-elements</t>
  </si>
  <si>
    <t>The DocumentReference.type binding may extend to the whole [US Core DocumentReference Type Value Set](https://hl7.org/fhir/us/core/STU8/ValueSet-us-core-documentreference-type.html)</t>
  </si>
  <si>
    <t>https://hl7.org/fhir/us/core/STU8/StructureDefinition-us-core-encounter.html#mandatory-and-must-support-data-elements, https://hl7.org/fhir/us/core/STU8/StructureDefinition-us-core-location.html#mandatory-and-must-support-data-elements</t>
  </si>
  <si>
    <t>https://hl7.org/fhir/us/core/STU8/StructureDefinition-us-core-goal.html#mandatory-and-must-support-data-elements</t>
  </si>
  <si>
    <t>https://hl7.org/fhir/us/core/STU8/StructureDefinition-us-core-location.html#mandatory-and-must-support-data-elements</t>
  </si>
  <si>
    <t>https://hl7.org/fhir/us/core/STU8/StructureDefinition-us-core-medicationdispense.html#mandatory-and-must-support-data-elements, https://hl7.org/fhir/us/core/STU8/StructureDefinition-us-core-medicationrequest.html#mandatory-and-must-support-data-elements</t>
  </si>
  <si>
    <t>[For organizations participating in the ONC Health IT Certification program,] the referenced resources SHOULD be a US Core Profile as documented in [Referencing US Core Profiles](https://hl7.org/fhir/us/core/STU8/general-guidance.html#referencing-us-core-profiles).</t>
  </si>
  <si>
    <t>https://hl7.org/fhir/us/core/STU8/StructureDefinition-us-core-average-blood-pressure.html#mandatory-and-must-support-data-elements, https://hl7.org/fhir/us/core/STU8/StructureDefinition-us-core-vital-signs.html#mandatory-and-must-support-data-elements, https://hl7.org/fhir/us/core/STU8/StructureDefinition-us-core-treatment-intervention-preference.html#mandatory-and-must-support-data-elements</t>
  </si>
  <si>
    <t>https://hl7.org/fhir/us/core/STU8/StructureDefinition-us-core-care-experience-preference.html#mandatory-and-must-support-data-elements</t>
  </si>
  <si>
    <t>https://hl7.org/fhir/us/core/StructureDefinition-us-core-observation-clinical-result.html#mandatory-and-must-support-data-elements, https://hl7.org/fhir/us/core/StructureDefinition-us-core-observation-lab.html#mandatory-and-must-support-data-elements, https://hl7.org/fhir/us/core/StructureDefinition-us-core-observation-screening-assessment.html#mandatory-and-must-support-data-elements, https://hl7.org/fhir/us/core/STU8/StructureDefinition-us-core-vital-signs.html#mandatory-and-must-support-data-elements</t>
  </si>
  <si>
    <t>https://hl7.org/fhir/us/core/STU8/StructureDefinition-us-core-simple-observation.html#mandatory-and-must-support-data-elements</t>
  </si>
  <si>
    <t>Observations formally part of an assessment tool or survey SHOULD use the [US Core Observation Screening Assessment Profile](https://hl7.org/fhir/us/core/STU8/StructureDefinition-us-core-observation-screening-assessment.html).</t>
  </si>
  <si>
    <t>https://hl7.org/fhir/us/core/STU8/StructureDefinition-us-core-treatment-intervention-preference.html#mandatory-and-must-support-data-elements</t>
  </si>
  <si>
    <t>https://hl7.org/fhir/us/core/STU8/StructureDefinition-us-core-vital-signs.html#mandatory-and-must-support-data-elements</t>
  </si>
  <si>
    <t>https://hl7.org/fhir/us/core/STU8/StructureDefinition-pediatric-bmi-for-age.html#mandatory-and-must-support-data-elements, https://hl7.org/fhir/us/core/STU8/StructureDefinition-pediatric-weight-for-height.html#mandatory-and-must-support-data-elements, https://hl7.org/fhir/us/core/STU8/StructureDefinition-head-occipital-frontal-circumference-percentile.html#mandatory-and-must-support-data-elements</t>
  </si>
  <si>
    <t>https://hl7.org/fhir/us/core/STU8/StructureDefinition-us-core-blood-pressure.html#mandatory-and-must-support-data-elements</t>
  </si>
  <si>
    <t>https://hl7.org/fhir/us/core/STU8/StructureDefinition-us-core-pulse-oximetry.html#mandatory-and-must-support-data-elements</t>
  </si>
  <si>
    <t>https://hl7.org/fhir/us/core/STU8/StructureDefinition-us-core-organization.html#mandatory-and-must-support-data-elements</t>
  </si>
  <si>
    <t>https://hl7.org/fhir/us/core/STU8/StructureDefinition-us-core-patient.html#mandatory-and-must-support-data-elements, https://hl7.org/fhir/us/core/STU8/StructureDefinition-us-core-race.html#profile-specific-implementation-guidance</t>
  </si>
  <si>
    <t>The Complex [Extension] for Race ... allow[s] for one or more codes of which [Must Support](https://hl7.org/fhir/us/core/STU8/must-support.html) at least one category code from the OMB Race ... Category Value Sets that draw from the [Race &amp; Ethnicity - CDC (CDCREC)](https://phinvads.cdc.gov/vads/ViewCodeSystem.action?id=2.16.840.1.113883.6.238) code system [for the [US Core Race Extension] (https://hl7.org/fhir/us/core/STU8/StructureDefinition-us-core-race.html)].</t>
  </si>
  <si>
    <t>https://hl7.org/fhir/us/core/STU8/StructureDefinition-us-core-patient.html#mandatory-and-must-support-data-elements, https://hl7.org/fhir/us/core/STU8/StructureDefinition-us-core-ethnicity.html#profile-specific-implementation-guidance</t>
  </si>
  <si>
    <t>The Complex [Extension] for ... Ethnicity allow[s] for one or more codes of which [Must Support](https://hl7.org/fhir/us/core/STU8/must-support.html) at least one category code from the OMB ... Ethnicity Category Value Sets that draw from the [Race &amp; Ethnicity - CDC (CDCREC)](https://phinvads.cdc.gov/vads/ViewCodeSystem.action?id=2.16.840.1.113883.6.238) code system [for the [US Core Ethnicity Extension] (https://hl7.org/fhir/us/core/STU8/StructureDefinition-us-core-ethnicity.html)].</t>
  </si>
  <si>
    <t>The Complex [Extension] for Race ... allow[s] for one or more codes of which MAY include additional codes from the detailed ethnicity ... value sets drawn from the [Race &amp; Ethnicity - CDC (CDCREC)](https://phinvads.cdc.gov/vads/ViewCodeSystem.action?id=2.16.840.1.113883.6.238) code system [when using the [US Core Race Extension] (https://hl7.org/fhir/us/core/STU8/StructureDefinition-us-core-race.html)]</t>
  </si>
  <si>
    <t>The Complex [Extension] for Race ... allow[s] for one or more codes of which SHALL include a text description [of category codes when using the [US Core Race Extension] (https://hl7.org/fhir/us/core/STU8/StructureDefinition-us-core-race.html)]</t>
  </si>
  <si>
    <t>The Complex [Extension] for ... Ethnicity allow[s] for one or more codes of which MAY include additional codes from the detailed ... race value sets drawn from the [Race &amp; Ethnicity - CDC (CDCREC)](https://phinvads.cdc.gov/vads/ViewCodeSystem.action?id=2.16.840.1.113883.6.238) code system [when using the [US Core Race Extension] (https://hl7.org/fhir/us/core/STU8/StructureDefinition-us-core-race.html)]</t>
  </si>
  <si>
    <t>The Complex [Extension] for ... Ethnicity allow[s] for one or more codes of which SHALL include a text description [of category codes when using the [US Core Ethnicity Extension] (https://hl7.org/fhir/us/core/STU8/StructureDefinition-us-core-ethnicity.html)]</t>
  </si>
  <si>
    <t>https://hl7.org/fhir/us/core/STU8/StructureDefinition-us-core-practitioner.html#mandatory-and-must-support-data-elements</t>
  </si>
  <si>
    <t>Servers that support only the US Core Practitioner Profile and do not support the [US Core PractitionerRole Profile](https://hl7.org/fhir/us/core/STU8/StructureDefinition-us-core-practitionerrole.html) SHALL provide implementation-specific guidance on how to access a provider’s location and contact information using only the Practitioner resource.</t>
  </si>
  <si>
    <t>[For organizations participating in the ONC Health IT Certification program,] when using Procedure.reasonReference …The referenced resources SHOULD be a US Core Profile as documented in [Referencing US Core Profiles](https://hl7.org/fhir/us/core/STU8/general-guidance.html#referencing-us-core-profiles)</t>
  </si>
  <si>
    <t>https://hl7.org/fhir/us/core/STU8/StructureDefinition-us-core-provenance.html#mandatory-and-must-support-data-elements</t>
  </si>
  <si>
    <t>https://hl7.org/fhir/us/core/STU8/StructureDefinition-us-core-questionnaireresponse.html#mandatory-and-must-support-data-elements</t>
  </si>
  <si>
    <t>https://hl7.org/fhir/us/core/STU8/StructureDefinition-us-core-relatedperson.html#mandatory-and-must-support-data-elements</t>
  </si>
  <si>
    <t>https://hl7.org/fhir/us/core/STU8/StructureDefinition-us-core-servicerequest.html#mandatory-and-must-support-data-elements</t>
  </si>
  <si>
    <t>[For organizations participating in the ONC Health IT Certification program,] when using ServiceRequest.reasonReference …The referenced resources SHOULD be a US Core Profile as documented in [Referencing US Core Profiles](https://hl7.org/fhir/us/core/STU8/general-guidance.html#referencing-us-core-profiles)</t>
  </si>
  <si>
    <t>https://hl7.org/fhir/us/core/STU8/StructureDefinition-us-core-specimen.html#mandatory-and-must-support-data-elements</t>
  </si>
  <si>
    <t>Systems SHOULD provide Provenance statements using the [US Core Provenance Profile](https://hl7.org/fhir/us/core/STU8/StructureDefinition-us-core-provenance.html) resource and associated requirements.</t>
  </si>
  <si>
    <t>https://www.hl7.org/fhir/us/core/STU8/general-requirements.html#current-binding-for-coded-elements</t>
  </si>
  <si>
    <t>Unless a Client determines they can process [a resource with a modifier] safely, rejection is typically the only safe action if unexpected modifier elements are present.</t>
  </si>
  <si>
    <t>When searching using the `token` type searchparameter [(how to search by token)](http://hl7.org/fhir/R4/search.html#token) The Client **SHALL** provide at least a code value</t>
  </si>
  <si>
    <t>When searching using the `token` type searchparameter [(how to search by token)](http://hl7.org/fhir/R4/search.html#token) The Client … **MAY** provide both the system and code values.</t>
  </si>
  <si>
    <t>When searching using the `reference` type searchparameter [(how to search by reference)](http://hl7.org/fhir/R4/search.html#reference) The Client **SHALL** provide at least an id value</t>
  </si>
  <si>
    <t>When searching using the `reference` type searchparameter [(how to search by reference)](http://hl7.org/fhir/R4/search.html#reference) The Client … **MAY** provide both the Type and id values.</t>
  </si>
  <si>
    <t>When searching using the `date` type searchparameter [(how to search by date)](http://hl7.org/fhir/R4/search.html#date) The Client **SHALL** provide values precise to the day for elements of datatype `date`</t>
  </si>
  <si>
    <t>When searching using the `date` type searchparameter [(how to search by date)](http://hl7.org/fhir/R4/search.html#date) The Client **SHALL** provide values precise … to the second + time offset for elements of datatype `dateTime`.</t>
  </si>
  <si>
    <t>For searches where the Client does not supply a status parameter, an implementation’s business rules may override the FHIR RESTful search expectations and require a status parameter to be provided</t>
  </si>
  <si>
    <t>For searches where the Client does not supply a status parameter, … systems [that require a status parameter to be provided] are allowed to reject such requests as follows:
**SHALL** return an HTTP 400 status</t>
  </si>
  <si>
    <t>For searches where the Client does not supply a status parameter, … systems [that require a status parameter to be provided] are allowed to reject such requests as follows:
**SHALL** return an [OperationOutcome](http://hl7.org/fhir/R4/operationoutcome.html) specifying that status(es) must be present.</t>
  </si>
  <si>
    <t>For searches where the Client does not supply a status parameter, … systems [that require a status parameter to be provided] are allowed to reject such requests as follows:
**SHALL** support search with status if status required</t>
  </si>
  <si>
    <t>[For systems that require a status parameter to be provided, they] **SHALL** NOT restrict search results ( i.e., apply ‘hidden’ filters) when a Client includes status parameters in the query.</t>
  </si>
  <si>
    <t>[For systems that require a status parameter to be provided,] if a system doesn’t support a specific status code value that is queried [and returns a search bundle],... [t]he search bundle **SHOULD** contain ... an OperationOutcome warning the Client which status code value is not supported.</t>
  </si>
  <si>
    <t>For searches where the Client does not supply a status parameter, … systems [that require a status parameter to be provided] are allowed to reject such requests as follows:...
**SHALL** document this behavior in its CapabilityStatement for the “search-type” interaction in `CapabilityStatement.rest.resource.interaction.documentation.`</t>
  </si>
  <si>
    <t>There are several instances in this Guide where there is a choice of supporting one or another profile element to meet the Must Support or Additional USCDI requirement. In such cases, … the Client application **SHALL** support all elements.</t>
  </si>
  <si>
    <t>Implementations [US Core Responders] supporting Backend Services ... SHALL include support for the Client-confidential-asymmetric capability.</t>
  </si>
  <si>
    <t>Implementations [US Core Requestors] supporting Backend Services – for example, to meet US EHR certification requirements [of the ONC IT Health Certification program]- SHALL include support for the Client-confidential-asymmetric capability and system/scopes.</t>
  </si>
  <si>
    <t>US Core Clients should follow the [principle of least privilege](https://en.wikipedia.org/wiki/Principle_of_least_privilege) and access only the necessary resources.</t>
  </si>
  <si>
    <t>For “Backend-Services”, System-level scopes (system) describe data that a Client system is directly authorized to access. Systems that support system-level (system) scopes SHALL support the required US Core scopes</t>
  </si>
  <si>
    <t>For “Backend-Services”, System-level scopes (system) describe data that a Client system is directly authorized to access. Systems that support system-level (system) scopes SHOULD support the recommended US Core scopes</t>
  </si>
  <si>
    <t>A FHIR Server SHOULD allow these resources [those entered in error] to be searchable by Client applications.</t>
  </si>
  <si>
    <t>[When Clients request a resource in a specific language] Clients MAY request language/locale using the http [Accept-Language](https://www.ietf.org/rfc/rfc2616.txt) header.</t>
  </si>
  <si>
    <t>[When Clients request a resource in a specific language] Servers SHOULD … [use] the [Human Language](http://hl7.org/fhir/R4/extension-language.html) Extension when the language of a display, etc, is known to differ from the stated (or inferred) language.</t>
  </si>
  <si>
    <t>Systems [Clients] may support other [DiagnosticReport] categories as well.</t>
  </si>
  <si>
    <t>The Client application MUST support all methods [for referencing a medication resource: returned bundle, as an external resource, or as a [contained](http://hl7.org/fhir/R4/references.html#contained) resource]</t>
  </si>
  <si>
    <t>To provide a list of a patient’s medications, it may be necessary to “de-duplicate” them. The de-duplication activity ... SHOULD be provided by the Client.</t>
  </si>
  <si>
    <t>Therefore, Client applications must plan on deduplication methods that rely on something other than a common identifier across FHIR versions.</t>
  </si>
  <si>
    <t>When updating between versions, Clients SHOULD consider the impact of any changes to data visualization on the usability for the end user and the maintenance of data integrity.</t>
  </si>
  <si>
    <t>The Client application[s supporting US Core Condition profiles] SHALL support [[assertedDate Extension](http://hl7.org/fhir/R4/extension-condition-asserteddate.html)</t>
  </si>
  <si>
    <t>The Client application[s supporting US Core Condition profiles] SHALL support Condition.onsetDateTime</t>
  </si>
  <si>
    <t>The Client application[s supporting US Core Condition profiles] SHALL support Condition.recordedDate</t>
  </si>
  <si>
    <t>Servers SHOULD support query by Device.type to allow Clients to request the patient’s devices by a specific type.</t>
  </si>
  <si>
    <t>Definitional reminder for Client systems, not a requirement, so DEPRECATED</t>
  </si>
  <si>
    <t>The Client application SHALL support [DocumentReference.attachment.url]</t>
  </si>
  <si>
    <t>The Client application SHALL support [DocumentReference.attachment.data]</t>
  </si>
  <si>
    <t>The Client application SHALL support [ Encounter.reasonCode]</t>
  </si>
  <si>
    <t>The Client application SHALL support [Encounter.reasonReference]</t>
  </si>
  <si>
    <t>The Client application SHALL support [Encounter.location.location]</t>
  </si>
  <si>
    <t>The Client application SHALL support [Encounter.serviceProvider]</t>
  </si>
  <si>
    <t>The Client application SHALL support ... Goal.startDate</t>
  </si>
  <si>
    <t>The Client application SHALL support ... Goal.target.dueDate</t>
  </si>
  <si>
    <t>The Client application SHALL support [using a code in .medicationCodeableConcept to represent medications when supporting the US Core MedicationDispense profile]</t>
  </si>
  <si>
    <t>The Client application SHALL support [referencing a Medication resource in .medicationReferencet to represent medications when supporting the US Core MedicationDispense profile]</t>
  </si>
  <si>
    <t>The Client application SHALL support [medicationRequest.reporedtBoolean]</t>
  </si>
  <si>
    <t>The Client application SHALL support [MedicationRequest.reportedReference]</t>
  </si>
  <si>
    <t>[For organizations participating in the ONC Health IT Certification program,] the certifying Client application SHALL support [MedicationRequest.reasonCode.]</t>
  </si>
  <si>
    <t>[For organizations participating in the ONC Health IT Certification program,] the certifying Client application SHALL support [MedicationRequest.reasonReference.]</t>
  </si>
  <si>
    <t>[For organizations participating in the ONC Health IT Certification program,] Clients SHALL support all target resources in MedicationRequest.reasonReference.</t>
  </si>
  <si>
    <t>The Client application SHALL support both [the PractionerRole profile and the Practioner.address element]</t>
  </si>
  <si>
    <t>[For organizations participating in the ONC Health IT Certification program,] The certifying Client application SHALL support both [Procedure.reasonCode and Procedure.reasonReference]</t>
  </si>
  <si>
    <t>[For organizations participating in the ONC Health IT Certification program,] The certifying Client application SHALL support both [ServiceRequest.reasonCode and ServiceRequest.reasonReference]</t>
  </si>
  <si>
    <t>The Client application SHALL support both [ Specimen.identifier and Specimen.accessionIdentifier]</t>
  </si>
  <si>
    <t>https://hl7.org/fhir/us/core/STU8/CapabilityStatement-us-core-Client.html#should_igs</t>
  </si>
  <si>
    <t>https://hl7.org/fhir/us/core/STU8/CapabilityStatement-us-core-Client.html#behavior</t>
  </si>
  <si>
    <t>https://hl7.org/fhir/us/core/STU8/general-guidance.html#Client-best-practices-for-search</t>
  </si>
  <si>
    <t>To support a US Core Profile, a Server: **SHALL** Be able to populate all profile data elements that are mandatory and/or flagged as Must Support as defined by that profile’s StructureDefinition.</t>
  </si>
  <si>
    <t>To support a US Core Profile, a Server: **SHOULD** declare support for a US Core Profile by including its official URL in the Server’s `CapabilityStatement.rest.resource.supportedProfile` element.</t>
  </si>
  <si>
    <t>A Server that certifies to the [21st Century Cures Act for accessing patient data](https://www.federalregister.gov/d/2020-07419/p-1177) must implement all components in the USCDI [[USCDI link](https://www.healthit.gov/isp/united-states-core-data-interoperability-uscdi)]</t>
  </si>
  <si>
    <t>A Server that certifies to the [21st Century Cures Act for accessing patient data](https://www.federalregister.gov/d/2020-07419/p-1177) must implement all components in the ... the US Core CapabilityStatement [[Definition](https://hl7.org/fhir/us/core/CapabilityStatement-us-core-Server.html)] .</t>
  </si>
  <si>
    <t>[To claim conformance to a US Core Profile] a conformant Server: 
**SHALL** Be able to populate all profile data elements that are mandatory and/or flagged as Must Support as defined by that profile’s StructureDefinition.</t>
  </si>
  <si>
    <t>[To claim conformance to a US Core Profile] a conformant Server: 
**SHOULD** declare conformance with the US [Core Server Capability Statement](https://hl7.org/fhir/us/core/CapabilityStatement-us-core-Server.html) by including its official URL in the Server’s `CapabilityStatement.instantiates` element: `http://hl7.org/fhir/us/core/CapabilityStatement/us-core-Server`</t>
  </si>
  <si>
    <t>[To claim conformance to a US Core Profile] a conformant Server: 
**SHALL** specify the full capability details from the US Core CapabilityStatement it claims to implement.</t>
  </si>
  <si>
    <t>[To claim conformance to a US Core Profile] a conformant Server: 
**SHALL**… Declare support for the US Core Profile by including its official URL in the Server’s CapabilityStatement.rest.resource.supportedProfile element.</t>
  </si>
  <si>
    <t>[To claim conformance to a US Core Profile] a conformant Server: 
**SHALL**… Declare support for the US Core Profile’s FHIR RESTful transactions.</t>
  </si>
  <si>
    <t>The [FHIR RESTful Search API](http://hl7.org/fhir/R4/http.html#search) requires that Servers that support search **SHALL** support the HTTP `POST`-based search.</t>
  </si>
  <si>
    <t>For all the supported search interactions in this guide, Servers **SHALL** also support the `GET`-based search.</t>
  </si>
  <si>
    <t>When searching using the `token` type searchparameter [(how to search by token)](http://hl7.org/fhir/R4/search.html#token) The Server **SHALL** support both [system and code values]</t>
  </si>
  <si>
    <t>When searching using the `reference` type searchparameter [(how to search by reference)](http://hl7.org/fhir/R4/search.html#reference) The Server **SHALL** support both [id and Type values]</t>
  </si>
  <si>
    <t>When searching using the `date` type searchparameter [(how to search by date)](http://hl7.org/fhir/R4/search.html#date) The Server **SHALL** support values precise to the day for elements of datatype `date`</t>
  </si>
  <si>
    <t>When searching using the `date` type searchparameter [(how to search by date)](http://hl7.org/fhir/R4/search.html#date) The Server **SHALL** support values precise … to the second + time offset for elements of `datatype` dateTime</t>
  </si>
  <si>
    <t>https://hl7.org/fhir/us/core/STU8/general-requirements.html#search-for-Servers-requiring-status</t>
  </si>
  <si>
    <t>For querying and reading US Core Profiles, Must Support on any profile data element **SHALL** be interpreted as follows…:
US Core Responders **SHALL** be capable of populating all data elements as part of the query results specified by the [US Core Server Capability Statement](https://hl7.org/fhir/us/core/STU8/CapabilityStatement-us-core-Server.html).</t>
  </si>
  <si>
    <t>If an element is marked as Must Support and defined by a pattern [as described by [ElementDefinition.pattern](http://hl7.org/fhir/R4/elementdefinition-definitions.html#ElementDefinition.pattern_x_)], then the pattern defines the elements and element values that the Server **SHALL** be capable of providing.</t>
  </si>
  <si>
    <t>Primitive elements are single elements with a primitive value. If they are marked as Must Support, then the Server **SHALL** be capable of providing the element value to meet the Must Support requirement.</t>
  </si>
  <si>
    <t>For any complex element marked as Must Support, the Server **SHALL** be capable of providing at least one of the sub-element values.</t>
  </si>
  <si>
    <t>There are several instances in this Guide where there is a choice of supporting one or another profile element to meet the Must Support or Additional USCDI requirement. In such cases, the Server  or Certifying System **SHALL** support at least one element.</t>
  </si>
  <si>
    <t>An individual SMART Server will publish a granular list of its capabilities, and a set of these capabilities is combined to support a specific use, a Capability Set. See SMART App Launch’s [FHIR OAuth authorization Endpoints and Capabilities](http://hl7.org/fhir/smart-app-launch/STU2/conformance.html#smart-on-fhir-oauth-authorization-endpoints-and-capabilities) for more details. Servers MAY support ... [any] SMART on FHIR Capability Sets and capabilities [(see [FHIR OAuth authorization Endpoints and Capabilities](http://hl7.org/fhir/smart-app-launch/STU2/conformance.html#smart-on-fhir-oauth-authorization-endpoints-and-capabilities))]</t>
  </si>
  <si>
    <t>https://hl7.org/fhir/us/core/STU8/scopes.html#us-core-Servers-shall-support-token-introspection</t>
  </si>
  <si>
    <t>For “User-Facing Applications”, a system’s support for patient-level (patient) or user-level (user) scopes depends on its published list of SMART on FHIR capabilities (see the [capability sets](https://hl7.org/fhir/us/core/STU8/scopes.html#capability-sets) above). For example, if a Server lists permission-patient and permission-user in its capabilities, it SHALL support both patient-level and user-level required scopes</t>
  </si>
  <si>
    <t>For “User-Facing Applications”, a system’s support for patient-level (patient) or user-level (user) scopes depends on its published list of SMART on FHIR capabilities (see the [capability sets](https://hl7.org/fhir/us/core/STU8/scopes.html#capability-sets) above). For example, if a Server lists permission-patient and permission-user in its capabilities, it ... SHOULD support both patient-level and user-level recommended best-practice scopes</t>
  </si>
  <si>
    <t>https://hl7.org/fhir/us/core/STU8/scopes.html#Servers-shall-support-the-following-metadata-in-their-well-knownsmart-configuration</t>
  </si>
  <si>
    <t>In addition to the capabilities defined in the Server’s CapabilityStatement, Servers SHALL document their SMART capabilities in their [Well-Known Uniform Resource Identifiers (URIs)](https://hl7.org/fhir/smart-app-launch/STU2/conformance.html#using-well-known) JSON file.</t>
  </si>
  <si>
    <t>US Core requires ... additional metadata [to be available through the Server's [Well-Known Uniform Resource Identifier (URI)](https://hl7.org/fhir/smart-app-launch/STU2/conformance.html#using-well-known)]: ... [in] `scopes_supported` [the] array of scopes a Client may request.... The Server SHALL list all the required US Core Scopes for the US Core Profiles they support in the scopes_supported array</t>
  </si>
  <si>
    <t>Change in v8.0.0: "The Server SHALL support all scopes listed in the table above for the US Core Profiles they support" -&gt; "The Server SHALL list all the required US Core Scopes for the US Core Profiles they support in the scopes_supported array"</t>
  </si>
  <si>
    <t>US Core requires ... additional metadata [to be available through the Server's [Well-Known Uniform Resource Identifier (URI)](https://hl7.org/fhir/smart-app-launch/STU2/conformance.html#using-well-known)]: ... [in] `scopes_supported` [the] array of scopes a Client may request. The Server [MAY support] additional scopes (so Clients should not consider … [the required scopes] an exhaustive list).</t>
  </si>
  <si>
    <t>US Core requires ... additional metadata [to be available through the Server's [Well-Known Uniform Resource Identifier (URI)](https://hl7.org/fhir/smart-app-launch/STU2/conformance.html#using-well-known)]: ... [in] `scopes_supported` [the] array of scopes a Client may request. Servers MAY limit Clients’ scopes to those configured at registration time.</t>
  </si>
  <si>
    <t>US Core requires ... additional metadata [to be available through the Server's [Well-Known Uniform Resource Identifier (URI)](https://hl7.org/fhir/smart-app-launch/STU2/conformance.html#using-well-known)]: ... [in] `scopes_supported` [the] array of scopes a Client may request. … Servers SHALL allow users to select a subset of the requested scopes at the approval time.</t>
  </si>
  <si>
    <t>US Core requires ... additional metadata [to be available through the Server's [Well-Known Uniform Resource Identifier (URI)](https://hl7.org/fhir/smart-app-launch/STU2/conformance.html#using-well-known)]: ... [in] `scopes_supported` [the] array of scopes a Client may request. The app SHOULD inspect the returned scopes and accommodate the differences from the scopes it asked for and registered.</t>
  </si>
  <si>
    <t>US Core requires ... additional metadata [to be available through the Server's [Well-Known Uniform Resource Identifier (URI)](https://hl7.org/fhir/smart-app-launch/STU2/conformance.html#using-well-known)]: ... [in] `introspection_endpoint` the URL to a Server’s introspection endpoint. ... Servers SHALL document this endpoint in the file</t>
  </si>
  <si>
    <t>When responding to a query, Servers SHOULD not use inline [contained](http://hl7.org/fhir/R4/references.html#contained) resources to represent the returned data.</t>
  </si>
  <si>
    <t>[To enable] terminology Servers to be able to validate US Edition-only codes [of [SNOMED CT](http://snomed.info/sct)], implementers SHOULD provide the accompanying system URI to describe the edition [see example 2 on [US Core general guidance](https://hl7.org/fhir/us/core/STU8/general-guidance.html#snomed-ct-united-states-edition)]</t>
  </si>
  <si>
    <t>A FHIR Server SHOULD update the appropriate resource status to entered-in-error or inactive [when requested to delete records]</t>
  </si>
  <si>
    <t>If the FHIR Server has updated the resource status to entered-in-error:
For patient facing applications, A FHIR Server SHOULD remove the resource’s contents, leaving only an id and status. Note that this typically will not conform to the US Core or FHIR StructureDefinitions.</t>
  </si>
  <si>
    <t>If the FHIR Server has updated the resource status to entered-in-error:
...
For provider-facing applications, the content may be supplied with content and additional detail (such as the reason for the status change) that the patient viewing system would typically not have access to.</t>
  </si>
  <si>
    <t>[When Clients request a resource in a specific language] Servers SHOULD make reasonable efforts to translate what can be safely translated.</t>
  </si>
  <si>
    <t xml:space="preserve">[When Clients request a resource in a specific language] Servers SHOULD populate the Resource’s language element with a code based on the underlying language of record, not the requested language.
</t>
  </si>
  <si>
    <t>[When Clients request a resource in a specific language] [Servers SHOULD use] the [Translation](http://hl7.org/fhir/R4/extension-translation.html) Extension when the Server provides additional translations by its own choice or in response to a different Accept-Language than what the resource is stored in.</t>
  </si>
  <si>
    <t>[When Clients request a resource in a specific language] Servers SHOULD make it known what languages are supported in their CapabilityStatement(s) using this extension:
http://hl7.org/fhir/5.0/StructureDefinition/extension-CapablilityStatement.acceptLanguage [[definition](https://hl7.org/fhir/R5/capabilitystatement-definitions.html#CapabilityStatement.acceptLanguage)]</t>
  </si>
  <si>
    <t>US Core Servers [MAY support compartment based searchs, but] are not required to support patient [compartment](http://hl7.org/fhir/R4/compartmentdefinition.html) based searches.</t>
  </si>
  <si>
    <t>US Core Servers [MAY resolve absolute URLs, but] are not required to resolve absolute URLs external to their environment.</t>
  </si>
  <si>
    <t>Systems [Servers] may extend their capabilities [around types of clinical notes] to the complete US Core DocumentReference Type Value Set.</t>
  </si>
  <si>
    <t>This guide requires [Server] systems to implement the [US Core DocumentReference Profile](https://hl7.org/fhir/us/core/STU8/StructureDefinition-us-core-documentreference.html)</t>
  </si>
  <si>
    <t>This guide requires [Server] systems to implement the [US Core DiagnosticReport Profile for Report and Note exchange](https://hl7.org/fhir/us/core/STU8/StructureDefinition-us-core-diagnosticreport-note.html)</t>
  </si>
  <si>
    <t>Systems [Servers] may support other [DiagnosticReport] categories as well.</t>
  </si>
  <si>
    <t>a Client can determine the note and report types supported by a Server by invoking the standard FHIR Value Set Expansion ([$expand](http://hl7.org/fhir/R4/valueset-operation-expand.html)) operation defined in the FHIR R4 specification.</t>
  </si>
  <si>
    <t>FHIR Server claiming support to this guide SHOULD support the $expand operation [[operation link](http://hl7.org/fhir/R4/valueset-operation-expand.html) to provide information to Clients requesting information on the note and report types the Server supports]</t>
  </si>
  <si>
    <t>[If Servers support the [$expand] (http://hl7.org/fhir/R4/valueset-operation-expand.html) operation for discovering note and report types, then Servers SHALL support] the #expand operation as follows:
GET [base]/ValueSet/$expand?context=http://hl7.org/fhir/us/core/StructureDefinition/us-core-diagnosticreport-note#DiagnosticReport.category&amp;contextDirection=outgoing for DiagnosticReport report category discovery [for read operations]</t>
  </si>
  <si>
    <t>If a Server supports the $expand operation for discovering note and record types for read operations</t>
  </si>
  <si>
    <t>[If Servers support the [$expand] (http://hl7.org/fhir/R4/valueset-operation-expand.html) operation for discovering note and report types, then Servers SHALL support] the #expand operation as follows:
GET [base]/ValueSet/$expand?context=http://hl7.org/fhir/us/core/StructureDefinition/us-core-diagnosticreport-note#DiagnosticReport.category&amp;contextDirection=incoming for DiagnosticReport report category discovery [for write operations]</t>
  </si>
  <si>
    <t>If a Server supports the $expand operation for discovering note and record types for write operations</t>
  </si>
  <si>
    <t>[If Servers support the [$expand] (http://hl7.org/fhir/R4/valueset-operation-expand.html) operation for discovering note and report types, then Servers SHALL support] the #expand operation as follows:
GET [base]/ValueSet/$expand?context=http://hl7.org/fhir/us/core/StructureDefinition/us-core-diagnosticreport-note#DiagnosticReport.code&amp;contextDirection=outgoing for DiagnosticReport report type discovery [for read operations]</t>
  </si>
  <si>
    <t>[If Servers support the [$expand] (http://hl7.org/fhir/R4/valueset-operation-expand.html) operation for discovering note and report types, then Servers SHALL support] the #expand operation as follows:
GET [base]/ValueSet/$expand?context=http://hl7.org/fhir/us/core/StructureDefinition/us-core-diagnosticreport-note#DiagnosticReport.code&amp;contextDirection=incoming for DiagnosticReport report type discovery [for write operations]</t>
  </si>
  <si>
    <t>[If Servers support the [$expand] (http://hl7.org/fhir/R4/valueset-operation-expand.html) operation for discovering note and report types, then Servers SHALL support] the #expand operation as follows:
GET [base]/ValueSet/$expand?context=http://hl7.org/fhir/us/core/StructureDefinition/us-core-documentreference#DocumentReference.category&amp;contextDirection=outgoing for DocumentReference note category discovery [for read operations]</t>
  </si>
  <si>
    <t>[If Servers support the [$expand] (http://hl7.org/fhir/R4/valueset-operation-expand.html) operation for discovering note and report types, then Servers SHALL support] the #expand operation as follows:
GET [base]/ValueSet/$expand?context=http://hl7.org/fhir/us/core/StructureDefinition/us-core-documentreference#DocumentReference.category&amp;contextDirection=incoming for DocumentReference note category discovery [for write operations]</t>
  </si>
  <si>
    <t>[If Servers support the [$expand] (http://hl7.org/fhir/R4/valueset-operation-expand.html) operation for discovering note and report types, then Servers SHALL support] the #expand operation as follows:
GET [base]/ValueSet/$expand?context=http://hl7.org/fhir/us/core/StructureDefinition/us-core-documentreference#DocumentReference.type&amp;contextDirection=outgoing for DocumentReference note type discovery [for read operations]</t>
  </si>
  <si>
    <t>[If Servers support the [$expand] (http://hl7.org/fhir/R4/valueset-operation-expand.html) operation for discovering note and report types, then Servers SHALL support] the #expand operation as follows:
GET [base]/ValueSet/$expand?context=http://hl7.org/fhir/us/core/StructureDefinition/us-core-documentreference#DocumentReference.type&amp;contextDirection=incoming for DocumentReference note type discovery [for write operations]</t>
  </si>
  <si>
    <t>https://hl7.org/fhir/us/core/STU8/clinical-notes.html#discovering-Server-read-and-write-formats</t>
  </si>
  <si>
    <t>[If Servers support the [$expand] (http://hl7.org/fhir/R4/valueset-operation-expand.html) operation then] the note and report types for a particular Server [SHOULD be] discovered by invoking the #expand operation as follows: 
GET [base]/ValueSet/$expand?context=http://hl7.org/fhir/us/core/StructureDefinition/us-core-diagnosticreport-note#DiagnosticReport.presentedForm.contentType&amp;contextDirection=outgoing for DiagnosticReport report content type discovery [for read operations]</t>
  </si>
  <si>
    <t>If a Server supports the $expand operation  types for read operations</t>
  </si>
  <si>
    <t>[If Servers support the [$expand] (http://hl7.org/fhir/R4/valueset-operation-expand.html) operation then] the note and report types for a particular Server [SHOULD be] discovered by invoking the #expand operation as follows: 
GET [base]/ValueSet/$expand?context=http://hl7.org/fhir/us/core/StructureDefinition/us-core-diagnosticreport-note#DiagnosticReport.presentedForm.contentType&amp;contextDirection=incoming for DiagnosticReport report content type discovery [for write operations]</t>
  </si>
  <si>
    <t>If a Server supports the $expand operation types for write operations</t>
  </si>
  <si>
    <t>[If Servers support the [$expand] (http://hl7.org/fhir/R4/valueset-operation-expand.html) operation then] the note and report types for a particular Server [SHOULD be] discovered by invoking the #expand operation as follows: 
GET [base]/ValueSet/$expand?context=http://hl7.org/fhir/us/core/StructureDefinition/us-core-documentreference#DocumentReference.content.attachment.contentType&amp;contextDirection=outgoing for DocumentReference note content type discovery [for read operations]</t>
  </si>
  <si>
    <t>[If Servers support the [$expand] (http://hl7.org/fhir/R4/valueset-operation-expand.html) operation then] the note and report types for a particular Server [SHOULD be] discovered by invoking the #expand operation as follows: 
GET [base]/ValueSet/$expand?context=http://hl7.org/fhir/us/core/StructureDefinition/us-core-documentreference#DocumentReference.content.attachment.contentType&amp;contextDirection=incoming for DocumentReference note content type discovery [for write operations]</t>
  </si>
  <si>
    <t>When referencing the Medication resource, the resource may be included in the returned bundle, as an external resource, or as a [contained](http://hl7.org/fhir/R4/references.html#contained) resource if it can’t stand alone. … The Server application MAY choose any combination of these methods</t>
  </si>
  <si>
    <t>if an external reference to Medication is used, the Server SHALL support the [_include](http://hl7.org/fhir/R4/search.html#include) parameter for searching this element</t>
  </si>
  <si>
    <t>To provide a list of a patient’s medications, it may be necessary to “de-duplicate” them. The de-duplication activity MAY be supplied by the Server</t>
  </si>
  <si>
    <t>Every Server that supports the USDCI Data Class “Health Status/Assessments”:
SHALL support representing clinical judgments using [US Core Condition Problems and Health Concerns Profile](https://hl7.org/fhir/us/core/STU8/StructureDefinition-us-core-condition-problems-health-concerns.html) or [US Core Simple Observation Profile](https://hl7.org/fhir/us/core/STU8/StructureDefinition-us-core-simple-observation.html).</t>
  </si>
  <si>
    <t>Every Server that supports the USDCI Data Class “Health Status/Assessments”:
...
The US Core Simple Observation Profile's Observation.derivedFrom element **SHOULD** reference the [Structured Screening and Assessment](https://hl7.org/fhir/us/core/STU8/screening-and-assessments.html#structured-screening-and-assessments) upon which clinical judgment observations are made</t>
  </si>
  <si>
    <t>Every Server that supports the USDCI Data Class “Health Status/Assessments”:
...
the US Core Condition Profile's Condition.evidence.detail element **SHOULD** reference the [Structured Screening and Assessment](https://hl7.org/fhir/us/core/STU8/screening-and-assessments.html#structured-screening-and-assessments) which assist in diagnosing problems or health concerns.</t>
  </si>
  <si>
    <t>when recording SDOH data [with] US Core Profiles, Servers SHOULD use … [Social Determinants of Health Conditions Value Set](https://vsac.nlm.nih.gov/valueset/2.16.840.1.113762.1.4.1196.788/expansion), [Social Determinants of Health Procedures Value Set](https://vsac.nlm.nih.gov/valueset/2.16.840.1.113762.1.4.1196.789/expansion), [Social Determinants of Health Goals Value Set](https://vsac.nlm.nih.gov/valueset/2.16.840.1.113762.1.4.1247.71/expansion), [and] [Social Determinants of Health Service Requests Value Set](https://vsac.nlm.nih.gov/valueset/2.16.840.1.113762.1.4.1196.790/expansion)</t>
  </si>
  <si>
    <t>A Server may support Version DSTU2 and Argonaut Data Query</t>
  </si>
  <si>
    <t>A Server may support … FHIR R4 and US Core ver 3.1.1+</t>
  </si>
  <si>
    <t>A Server may support [both] [(]Version DSTU2 and Argonaut Data Query[) and (] FHIR R4 and US Core ver 3.1.1+[)]</t>
  </si>
  <si>
    <t>A Server may make explicit which version of Argo/US Core is on their FHIR endpoint (e.g., “DSTU2” or “R4” path component or separate files based on version).</t>
  </si>
  <si>
    <t>Although both US Core Practitioner Profile and US Core PractitionerRole are Must Support, ... Server system[s conforming to the US Core CareTeam profile are] ... not required to support references to both, but SHALL support at least one of them</t>
  </si>
  <si>
    <t>[When conforming to the US Core CareTeam profile] Because the US Core PractitionerRole Profile supplies the provider’s location and contact information and a reference to the Practitioner, Server systems [conforming to the US Core CareTeam profile] SHOULD reference it instead of the US Core Practitioner Profile [when conforming to the US Core CareTeam profile] .</t>
  </si>
  <si>
    <t>A [US Core Condition Encounter Diagnosis] Server SHALL support Condition.recordedDate</t>
  </si>
  <si>
    <t>A Server SHALL support at least one of [assertedDate Extension](http://hl7.org/fhir/R4/extension-condition-asserteddate.html) and Condition.onsetDateTime.</t>
  </si>
  <si>
    <t>Must Support either assertedDate extension or Condition.onsetDateTime Both are marked as must support, but only one needs to be supported by Servers</t>
  </si>
  <si>
    <t>[L]inkages between specific LOINC codes and the LP-type codes may be used as guidance [for a Server's categorization of diagnostic reports]</t>
  </si>
  <si>
    <t>A Server will return how a customer has categorized their reports at a particular site.</t>
  </si>
  <si>
    <t>Although both [DocumentReference.attachment.url and DocumentReference.attachment.data] are marked as Must Support, the Server system is not required to support an address and inline base64 encoded data, but SHALL support at least one of these elements.</t>
  </si>
  <si>
    <t>Although ... marked as Must Support, Servers are not required to support both [an Encounter.reasonCode or a reference with Encounter.reasonReference], but they SHALL support at least one of these elements.</t>
  </si>
  <si>
    <t>Although … marked as Must Support, Servers are not required to support both Encounter.location.location and Encounter.serviceProvider, but they SHALL support at least one of these elements.</t>
  </si>
  <si>
    <t>Although both Goal.startDate and Goal.target.dueDate are marked as Must Support, the Server system is not required to support both, but SHALL support at least one of these elements.</t>
  </si>
  <si>
    <t>The Server systems are not required to support both a [medication] code and a reference [when sending medicationDispense], but SHALL support at least one of these methods</t>
  </si>
  <si>
    <t>If an external reference to a Medication resource is used, the Server SHALL support the [_include](http://hl7.org/fhir/R4/search.html#include) parameter for searching this element.</t>
  </si>
  <si>
    <t>[For organization participating in the ONC Health IT Certification program Servers SHALL support the [additional USCDI requirement](https://hl7.org/fhir/us/core/STU8/must-support.html#additional-uscdi-requirements):], The reason or indication for the prescription</t>
  </si>
  <si>
    <t>[For organization participating in the ONC Health IT Certification program Servers SHALL support the [additional USCDI requirement](https://hl7.org/fhir/us/core/STU8/must-support.html#additional-uscdi-requirements):] reported adherence to prescribed medication instructions</t>
  </si>
  <si>
    <t>Although [medicationRequest.reportedBoolean and MedicationRequest.reportedReference] are both marked as Must Support, the Server system is not required to support both, but SHALL support at least one of these elements</t>
  </si>
  <si>
    <t>Although both MedicationRequest.reasonCode and MedicationRequest.reasonReference are marked as Additional USCDI Requirements [which are required for organizations participating in the ONC Health IT Certification program]. The certifying Server system is not required to support both, but SHALL support at least one of these elements</t>
  </si>
  <si>
    <t xml:space="preserve">For organizations participating in the IT Health Certification program, Servers must support either MedicationRequest.reasonCode or MedicationRequest.reasonReference </t>
  </si>
  <si>
    <t>[For organizations participating in the ONC Health IT Certification program and supporting MedicationRequest.reasonReference,] Servers SHALL support at least one target resource in MedicationRequest.reasonReference</t>
  </si>
  <si>
    <t>[When sending US Core Observation Occupation Profile] for … [a] current job, [Servers SHALL] omit observation.effectivePeriod.end to indicate it is ongoing.</t>
  </si>
  <si>
    <t>When the industry is known, but the occupation is not, [Servers SHALL] use the value “unknown” from the [DataAbsentReason Code System](http://hl7.org/fhir/R4/codesystem-data-absent-reason.html)</t>
  </si>
  <si>
    <t>when the occupation is known but the industry is not, [Servers SHALL] omit the industry Observation.component</t>
  </si>
  <si>
    <t>To represent the patient’s pregnancy status, [Servers SHALL] use the [US Core Observation Pregnancy Status Profile](https://hl7.org/fhir/us/core/StructureDefinition-us-core-observation-pregnancystatus.html).</t>
  </si>
  <si>
    <t>To represent the patient’s intent to become pregnant, [Servers SHALL] use the [US Core Observation Pregnancy Intent Profile](https://hl7.org/fhir/us/core/StructureDefinition-us-core-observation-pregnancyintent.html).</t>
  </si>
  <si>
    <t>the Server system ... SHALL support [either] Reference(US Core Observation Screening Assessment Profile) or Reference(US Core QuestionnaireResponse Profile) for Observation.derivedFrom</t>
  </si>
  <si>
    <t>Although both Reference(US Core Observation Profile) or Reference(US Core QuestionnaireResponse Profile) are marked as must support, Servers are only required to support one of these</t>
  </si>
  <si>
    <t>Although none of the Observation.derivedFrom [references are flagged as Must Support](https://hl7.org/fhir/us/core/STU8/must-support.html#must-support---resource-references), the Server SHALL support at least one of them</t>
  </si>
  <si>
    <t>[In the US Core Blood Pressure Profile] because the blood pressure values are communicated in the mandatory systolic and diastolic components[,] All Server systems - including those that never provide a component observation without a value - SHALL support Observation.component.dataAbsentReason for the components.</t>
  </si>
  <si>
    <t>Although Practitioner.address is marked as Must Support, the Server system … [MAY choose not to] support it if they support the US Core PractitionerRole Profile</t>
  </si>
  <si>
    <t>[When using the US Core Practioner Profile] Practitioner.address … SHALL [be supported] if … [the Server does] not support the US Core PractitionerRole Profile</t>
  </si>
  <si>
    <t>[For organizations participating in the ONC Health IT Certification program,] although both Procedure.reasonCode and Procedure.reasonReference are marked as Additional USCDI Requirements, the certifying Server system is not required to support both, but SHALL support at least one of these elements.</t>
  </si>
  <si>
    <t>For organizations participating in ONC certification, Server shall support either Procedure.reasonCode or Procedure.reasonReference</t>
  </si>
  <si>
    <t>[For organizations participating in the ONC Health IT Certification program,] although both ServiceRequest.reasonCode and ServiceRequest.reasonReference are marked as Additional USCDI Requirements, the certifying Server system is not required to support both, but SHALL support at least one of these elements.</t>
  </si>
  <si>
    <t>Although both Specimen.identifier and Specimen.accessionIdentifier are marked as Must Support, the Server system is not required to support both, but SHALL support at least one of these elements.</t>
  </si>
  <si>
    <t>https://hl7.org/fhir/us/core/STU8/CapabilityStatement-us-core-Server.html#should_igs</t>
  </si>
  <si>
    <t>https://hl7.org/fhir/us/core/STU8/CapabilityStatement-us-core-Server.html#behavior</t>
  </si>
  <si>
    <t>A Server SHALL reject any unauthorized requests by returning an HTTP 401 "Unauthorized", HTTP 403 "Forbidden", or HTTP 404 "Not Found"</t>
  </si>
  <si>
    <t>https://hl7.org/fhir/us/core/STU8/CapabilityStatement-us-core-Server.html#valueset</t>
  </si>
  <si>
    <t>If a Server supports DocumentReference for creating, using, and sharing clinical notes, it SHOULD also support the context and contextdirection parameters of the $expand operation</t>
  </si>
  <si>
    <t>If a Server supports DocumentReference, Server should support context and contextdirect parameters</t>
  </si>
  <si>
    <t>For Authentication and Authorization, Systems SHALL support any [SMART App Launch Version 2.0.0](http://hl7.org/fhir/smart-app-launch/history.html) for Client &lt;-&gt; Server interactions.</t>
  </si>
  <si>
    <t>For Authentication and Authorization, Systems SHALL support any [SMART App Launch version](http://hl7.org/fhir/smart-app-launch/history.html) for Client &lt;-&gt; Server interactions.</t>
  </si>
  <si>
    <t>Change in v8.0.0:
"For Authentication and Authorization, Systems SHALL support any SMART App Launch version for Client &lt;-&gt; Server interactions. NOTE: The SMART App Launch specifications include the required OAuth 2.0 scopes for enabling security decisions.
-&gt;
For Authentication and Authorization, Systems SHALL support SMART App Launch Version 2.0.0 for Client &lt;-&gt; Server interactions. NOTE: The SMART App Launch specifications include the required OAuth 2.0 scopes for enabling security decisions."</t>
  </si>
  <si>
    <t>https://hl7.org/fhir/us/core/STU8/CapabilityStatement-us-core-Client.html#behavior, https://hl7.org/fhir/us/core/STU8/CapabilityStatement-us-core-Server.html#behavior</t>
  </si>
  <si>
    <t xml:space="preserve"> If the referenced a document or file [referenced by `DocumentReference.content.attachment.url`]  is hosted on a Server outside the FHIR Server, it should be securely accessible using the same authorization credentials that were used to access the FHIR Server. This reduces complexity for the Client and improves the user experience.</t>
  </si>
  <si>
    <t>https://www.hl7.org/fhir/us/core/STU8/general-requirements.html#extensible-binding-for-coded-elements</t>
  </si>
  <si>
    <t>[When sending US Core Laboratory Results Observation Profile] updates to .meta.lastUpdated SHOULD reflect new laboratory observations</t>
  </si>
  <si>
    <t>[When sending US Core Laboratory Results Observation Profile] updates to .meta.lastUpdated SHOULD reflect changes in the status of laboratory observations, including events that trigger the same status (e.g., amended → amended)</t>
  </si>
  <si>
    <t xml:space="preserve">Updates to .meta.lastUpdated SHOULD reflect: New problems and health concerns </t>
  </si>
  <si>
    <t>Updates to .meta.lastUpdated SHOULD reflect:
Changes in the clinical status or verifications status of problems or health concerns [This will change to a SHALL requirement in US Core v8.0.0]</t>
  </si>
  <si>
    <t xml:space="preserve">Updates to .meta.lastUpdated SHOULD reflect New laboratory reports. </t>
  </si>
  <si>
    <t>Updates to .meta.lastUpdated SHOULD reflect changes in the status of laboratory reports, including events that trigger the same status (e.g., amended → amended).</t>
  </si>
  <si>
    <t>Updates to .meta.lastUpdated SHOULD reflect New encounters/visits</t>
  </si>
  <si>
    <t>Updates to .meta.lastUpdated SHOULD reflect changes in the status of encounters, including events that trigger the same status (e.g., in-progress → in-progress).</t>
  </si>
  <si>
    <t>Changes</t>
  </si>
  <si>
    <t>hl7.fhir.us.core_8.0.0@4-8</t>
  </si>
  <si>
    <t>hl7.fhir.us.core_8.0.0@16,17</t>
  </si>
  <si>
    <t>hl7.fhir.us.core_8.0.0@21,22</t>
  </si>
  <si>
    <t>hl7.fhir.us.core_8.0.0@18</t>
  </si>
  <si>
    <t>hl7.fhir.us.core_8.0.0@23,24</t>
  </si>
  <si>
    <t>hl7.fhir.us.core_8.0.0@42</t>
  </si>
  <si>
    <t>hl7.fhir.us.core_8.0.0@65-73</t>
  </si>
  <si>
    <t>hl7.fhir.us.core_8.0.0@39-43,48-50</t>
  </si>
  <si>
    <t>hl7.fhir.us.core_8.0.0@290,291</t>
  </si>
  <si>
    <t>hl7.fhir.us.core_8.0.0@293,294</t>
  </si>
  <si>
    <t>hl7.fhir.us.core_8.0.0@296,297</t>
  </si>
  <si>
    <t>hl7.fhir.us.core_8.0.0@302,303</t>
  </si>
  <si>
    <t>hl7.fhir.us.core_8.0.0@246-252,256,257</t>
  </si>
  <si>
    <t>when the specimen type is already implied by the LOINC code used in `Observation.code`</t>
  </si>
  <si>
    <t xml:space="preserve"> If the referenced a document or file [referenced by `DocumentReference.content.attachment.url`]  is hosted on a Server outside the FHIR Server</t>
  </si>
  <si>
    <t>Systems that initiate the order</t>
  </si>
  <si>
    <t>Servers that support the USCDI Health Status/Assessments Data Class</t>
  </si>
  <si>
    <t>If Cache-Control is present in the Server response headers</t>
  </si>
  <si>
    <t>If the Server does not support the _include search parameter</t>
  </si>
  <si>
    <t>When the Server supports [ the _include search parameter], Clients **SHOULD** use the _include search parameter to retrieve referenced content instead of searching for a resource and then performing a separate search for other references (for example, Patient, Encounter, and Location) in the result set.</t>
  </si>
  <si>
    <t>When the Server supports [ the _include search parameter]</t>
  </si>
  <si>
    <t>[I]f a slice is labeled as Must Support/Additional USCDI and the slicer element is ... labeled as Must Support/Additional USCDI</t>
  </si>
  <si>
    <t>[If a] slicer's Must Support property only defines the element level Must Support/Additional USCDI property[, i.e.,] no Must Support/Additional USCDI property is defined for the slice</t>
  </si>
  <si>
    <t>[I]f a slice is labeled as Must Support/Additional USCDI and the slicer element is not labeled as Must Support/Additional USCDI,</t>
  </si>
  <si>
    <t>When a Reference type element labeled as Additional USCDI, has multiple target profiles referenced, and specific targets are labeled as Must Support,</t>
  </si>
  <si>
    <t>When a Reference type element is labeled as Must Support</t>
  </si>
  <si>
    <t xml:space="preserve">When a Reference type element is labeled as Additional USCDI and has a single target profile referenced, </t>
  </si>
  <si>
    <t>When a Reference type element is labeled as Must Support and has a single target profile referenced</t>
  </si>
  <si>
    <t xml:space="preserve">If any sub-element is marked as *Additional USCDI* [for a complex element], </t>
  </si>
  <si>
    <t xml:space="preserve">If they are marked as *Additional USCDI*, </t>
  </si>
  <si>
    <t>If an element is marked as *Additional USCDI* and defined by a pattern [as described by [ElementDefinition.pattern](http://hl7.org/fhir/R4/elementdefinition-definitions.html#ElementDefinition.pattern_x_)],</t>
  </si>
  <si>
    <t xml:space="preserve">An Observation without a value, **SHALL** include a reason why the data is absent unless there are 1) component observations, or 2) reporting panel observations using Observation.hasMember. </t>
  </si>
  <si>
    <t>[For [US Core Simple Observation Profile](https://hl7.org/fhir/us/core/STU8/StructureDefinition-us-core-simple-observation.html), ]Certifying Systems ... **SHOULD** support the other [US Core Simple Observation Category codes](https://hl7.org/fhir/us/core/STU8/ValueSet-us-core-simple-observation-category.html) [in addition to  the [US Core Screening Assessment Observation Category codes](https://hl7.org/fhir/us/core/STU8/ValueSet-us-core-screening-assessment-observation-category.html)]</t>
  </si>
  <si>
    <t>[For [US Core Simple Observation Profile](https://hl7.org/fhir/us/core/STU8/StructureDefinition-us-core-simple-observation.html), ]Certifying Systems **SHALL** support, the [US Core Screening Assessment Observation Category codes](https://hl7.org/fhir/us/core/STU8/ValueSet-us-core-screening-assessment-observation-category.html)</t>
  </si>
  <si>
    <t>[For [US Core Simple Observation Profile](https://hl7.org/fhir/us/core/STU8/StructureDefinition-us-core-simple-observation.html), ]Certifying Systems ... **MAY** support other categories [in addition to  [US Core Screening Assessment Observation Category codes](https://hl7.org/fhir/us/core/STU8/ValueSet-us-core-screening-assessment-observation-category.html) and  [US Core Simple Observation Category codes](https://hl7.org/fhir/us/core/STU8/ValueSet-us-core-simple-observation-category.html)].</t>
  </si>
  <si>
    <t xml:space="preserve">An `Observation.component` without a value, SHALL include a reason why the data is absent. </t>
  </si>
  <si>
    <t>Systems that never provide an observation without a value are not required to support `Observation.dataAbsentReason`.</t>
  </si>
  <si>
    <t>Systems that never provide a component observation without a component value are not required to support `Observation.component.dataAbsentReason`.</t>
  </si>
  <si>
    <t>Although 'Observation.performer' target profiles [US Core Practitioner Profile](https://hl7.org/fhir/us/core/STU8/StructureDefinition-us-core-practitioner.html) and [US Core Patient Profile](https://hl7.org/fhir/us/core/STU8/StructureDefinition-us-core-patient.html) are labeled Must Support. Servers are not required to support both, but SHALL support at least one.</t>
  </si>
  <si>
    <t xml:space="preserve"> 'Observation.performer' target profiles [US Core Practitioner Profile](https://hl7.org/fhir/us/core/STU8/StructureDefinition-us-core-practitioner.html) and [US Core Patient Profile](https://hl7.org/fhir/us/core/STU8/StructureDefinition-us-core-patient.html) are labeled Must Support.... Clients SHALL support both.</t>
  </si>
  <si>
    <t>Cerifying Systems</t>
  </si>
  <si>
    <t>Systems that never provide an observation without a value</t>
  </si>
  <si>
    <t>Systems that never provide a component observation without a component value</t>
  </si>
  <si>
    <t>Changes from v7.0.0 to v8.0.0 are explained in the Notes column. General changes include:
- client -&gt; Client
- server -&gt; Server
- Meta. -&gt; .meta.
New requirements in v8.0.0 start at ID 800.</t>
  </si>
  <si>
    <t>In Test</t>
  </si>
  <si>
    <t>y</t>
  </si>
  <si>
    <t>n</t>
  </si>
  <si>
    <t>g10 test</t>
  </si>
  <si>
    <t>Need fix</t>
  </si>
  <si>
    <t>Duplicate to req 1</t>
  </si>
  <si>
    <t>[I]f a slice is labeled as Must Support... and the slicer element is not labeled as Must Support..., then if the Server... supports the element, it must support the slice's definition. There are no examples of this structure in US Core.</t>
  </si>
  <si>
    <t>[If a] slicer's Must Support property only defines the element level Must Support...[, i.e.,] no Must Support... property is defined for the slice, then support for that slice's definition is optional.</t>
  </si>
  <si>
    <t>[I]f a slice is labeled as Must Support... and the slicer element is ... labeled as Must Support..., then ... the Server... [**SHALL** support] the element[ and] the slice's definition.</t>
  </si>
  <si>
    <t>[If a] slicer's Must Support property only defines the element level Must Support/... property[, i.e.,] no Must Support... property is defined for the slice</t>
  </si>
  <si>
    <t>[I]f a slice is labeled as Must Support... and the slicer element is ... labeled as Must Support</t>
  </si>
  <si>
    <t>[I]f a slice is labeled as Must Support... and the slicer element is not labeled as Must Support,</t>
  </si>
  <si>
    <t>[I]f a slice is labeled as … Additional USCDI and the slicer element is ... labeled as … Additional USCDI, then … certifying system [**SHALL** support] the element[ and] the slice's definition.</t>
  </si>
  <si>
    <t>[If a] slicer's Must Support property only defines the element level … Additional USCDI property[, i.e.,] no … Additional USCDI property is defined for the slice, then support for that slice's definition is optional.</t>
  </si>
  <si>
    <t>[I]f a slice is labeled as ... Additional USCDI and the slicer element is not labeled as ... Additional USCDI, then if the ... certifying system supports the element, it must support the slice's definition. There are no examples of this structure in US Core.</t>
  </si>
  <si>
    <t>?</t>
  </si>
  <si>
    <t>Certifying Systems</t>
  </si>
  <si>
    <t>n/a</t>
  </si>
  <si>
    <t>validation?</t>
  </si>
  <si>
    <t>This is an error in the specification. See https://jira.hl7.org/browse/FHIR-51493</t>
  </si>
  <si>
    <t>This is a known error in the specification. See https://jira.hl7.org/browse/FHIR-51493</t>
  </si>
  <si>
    <t>https://hl7.org/fhir/us/core/STU7/StructureDefinition-us-core-allergyintolerance.html#mandatory-and-must-support-data-elements</t>
  </si>
  <si>
    <t>Each AllergyIntolerance Must Have: a clinical status of the allergy (e.g., active or resolved)</t>
  </si>
  <si>
    <t>Each AllergyIntolerance Must Have: a code that tells you what the patient is allergic to</t>
  </si>
  <si>
    <t>Each AllergyIntolerance Must Support: a verification status</t>
  </si>
  <si>
    <t>Each AllergyIntolerance Must Support: a reaction manifestation</t>
  </si>
  <si>
    <t>StructureDefinition-us-core-allergyintolerance</t>
  </si>
  <si>
    <t>mandatory-and-must-support-data-elements</t>
  </si>
  <si>
    <t>Deprecated because this is in the structured definition and unnecessary as a separate requirement.</t>
  </si>
  <si>
    <r>
      <t xml:space="preserve">ID*
</t>
    </r>
    <r>
      <rPr>
        <sz val="11"/>
        <color rgb="FF000000"/>
        <rFont val="Aptos Narrow"/>
        <scheme val="minor"/>
      </rPr>
      <t xml:space="preserve">The unique identifier for the requirement. IDs are short, meaningless (they do not contain context like section numbers), and numeric. An approach is incrementing integers. See below for how to handle IDs for child requirements.
</t>
    </r>
    <r>
      <rPr>
        <i/>
        <sz val="11"/>
        <color rgb="FF000000"/>
        <rFont val="Aptos Narrow"/>
        <scheme val="minor"/>
      </rPr>
      <t xml:space="preserve">Mapping: ID -&gt; Requirements.statement.key
</t>
    </r>
    <r>
      <rPr>
        <b/>
        <sz val="11"/>
        <color rgb="FF000000"/>
        <rFont val="Aptos Narrow"/>
        <scheme val="minor"/>
      </rPr>
      <t xml:space="preserve">URL*
</t>
    </r>
    <r>
      <rPr>
        <sz val="11"/>
        <color rgb="FF000000"/>
        <rFont val="Aptos Narrow"/>
        <scheme val="minor"/>
      </rPr>
      <t xml:space="preserve">The URL of the deepest section that contains the requirement. The URL provides context for the requirement text.
</t>
    </r>
    <r>
      <rPr>
        <i/>
        <sz val="11"/>
        <color rgb="FF000000"/>
        <rFont val="Aptos Narrow"/>
        <scheme val="minor"/>
      </rPr>
      <t xml:space="preserve">Mapping: URL -&gt; </t>
    </r>
    <r>
      <rPr>
        <b/>
        <sz val="11"/>
        <color rgb="FF000000"/>
        <rFont val="Aptos Narrow"/>
        <scheme val="minor"/>
      </rPr>
      <t xml:space="preserve"> </t>
    </r>
    <r>
      <rPr>
        <i/>
        <sz val="11"/>
        <color rgb="FF000000"/>
        <rFont val="Aptos Narrow"/>
        <scheme val="minor"/>
      </rPr>
      <t xml:space="preserve">Requirements.statement.reference
</t>
    </r>
    <r>
      <rPr>
        <b/>
        <sz val="11"/>
        <color rgb="FF000000"/>
        <rFont val="Aptos Narrow"/>
        <scheme val="minor"/>
      </rPr>
      <t xml:space="preserve">Requirement*
</t>
    </r>
    <r>
      <rPr>
        <sz val="11"/>
        <color rgb="FF000000"/>
        <rFont val="Aptos Narrow"/>
        <scheme val="minor"/>
      </rPr>
      <t xml:space="preserve">A direct quote from the IG. Add any clarifications or interpretations in a helper column like the </t>
    </r>
    <r>
      <rPr>
        <b/>
        <sz val="11"/>
        <color rgb="FF000000"/>
        <rFont val="Aptos Narrow"/>
        <scheme val="minor"/>
      </rPr>
      <t>Test Plan</t>
    </r>
    <r>
      <rPr>
        <sz val="11"/>
        <color rgb="FF000000"/>
        <rFont val="Aptos Narrow"/>
        <scheme val="minor"/>
      </rPr>
      <t xml:space="preserve"> column. May include helpful context in square brackets.
</t>
    </r>
    <r>
      <rPr>
        <i/>
        <sz val="11"/>
        <color rgb="FF000000"/>
        <rFont val="Aptos Narrow"/>
        <scheme val="minor"/>
      </rPr>
      <t xml:space="preserve">Mapping: Requirement -&gt; Requirements.statement.requirement
</t>
    </r>
    <r>
      <rPr>
        <b/>
        <sz val="11"/>
        <color rgb="FF000000"/>
        <rFont val="Aptos Narrow"/>
        <scheme val="minor"/>
      </rPr>
      <t xml:space="preserve">Conformance*
</t>
    </r>
    <r>
      <rPr>
        <sz val="11"/>
        <color rgb="FF000000"/>
        <rFont val="Aptos Narrow"/>
        <scheme val="minor"/>
      </rPr>
      <t xml:space="preserve">The conformance verb of the requirement: SHALL, SHOULD, MAY, SHOULD NOT, SHALL NOT and DEPRECATED (see </t>
    </r>
    <r>
      <rPr>
        <b/>
        <sz val="11"/>
        <color rgb="FF000000"/>
        <rFont val="Aptos Narrow"/>
        <scheme val="minor"/>
      </rPr>
      <t>Further Consideration</t>
    </r>
    <r>
      <rPr>
        <sz val="11"/>
        <color rgb="FF000000"/>
        <rFont val="Aptos Narrow"/>
        <scheme val="minor"/>
      </rPr>
      <t xml:space="preserve"> below for when to use DEPRECATED).
</t>
    </r>
    <r>
      <rPr>
        <i/>
        <sz val="11"/>
        <color rgb="FF000000"/>
        <rFont val="Aptos Narrow"/>
        <scheme val="minor"/>
      </rPr>
      <t xml:space="preserve">Mapping: Conformance -&gt; Requirements.statement.conformance
</t>
    </r>
    <r>
      <rPr>
        <b/>
        <sz val="11"/>
        <color rgb="FF000000"/>
        <rFont val="Aptos Narrow"/>
        <scheme val="minor"/>
      </rPr>
      <t xml:space="preserve">Actor*
</t>
    </r>
    <r>
      <rPr>
        <sz val="11"/>
        <color rgb="FF000000"/>
        <rFont val="Aptos Narrow"/>
        <scheme val="minor"/>
      </rPr>
      <t xml:space="preserve">The actor, or actors, that the requirement constrains. The values will depend on the target specification, e.g., for Subscriptions (https://hl7.org/fhir/uv/subscriptions-backport/STU1.1/actors.html), Client and Server.
</t>
    </r>
    <r>
      <rPr>
        <i/>
        <sz val="11"/>
        <color rgb="FF000000"/>
        <rFont val="Aptos Narrow"/>
        <scheme val="minor"/>
      </rPr>
      <t xml:space="preserve">Mapping: Actor -&gt; Requirements.actor
</t>
    </r>
    <r>
      <rPr>
        <b/>
        <sz val="11"/>
        <color rgb="FF000000"/>
        <rFont val="Aptos Narrow"/>
        <scheme val="minor"/>
      </rPr>
      <t xml:space="preserve">Sub-requirement(s)
</t>
    </r>
    <r>
      <rPr>
        <sz val="11"/>
        <color rgb="FF000000"/>
        <rFont val="Aptos Narrow"/>
        <scheme val="minor"/>
      </rPr>
      <t xml:space="preserve">The requirement set id and requirement id(s) of external requirements that are referenced by this requirement. This column will only be used when this requirements document points to requirements from a different requirement set.  For example, PDex references US Core. When creating the requirements for the PDex test kit, the US Core requirement set id will be noted in this column for the PDex requirement(s) that reference US Core.
Format: &lt;requirement set id&gt;@&lt;list of requirement ids and ranges&gt;. E.g., the requirement set with id "hl7.fhir.us.davinci-drug-formulary_2.0.1" and requirement id "40", "41", "42", and "50"  would get referenced by "hl7.fhir.us.davinci-drug-formulary_2.0.1@40-42,50"
</t>
    </r>
    <r>
      <rPr>
        <i/>
        <sz val="11"/>
        <color rgb="FF000000"/>
        <rFont val="Aptos Narrow"/>
        <scheme val="minor"/>
      </rPr>
      <t xml:space="preserve">Mapping: Sub-requirements -&gt; Requirements.statement.parent
</t>
    </r>
    <r>
      <rPr>
        <b/>
        <sz val="11"/>
        <color rgb="FF000000"/>
        <rFont val="Aptos Narrow"/>
        <scheme val="minor"/>
      </rPr>
      <t xml:space="preserve">Conditionality
</t>
    </r>
    <r>
      <rPr>
        <sz val="11"/>
        <color rgb="FF000000"/>
        <rFont val="Aptos Narrow"/>
        <scheme val="minor"/>
      </rPr>
      <t xml:space="preserve">Whether or not the requirement is conditional on a prerequisite clause. An example of a conditional requirement is, "If the value is X, then the server SHALL do Y." Note: A blank value carries no information and does not indicate if </t>
    </r>
    <r>
      <rPr>
        <i/>
        <sz val="11"/>
        <color rgb="FF000000"/>
        <rFont val="Aptos Narrow"/>
        <scheme val="minor"/>
      </rPr>
      <t>Conditionality</t>
    </r>
    <r>
      <rPr>
        <sz val="11"/>
        <color rgb="FF000000"/>
        <rFont val="Aptos Narrow"/>
        <scheme val="minor"/>
      </rPr>
      <t xml:space="preserve"> is true or false.
</t>
    </r>
    <r>
      <rPr>
        <i/>
        <sz val="11"/>
        <color rgb="FF000000"/>
        <rFont val="Aptos Narrow"/>
        <scheme val="minor"/>
      </rPr>
      <t xml:space="preserve">Mapping: Conditionality -&gt; Requirements.statement.conditionality.
</t>
    </r>
    <r>
      <rPr>
        <b/>
        <sz val="11"/>
        <color rgb="FF000000"/>
        <rFont val="Aptos Narrow"/>
        <scheme val="minor"/>
      </rPr>
      <t xml:space="preserve">
Verifiable?
</t>
    </r>
    <r>
      <rPr>
        <sz val="11"/>
        <color rgb="FF000000"/>
        <rFont val="Aptos Narrow"/>
        <scheme val="minor"/>
      </rPr>
      <t xml:space="preserve">A determination as to whether this requirement can be verified:: 'No' - the requirement cannot be verified, e.g., because it is not specific enough; 'Yes' - the requirement can be verified using mechanical means or an attestation.
</t>
    </r>
    <r>
      <rPr>
        <i/>
        <sz val="11"/>
        <color rgb="FF000000"/>
        <rFont val="Aptos Narrow"/>
        <scheme val="minor"/>
      </rPr>
      <t xml:space="preserve">Mapping: none
</t>
    </r>
    <r>
      <rPr>
        <b/>
        <sz val="11"/>
        <color rgb="FF000000"/>
        <rFont val="Aptos Narrow"/>
        <scheme val="minor"/>
      </rPr>
      <t xml:space="preserve">Verifiability Details
</t>
    </r>
    <r>
      <rPr>
        <sz val="11"/>
        <color rgb="FF000000"/>
        <rFont val="Aptos Narrow"/>
        <scheme val="minor"/>
      </rPr>
      <t xml:space="preserve">Details explaining the answer in the Verifiable? column, typically providing a rationale for why a given requirement will not be tested.
</t>
    </r>
    <r>
      <rPr>
        <i/>
        <sz val="11"/>
        <color rgb="FF000000"/>
        <rFont val="Aptos Narrow"/>
        <scheme val="minor"/>
      </rPr>
      <t xml:space="preserve">Mapping: none
</t>
    </r>
    <r>
      <rPr>
        <b/>
        <sz val="11"/>
        <color rgb="FF000000"/>
        <rFont val="Aptos Narrow"/>
        <scheme val="minor"/>
      </rPr>
      <t xml:space="preserve">Planning To Test?
</t>
    </r>
    <r>
      <rPr>
        <sz val="11"/>
        <color rgb="FF000000"/>
        <rFont val="Aptos Narrow"/>
        <scheme val="minor"/>
      </rPr>
      <t xml:space="preserve">A determination as to whether this requirement will be tested. It might not be tested because it conflicts with another requirement or because it is a MAY requirement without any sub requirements.
</t>
    </r>
    <r>
      <rPr>
        <i/>
        <sz val="11"/>
        <color rgb="FF000000"/>
        <rFont val="Aptos Narrow"/>
        <scheme val="minor"/>
      </rPr>
      <t xml:space="preserve">Mapping: none
</t>
    </r>
    <r>
      <rPr>
        <b/>
        <sz val="11"/>
        <color rgb="FF000000"/>
        <rFont val="Aptos Narrow"/>
        <scheme val="minor"/>
      </rPr>
      <t xml:space="preserve">Planning To Test Details
</t>
    </r>
    <r>
      <rPr>
        <sz val="11"/>
        <color rgb="FF000000"/>
        <rFont val="Aptos Narrow"/>
        <scheme val="minor"/>
      </rPr>
      <t xml:space="preserve">Details explaining the answer in the Planning To Test? column, typically providing a rationale for why a given requirement will not be tested.
</t>
    </r>
    <r>
      <rPr>
        <i/>
        <sz val="11"/>
        <color rgb="FF000000"/>
        <rFont val="Aptos Narrow"/>
        <scheme val="minor"/>
      </rPr>
      <t>Mapping: none</t>
    </r>
  </si>
  <si>
    <t>Column1</t>
  </si>
  <si>
    <t>Is_New</t>
  </si>
  <si>
    <t/>
  </si>
  <si>
    <t>1</t>
  </si>
  <si>
    <t>FALSE</t>
  </si>
  <si>
    <t>2</t>
  </si>
  <si>
    <t>3</t>
  </si>
  <si>
    <t>TRUE</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</si>
  <si>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</si>
  <si>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</si>
  <si>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</si>
  <si>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</si>
  <si>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</si>
  <si>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</si>
  <si>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</si>
  <si>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</si>
  <si>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</si>
  <si>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</si>
  <si>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</si>
  <si>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</si>
  <si>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</si>
  <si>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</si>
  <si>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</si>
  <si>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</si>
  <si>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</si>
  <si>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</si>
  <si>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</si>
  <si>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</si>
  <si>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</si>
  <si>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</si>
  <si>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</si>
  <si>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</si>
  <si>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</si>
  <si>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</si>
  <si>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</si>
  <si>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</si>
  <si>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</si>
  <si>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</si>
  <si>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</si>
  <si>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</si>
  <si>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</si>
  <si>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</si>
  <si>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</si>
  <si>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</si>
  <si>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</si>
  <si>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</si>
  <si>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</si>
  <si>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</si>
  <si>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</si>
  <si>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</si>
  <si>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</si>
  <si>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</si>
  <si>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</si>
  <si>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</si>
  <si>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</si>
  <si>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</si>
  <si>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</si>
  <si>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</si>
  <si>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</si>
  <si>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</si>
  <si>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</si>
  <si>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</si>
  <si>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</si>
  <si>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</si>
  <si>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</si>
  <si>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</si>
  <si>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</si>
  <si>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</si>
  <si>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</si>
  <si>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</si>
  <si>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</si>
  <si>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</si>
  <si>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</si>
  <si>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</si>
  <si>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</si>
  <si>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</si>
  <si>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</si>
  <si>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</si>
  <si>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</si>
  <si>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</si>
  <si>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</si>
  <si>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</si>
  <si>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</si>
  <si>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</si>
  <si>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</si>
  <si>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</si>
  <si>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</si>
  <si>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</si>
  <si>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</si>
  <si>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</si>
  <si>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</si>
  <si>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</si>
  <si>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</si>
  <si>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</si>
  <si>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</si>
  <si>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</si>
  <si>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</si>
  <si>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</si>
  <si>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</si>
  <si>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</si>
  <si>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</si>
  <si>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</si>
  <si>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</si>
  <si>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</si>
  <si>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</si>
  <si>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</si>
  <si>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</si>
  <si>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</si>
  <si>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</si>
  <si>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</si>
  <si>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</si>
  <si>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</si>
  <si>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</si>
  <si>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</si>
  <si>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</si>
  <si>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</si>
  <si>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</si>
  <si>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</si>
  <si>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</si>
  <si>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</si>
  <si>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</si>
  <si>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</si>
  <si>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</si>
  <si>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</si>
  <si>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</si>
  <si>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</si>
  <si>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</si>
  <si>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</si>
  <si>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</si>
  <si>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</si>
  <si>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</si>
  <si>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</si>
  <si>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</si>
  <si>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</si>
  <si>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</si>
  <si>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</si>
  <si>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</si>
  <si>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</si>
  <si>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</si>
  <si>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</si>
  <si>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</si>
  <si>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</si>
  <si>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</si>
  <si>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</si>
  <si>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</si>
  <si>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</si>
  <si>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</si>
  <si>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</si>
  <si>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</si>
  <si>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</si>
  <si>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</si>
  <si>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</si>
  <si>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</si>
  <si>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</si>
  <si>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</si>
  <si>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</si>
  <si>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</si>
  <si>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</si>
  <si>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</si>
  <si>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</si>
  <si>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</si>
  <si>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</si>
  <si>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</si>
  <si>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</si>
  <si>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</si>
  <si>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</si>
  <si>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</si>
  <si>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</si>
  <si>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</si>
  <si>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</si>
  <si>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</si>
  <si>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</si>
  <si>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</si>
  <si>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</si>
  <si>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</si>
  <si>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</si>
  <si>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</si>
  <si>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</si>
  <si>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</si>
  <si>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</si>
  <si>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</si>
  <si>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</si>
  <si>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</si>
  <si>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</si>
  <si>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</si>
  <si>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</si>
  <si>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</si>
  <si>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</si>
  <si>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</si>
  <si>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</si>
  <si>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</si>
  <si>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</si>
  <si>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</si>
  <si>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</si>
  <si>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</si>
  <si>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</si>
  <si>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</si>
  <si>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</si>
  <si>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</si>
  <si>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</si>
  <si>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</si>
  <si>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</si>
  <si>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</si>
  <si>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</si>
  <si>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</si>
  <si>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</si>
  <si>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</si>
  <si>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</si>
  <si>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</si>
  <si>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</si>
  <si>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</si>
  <si>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</si>
  <si>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</si>
  <si>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</si>
  <si>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</si>
  <si>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</si>
  <si>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</si>
  <si>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</si>
  <si>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</si>
  <si>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</si>
  <si>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</si>
  <si>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</si>
  <si>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</si>
  <si>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</si>
  <si>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</si>
  <si>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</si>
  <si>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</si>
  <si>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</si>
  <si>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</si>
  <si>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</si>
  <si>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</si>
  <si>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</si>
  <si>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</si>
  <si>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</si>
  <si>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</si>
  <si>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</si>
  <si>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</si>
  <si>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</si>
  <si>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</si>
  <si>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</si>
  <si>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</si>
  <si>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</si>
  <si>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</si>
  <si>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</si>
  <si>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</si>
  <si>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</si>
  <si>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</si>
  <si>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</si>
  <si>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</si>
  <si>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</si>
  <si>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</si>
  <si>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</si>
  <si>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</si>
  <si>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</si>
  <si>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</si>
  <si>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</si>
  <si>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</si>
  <si>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</si>
  <si>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</si>
  <si>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</si>
  <si>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</si>
  <si>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</si>
  <si>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</si>
  <si>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</si>
  <si>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</si>
  <si>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</si>
  <si>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</si>
  <si>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</si>
  <si>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</si>
  <si>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</si>
  <si>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</si>
  <si>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</si>
  <si>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</si>
  <si>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</si>
  <si>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</si>
  <si>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</si>
  <si>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</si>
  <si>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</si>
  <si>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</si>
  <si>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</si>
  <si>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</si>
  <si>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</si>
  <si>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</si>
  <si>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</si>
  <si>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</si>
  <si>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</si>
  <si>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</si>
  <si>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</si>
  <si>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</si>
  <si>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</si>
  <si>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</si>
  <si>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</si>
  <si>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</si>
  <si>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</si>
  <si>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</si>
  <si>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</si>
  <si>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</si>
  <si>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</si>
  <si>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</si>
  <si>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</si>
  <si>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</si>
  <si>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</si>
  <si>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</si>
  <si>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</si>
  <si>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</si>
  <si>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</si>
  <si>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</si>
  <si>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</si>
  <si>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</si>
  <si>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</si>
  <si>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</si>
  <si>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</si>
  <si>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</si>
  <si>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</si>
  <si>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</si>
  <si>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</si>
  <si>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</si>
  <si>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</si>
  <si>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</si>
  <si>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</si>
  <si>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</si>
  <si>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</si>
  <si>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</si>
  <si>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</si>
  <si>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</si>
  <si>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</si>
  <si>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</si>
  <si>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</si>
  <si>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</si>
  <si>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</si>
  <si>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</si>
  <si>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</si>
  <si>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</si>
  <si>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</si>
  <si>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</si>
  <si>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</si>
  <si>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</si>
  <si>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</si>
  <si>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</si>
  <si>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</si>
  <si>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</si>
  <si>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</si>
  <si>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</si>
  <si>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</si>
  <si>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</si>
  <si>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</si>
  <si>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</si>
  <si>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</si>
  <si>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</si>
  <si>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</si>
  <si>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</si>
  <si>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</si>
  <si>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</si>
  <si>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</si>
  <si>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</si>
  <si>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</si>
  <si>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</si>
  <si>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</si>
  <si>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</si>
  <si>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</si>
  <si>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</si>
  <si>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</si>
  <si>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</si>
  <si>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</si>
  <si>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</si>
  <si>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</si>
  <si>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</si>
  <si>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</si>
  <si>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</si>
  <si>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</si>
  <si>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</si>
  <si>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</si>
  <si>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</si>
  <si>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</si>
  <si>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</si>
  <si>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</si>
  <si>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</si>
  <si>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</si>
  <si>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</si>
  <si>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</si>
  <si>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</si>
  <si>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</si>
  <si>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</si>
  <si>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</si>
  <si>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</si>
  <si>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</si>
  <si>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</si>
  <si>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</si>
  <si>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</si>
  <si>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</si>
  <si>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</si>
  <si>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</si>
  <si>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</si>
  <si>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</si>
  <si>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</si>
  <si>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</si>
  <si>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</si>
  <si>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</si>
  <si>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</si>
  <si>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</si>
  <si>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</si>
  <si>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</si>
  <si>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</si>
  <si>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</si>
  <si>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</si>
  <si>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</si>
  <si>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</si>
  <si>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</si>
  <si>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</si>
  <si>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</si>
  <si>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</si>
  <si>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</si>
  <si>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</si>
  <si>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</si>
  <si>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</si>
  <si>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</si>
  <si>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</si>
  <si>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</si>
  <si>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</si>
  <si>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</si>
  <si>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</si>
  <si>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</si>
  <si>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</si>
  <si>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</si>
  <si>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</si>
  <si>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</si>
  <si>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</si>
  <si>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</si>
  <si>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</si>
  <si>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</si>
  <si>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</si>
  <si>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</si>
  <si>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</si>
  <si>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</si>
  <si>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</si>
  <si>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</si>
  <si>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</si>
  <si>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</si>
  <si>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</si>
  <si>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</si>
  <si>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</si>
  <si>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</si>
  <si>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</si>
  <si>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</si>
  <si>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</si>
  <si>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</si>
  <si>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</si>
  <si>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</si>
  <si>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</si>
  <si>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</si>
  <si>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</si>
  <si>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</si>
  <si>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</si>
  <si>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</si>
  <si>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</si>
  <si>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</si>
  <si>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</si>
  <si>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</si>
  <si>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</si>
  <si>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</si>
  <si>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</si>
  <si>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</si>
  <si>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</si>
  <si>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</si>
  <si>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</si>
  <si>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</si>
  <si>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</si>
  <si>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</si>
  <si>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</si>
  <si>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</si>
  <si>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</si>
  <si>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</si>
  <si>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</si>
  <si>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</si>
  <si>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</si>
  <si>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</si>
  <si>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</si>
  <si>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</si>
  <si>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</si>
  <si>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</si>
  <si>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</si>
  <si>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</si>
  <si>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</si>
  <si>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</si>
  <si>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</si>
  <si>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</si>
  <si>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</si>
  <si>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</si>
  <si>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</si>
  <si>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</si>
  <si>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</si>
  <si>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</si>
  <si>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</si>
  <si>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</si>
  <si>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</si>
  <si>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</si>
  <si>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</si>
  <si>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</si>
  <si>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</si>
  <si>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</si>
  <si>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</si>
  <si>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</si>
  <si>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</si>
  <si>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</si>
  <si>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</si>
  <si>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</si>
  <si>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</si>
  <si>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</si>
  <si>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</si>
  <si>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</si>
  <si>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</si>
  <si>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</si>
  <si>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</si>
  <si>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</si>
  <si>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</si>
  <si>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</si>
  <si>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</si>
  <si>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</si>
  <si>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</si>
  <si>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</si>
  <si>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</si>
  <si>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</si>
  <si>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</si>
  <si>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</si>
  <si>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</si>
  <si>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</si>
  <si>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</si>
  <si>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</si>
  <si>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</si>
  <si>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</si>
  <si>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</si>
  <si>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</si>
  <si>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</si>
  <si>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</si>
  <si>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</si>
  <si>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</si>
  <si>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</si>
  <si>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</si>
  <si>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</si>
  <si>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</si>
  <si>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</si>
  <si>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</si>
  <si>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</si>
  <si>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</si>
  <si>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</si>
  <si>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</si>
  <si>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</si>
  <si>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</si>
  <si>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</si>
  <si>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</si>
  <si>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</si>
  <si>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</si>
  <si>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</si>
  <si>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</si>
  <si>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</si>
  <si>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</si>
  <si>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</si>
  <si>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</si>
  <si>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</si>
  <si>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</si>
  <si>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</si>
  <si>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</si>
  <si>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</si>
  <si>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</si>
  <si>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</si>
  <si>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</si>
  <si>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</si>
  <si>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</si>
  <si>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</si>
  <si>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</si>
  <si>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</si>
  <si>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</si>
  <si>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</si>
  <si>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</si>
  <si>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</si>
  <si>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</si>
  <si>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</si>
  <si>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</si>
  <si>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</si>
  <si>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</si>
  <si>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</si>
  <si>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</si>
  <si>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</si>
  <si>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</si>
  <si>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</si>
  <si>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</si>
  <si>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</si>
  <si>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</si>
  <si>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</si>
  <si>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</si>
  <si>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</si>
  <si>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</si>
  <si>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</si>
  <si>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800</t>
  </si>
  <si>
    <t>801</t>
  </si>
  <si>
    <t>802</t>
  </si>
  <si>
    <t>803</t>
  </si>
  <si>
    <t>804</t>
  </si>
  <si>
    <t>805</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</si>
  <si>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</si>
  <si>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</si>
  <si>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</si>
  <si>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</si>
  <si>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</si>
  <si>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</si>
  <si>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</si>
  <si>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</si>
  <si>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</si>
  <si>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</si>
  <si>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</si>
  <si>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</si>
  <si>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</si>
  <si>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</si>
  <si>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</si>
  <si>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</si>
  <si>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</si>
  <si>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</si>
  <si>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</si>
  <si>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</si>
  <si>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</si>
  <si>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</si>
  <si>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</si>
  <si>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</si>
  <si>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</si>
  <si>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</si>
  <si>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</si>
  <si>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</si>
  <si>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</si>
  <si>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</si>
  <si>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</si>
  <si>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</si>
  <si>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</si>
  <si>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</si>
  <si>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</si>
  <si>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</si>
  <si>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</si>
  <si>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</si>
  <si>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</si>
  <si>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</si>
  <si>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</si>
  <si>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</si>
  <si>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</si>
  <si>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</si>
  <si>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</si>
  <si>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</si>
  <si>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</si>
  <si>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</si>
  <si>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</si>
  <si>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</si>
  <si>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</si>
  <si>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</si>
  <si>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</si>
  <si>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</si>
  <si>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</si>
  <si>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</si>
  <si>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</si>
  <si>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</si>
  <si>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</si>
  <si>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</si>
  <si>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</si>
  <si>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</si>
  <si>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</si>
  <si>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</si>
  <si>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</si>
  <si>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SHALL-NOT</t>
  </si>
  <si>
    <t>SHOULD-NOT</t>
  </si>
  <si>
    <t>key</t>
  </si>
  <si>
    <t>requirement</t>
  </si>
  <si>
    <t>conformance</t>
  </si>
  <si>
    <t>actor</t>
  </si>
  <si>
    <t>certifiers_only</t>
  </si>
  <si>
    <t>rel_url</t>
  </si>
  <si>
    <t>context</t>
  </si>
  <si>
    <t>A Server that certifies to the [21st Century Cures Act for accessing patient data](https://www.federalregister.gov/d/2020-07419/p-1177) **SHALL** implement all components in the USCDI [[USCDI link](https://www.healthit.gov/isp/united-states-core-data-interoperability-uscdi)]</t>
  </si>
  <si>
    <t>A Server that certifies to the [21st Century Cures Act for accessing patient data](https://www.federalregister.gov/d/2020-07419/p-1177) **SHALL** implement all components in the ... the US Core CapabilityStatement [[Definition](https://hl7.org/fhir/us/core/CapabilityStatement-us-core-Server.html)] .</t>
  </si>
  <si>
    <t>update_verb</t>
  </si>
  <si>
    <t>must to **SHALL**</t>
  </si>
  <si>
    <t>**MAY** to may</t>
  </si>
  <si>
    <t>**SHOULD** to should</t>
  </si>
  <si>
    <t>*strongly encouraged* to **SHOULD**</t>
  </si>
  <si>
    <t>is expected to **SHALL**</t>
  </si>
  <si>
    <t>https://hl7.org/fhir/us/core/STU8/must-support.html#must-support-el+D647ements</t>
  </si>
  <si>
    <t>https://hl7.org/fhir/us/core/STU8/must-support.html#must-support---primitive-elements</t>
  </si>
  <si>
    <t>If [an element is] ... marked as *Additional USCDI*, then the Certifying System **SHALL** be capable of providing the element value to meet the *Additional USCDI* requirement.</t>
  </si>
  <si>
    <t>"is represented in the structure" to  "is present in an instance"</t>
  </si>
  <si>
    <t>[For any complex element marked as *Additional USCDI*]. If any sub-element is marked as *Additional USCDI*, [the Certifying System **SHALL**] ... meet the *Additional USCDI* requirements and satisfy the *Additional USCDI* requirements for the parent element.</t>
  </si>
  <si>
    <t>For any complex element marked as *Additional USCDI*, the Certifying System **SHALL** be capable of providing at least one of the sub-element values</t>
  </si>
  <si>
    <t>Remove "The [U.S. Core Data for Interoperability (USCDI)] may require additional elements such as `Patient.suffix` Add somewhere else a note that USCDI may update its requirements retroactively…</t>
  </si>
  <si>
    <t>"In certain profiles, only specific resource references are labeled as Must Support". To "When a Reference type element is labeled as *Must Support* and has a single target profile referenced,"</t>
  </si>
  <si>
    <t>When a Reference type element is labeled as *Must Support* and has a single target profile referenced, the target profile **SHALL** be supported.</t>
  </si>
  <si>
    <t>When a Reference type element is labeled as *Additional USCDI* and has a single target profile referenced, the target profile **SHALL** be supported for Certifying Systems.</t>
  </si>
  <si>
    <t>When a Reference type element is labeled as *Must Support*, has multiple target profiles referenced, and specific targets are labeled as *Must Support*, the *Must Support* target profile(s) **SHALL** be supported.</t>
  </si>
  <si>
    <t>When a Reference type element labeled as *Additional USCDI*, has multiple target profiles referenced, and specific targets are labeled as *Must Support*, the *Must Support* target profile(s) **SHALL** be supported by Certifying Systems</t>
  </si>
  <si>
    <t>"When a Reference type element is labeled as *Must Support*, has multiple target profiles referenced, and specific targets are labeled as *Must Support*,"to " When a Reference type element is labeled as *Must Support*, has multiple target profiles referenced, and specific targets are labeled as *Must Support*,"</t>
  </si>
  <si>
    <t>When a Reference element is labeled as *Additional USCDI* has multiple target profiles referenced, but none are labeled as *Must Support*, *at least one* target profile **SHALL** be supported by Certifying Systems.</t>
  </si>
  <si>
    <t>When a Reference element is labeled as *Must Support* has multiple target profiles referenced, but none are labeled as *Must Support*
...
- US Core Requesters **SHALL** be capable of processing  [such an element]  with a valid reference to *at least one* target profile.</t>
  </si>
  <si>
    <t>When a Reference element is labeled as *Must Support* has multiple target profiles referenced, but none are labeled as *Must Support*
...
- US Core Responders **SHALL** be capable of providing [such an element] with a valid reference to *at least one* target profile.</t>
  </si>
  <si>
    <t>[If a profile has] a Must Support element [with] a choice of datatypes for its content [and some of] the datatypes … are labeled as Must Support
… When claiming conformance to [such a] profile:
- US Core Responders **SHALL** be capable of populating [the Must Support  data type choice]</t>
  </si>
  <si>
    <t>[If a profile has] a Must Support element [with] a choice of datatypes for its content [and some of] the datatypes … are labeled as Must Support
… When claiming conformance to [such a] profile:
- US Core Requestors **SHALL** be capable of processing [the Must Support data type choice]</t>
  </si>
  <si>
    <t>If an *Additional USCDI* element has a choice of datatypes for its content, the datatypes the Certifying System **SHALL** support are labeled as *Must Support*.</t>
  </si>
  <si>
    <t>**MAY** to can</t>
  </si>
  <si>
    <t>**MAY** to may?</t>
  </si>
  <si>
    <t>changed to Client</t>
  </si>
  <si>
    <t>change "need" to "**MAY**?</t>
  </si>
  <si>
    <t>change "Implementations meeting US EHR certification requirements must" to "Certifying Systems **SHALL**"</t>
  </si>
  <si>
    <t>should to **SHOULD**</t>
  </si>
  <si>
    <r>
      <t>**SHOULD**</t>
    </r>
    <r>
      <rPr>
        <sz val="12"/>
        <color rgb="FF3B3B3B"/>
        <rFont val="Menlo"/>
        <family val="2"/>
      </rPr>
      <t xml:space="preserve"> not</t>
    </r>
    <r>
      <rPr>
        <b/>
        <sz val="12"/>
        <color rgb="FF000080"/>
        <rFont val="Menlo"/>
        <family val="2"/>
      </rPr>
      <t xml:space="preserve"> to **SHOULD NOT**</t>
    </r>
  </si>
  <si>
    <t>**SHOULD** not to **SHOULD NOT**</t>
  </si>
  <si>
    <t>MAY to **MAY**</t>
  </si>
  <si>
    <t>https://hl7.org/fhir/us/core/STU8/general-guidance.html#client-best-practices-for-search</t>
  </si>
  <si>
    <t>may to **MAY**</t>
  </si>
  <si>
    <t>"This guide requires systems to implement" to "Systems **SHALL** use the"</t>
  </si>
  <si>
    <t>will to **SHALL**</t>
  </si>
  <si>
    <t>Servers that support DiagnosticReport will include the clinical note narrative content in  `DiagnosticReport.presentedForm`</t>
  </si>
  <si>
    <t>can to **MAY**</t>
  </si>
  <si>
    <t>https://hl7.org/fhir/us/core/STU8/clinical-notes.html#using-expand</t>
  </si>
  <si>
    <t>conditionality</t>
  </si>
  <si>
    <t>are permitted  to can or **MAY**</t>
  </si>
  <si>
    <t>**MUST** to **SHALL** FHIR-54218</t>
  </si>
  <si>
    <t>An agent.type=”assembler”, agent.type=”transmitter”, or other agents from [Provenance Agent Type](https://hl7.org/fhir/us/core/STU8/ValueSet-us-core-provenance-participant-type.html) value set **MAY** also be included.</t>
  </si>
  <si>
    <t>https://hl7.org/fhir/us/core/STU8/basic-provenance.html#individual-level-provenance</t>
  </si>
  <si>
    <t>The author is communicated by the elements and the author's role by the referenced target resource (for example, Patient, Practitioner/PractitionerRole, RelatedPerson, Device). Details about the author's role are contained in the target resource's contents. Many of these elements are labeled Must Support or Additional USCDI Requirements. However,[even if they are not   labeled Must Support or Additional USCDI Requirements] all of these elements and target resources **SHOULD** be supported in the profiles if the system captures the data.</t>
  </si>
  <si>
    <t>implementers [of US Core's framework of Screening and Assessments] **SHOULD** consider more constrained, domain-specific profiles derived from the US Core Profiles to meet the needs of their respective use cases.</t>
  </si>
  <si>
    <t>Every Server that supports the USDCI Data Class “Health Status/Assessments”:
**SHALL** support representing clinical judgments using [US Core Condition Problems and Health Concerns Profile](https://hl7.org/fhir/us/core/STU8/StructureDefinition-us-core-condition-problems-health-concerns.html) or [US Core Simple Observation Profile](https://hl7.org/fhir/us/core/STU8/StructureDefinition-us-core-simple-observation.html).</t>
  </si>
  <si>
    <t>must to **SHOULD**</t>
  </si>
  <si>
    <t>SHALL to DEPRECATED</t>
  </si>
  <si>
    <t>SHALL To DEPRECATED</t>
  </si>
  <si>
    <t>"A Server may support Version DSTU2 and Argonaut Data Query or FHIR R4 and US Core ver 3.1.1+ or both.  A Server may make explicit ...". To  "In practice, a server may support Argonaut Data Query in FHIR DSTU2, and one or more versions of US Core in FHIR R4. Sometimes, the Server explicitly names the version of Argo/US Core on its FHIR endpoint (e.g., a "DSTU2" or "R4" path component, or separate files based on version)."</t>
  </si>
  <si>
    <t>https://hl7.org/fhir/us/core/STU8/changes-between-versions.html#expectation-that-data-is-preserved-between-versions</t>
  </si>
  <si>
    <t>To allow Clients to use a single authorization token when accessing resources from multiple version-specific endpoints, Servers **SHOULD** use the same base authorization endpoint across versions.</t>
  </si>
  <si>
    <t>[C]lient application[s conforming to the US Core CareTeam profile] **SHALL** support [US Core Practitioner Profile]</t>
  </si>
  <si>
    <t>[Certifying systems](https://www.healthit.gov/topic/certification-ehrs/about-onc-health-it-certification-program) [, those that are participating in the ONC Health IT certification program,] **SHALL**... follow the [Project US@ Technical Specification for Patient Addresses Final Version 1.0](https://asapnet.org/wp-content/uploads/2022/03/Project_US_FINAL_Technical_Specification_Version_1.0.pdf) as the standard style guide for Patient.address.line and Patient.address.city for new and updated records.</t>
  </si>
  <si>
    <t>[When using the US Core Practioner Profile] Practitioner.address … **SHALL**[be supported] if … [the Server does] not support the US Core PractitionerRole Profile</t>
  </si>
  <si>
    <t>US Core Server **SHALL**… Implement the RESTful behavior according to the FHIR specification.</t>
  </si>
  <si>
    <t>US Core Server **SHALL**… return the following response class (Status 400) [for] invalid parameters</t>
  </si>
  <si>
    <t>US Core Server **SHALL**… return the following response class (Status 401/4xx) [for] unauthorized request</t>
  </si>
  <si>
    <t>US Core Server **SHALL**… return the following response class (Status 403) [for] insufficient scopes</t>
  </si>
  <si>
    <t>US Core Server **SHALL**… return the following response class (Status 404) [for] unknown resource</t>
  </si>
  <si>
    <t>US Core Server **SHALL**… support JSON source formats for all US Core interactions.</t>
  </si>
  <si>
    <t>Implementers **SHOULD** review the “Key Elements Tab” on the US Core profile pages.</t>
  </si>
  <si>
    <t>At least one of the following SMART on FHIR Capability Sets **SHOULD** be supported for US Core Servers that support User-Facing Applications ...
[Patient Access Standalone Apps](http://hl7.org/fhir/smart-app-launch/STU2/conformance.html#patient-access-for-standalone-apps)
[Clinician Access for EHR Launch](http://hl7.org/fhir/smart-app-launch/STU2/conformance.html#clinician-access-for-standalone)</t>
  </si>
  <si>
    <t>For “User-Facing Applications”, a system’s support for patient-level (patient) or user-level (user) scopes depends on its published list of SMART on FHIR capabilities (see the [capability sets](https://hl7.org/fhir/us/core/STU8/scopes.html#capability-sets) above). For example, if a Server lists permission-patient and permission-user in its capabilities, it ... **SHOULD** support both patient-level and user-level recommended best-practice scopes</t>
  </si>
  <si>
    <t>For “Backend-Services”, System-level scopes (system) describe data that a Client system is directly authorized to access. Systems that support system-level (system) scopes **SHOULD** support the recommended US Core scopes</t>
  </si>
  <si>
    <t>US Core requires ... additional metadata [to be available through the Server's [Well-Known Uniform Resource Identifier (URI)](https://hl7.org/fhir/smart-app-launch/STU2/conformance.html#using-well-known)]: ... [in] `scopes_supported` [the] array of scopes a Client may request. The app **SHOULD** inspect the returned scopes and accommodate the differences from the scopes it asked for and registered.</t>
  </si>
  <si>
    <t>Therefore, a [reference](http://hl7.org/fhir/R4/references.html) to a US Core resource **SHOULD** include a logical id (Reference.reference), not an identifier (Reference.identifier).</t>
  </si>
  <si>
    <t>For all references, US Core Responders **SHOULD** return resources that conform to a US Core profile if a US Core profile exists for the resource type.</t>
  </si>
  <si>
    <t>When responding to a query, Servers **SHOULD** not use inline [contained](http://hl7.org/fhir/R4/references.html#contained) resources to represent the returned data.</t>
  </si>
  <si>
    <t>[I]f referencing a contained resource in a US Core Profile, the contained resource **SHOULD** be a US Core Profile if a US Core Profile exists for the resource type.</t>
  </si>
  <si>
    <t>[M]asking data [where a specific piece of data is hidden for security and privacy reasons] **SHOULD** be handled based on implemented policies.</t>
  </si>
  <si>
    <t>[When masking data] elements with a minimum cardinality = 0 (including elements labeled Must Support) [for security and privacy reasons], the element **SHOULD** be omitted from the resource.</t>
  </si>
  <si>
    <t>[To enable] terminology Servers to be able to validate US Edition-only codes [of [SNOMED CT](http://snomed.info/sct)], implementers **SHOULD** provide the accompanying system URI to describe the edition [see example 2 on [US Core general guidance](https://hl7.org/fhir/us/core/STU8/general-guidance.html#snomed-ct-united-states-edition)]</t>
  </si>
  <si>
    <t>[If a] US Core Profiles binds the Quantity.code element in the Quantity datatype to the [UCUM](http://unitsofmeasure.org/) code system, [when] UCUM code [is] provided [it **SHOULD** be indicated in the Quantity.unit and Quantity.code elements with Quantity.system = "http://unitsofmeasure.org"]</t>
  </si>
  <si>
    <t>A FHIR Server **SHOULD** not delete records.</t>
  </si>
  <si>
    <t>A FHIR Server **SHOULD** update the appropriate resource status to entered-in-error or inactive [when requested to delete records]</t>
  </si>
  <si>
    <t>If a system supports the deletion of records, they **SHOULD** refer to the [Deletion Safety Checks](http://hl7.org/fhir/R4/safety.html#conformance) in the FHIR specification.</t>
  </si>
  <si>
    <t>A FHIR Server **SHOULD** allow these resources [those entered in error] to be searchable by Client applications.</t>
  </si>
  <si>
    <t>If the FHIR Server has updated the resource status to entered-in-error:
For patient facing applications, A FHIR Server **SHOULD** remove the resource’s contents, leaving only an id and status. Note that this typically will not conform to the US Core or FHIR StructureDefinitions.</t>
  </si>
  <si>
    <t>the data provider **SHOULD** do their best to translate (safely) to the requested language [when accessing records in a native or requested language]</t>
  </si>
  <si>
    <t>[When Clients request a resource in a specific language] Servers **SHOULD** make reasonable efforts to translate what can be safely translated.</t>
  </si>
  <si>
    <t xml:space="preserve">[When Clients request a resource in a specific language] Servers **SHOULD** populate the Resource’s language element with a code based on the underlying language of record, not the requested language.
</t>
  </si>
  <si>
    <t>[When Clients request a resource in a specific language] Servers **SHOULD** … [use] the [Human Language](http://hl7.org/fhir/R4/extension-language.html) Extension when the language of a display, etc, is known to differ from the stated (or inferred) language.</t>
  </si>
  <si>
    <t>[When Clients request a resource in a specific language] [Servers **SHOULD** use] the [Translation](http://hl7.org/fhir/R4/extension-translation.html) Extension when the Server provides additional translations by its own choice or in response to a different Accept-Language than what the resource is stored in.</t>
  </si>
  <si>
    <t>[When Clients request a resource in a specific language] Servers **SHOULD** make it known what languages are supported in their CapabilityStatement(s) using this extension:
http://hl7.org/fhir/5.0/StructureDefinition/extension-CapablilityStatement.acceptLanguage [[definition](https://hl7.org/fhir/R5/capabilitystatement-definitions.html#CapabilityStatement.acceptLanguage)]</t>
  </si>
  <si>
    <t>Servers **SHOULD** support the [_lastUpdated](http://hl7.org/fhir/R4/search.html#lastUpdated) search parameter for US Core Profiles</t>
  </si>
  <si>
    <t>Servers ... **SHOULD** populate [Resource.meta.lastUpdated](http://hl7.org/fhir/R4/resource.html#Meta) for US Core Profiles as accurately as possible.</t>
  </si>
  <si>
    <t xml:space="preserve">The following **SHOULD** be exposed via DiagnosticReport: Imaging Narrative
</t>
  </si>
  <si>
    <t xml:space="preserve">The following **SHOULD** be exposed via DiagnosticReport: Laboratory Report Narrative
</t>
  </si>
  <si>
    <t xml:space="preserve">The following **SHOULD** be exposed via DiagnosticReport: Pathology Report Narrative
</t>
  </si>
  <si>
    <t>The following **SHOULD** be exposed via DiagnosticReport: Procedure Note</t>
  </si>
  <si>
    <t>FHIR Server claiming support to this guide **SHOULD** support the $expand operation [[operation link](http://hl7.org/fhir/R4/valueset-operation-expand.html) to provide information to Clients requesting information on the note and report types the Server supports]</t>
  </si>
  <si>
    <t>To provide a list of a patient’s medications, it may be necessary to “de-duplicate” them. The de-duplication activity ... **SHOULD** be provided by the Client.</t>
  </si>
  <si>
    <t xml:space="preserve">The USCDI Health Assessments Data Elements category codes ... **SHOULD** be used when generating resources that conform to these profiles:
US Core Simple Observation Profile
</t>
  </si>
  <si>
    <t>The USCDI Health Assessments Data Elements category codes ... **SHOULD** be used when generating resources that conform to these profiles:
US Core Observation Screening Assessment Profile</t>
  </si>
  <si>
    <t>The USCDI Health Assessments Data Elements category codes ... **SHOULD** be used when generating resources that conform to these profiles:
US Core Condition Problems and Health Concerns Profile</t>
  </si>
  <si>
    <t xml:space="preserve">The USCDI Health Assessments Data Elements category codes ... **SHOULD** be used when generating resources that conform to these profiles:
US Core ServiceRequest Profile
</t>
  </si>
  <si>
    <t>Implementers **SHOULD** treat these [USCDI Health Status Assessments Data Element] value sets as having an [extensible](http://hl7.org/fhir/R4/terminologies.html#extensible) binding.</t>
  </si>
  <si>
    <t>when recording SDOH data [with] US Core Profiles, Servers **SHOULD** use … [Social Determinants of Health Conditions Value Set](https://vsac.nlm.nih.gov/valueset/2.16.840.1.113762.1.4.1196.788/expansion), [Social Determinants of Health Procedures Value Set](https://vsac.nlm.nih.gov/valueset/2.16.840.1.113762.1.4.1196.789/expansion), [Social Determinants of Health Goals Value Set](https://vsac.nlm.nih.gov/valueset/2.16.840.1.113762.1.4.1247.71/expansion), [and] [Social Determinants of Health Service Requests Value Set](https://vsac.nlm.nih.gov/valueset/2.16.840.1.113762.1.4.1196.790/expansion)</t>
  </si>
  <si>
    <t>Servers **SHOULD** maintain a stable common identifier for a resource across [FHIR] versions.</t>
  </si>
  <si>
    <t>In an upgraded R4 endpoint, any data in FHIR DSTU2 **SHOULD** be in FHIR R4.</t>
  </si>
  <si>
    <t>The FHIR RESTful resource types supported in a DSTU2 implementation **SHOULD** be supported in a R4 implementation</t>
  </si>
  <si>
    <t>The FHIR RESTful resource types supported in a DSTU2 implementation **SHOULD** be supported in a R4 implementation [with the] exception [of]
MedicationStatement may be deprecated, and the data **SHOULD** be mapped to MedicationRequest.</t>
  </si>
  <si>
    <t>The FHIR RESTful resource types supported in a DSTU2 implementation **SHOULD** be supported in a R4 implementation [with the] exception [of]
Care teams as represented by CarePlan in DSTU2 **SHOULD** be replaced by and the data mapped to CareTeam in R4</t>
  </si>
  <si>
    <t>Servers **SHOULD** make available the same information in DSTU2 and R4 where the more recent standard allows.</t>
  </si>
  <si>
    <t>Servers **SHOULD** make available the same information in DSTU2 and R4 where the more recent standard allows … [with the] exception [of]
MedicationStatement data [should be] mapped to MedicationRequest</t>
  </si>
  <si>
    <t>Servers **SHOULD** make available the same information in DSTU2 and R4 where the more recent standard allows … [with the] exception [of]
care teams, as represented by CarePlan, **SHOULD** be mapped to CareTeam in R4</t>
  </si>
  <si>
    <t>Data **SHOULD** be maintained between [FHIR] versions (i.e., not be degraded).</t>
  </si>
  <si>
    <t>When updating between versions, Clients **SHOULD** consider the impact of any changes to data visualization on the usability for the end user and the maintenance of data integrity.</t>
  </si>
  <si>
    <t>Considerations for systems aligning with [HL7 Consolidated (C-CDA)](http://www.hl7.org/implement/standards/product_brief.cfm?product_id=492) Care Plan requirements: US Core Goal **SHOULD** be present in CarePlan.goal</t>
  </si>
  <si>
    <t>Considerations for systems aligning with [HL7 Consolidated (C-CDA)] (http://www.hl7.org/implement/standards/product_brief.cfm?product_id=492) Care Plan requirements: ... US Core Condition **SHOULD** be present in CarePlan.addresses</t>
  </si>
  <si>
    <t>[When conforming to the US Core CareTeam profile] Because the US Core PractitionerRole Profile supplies the provider’s location and contact information and a reference to the Practitioner, Server systems [conforming to the US Core CareTeam profile] **SHOULD** reference it instead of the US Core Practitioner Profile [when conforming to the US Core CareTeam profile] .</t>
  </si>
  <si>
    <t>For Problems and Health Concerns [records, systems **SHOULD**] use the [US Core Condition Problems and Health Concerns Profile](https://hl7.org/fhir/us/core/STU8/StructureDefinition-us-core-condition-problems-health-concerns.html).</t>
  </si>
  <si>
    <t>USCDI’s applicable vocabulary standards for Encounter Diagnosis are SNOMED CT and ICD-10-CM. The US Core Condition Codes only supports ICD-9-CM for historical purposes. When using ICD codes, only non-header ICD-10-CM codes **SHOULD** be used as the primary code for current encounter diagnoses.</t>
  </si>
  <si>
    <t>[A US Core Condition Encounter Diagnosis] encounter **SHOULD** always be referenced in Condition.encounter.</t>
  </si>
  <si>
    <t>For Encounter Diagnosis [records, systems **SHOULD**] use the [US Core Condition Encounter Diagnosis Profile](https://hl7.org/fhir/us/core/STU8/StructureDefinition-us-core-condition-encounter-diagnosis.html).</t>
  </si>
  <si>
    <t>If the category is "problem-list-item", Condition.clinicalStatus **SHOULD** be present.</t>
  </si>
  <si>
    <t xml:space="preserve">Updates to .meta.lastUpdated **SHOULD** reflect: New problems and health concerns </t>
  </si>
  <si>
    <t>If UDI is not present and the manufacturer … is available, … [it] **SHOULD** be included to support historical reports of implantable medical devices [where] manufacturer [is sent in] Device.manufacturer</t>
  </si>
  <si>
    <t>If UDI is not present and the ... model number information is available, … [it] **SHOULD** be included to support historical reports of implantable medical devices [where] model [is sent in] Device.model</t>
  </si>
  <si>
    <t xml:space="preserve">Updates to .meta.lastUpdated **SHOULD** reflect New laboratory reports. </t>
  </si>
  <si>
    <t>Updates to .meta.lastUpdated **SHOULD** reflect changes in the status of laboratory reports, including events that trigger the same status (e.g., amended → amended).</t>
  </si>
  <si>
    <t>For Diagnostic Imaging Reports systems **SHOULD** support using the subset of LOINC codes defined in CONF-DIR-19 in HL7 Implementation Guide for CDA Release 2: Imaging Integration, Levels 1, 2, and 3, Basic Imaging Reports in CDA and DICOM Diagnostic Imaging Reports (DIR) - Universal Realm, Release 1.0.</t>
  </si>
  <si>
    <t>If Encounter.reasonReference references an Observation, it **SHOULD** conform to a US Core Observation [profile applicable to the observation being made]</t>
  </si>
  <si>
    <t>If the event facility/location differs from the Encounter.location, systems **SHOULD** reference it directly</t>
  </si>
  <si>
    <t>Updates to .meta.lastUpdated **SHOULD** reflect New encounters/visits</t>
  </si>
  <si>
    <t>Updates to .meta.lastUpdated **SHOULD** reflect changes in the status of encounters, including events that trigger the same status (e.g., in-progress → in-progress).</t>
  </si>
  <si>
    <t>[NDC vaccine codes](http://www2a.cdc.gov/vaccines/iis/iisstandards/ndc_crosswalk.asp) **SHOULD** be supported as an additional code [of [CVX Vaccine Codes](https://www2a.cdc.gov/vaccines/iis/iisstandards/ndc_crosswalk.asp)]</t>
  </si>
  <si>
    <t>Systems **SHOULD** follow the [Project US@ Technical Specification for Patient Addresses Final Version 1.0](https://asapnet.org/wp-content/uploads/2022/03/Project_US_FINAL_Technical_Specification_Version_1.0.pdf) as the standard style guide for Location.address.line</t>
  </si>
  <si>
    <t>Systems **SHOULD** follow the [Project US@ Technical Specification for Patient Addresses Final Version 1.0](https://asapnet.org/wp-content/uploads/2022/03/Project_US_FINAL_Technical_Specification_Version_1.0.pdf) as the standard style guide for Location.address.city</t>
  </si>
  <si>
    <t>When recording “self-prescribed” medication, requester **SHOULD** be used to indicate the Patient or RelatedPerson as the prescriber</t>
  </si>
  <si>
    <t>[For organizations participating in the ONC Health IT Certification program,] the referenced resources **SHOULD** be a US Core Profile as documented in [Referencing US Core Profiles](https://hl7.org/fhir/us/core/STU8/general-guidance.html#referencing-us-core-profiles).</t>
  </si>
  <si>
    <t>Source EHR identifiers **SHOULD** be included to support deduplication across MedicationRequest resources.</t>
  </si>
  <si>
    <t>[For an Observation a] code system value **SHOULD** be supplied for each additional code</t>
  </si>
  <si>
    <t>The context or precondition of a patient’s [care experience] preference **SHOULD** be supplied in the Observation.valueString or in an extension</t>
  </si>
  <si>
    <t>Servers **SHOULD** use the base FHIR [Observation Category Codes] (http://hl7.org/fhir/R4/valueset-observation-category.html) [in Observation.category]</t>
  </si>
  <si>
    <t>Systems **SHOULD** support Observation.effectivePeriod to accurately represent measurements over time</t>
  </si>
  <si>
    <t>[When sending US Core Laboratory Results Observation Profile] updates to .meta.lastUpdated **SHOULD** reflect new laboratory observations</t>
  </si>
  <si>
    <t>[When sending US Core Laboratory Results Observation Profile] updates to .meta.lastUpdated **SHOULD** reflect changes in the status of laboratory observations, including events that trigger the same status (e.g., amended → amended)</t>
  </si>
  <si>
    <t>[For] multi-question surveys or assessments Observation.code is an overarching assessment or screening code, and the Observation.value element **SHOULD** be empty</t>
  </si>
  <si>
    <t>Observations formally part of an assessment tool or survey **SHOULD** use the [US Core Observation Screening Assessment Profile](https://hl7.org/fhir/us/core/STU8/StructureDefinition-us-core-observation-screening-assessment.html).</t>
  </si>
  <si>
    <t>An assertion or determination derived from screening and assessment tools **SHOULD** reference them using Observation.derivedFrom</t>
  </si>
  <si>
    <t>When using `Observation.derivedFrom’ to reference an Observation, the referenced Observation **SHOULD** be a US Core Observation</t>
  </si>
  <si>
    <t>[When using US Core Treatment Intervention Preference Profile] the context or precondition of a patient’s preference **SHOULD** be supplied in the Observation.valueString ... or an extension</t>
  </si>
  <si>
    <t>Information about the growth chart tables used to determine percentiles **SHOULD** be supplied in Observation.note.text</t>
  </si>
  <si>
    <t>[In the US Core Blood Pressure Profile] because the blood pressure values are communicated in the mandatory systolic and diastolic components[,] the Observation.value[x] element **SHOULD** be omitted</t>
  </si>
  <si>
    <t>Many pulse oximetry readings are taken while the patient is breathing room air. The concept of “room air” (unmodified, ambient air) **SHOULD** be represented as an inhaled oxygen flow rate of 0 liters/min</t>
  </si>
  <si>
    <t>A pulse oximetry reading without inspired oxygen component observations may imply that the measurement was performed while the patient was breathing room air or that the inspired oxygen reading was omitted. To remove this uncertainty, the inspired oxygen [component](http://hl7.org/fhir/R4/observation.html#gr-comp) observations **SHOULD** be used [when using the US Core Pulse Oximetry profile.]</t>
  </si>
  <si>
    <t>Systems … **SHOULD** the National Association of Insurance Commissioners NAIC Company code (sometimes called “NAIC Number” or “cocode”) for payers.</t>
  </si>
  <si>
    <t>Systems … **SHOULD** support Clinical Laboratory Improvement Amendments (CLIA) for laboratories</t>
  </si>
  <si>
    <t>Systems **SHOULD** follow the [Project US@ Technical Specification for Patient Addresses Final Version 1.0](https://asapnet.org/wp-content/uploads/2022/03/Project_US_FINAL_Technical_Specification_Version_1.0.pdf) as the standard style guide for Organization.address.line and Organization.address.city</t>
  </si>
  <si>
    <t>Non-certifying systems[, systems that are not participating in the ONC Health IT certification program,] **SHOULD** follow the [Project US@ Technical Specification for Patient Addresses Final Version 1.0](https://asapnet.org/wp-content/uploads/2022/03/Project_US_FINAL_Technical_Specification_Version_1.0.pdf) as the standard style guide for Patient.address.line and Patient.address.city for new and updated records.</t>
  </si>
  <si>
    <t>Only professional/work contact information about the practitioner **SHOULD** be available to the patient</t>
  </si>
  <si>
    <t>Systems **SHOULD** follow the [Project US@ Technical Specification for Patient Addresses Final Version 1.0](https://asapnet.org/wp-content/uploads/2022/03/Project_US_FINAL_Technical_Specification_Version_1.0.pdf) as the standard style guide for Practitioner.address.line and Practitioner.address.city.</t>
  </si>
  <si>
    <t>[If using LOINC codes in procedure.code] only LOINC concepts that reflect actual procedures **SHOULD** be used</t>
  </si>
  <si>
    <t>[For organizations participating in the ONC Health IT Certification program,] when using Procedure.reasonReference …The referenced resources **SHOULD** be a US Core Profile as documented in [Referencing US Core Profiles](https://hl7.org/fhir/us/core/STU8/general-guidance.html#referencing-us-core-profiles)</t>
  </si>
  <si>
    <t>Systems that need to know the activity has occurred **SHOULD** populate the activity [Provenance.activity]</t>
  </si>
  <si>
    <t>Systems **SHOULD** follow the [Project US@ Technical Specification for Patient Addresses Final Version 1.0](https://asapnet.org/wp-content/uploads/2022/03/Project_US_FINAL_Technical_Specification_Version_1.0.pdf) as the standard style guide for RelatedPerson.address.line and RelatedPerson.address.city</t>
  </si>
  <si>
    <t>The ServiceRequest.code value ... **SHOULD** be constrained to a subset for a particular use case or domain</t>
  </si>
  <si>
    <t>[For organizations participating in the ONC Health IT Certification program,] when using ServiceRequest.reasonReference …The referenced resources **SHOULD** be a US Core Profile as documented in [Referencing US Core Profiles](https://hl7.org/fhir/us/core/STU8/general-guidance.html#referencing-us-core-profiles)</t>
  </si>
  <si>
    <t>[Clients] **SHOULD** Support the Following Implementation Guide [SMART App Launch version 2.0.0 and later](http://hl7.org/fhir/smart-app-launch/history.html)</t>
  </si>
  <si>
    <t>[Servers] **SHOULD** Support the ...
[SMART App Launch version 2.0.0 and later](http://hl7.org/fhir/smart-app-launch/history.html)</t>
  </si>
  <si>
    <t>US Core Server **SHOULD** … support XML source formats for all US Core interactions.</t>
  </si>
  <si>
    <t>US Core Server **SHOULD** … identify the US Core profiles supported as part of the FHIR meta.profile attribute for each instance.</t>
  </si>
  <si>
    <t>[US Core Servers] **SHOULD** support [$expand](http://hl7.org/fhir/OperationDefinition/ValueSet-expand) operation</t>
  </si>
  <si>
    <t>If a Server supports DocumentReference for creating, using, and sharing clinical notes, it **SHOULD** also support the context and contextdirection parameters of the $expand operation</t>
  </si>
  <si>
    <t>US Federal systems **SHOULD** conform with the risk management and mitigation requirements defined in NIST 800 series documents.</t>
  </si>
  <si>
    <t>US Federal systems … **SHOULD** include security category assignment following NIST 800-60 vol. 2 Appendix D.14.</t>
  </si>
  <si>
    <t>The coordination of risk management and the related security and privacy controls … **SHOULD** be defined in the Business Associate Agreement when available.</t>
  </si>
  <si>
    <t>The selected time service **SHOULD** be documented in the Business Associate Agreement when available.</t>
  </si>
  <si>
    <t>US Federal systems **SHOULD** conform with FIPS PUB 140-2.</t>
  </si>
  <si>
    <t>The Business Associate Agreements **SHOULD** document systems’ mutual consent requirements.</t>
  </si>
  <si>
    <t>Systems **SHOULD** provide Provenance statements using the [US Core Provenance Profile](https://hl7.org/fhir/us/core/STU8/StructureDefinition-us-core-provenance.html) resource and associated requirements.</t>
  </si>
  <si>
    <t>For the US Core ServiceRequest Profile, Servers **SHOULD** support all the [[listed](https://hl7.org/fhir/us/core/STU8/screening-and-assessments.html#category-codes)] category codes.</t>
  </si>
  <si>
    <t>[For US Core Laboratory Result Observation Profile, the] type of specimen [in `Observation.specimen`] **SHOULD** not conflict with the LOINC code [in `Observation.code`].</t>
  </si>
  <si>
    <t>[For the US Core Observation Screening Assessment Profile,] when using Observation.derivedFrom to reference an Observation, the referenced Observation **SHOULD** be a US Core Observation.</t>
  </si>
  <si>
    <t>[In the [US Core ServiceRequest Profile](https://hl7.org/fhir/us/core/STU8/StructureDefinition-us-core-servicerequest.html), for] the USCDI Laboratory Order, ... implementers **SHOULD** use the corresponding category codes listed ... below:
- [108252007 Laboratory procedure (procedure)](https://browser.ihtsdotools.org/?perspective=full&amp;conceptId1=108252007&amp;edition=MAIN/2024-10-01&amp;release=&amp;languages=en&amp;latestRedirect=false)</t>
  </si>
  <si>
    <t>[In the [US Core ServiceRequest Profile](https://hl7.org/fhir/us/core/STU8/StructureDefinition-us-core-servicerequest.html), for] the USCDI ... Clinical Test Order, ... implementers **SHOULD** use the corresponding category codes listed ... below:
- [386053000 Evaluation procedure (procedure)](https://browser.ihtsdotools.org/?perspective=full&amp;conceptId1=386053000&amp;edition=MAIN/2024-10-01&amp;release=&amp;languages=en&amp;latestRedirect=false)
- [410606002 Social service procedure (procedure)](https://browser.ihtsdotools.org/?perspective=full&amp;conceptId1=410606002&amp;edition=MAIN/2024-10-01&amp;release=&amp;languages=en&amp;latestRedirect=false)
- [387713003 Surgical procedure (procedure)](https://browser.ihtsdotools.org/?perspective=full&amp;conceptId1=387713003&amp;edition=MAIN/2024-10-01&amp;release=&amp;languages=en&amp;latestRedirect=false)</t>
  </si>
  <si>
    <t>[In the [US Core ServiceRequest Profile](https://hl7.org/fhir/us/core/STU8/StructureDefinition-us-core-servicerequest.html), for] the USCDI ... Imaging Order, ... implementers **SHOULD** use the corresponding category codes listed ... below:
- [363679005 Imaging (procedure)](https://browser.ihtsdotools.org/?perspective=full&amp;conceptId1=363679005&amp;edition=MAIN/2024-10-01&amp;release=&amp;languages=en&amp;latestRedirect=false)</t>
  </si>
  <si>
    <t>[In the [US Core ServiceRequest Profile](https://hl7.org/fhir/us/core/STU8/StructureDefinition-us-core-servicerequest.html), for] the USCDI ... Procedure Order Data Elements, implementers **SHOULD** use the corresponding category codes listed ... below:
- [386053000 Evaluation procedure (procedure)](https://browser.ihtsdotools.org/?perspective=full&amp;conceptId1=386053000&amp;edition=MAIN/2024-10-01&amp;release=&amp;languages=en&amp;latestRedirect=false)
- [410606002 Social service procedure (procedure)](https://browser.ihtsdotools.org/?perspective=full&amp;conceptId1=410606002&amp;edition=MAIN/2024-10-01&amp;release=&amp;languages=en&amp;latestRedirect=false)
- [387713003 Surgical procedure (procedure)](https://browser.ihtsdotools.org/?perspective=full&amp;conceptId1=387713003&amp;edition=MAIN/2024-10-01&amp;release=&amp;languages=en&amp;latestRedirect=false)</t>
  </si>
  <si>
    <t xml:space="preserve"> **SHOULD  NOT** supply the unit field]</t>
  </si>
  <si>
    <t xml:space="preserve"> **SHOULD  NOT** require additional authorization to access.</t>
  </si>
  <si>
    <t xml:space="preserve"> **SHOULD  NOT** be used as a patient identifier in Patient.identifier.value</t>
  </si>
  <si>
    <t xml:space="preserve"> **SHALL NOT** restrict search results ( i.e., apply ‘hidden’ filters) when a Client includes status parameters in the query.</t>
  </si>
  <si>
    <t>none to **SHOULD**</t>
  </si>
  <si>
    <t>Updates to .meta.lastUpdated **SHOULD** reflect:
Changes in the clinical status or verifications status of problems or health concerns.</t>
  </si>
  <si>
    <t>is-required to **SHALL**</t>
  </si>
  <si>
    <t>To provide a list of a patient’s medications, it may be necessary to “de-duplicate” them. The de-duplication activity **MAY** be  supplied by the Server</t>
  </si>
  <si>
    <t>Considerations for systems aligning with [HL7 Consolidated (C-CDA)] (http://www.hl7.org/implement/standards/product_brief.cfm?product_id=492) Care Plan requirements: Assessment and Plan **MAY** be  included as narrative in CarePlan.text</t>
  </si>
  <si>
    <t>A coverage.type of “81” (Self-pay) **MAY** be  used to imply that the patient has no coverage or that an individual or organization other than an insurer is taking responsibility for payment for a portion of the health care costs.</t>
  </si>
  <si>
    <t>Records of implanted devices **MAY** be  queried against UDI data, including: UDI HRF string (udi-carrier)</t>
  </si>
  <si>
    <t>Records of implanted devices **MAY** be  queried against UDI data, including:UDI Device Identifier (udi-di)</t>
  </si>
  <si>
    <t>Records of implanted devices **MAY** be  queried against UDI data, including: Manufacturer (manufacturer)</t>
  </si>
  <si>
    <t>Records of implanted devices **MAY** be  queried against UDI data, including: Model number (model)</t>
  </si>
  <si>
    <t>US Core Requestors **SHALL** be  capable of processing the code in ['DataElement.code.code' or text in 'DataElement.code.text' for a DataElement.code that has an extensible binding]</t>
  </si>
  <si>
    <t>Servers ... **SHALL** be  able to process [elements that are] [Mandatory](https://hl7.org/fhir/us/core/must-support.html) or [Must Support elements](https://hl7.org/fhir/us/core/must-support.html)</t>
  </si>
  <si>
    <t>Clients **SHALL** be  able to process [elements that are] [Mandatory](https://hl7.org/fhir/us/core/must-support.html) or [Must Support elements](https://hl7.org/fhir/us/core/must-support.html)</t>
  </si>
  <si>
    <t>[W]hen claiming conformance [to a profile with a must support primitive element] … US Core responders **SHALL** be  capable of providing the value [of the primitive element]</t>
  </si>
  <si>
    <t>[W]hen claiming conformance [to a profile with a must support primitive element] … US Core requestors **SHALL** be  capable of processing the value [of the primitive element]</t>
  </si>
  <si>
    <t>When claiming conformance [to a must support complex element with no must support sub-elements] … US Core Responders **SHALL** be  capable of providing a value in [the] sub-element</t>
  </si>
  <si>
    <t>When claiming conformance [to a must support complex element with no must support sub-elements] … US Core Requestors **SHALL** be  capable of processing a value in [the complex element]</t>
  </si>
  <si>
    <t>When claiming conformance [to a must support complex element with one or more must support sub-elements] … US Core Responders **SHALL** be  capable of providing a value in [each must support sub-element]</t>
  </si>
  <si>
    <t>When claiming conformance [to a must support complex element with one or more must support sub-elements] … US Core Requestors **SHALL** be  capable of processing a values in [each must support sub-element]</t>
  </si>
  <si>
    <t>For certified systems[, those participating in the ONC IT Health Certification program], both **SHALL** be  supported:
[Patient Access Standalone Apps](http://hl7.org/fhir/smart-app-launch/STU2/conformance.html#patient-access-for-standalone-apps)
[Clinician Access for EHR Launch](http://hl7.org/fhir/smart-app-launch/STU2/conformance.html#clinician-access-for-standalone)</t>
  </si>
  <si>
    <t>[The clinical status of the allergy] **SHALL** be  present if verification status is not “entered-in-error”</t>
  </si>
  <si>
    <t>UDI-PI elements present [in Device.udiCarrier.carrierHRF] **SHALL** be  represented in the corresponding US Core Implantable Device Profile elements</t>
  </si>
  <si>
    <t>The diagnostically relevant time (known as the “effective time” and typically the time of specimen collection) … **SHALL** be  present if status [of the diagnostic report] is ‘partial’, ‘preliminary’, ‘final’, ‘amended’, ‘corrected’, or ‘appended’.</t>
  </si>
  <si>
    <t>When the report was released … **SHALL** be  present if status [of the diagnostic report] is ‘partial’, ‘preliminary’, ‘final’, ‘amended’, ‘corrected’, or ‘appended’.</t>
  </si>
  <si>
    <t>The organization responsible for the DocumentReference **SHALL** be  present either in DocumentReference.custodian or accessible in the Provenance resource targeting the DocumentReference using Provenance.agent.who or Provenance.agent.onBehalfOf</t>
  </si>
  <si>
    <t>Because the blood pressure values are communicated in the mandatory systolic and diastolic components [when using the US Core Average Blood Pressure Profile,] the Observation.value[x] element **SHALL** be  omitted</t>
  </si>
  <si>
    <t>The US Core Provenance resource **SHALL** be  supported for … [this] US Core resource type AllergyIntolerance</t>
  </si>
  <si>
    <t>The US Core Provenance resource **SHALL** be  supported for … [this] US Core resource type CarePlan</t>
  </si>
  <si>
    <t>The US Core Provenance resource **SHALL** be  supported for … [this] US Core resource type CareTeam</t>
  </si>
  <si>
    <t>The US Core Provenance resource **SHALL** be  supported for … [this] US Core resource type Condition</t>
  </si>
  <si>
    <t>The US Core Provenance resource **SHALL** be  supported for … [this] US Core resource type Coverage</t>
  </si>
  <si>
    <t>The US Core Provenance resource **SHALL** be  supported for … [this] US Core resource type Device</t>
  </si>
  <si>
    <t>The US Core Provenance resource **SHALL** be  supported for … [this] US Core resource type DiagnosticReport</t>
  </si>
  <si>
    <t>The US Core Provenance resource **SHALL** be  supported for … [this] US Core resource type Document Reference</t>
  </si>
  <si>
    <t>The US Core Provenance resource **SHALL** be  supported for … [this] US Core resource type Encounter</t>
  </si>
  <si>
    <t>The US Core Provenance resource **SHALL** be  supported for … [this] US Core resource type Goal</t>
  </si>
  <si>
    <t>The US Core Provenance resource **SHALL** be  supported for … [this] US Core resource type Immunization</t>
  </si>
  <si>
    <t>The US Core Provenance resource **SHALL** be  supported for … [this] US Core resource type MedicationDispense</t>
  </si>
  <si>
    <t>The US Core Provenance resource **SHALL** be  supported for … [this] US Core resource type MedicationRequest</t>
  </si>
  <si>
    <t>The US Core Provenance resource **SHALL** be  supported for … [this] US Core resource type Observation</t>
  </si>
  <si>
    <t>The US Core Provenance resource **SHALL** be  supported for … [this] US Core resource type Patient</t>
  </si>
  <si>
    <t>The US Core Provenance resource **SHALL** be  supported for … [this] US Core resource type Procedure</t>
  </si>
  <si>
    <t>The US Core Provenance resource **SHALL** be  supported for … [this] US Core resource type QuestionnaireResponse</t>
  </si>
  <si>
    <t>The US Core Provenance resource **SHALL** be  supported for … [this] US Core resource type RelatedPerson</t>
  </si>
  <si>
    <t>The US Core Provenance resource **SHALL** be  supported for … [this] US Core resource type ServiceRequest</t>
  </si>
  <si>
    <t>[The clinical status of the allergy] **SHALL NOT**  be present if verification Status is “entered-in-error”</t>
  </si>
  <si>
    <t>The [documentReference.content] element **SHALL NOT** contain different versions of the same content.</t>
  </si>
  <si>
    <t>[I]f any sub-element is marked as Must Support [for a complex element] and the parent element is not… [and] the parent element is represented in the structure, Servers **SHALL** support the sub-element(s) marked as Must Support.</t>
  </si>
  <si>
    <t>US Core Server[s] **SHALL** support token introspection defined by the SMART App Launch Guide. For more details and additional consideration, see SMART App Launch’s [Token Introspection](http://hl7.org/fhir/smart-app-launch/STU2/token-introspection.html#token-introspection).</t>
  </si>
  <si>
    <t>For “User-Facing Applications”, a system’s support for patient-level (patient) or user-level (user) scopes depends on its published list of SMART on FHIR capabilities (see the [capability sets](https://hl7.org/fhir/us/core/STU8/scopes.html#capability-sets) above). For example, if a Server lists permission-patient and permission-user in its capabilities, it **SHALL** support both patient-level and user-level required scopes</t>
  </si>
  <si>
    <t>For “Backend-Services”, System-level scopes (system) describe data that a Client system is directly authorized to access. Systems that support system-level (system) scopes **SHALL** support the required US Core scopes</t>
  </si>
  <si>
    <t>Servers **SHALL** support, at minimum, these … "Common Clinical Notes":
[Consultation Note (11488-4)](https://loinc.org/11488-4.html)</t>
  </si>
  <si>
    <t>Servers **SHALL** support, at minimum, these … "Common Clinical Notes":
[Discharge Summary (18842-5)](https://loinc.org/18842-5.html)</t>
  </si>
  <si>
    <t>Servers **SHALL** support, at minimum, these … "Common Clinical Notes":
[History &amp; Physical Note (34117-2)](https://loinc.org/34117-2.html)</t>
  </si>
  <si>
    <t>Servers **SHALL** support, at minimum, these … "Common Clinical Notes":
[Procedures Note (28570-0)](https://loinc.org/28570-0.html)</t>
  </si>
  <si>
    <t>Servers **SHALL** support, at minimum, these … "Common Clinical Notes":
[Progress Note (11506-3)](https://loinc.org/11506-3.html)</t>
  </si>
  <si>
    <t>Servers **SHALL** support, at minimum, these … "Common Clinical Notes":
[Imaging Narrative (18748-4)](https://loinc.org/18748-4.html)</t>
  </si>
  <si>
    <t>Servers **SHALL** support, at minimum, these … "Common Clinical Notes":
[Laboratory Report Narrative (11502-2)](https://loinc.org/11502-2.html)</t>
  </si>
  <si>
    <t>Servers **SHALL** support, at minimum, these … "Common Clinical Notes":
[Pathology Report Narrative (11526-1)](https://loinc.org/11526-1.html)</t>
  </si>
  <si>
    <t>Servers **SHALL** support, at minimum, these … DiagnosticReport categories:
[Cardiology (LP29708-2)](https://loinc.org/LP29708-2)</t>
  </si>
  <si>
    <t>Servers **SHALL** support, at minimum, these … DiagnosticReport categories:
[Pathology (LP7839-6)](https://loinc.org/LP7839-6)</t>
  </si>
  <si>
    <t>Servers **SHALL** support, at minimum, these … DiagnosticReport categories:
[Radiology (LP29684-5)](https://loinc.org/LP29684-5)</t>
  </si>
  <si>
    <t>[If Servers support the [$expand] (http://hl7.org/fhir/R4/valueset-operation-expand.html) operation for discovering note and report types, then Servers **SHALL** support] the #expand operation as follows:
GET [base]/ValueSet/$expand?context=http://hl7.org/fhir/us/core/StructureDefinition/us-core-diagnosticreport-note#DiagnosticReport.category&amp;contextDirection=outgoing for DiagnosticReport report category discovery [for read operations]</t>
  </si>
  <si>
    <t>[If Servers support the [$expand] (http://hl7.org/fhir/R4/valueset-operation-expand.html) operation for discovering note and report types, then Servers **SHALL** support] the #expand operation as follows:
GET [base]/ValueSet/$expand?context=http://hl7.org/fhir/us/core/StructureDefinition/us-core-diagnosticreport-note#DiagnosticReport.category&amp;contextDirection=incoming for DiagnosticReport report category discovery [for write operations]</t>
  </si>
  <si>
    <t>[If Servers support the [$expand] (http://hl7.org/fhir/R4/valueset-operation-expand.html) operation for discovering note and report types, then Servers **SHALL** support] the #expand operation as follows:
GET [base]/ValueSet/$expand?context=http://hl7.org/fhir/us/core/StructureDefinition/us-core-diagnosticreport-note#DiagnosticReport.code&amp;contextDirection=outgoing for DiagnosticReport report type discovery [for read operations]</t>
  </si>
  <si>
    <t>[If Servers support the [$expand] (http://hl7.org/fhir/R4/valueset-operation-expand.html) operation for discovering note and report types, then Servers **SHALL** support] the #expand operation as follows:
GET [base]/ValueSet/$expand?context=http://hl7.org/fhir/us/core/StructureDefinition/us-core-diagnosticreport-note#DiagnosticReport.code&amp;contextDirection=incoming for DiagnosticReport report type discovery [for write operations]</t>
  </si>
  <si>
    <t>[If Servers support the [$expand] (http://hl7.org/fhir/R4/valueset-operation-expand.html) operation for discovering note and report types, then Servers **SHALL** support] the #expand operation as follows:
GET [base]/ValueSet/$expand?context=http://hl7.org/fhir/us/core/StructureDefinition/us-core-documentreference#DocumentReference.category&amp;contextDirection=outgoing for DocumentReference note category discovery [for read operations]</t>
  </si>
  <si>
    <t>[If Servers support the [$expand] (http://hl7.org/fhir/R4/valueset-operation-expand.html) operation for discovering note and report types, then Servers **SHALL** support] the #expand operation as follows:
GET [base]/ValueSet/$expand?context=http://hl7.org/fhir/us/core/StructureDefinition/us-core-documentreference#DocumentReference.category&amp;contextDirection=incoming for DocumentReference note category discovery [for write operations]</t>
  </si>
  <si>
    <t>[If Servers support the [$expand] (http://hl7.org/fhir/R4/valueset-operation-expand.html) operation for discovering note and report types, then Servers **SHALL** support] the #expand operation as follows:
GET [base]/ValueSet/$expand?context=http://hl7.org/fhir/us/core/StructureDefinition/us-core-documentreference#DocumentReference.type&amp;contextDirection=outgoing for DocumentReference note type discovery [for read operations]</t>
  </si>
  <si>
    <t>[If Servers support the [$expand] (http://hl7.org/fhir/R4/valueset-operation-expand.html) operation for discovering note and report types, then Servers **SHALL** support] the #expand operation as follows:
GET [base]/ValueSet/$expand?context=http://hl7.org/fhir/us/core/StructureDefinition/us-core-documentreference#DocumentReference.type&amp;contextDirection=incoming for DocumentReference note type discovery [for write operations]</t>
  </si>
  <si>
    <t>if an external reference to Medication is used, the Server **SHALL** support the [_include](http://hl7.org/fhir/R4/search.html#include) parameter for searching this element</t>
  </si>
  <si>
    <t>Although both US Core Practitioner Profile and US Core PractitionerRole are Must Support, ... Server system[s conforming to the US Core CareTeam profile are] ... not required to support references to both, but **SHALL** support at least one of them</t>
  </si>
  <si>
    <t>[C]lient application[s conforming to the US Core CareTeam profile] **SHALL** support [US Core PractitionerRole Profile]</t>
  </si>
  <si>
    <t>[C]lient application[s conforming to the US Core CareTeam profile] **SHALL** support [US Core RelatedPerson Profile]</t>
  </si>
  <si>
    <t>A [US Core Condition Encounter Diagnosis] Server **SHALL** support Condition.recordedDate</t>
  </si>
  <si>
    <t>A Server **SHALL** support at least one of [assertedDate Extension](http://hl7.org/fhir/R4/extension-condition-asserteddate.html) and Condition.onsetDateTime.</t>
  </si>
  <si>
    <t>The Client application[s supporting US Core Condition profiles] **SHALL** support [[assertedDate Extension](http://hl7.org/fhir/R4/extension-condition-asserteddate.html)</t>
  </si>
  <si>
    <t>The Client application[s supporting US Core Condition profiles] **SHALL** support Condition.onsetDateTime</t>
  </si>
  <si>
    <t>The Client application[s supporting US Core Condition profiles] **SHALL** support Condition.recordedDate</t>
  </si>
  <si>
    <t>Although both [DocumentReference.attachment.url and DocumentReference.attachment.data] are marked as Must Support, the Server system is not required to support an address and inline base64 encoded data, but **SHALL** support at least one of these elements.</t>
  </si>
  <si>
    <t>The Client application **SHALL** support [DocumentReference.attachment.url]</t>
  </si>
  <si>
    <t>The Client application **SHALL** support [DocumentReference.attachment.data]</t>
  </si>
  <si>
    <t>Although ... marked as Must Support, Servers are not required to support both [an Encounter.reasonCode or a reference with Encounter.reasonReference], but they **SHALL** support at least one of these elements.</t>
  </si>
  <si>
    <t>The Client application **SHALL** support [ Encounter.reasonCode]</t>
  </si>
  <si>
    <t>The Client application **SHALL** support [Encounter.reasonReference]</t>
  </si>
  <si>
    <t>Although … marked as Must Support, Servers are not required to support both Encounter.location.location and Encounter.serviceProvider, but they **SHALL** support at least one of these elements.</t>
  </si>
  <si>
    <t>The Client application **SHALL** support [Encounter.location.location]</t>
  </si>
  <si>
    <t>The Client application **SHALL** support [Encounter.serviceProvider]</t>
  </si>
  <si>
    <t>Although both Goal.startDate and Goal.target.dueDate are marked as Must Support, the Server system is not required to support both, but **SHALL** support at least one of these elements.</t>
  </si>
  <si>
    <t>The Client application **SHALL** support ... Goal.startDate</t>
  </si>
  <si>
    <t>The Client application **SHALL** support ... Goal.target.dueDate</t>
  </si>
  <si>
    <t>The Server systems are not required to support both a [medication] code and a reference [when sending medicationDispense], but **SHALL** support at least one of these methods</t>
  </si>
  <si>
    <t>If an external reference to a Medication resource is used, the Server **SHALL** support the [_include](http://hl7.org/fhir/R4/search.html#include) parameter for searching this element.</t>
  </si>
  <si>
    <t>The Client application **SHALL** support [using a code in .medicationCodeableConcept to represent medications when supporting the US Core MedicationDispense profile]</t>
  </si>
  <si>
    <t>The Client application **SHALL** support [referencing a Medication resource in .medicationReferencet to represent medications when supporting the US Core MedicationDispense profile]</t>
  </si>
  <si>
    <t>[For organization participating in the ONC Health IT Certification program Servers **SHALL** support the [additional USCDI requirement](https://hl7.org/fhir/us/core/STU8/must-support.html#additional-uscdi-requirements):], The reason or indication for the prescription</t>
  </si>
  <si>
    <t>[For organization participating in the ONC Health IT Certification program Servers **SHALL** support the [additional USCDI requirement](https://hl7.org/fhir/us/core/STU8/must-support.html#additional-uscdi-requirements):] reported adherence to prescribed medication instructions</t>
  </si>
  <si>
    <t>Although [medicationRequest.reportedBoolean and MedicationRequest.reportedReference] are both marked as Must Support, the Server system is not required to support both, but **SHALL** support at least one of these elements</t>
  </si>
  <si>
    <t>The Client application **SHALL** support [medicationRequest.reporedtBoolean]</t>
  </si>
  <si>
    <t>The Client application **SHALL** support [MedicationRequest.reportedReference]</t>
  </si>
  <si>
    <t>Although both MedicationRequest.reasonCode and MedicationRequest.reasonReference are marked as Additional USCDI Requirements [which are required for organizations participating in the ONC Health IT Certification program]. The certifying Server system is not required to support both, but **SHALL** support at least one of these elements</t>
  </si>
  <si>
    <t>[For organizations participating in the ONC Health IT Certification program,] the certifying Client application **SHALL** support [MedicationRequest.reasonCode.]</t>
  </si>
  <si>
    <t>[For organizations participating in the ONC Health IT Certification program,] the certifying Client application **SHALL** support [MedicationRequest.reasonReference.]</t>
  </si>
  <si>
    <t>[For organizations participating in the ONC Health IT Certification program and supporting MedicationRequest.reasonReference,] Servers **SHALL** support at least one target resource in MedicationRequest.reasonReference</t>
  </si>
  <si>
    <t>[For organizations participating in the ONC Health IT Certification program,] Clients **SHALL** support all target resources in MedicationRequest.reasonReference.</t>
  </si>
  <si>
    <t>the Server system ... **SHALL** support [either] Reference(US Core Observation Screening Assessment Profile) or Reference(US Core QuestionnaireResponse Profile) for Observation.derivedFrom</t>
  </si>
  <si>
    <t>Although none of the Observation.derivedFrom [references are flagged as Must Support](https://hl7.org/fhir/us/core/STU8/must-support.html#must-support---resource-references), the Server **SHALL** support at least one of them</t>
  </si>
  <si>
    <t>[In the US Core Blood Pressure Profile] because the blood pressure values are communicated in the mandatory systolic and diastolic components[,] All Server systems - including those that never provide a component observation without a value - **SHALL** support Observation.component.dataAbsentReason for the components.</t>
  </si>
  <si>
    <t>Systems **SHALL** support National Provider Identifier (NPI) for organizations</t>
  </si>
  <si>
    <t>Although Patient.deceased[x] is marked as additional USCDI, certifying systems are not required to support both [boolean and dateTime data types], but **SHALL** support [at] least Patient.deceasedDateTime</t>
  </si>
  <si>
    <t>The Client application **SHALL** support both [the PractionerRole profile and the Practioner.address element]</t>
  </si>
  <si>
    <t>[For organizations participating in the ONC Health IT Certification program] Servers … **SHALL** support ... US Core Procedure Profile for communicating the reason or justification for a referral as Additional USCDI Requirements</t>
  </si>
  <si>
    <t>[For organizations participating in the ONC Health IT Certification program] … Clients **SHALL** support ... US Core Procedure Profile for communicating the reason or justification for a referral as Additional USCDI Requirements</t>
  </si>
  <si>
    <t>[For organizations participating in the ONC Health IT Certification program,] although both Procedure.reasonCode and Procedure.reasonReference are marked as Additional USCDI Requirements, the certifying Server system is not required to support both, but **SHALL** support at least one of these elements.</t>
  </si>
  <si>
    <t>[For organizations participating in the ONC Health IT Certification program,] The certifying Client application **SHALL** support both [Procedure.reasonCode and Procedure.reasonReference]</t>
  </si>
  <si>
    <t>[For organizations participating in the ONC Health IT Certification program,] when using Procedure.reasonReference Servers **SHALL** support at least one target resource in Procedure.reasonReference</t>
  </si>
  <si>
    <t>[For organizations participating in the ONC Health IT Certification program,] when using Procedure.reasonReference … Clients **SHALL** support all target resources in Procedure.reasonReference</t>
  </si>
  <si>
    <t>[For organizations participating in the ONC Health IT Certification program] Servers … **SHALL** support ... US Core Service Request Profile for communicating the reason or justification for a referral as Additional USCDI Requirements</t>
  </si>
  <si>
    <t>[For organizations participating in the ONC Health IT Certification program] … Clients **SHALL** support ... US Core ServiceRequest Profile for communicating the reason or justification for a referral as Additional USCDI Requirements</t>
  </si>
  <si>
    <t>[For organizations participating in the ONC Health IT Certification program,] although both ServiceRequest.reasonCode and ServiceRequest.reasonReference are marked as Additional USCDI Requirements, the certifying Server system is not required to support both, but **SHALL** support at least one of these elements.</t>
  </si>
  <si>
    <t>[For organizations participating in the ONC Health IT Certification program,] The certifying Client application **SHALL** support both [ServiceRequest.reasonCode and ServiceRequest.reasonReference]</t>
  </si>
  <si>
    <t>[For organizations participating in the ONC Health IT Certification program,] when using ServiceRequest.reasonReference Servers **SHALL** support at least one target resource in ServiceRequest.reasonReference</t>
  </si>
  <si>
    <t>[For organizations participating in the ONC Health IT Certification program,] when using ServiceRequest.reasonReference … Clients **SHALL** support all target resources in ServiceRequest.reasonReference</t>
  </si>
  <si>
    <t>Although both Specimen.identifier and Specimen.accessionIdentifier are marked as Must Support, the Server system is not required to support both, but **SHALL** support at least one of these elements.</t>
  </si>
  <si>
    <t>The Client application **SHALL** support both [ Specimen.identifier and Specimen.accessionIdentifier]</t>
  </si>
  <si>
    <t>US Core Server **SHALL** support the US Core Patient resource profile</t>
  </si>
  <si>
    <t>US Core Server **SHALL** support … at least one additional resource profile [in addition to the US Core Patient resource profile] from the list of US Core Profiles</t>
  </si>
  <si>
    <t>For Authentication and Authorization, Systems **SHALL** support any [SMART App Launch Version 2.0.0](http://hl7.org/fhir/smart-app-launch/history.html) for Client &lt;-&gt; Server interactions.</t>
  </si>
  <si>
    <t>For Authentication and Authorization, Systems **SHALL** support any [SMART App Launch version](http://hl7.org/fhir/smart-app-launch/history.html) for Client &lt;-&gt; Server interactions.</t>
  </si>
  <si>
    <t>Servers **SHALL** support, at minimum, these … "Common Clinical Notes":
[Surgical Operation Note (11504-8)](https://loinc.org/11504-8.html)</t>
  </si>
  <si>
    <t>Servers **SHALL** support, at minimum, these … "Common Clinical Notes":
[Emergency Department Note (34111-5)](https://loinc.org/34111-5.html)</t>
  </si>
  <si>
    <t>[For the US Core Observation Screening Assessment Profile,] the Client system ... **SHALL** support [both] Reference(US Core Observation Screening Assessment Profile) [and] Reference(US Core QuestionnaireResponse Profile) for Observation.derivedFrom</t>
  </si>
  <si>
    <t>Although 'Observation.performer' target profiles [US Core Practitioner Profile](https://hl7.org/fhir/us/core/STU8/StructureDefinition-us-core-practitioner.html) and [US Core Patient Profile](https://hl7.org/fhir/us/core/STU8/StructureDefinition-us-core-patient.html) are labeled Must Support. Servers are not required to support both, but **SHALL** support at least one.</t>
  </si>
  <si>
    <t xml:space="preserve"> 'Observation.performer' target profiles [US Core Practitioner Profile](https://hl7.org/fhir/us/core/STU8/StructureDefinition-us-core-practitioner.html) and [US Core Patient Profile](https://hl7.org/fhir/us/core/STU8/StructureDefinition-us-core-patient.html) are labeled Must Support.... Clients **SHALL** support both.</t>
  </si>
  <si>
    <t>An individual SMART Server will publish a granular list of its capabilities, and a set of these capabilities is combined to support a specific use, a Capability Set. See SMART App Launch’s [FHIR OAuth authorization Endpoints and Capabilities](http://hl7.org/fhir/smart-app-launch/STU2/conformance.html#smart-on-fhir-oauth-authorization-endpoints-and-capabilities) for more details. Servers **MAY** support ... [any] SMART on FHIR Capability Sets and capabilities [(see [FHIR OAuth authorization Endpoints and Capabilities](http://hl7.org/fhir/smart-app-launch/STU2/conformance.html#smart-on-fhir-oauth-authorization-endpoints-and-capabilities))]</t>
  </si>
  <si>
    <t>Servers **MAY** support other scopes in addition to those listed below and in the Quick Start sections.</t>
  </si>
  <si>
    <t>[Clients] **MAY** support the transaction interaction</t>
  </si>
  <si>
    <t>[Clients] **MAY** support the batch interaction</t>
  </si>
  <si>
    <t>[Clients] **MAY** support the search-system interaction</t>
  </si>
  <si>
    <t>[Clients] **MAY** support the history-system interaction</t>
  </si>
  <si>
    <t>[Server] **MAY** support the transaction interaction</t>
  </si>
  <si>
    <t>[Server] **MAY** support the batch interaction</t>
  </si>
  <si>
    <t>[Server] **MAY** support the search-system interaction</t>
  </si>
  <si>
    <t>[Server] **MAY** support the history-system interaction</t>
  </si>
  <si>
    <t>Servers [conforming to the US Core CareTeam profile] that support only US Core Practitioner Profile and do not support the US Core PractitionerRole Profile **SHALL**  provide implementation-specific guidance on how to access a provider’s location ... information using only the Practitioner resource.</t>
  </si>
  <si>
    <t>Servers [conforming to the US Core CareTeam profile] that support only US Core Practitioner Profile and do not support the US Core PractitionerRole Profile **SHALL**  provide implementation-specific guidance on how to access a provider’s ... contact information using only the Practitioner resource.</t>
  </si>
  <si>
    <t>Servers that support only the US Core Practitioner Profile and do not support the [US Core PractitionerRole Profile](https://hl7.org/fhir/us/core/STU8/StructureDefinition-us-core-practitionerrole.html) **SHALL**  provide implementation-specific guidance on how to access a provider’s location and contact information using only the Practitioner resource.</t>
  </si>
  <si>
    <t>If a system receives a provider in Provenance.agent.who as free text, they must capture [the organization] who sent them the information [and upon] request ... **SHALL**  provide this organization as the source</t>
  </si>
  <si>
    <t>Implementations [US Core Responders] supporting Backend Services ... **SHALL**  include support for the Client-confidential-asymmetric capability.</t>
  </si>
  <si>
    <t>Implementations [US Core Responders] supporting Backend Services ... **SHALL**  include support for the ... system/scopes.</t>
  </si>
  <si>
    <t>Implementations [US Core Requestors] supporting Backend Services – for example, to meet US EHR certification requirements [of the ONC IT Health Certification program]- **SHALL**  include support for the Client-confidential-asymmetric capability and system/scopes.</t>
  </si>
  <si>
    <t>An Observation.component without a value, **SHALL**  include a reason why the data is absent</t>
  </si>
  <si>
    <t>An Observation without a value, **SHALL**  include a reason why the data is absent</t>
  </si>
  <si>
    <t>[In the US Core Blood Pressure Profile] because the blood pressure values are communicated in the mandatory systolic and diastolic components[,] an Observation without a systolic or diastolic result value, **SHALL**  include a reason why the data is absent in Observation.component.dataAbsentReason</t>
  </si>
  <si>
    <t>The Complex [Extension] for Race ... allow[s] for one or more codes of which **SHALL**  include a text description [of category codes when using the [US Core Race Extension] (https://hl7.org/fhir/us/core/STU8/StructureDefinition-us-core-race.html)]</t>
  </si>
  <si>
    <t>The Complex [Extension] for ... Ethnicity allow[s] for one or more codes of which **SHALL**  include a text description [of category codes when using the [US Core Ethnicity Extension] (https://hl7.org/fhir/us/core/STU8/StructureDefinition-us-core-ethnicity.html)]</t>
  </si>
  <si>
    <t>Systems **SHALL**  implement consent requirements per their state, local, and institutional policies.</t>
  </si>
  <si>
    <t xml:space="preserve">An `Observation.component` without a value, **SHALL**  include a reason why the data is absent. </t>
  </si>
  <si>
    <t>The Complex [Extension] for Race ... allow[s] for one or more codes of which **MAY**  include additional codes from the detailed ethnicity ... value sets drawn from the [Race &amp; Ethnicity - CDC (CDCREC)](https://phinvads.cdc.gov/vads/ViewCodeSystem.action?id=2.16.840.1.113883.6.238) code system [when using the [US Core Race Extension] (https://hl7.org/fhir/us/core/STU8/StructureDefinition-us-core-race.html)]</t>
  </si>
  <si>
    <t>The Complex [Extension] for ... Ethnicity allow[s] for one or more codes of which **MAY**  include additional codes from the detailed ... race value sets drawn from the [Race &amp; Ethnicity - CDC (CDCREC)](https://phinvads.cdc.gov/vads/ViewCodeSystem.action?id=2.16.840.1.113883.6.238) code system [when using the [US Core Race Extension] (https://hl7.org/fhir/us/core/STU8/StructureDefinition-us-core-race.html)]</t>
  </si>
  <si>
    <t>If a system receives a provider in Provenance.agent.who as free text, … [upon request they] **MAY**  include the free text provider.</t>
  </si>
  <si>
    <t>Systems **MAY**  implement the [FHIR Digital Signatures](http://hl7.org/fhir/R4/security.html#digital%20signatures)</t>
  </si>
  <si>
    <t>Communication.preferred **MAY**  designate a preferred language when multiple languages are represented</t>
  </si>
  <si>
    <t>communication.preferred **MAY**  designate a preferred language when multiple languages are represented</t>
  </si>
  <si>
    <t>[Historical Encounter Diagnosis records **MAY**  have a] Condition.code … [from the] base “preferred” … [value set] binding.</t>
  </si>
  <si>
    <t>The observations **MAY**  have additional codes that translate or map to the Observation code or category codes [such as] … local system-specific codes [and] …more specific codes</t>
  </si>
  <si>
    <t>[US Core Vital Signs] observations **MAY**  have [component](http://hl7.org/fhir/R4/observation.html#gr-comp) observations … [see] FHIR core specification [vital signs table](http://hl7.org/fhir/R4/observation-vitalsigns.html#vitals-table) for examples</t>
  </si>
  <si>
    <t>US Core requires ... additional metadata [to be available through the Server's [Well-Known Uniform Resource Identifier (URI)](https://hl7.org/fhir/smart-app-launch/STU2/conformance.html#using-well-known)]: ... [in] `scopes_supported` [the] array of scopes a Client may request. Servers **MAY**  limit Clients’ scopes to those configured at registration time.</t>
  </si>
  <si>
    <t>Systems **MAY**  protect the confidentiality of data at rest via encryption and associated access controls.</t>
  </si>
  <si>
    <t>[When Clients request a resource in a specific language] Clients **MAY**  request language/locale using the http [Accept-Language](https://www.ietf.org/rfc/rfc2616.txt) header.</t>
  </si>
  <si>
    <t>[When using SNOMED codes in US Core Profiles I]mplementers **MAY**  use the default system URI [of [SNOMED CT](http://snomed.info/sct)], which refers to an unspecified edition/version [of SNOMED]</t>
  </si>
  <si>
    <t>If the event facility/location differs from the Encounter.location … systems **MAY**  use the standard [Event Location Extension](http://hl7.org/fhir/StructureDefinition/event-location) for US Core DiagnosticReport Profile for Laboratory Results Reporting and US Core Observation Clinical Result Profile.</t>
  </si>
  <si>
    <t>Implementers **MAY** also adopt custom SearchParameters for searching by lot numbers</t>
  </si>
  <si>
    <t>Implementers **MAY** also adopt custom SearchParameters for searching by serial number</t>
  </si>
  <si>
    <t>Implementers **MAY** also adopt custom SearchParameters for searching by expiration date</t>
  </si>
  <si>
    <t>Implementers **MAY** also adopt custom SearchParameters for searching by manufacture date</t>
  </si>
  <si>
    <t>Implementers **MAY** also adopt custom SearchParameters for searching by distinct identifier</t>
  </si>
  <si>
    <t>When referencing the Medication resource, the resource may be included in the returned bundle, as an external resource, or as a [contained](http://hl7.org/fhir/R4/references.html#contained) resource if it can’t stand alone. … The Server application **MAY** choose any combination of these methods</t>
  </si>
  <si>
    <t>Transformation of data from one format to another **MAY** change the authorship of the information, where the HIE is the author/author organization</t>
  </si>
  <si>
    <t>[For] an Observation without a value … [Systems **MAY** choose not to] include a reason why the data is absent … [if] there are component observations or … reporting panel observations using Observation.hasMember</t>
  </si>
  <si>
    <t>[For systems participating in the ONC Health IT certification program,] this requirement [to follow the [Project US@ Technical Specification for Patient Addresses Final Version 1.0](https://asapnet.org/wp-content/uploads/2022/03/Project_US_FINAL_Technical_Specification_Version_1.0.pdf) for Patient.address.line and Patient.address.city] does not apply to historical records or documents that are exposed through FHIR-based APIs. [Organizations **MAY** choose not to use use Project US@ Technical Specification for Patient Addresses Final Version 1.0 when sending historical records]</t>
  </si>
  <si>
    <t>US Core requires ... additional metadata [to be available through the Server's [Well-Known Uniform Resource Identifier (URI)](https://hl7.org/fhir/smart-app-launch/STU2/conformance.html#using-well-known)]: ... [in] `scopes_supported` [the] array of scopes a Client may request. … Servers **SHALL** allow users to select a subset of the requested scopes at the approval time.</t>
  </si>
  <si>
    <t>when DiagnosticReport.presentedForm.url references a Scan (PDF), that Attachment **SHALL** also be accessible through DocumentReference.content.attachment.url</t>
  </si>
  <si>
    <t>If there are multiple DocumentReference.content element repetitions, these **SHALL** all represent the same document in different formats or attachment metadata</t>
  </si>
  <si>
    <t>Systems **SHALL** conform to [FHIR Communications Security](http://hl7.org/fhir/R4/security.html#http) requirements.</t>
  </si>
  <si>
    <t>In addition to the capabilities defined in the Server’s CapabilityStatement, Servers **SHALL** document their SMART capabilities in their [Well-Known Uniform Resource Identifiers (URIs)](https://hl7.org/fhir/smart-app-launch/STU2/conformance.html#using-well-known) JSON file.</t>
  </si>
  <si>
    <t>US Core requires ... additional metadata [to be available through the Server's [Well-Known Uniform Resource Identifier (URI)](https://hl7.org/fhir/smart-app-launch/STU2/conformance.html#using-well-known)]: ... [in] `introspection_endpoint` the URL to a Server’s introspection endpoint. ... Servers **SHALL** document this endpoint in the file</t>
  </si>
  <si>
    <t>Servers **SHALL** document in CapabilityStatement.rest.resource.searchParam.documentation the types of changes that can be detected using the _lastUpdated search parameter</t>
  </si>
  <si>
    <t>To enable consistent access to scanned DiagnosticReport clinical reports, the FHIR Server **SHALL** expose these overlapping scanned or narrative-only reports through both DiagnosticReport and DocumentReference by representing the same attachment URL [as] DocumentReference.content.attachment.url [and] 
DiagnosticReport.presentedForm.url</t>
  </si>
  <si>
    <t>Systems **SHALL** establish a risk analysis and management regime that conforms with HIPAA security regulatory requirements</t>
  </si>
  <si>
    <t>When using a code [to represent a medication][, the code **SHALL** follow the [extensible](http://hl7.org/fhir/R4/terminologies.html#extensible) binding rules to [Medication Clinical Drug (RxNorm)](https://vsac.nlm.nih.gov/valueset/2.16.840.1.113762.1.4.1010.4/expansion) - i.e., unless RxNorm does not cover the concept, the RxNorm code **SHALL** be  used.</t>
  </si>
  <si>
    <t>Servers **SHALL** follow the guidance on the Medication List page and return all active medications as MedicationRequest.</t>
  </si>
  <si>
    <t>[Newly created Encounter Diagnosis records **SHALL** have a] Condition.code … [from the] [“current”](https://hl7.org/fhir/R5/terminologies.html#binding) … [value set] binding.</t>
  </si>
  <si>
    <t>Systems **SHALL** keep audit logs of the various transactions.</t>
  </si>
  <si>
    <t>US Core requires ... additional metadata [to be available through the Server's [Well-Known Uniform Resource Identifier (URI)](https://hl7.org/fhir/smart-app-launch/STU2/conformance.html#using-well-known)]: ... [in] `scopes_supported` [the] array of scopes a Client may request.... The Server **SHALL** list all the required US Core Scopes for the US Core Profiles they support in the scopes_supported array</t>
  </si>
  <si>
    <t>Implantable medical devices with UDI information **SHALL** represent the UDI code in Device.udiCarrier.carrierHRF</t>
  </si>
  <si>
    <t>A Server **SHALL** reject any unauthorized requests by returning an HTTP 401 "Unauthorized", HTTP 403 "Forbidden", or HTTP 404 "Not Found"</t>
  </si>
  <si>
    <t>Systems **SHALL** reference a single time source to establish a common time base for security auditing and clinical data records among computing systems.</t>
  </si>
  <si>
    <t>If the event facility/location differs from the Encounter.location, … systems **SHALL** use the location element for all resources where the element is available.</t>
  </si>
  <si>
    <t>Systems **SHALL** use TLS version 1.2 or higher for all transmissions not taking place over a secure network connection.</t>
  </si>
  <si>
    <t xml:space="preserve"> **SHALL NOT** include the data elements in the resource instance returned as part of the query results.</t>
  </si>
  <si>
    <t xml:space="preserve"> **SHOULD  NOT** search the same data within the time stated in the `Cache-Control` header.</t>
  </si>
  <si>
    <t xml:space="preserve"> **SHALL NOT** be interpreted as search parameters for search.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</si>
</sst>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2"/>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b/>
      <sz val="11"/>
      <color theme="1"/>
      <name val="Aptos Narrow"/>
      <scheme val="minor"/>
    </font>
    <font>
      <b/>
      <sz val="12"/>
      <color theme="1"/>
      <name val="Aptos Narrow"/>
      <scheme val="minor"/>
    </font>
    <font>
      <sz val="11"/>
      <color theme="1"/>
      <name val="Aptos Narrow"/>
      <scheme val="minor"/>
    </font>
    <font>
      <b/>
      <sz val="12"/>
      <color rgb="FF000000"/>
      <name val="Aptos Narrow"/>
      <scheme val="minor"/>
    </font>
    <font>
      <sz val="11"/>
      <color theme="1"/>
      <name val="Aptos Narrow"/>
      <family val="2"/>
      <scheme val="minor"/>
    </font>
    <font>
      <sz val="11"/>
      <color rgb="FF000000"/>
      <name val="Aptos Narrow"/>
      <scheme val="minor"/>
    </font>
    <font>
      <b/>
      <sz val="11"/>
      <color rgb="FF000000"/>
      <name val="Aptos Narrow"/>
      <scheme val="minor"/>
    </font>
    <font>
      <i/>
      <sz val="11"/>
      <color rgb="FF000000"/>
      <name val="Aptos Narrow"/>
      <scheme val="minor"/>
    </font>
    <font>
      <b/>
      <sz val="14"/>
      <color rgb="FF000000"/>
      <name val="Aptos Narrow (Body)"/>
    </font>
    <font>
      <b/>
      <sz val="14"/>
      <color theme="1"/>
      <name val="Aptos Narrow (Body)"/>
    </font>
    <font>
      <b/>
      <sz val="11"/>
      <color rgb="FF000000"/>
      <name val="Aptos Narrow"/>
      <family val="2"/>
      <scheme val="minor"/>
    </font>
    <font>
      <b/>
      <sz val="14"/>
      <color rgb="FF000000"/>
      <name val="Aptos Narrow"/>
      <scheme val="minor"/>
    </font>
    <font>
      <i/>
      <sz val="11"/>
      <color theme="1"/>
      <name val="Aptos Narrow"/>
      <scheme val="minor"/>
    </font>
    <font>
      <sz val="12"/>
      <color rgb="FF000000"/>
      <name val="Aptos Narrow"/>
      <scheme val="minor"/>
    </font>
    <font>
      <i/>
      <sz val="12"/>
      <color rgb="FF000000"/>
      <name val="Aptos Narrow"/>
      <scheme val="minor"/>
    </font>
    <font>
      <sz val="8"/>
      <name val="Aptos Narrow"/>
      <family val="2"/>
      <scheme val="minor"/>
    </font>
    <font>
      <sz val="12"/>
      <color rgb="FF000000"/>
      <name val="Aptos Narrow"/>
      <family val="2"/>
      <scheme val="minor"/>
    </font>
    <font>
      <sz val="12"/>
      <color rgb="FF008000"/>
      <name val="Menlo"/>
      <family val="2"/>
    </font>
    <font>
      <sz val="12"/>
      <color rgb="FF3B3B3B"/>
      <name val="Menlo"/>
      <family val="2"/>
    </font>
    <font>
      <b/>
      <sz val="12"/>
      <color rgb="FF000080"/>
      <name val="Menlo"/>
      <family val="2"/>
    </font>
  </fonts>
  <fills count="15">
    <fill>
      <patternFill patternType="none"/>
    </fill>
    <fill>
      <patternFill patternType="gray125"/>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theme="5" tint="0.79998168889431442"/>
        <bgColor indexed="64"/>
      </patternFill>
    </fill>
    <fill>
      <patternFill patternType="solid">
        <fgColor theme="5"/>
        <bgColor indexed="64"/>
      </patternFill>
    </fill>
    <fill>
      <patternFill patternType="solid">
        <fgColor rgb="FFE2EFDA"/>
        <bgColor rgb="FF000000"/>
      </patternFill>
    </fill>
    <fill>
      <patternFill patternType="solid">
        <fgColor rgb="FFFFF2CC"/>
        <bgColor rgb="FF000000"/>
      </patternFill>
    </fill>
    <fill>
      <patternFill patternType="solid">
        <fgColor rgb="FFFCE4D6"/>
        <bgColor rgb="FF000000"/>
      </patternFill>
    </fill>
    <fill>
      <patternFill patternType="solid">
        <fgColor rgb="FFDDEBF7"/>
        <bgColor rgb="FF000000"/>
      </patternFill>
    </fill>
  </fills>
  <borders count="21">
    <border>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bottom/>
      <diagonal/>
    </border>
    <border>
      <left style="thin">
        <color indexed="64"/>
      </left>
      <right style="thin">
        <color theme="1"/>
      </right>
      <top/>
      <bottom style="thin">
        <color indexed="64"/>
      </bottom>
      <diagonal/>
    </border>
    <border>
      <left style="thin">
        <color theme="1"/>
      </left>
      <right/>
      <top style="thin">
        <color theme="1"/>
      </top>
      <bottom/>
      <diagonal/>
    </border>
    <border>
      <left style="thin">
        <color theme="1"/>
      </left>
      <right/>
      <top/>
      <bottom/>
      <diagonal/>
    </border>
    <border>
      <left/>
      <right/>
      <top style="thin">
        <color theme="1"/>
      </top>
      <bottom/>
      <diagonal/>
    </border>
    <border>
      <left/>
      <right style="thin">
        <color indexed="64"/>
      </right>
      <top/>
      <bottom/>
      <diagonal/>
    </border>
    <border>
      <left style="thin">
        <color theme="1"/>
      </left>
      <right style="thin">
        <color theme="1"/>
      </right>
      <top/>
      <bottom style="thin">
        <color theme="1"/>
      </bottom>
      <diagonal/>
    </border>
    <border>
      <left style="thin">
        <color theme="2" tint="-9.9978637043366805E-2"/>
      </left>
      <right style="thin">
        <color theme="2" tint="-9.9978637043366805E-2"/>
      </right>
      <top/>
      <bottom style="thin">
        <color theme="2" tint="-9.9978637043366805E-2"/>
      </bottom>
      <diagonal/>
    </border>
    <border>
      <left style="thin">
        <color theme="2" tint="-9.9978637043366805E-2"/>
      </left>
      <right style="thin">
        <color theme="2" tint="-9.9978637043366805E-2"/>
      </right>
      <top style="thin">
        <color theme="2" tint="-9.9978637043366805E-2"/>
      </top>
      <bottom/>
      <diagonal/>
    </border>
    <border>
      <left style="thin">
        <color rgb="FFD0CECE"/>
      </left>
      <right style="thin">
        <color rgb="FFD0CECE"/>
      </right>
      <top style="thin">
        <color rgb="FFD0CECE"/>
      </top>
      <bottom style="thin">
        <color rgb="FFD0CECE"/>
      </bottom>
      <diagonal/>
    </border>
    <border>
      <left/>
      <right style="thin">
        <color rgb="FFD0CECE"/>
      </right>
      <top style="thin">
        <color rgb="FFD0CECE"/>
      </top>
      <bottom style="thin">
        <color rgb="FFD0CECE"/>
      </bottom>
      <diagonal/>
    </border>
    <border>
      <left/>
      <right style="thin">
        <color rgb="FFD0CECE"/>
      </right>
      <top/>
      <bottom style="thin">
        <color rgb="FFD0CECE"/>
      </bottom>
      <diagonal/>
    </border>
    <border>
      <left style="thin">
        <color rgb="FFD0CECE"/>
      </left>
      <right/>
      <top style="thin">
        <color rgb="FFD0CECE"/>
      </top>
      <bottom style="thin">
        <color rgb="FFD0CECE"/>
      </bottom>
      <diagonal/>
    </border>
    <border>
      <left style="thin">
        <color theme="2" tint="-9.9978637043366805E-2"/>
      </left>
      <right/>
      <top style="thin">
        <color theme="2" tint="-9.9978637043366805E-2"/>
      </top>
      <bottom style="thin">
        <color theme="2" tint="-9.9978637043366805E-2"/>
      </bottom>
      <diagonal/>
    </border>
  </borders>
  <cellStyleXfs count="2">
    <xf numFmtId="0" fontId="0" fillId="0" borderId="0"/>
    <xf numFmtId="0" fontId="3" fillId="0" borderId="0" applyNumberFormat="0" applyFill="0" applyBorder="0" applyAlignment="0" applyProtection="0"/>
  </cellStyleXfs>
  <cellXfs count="79">
    <xf numFmtId="0" fontId="0" fillId="0" borderId="0" xfId="0"/>
    <xf numFmtId="0" fontId="2" fillId="2" borderId="1" xfId="0" applyFont="1" applyFill="1" applyBorder="1"/>
    <xf numFmtId="0" fontId="2" fillId="2" borderId="1" xfId="0" applyFont="1" applyFill="1" applyBorder="1" applyAlignment="1">
      <alignment wrapText="1"/>
    </xf>
    <xf numFmtId="0" fontId="2" fillId="3" borderId="1" xfId="0" applyFont="1" applyFill="1" applyBorder="1"/>
    <xf numFmtId="0" fontId="2" fillId="4" borderId="1" xfId="0" applyFont="1" applyFill="1" applyBorder="1"/>
    <xf numFmtId="0" fontId="2" fillId="0" borderId="1" xfId="0" applyFont="1" applyBorder="1"/>
    <xf numFmtId="0" fontId="0" fillId="0" borderId="1" xfId="0" applyBorder="1"/>
    <xf numFmtId="0" fontId="0" fillId="5" borderId="1" xfId="0" applyFill="1" applyBorder="1"/>
    <xf numFmtId="0" fontId="0" fillId="5" borderId="1" xfId="0" applyFill="1" applyBorder="1" applyAlignment="1">
      <alignment wrapText="1"/>
    </xf>
    <xf numFmtId="0" fontId="0" fillId="6" borderId="1" xfId="0" applyFill="1" applyBorder="1"/>
    <xf numFmtId="0" fontId="0" fillId="7" borderId="1" xfId="0" applyFill="1" applyBorder="1"/>
    <xf numFmtId="0" fontId="0" fillId="0" borderId="0" xfId="0" applyAlignment="1">
      <alignment wrapText="1"/>
    </xf>
    <xf numFmtId="0" fontId="0" fillId="7" borderId="1" xfId="0" applyFill="1" applyBorder="1" applyAlignment="1">
      <alignment wrapText="1"/>
    </xf>
    <xf numFmtId="0" fontId="2" fillId="4" borderId="1" xfId="0" applyFont="1" applyFill="1" applyBorder="1" applyAlignment="1">
      <alignment wrapText="1"/>
    </xf>
    <xf numFmtId="0" fontId="5" fillId="0" borderId="0" xfId="0" applyFont="1"/>
    <xf numFmtId="49" fontId="0" fillId="0" borderId="0" xfId="0" applyNumberFormat="1"/>
    <xf numFmtId="0" fontId="8" fillId="0" borderId="0" xfId="0" applyFont="1" applyAlignment="1">
      <alignment wrapText="1"/>
    </xf>
    <xf numFmtId="0" fontId="6" fillId="8" borderId="4" xfId="0" applyFont="1" applyFill="1" applyBorder="1" applyAlignment="1">
      <alignment wrapText="1"/>
    </xf>
    <xf numFmtId="0" fontId="8" fillId="0" borderId="2" xfId="0" applyFont="1" applyBorder="1" applyAlignment="1">
      <alignment wrapText="1"/>
    </xf>
    <xf numFmtId="0" fontId="9" fillId="8" borderId="3" xfId="0" applyFont="1" applyFill="1" applyBorder="1" applyAlignment="1">
      <alignment wrapText="1"/>
    </xf>
    <xf numFmtId="0" fontId="9" fillId="8" borderId="5" xfId="0" applyFont="1" applyFill="1" applyBorder="1" applyAlignment="1">
      <alignment wrapText="1"/>
    </xf>
    <xf numFmtId="0" fontId="4" fillId="8" borderId="5" xfId="0" applyFont="1" applyFill="1" applyBorder="1" applyAlignment="1">
      <alignment wrapText="1"/>
    </xf>
    <xf numFmtId="0" fontId="0" fillId="9" borderId="1" xfId="0" applyFill="1" applyBorder="1" applyAlignment="1">
      <alignment wrapText="1"/>
    </xf>
    <xf numFmtId="0" fontId="0" fillId="9" borderId="1" xfId="0" applyFill="1" applyBorder="1"/>
    <xf numFmtId="0" fontId="2" fillId="10" borderId="1" xfId="0" applyFont="1" applyFill="1" applyBorder="1" applyAlignment="1">
      <alignment wrapText="1"/>
    </xf>
    <xf numFmtId="0" fontId="4" fillId="8" borderId="3" xfId="0" applyFont="1" applyFill="1" applyBorder="1" applyAlignment="1">
      <alignment vertical="center" wrapText="1"/>
    </xf>
    <xf numFmtId="0" fontId="4" fillId="0" borderId="0" xfId="0" applyFont="1" applyAlignment="1">
      <alignment vertical="center" wrapText="1"/>
    </xf>
    <xf numFmtId="0" fontId="4" fillId="0" borderId="10" xfId="0" applyFont="1" applyBorder="1" applyAlignment="1">
      <alignment vertical="center" wrapText="1"/>
    </xf>
    <xf numFmtId="0" fontId="4" fillId="0" borderId="11" xfId="0" applyFont="1" applyBorder="1" applyAlignment="1">
      <alignment vertical="center" wrapText="1"/>
    </xf>
    <xf numFmtId="49" fontId="0" fillId="0" borderId="0" xfId="0" applyNumberFormat="1" applyAlignment="1">
      <alignment wrapText="1"/>
    </xf>
    <xf numFmtId="49" fontId="3" fillId="0" borderId="0" xfId="1" applyNumberFormat="1"/>
    <xf numFmtId="0" fontId="0" fillId="5" borderId="14" xfId="0" applyFill="1" applyBorder="1"/>
    <xf numFmtId="0" fontId="0" fillId="5" borderId="14" xfId="0" applyFill="1" applyBorder="1" applyAlignment="1">
      <alignment wrapText="1"/>
    </xf>
    <xf numFmtId="0" fontId="0" fillId="7" borderId="14" xfId="0" applyFill="1" applyBorder="1" applyAlignment="1">
      <alignment wrapText="1"/>
    </xf>
    <xf numFmtId="0" fontId="0" fillId="9" borderId="14" xfId="0" applyFill="1" applyBorder="1" applyAlignment="1">
      <alignment wrapText="1"/>
    </xf>
    <xf numFmtId="0" fontId="0" fillId="7" borderId="14" xfId="0" applyFill="1" applyBorder="1"/>
    <xf numFmtId="0" fontId="0" fillId="0" borderId="14" xfId="0" applyBorder="1"/>
    <xf numFmtId="0" fontId="3" fillId="5" borderId="1" xfId="1" applyFill="1" applyBorder="1" applyAlignment="1">
      <alignment wrapText="1"/>
    </xf>
    <xf numFmtId="0" fontId="0" fillId="7" borderId="15" xfId="0" applyFill="1" applyBorder="1"/>
    <xf numFmtId="0" fontId="0" fillId="5" borderId="15" xfId="0" applyFill="1" applyBorder="1" applyAlignment="1">
      <alignment wrapText="1"/>
    </xf>
    <xf numFmtId="0" fontId="0" fillId="7" borderId="15" xfId="0" applyFill="1" applyBorder="1" applyAlignment="1">
      <alignment wrapText="1"/>
    </xf>
    <xf numFmtId="0" fontId="0" fillId="0" borderId="15" xfId="0" applyBorder="1"/>
    <xf numFmtId="0" fontId="3" fillId="0" borderId="0" xfId="1"/>
    <xf numFmtId="14" fontId="0" fillId="0" borderId="0" xfId="0" applyNumberFormat="1"/>
    <xf numFmtId="0" fontId="1" fillId="0" borderId="0" xfId="0" applyFont="1" applyAlignment="1">
      <alignment wrapText="1"/>
    </xf>
    <xf numFmtId="0" fontId="1" fillId="5" borderId="9" xfId="0" applyFont="1" applyFill="1" applyBorder="1" applyAlignment="1">
      <alignment wrapText="1"/>
    </xf>
    <xf numFmtId="0" fontId="1" fillId="9" borderId="8" xfId="0" applyFont="1" applyFill="1" applyBorder="1" applyAlignment="1">
      <alignment wrapText="1"/>
    </xf>
    <xf numFmtId="0" fontId="1" fillId="6" borderId="6" xfId="0" applyFont="1" applyFill="1" applyBorder="1" applyAlignment="1">
      <alignment wrapText="1"/>
    </xf>
    <xf numFmtId="49" fontId="1" fillId="0" borderId="0" xfId="0" applyNumberFormat="1" applyFont="1" applyAlignment="1">
      <alignment wrapText="1"/>
    </xf>
    <xf numFmtId="0" fontId="1" fillId="7" borderId="13" xfId="0" applyFont="1" applyFill="1" applyBorder="1" applyAlignment="1">
      <alignment horizontal="center" wrapText="1"/>
    </xf>
    <xf numFmtId="0" fontId="1" fillId="0" borderId="4" xfId="0" applyFont="1" applyBorder="1" applyAlignment="1">
      <alignment wrapText="1"/>
    </xf>
    <xf numFmtId="0" fontId="20" fillId="11" borderId="16" xfId="0" applyFont="1" applyFill="1" applyBorder="1" applyAlignment="1">
      <alignment wrapText="1"/>
    </xf>
    <xf numFmtId="0" fontId="0" fillId="5" borderId="0" xfId="0" applyFill="1"/>
    <xf numFmtId="0" fontId="3" fillId="5" borderId="1" xfId="1" applyFill="1" applyBorder="1" applyAlignment="1"/>
    <xf numFmtId="0" fontId="20" fillId="12" borderId="16" xfId="0" applyFont="1" applyFill="1" applyBorder="1"/>
    <xf numFmtId="0" fontId="20" fillId="12" borderId="17" xfId="0" applyFont="1" applyFill="1" applyBorder="1" applyAlignment="1">
      <alignment wrapText="1"/>
    </xf>
    <xf numFmtId="0" fontId="20" fillId="12" borderId="17" xfId="0" applyFont="1" applyFill="1" applyBorder="1"/>
    <xf numFmtId="0" fontId="20" fillId="12" borderId="18" xfId="0" applyFont="1" applyFill="1" applyBorder="1"/>
    <xf numFmtId="0" fontId="3" fillId="5" borderId="1" xfId="1" applyFill="1" applyBorder="1"/>
    <xf numFmtId="0" fontId="3" fillId="5" borderId="0" xfId="1" applyFill="1"/>
    <xf numFmtId="0" fontId="20" fillId="12" borderId="0" xfId="0" applyFont="1" applyFill="1"/>
    <xf numFmtId="0" fontId="20" fillId="12" borderId="16" xfId="0" applyFont="1" applyFill="1" applyBorder="1" applyAlignment="1">
      <alignment wrapText="1"/>
    </xf>
    <xf numFmtId="0" fontId="20" fillId="11" borderId="17" xfId="0" applyFont="1" applyFill="1" applyBorder="1" applyAlignment="1">
      <alignment wrapText="1"/>
    </xf>
    <xf numFmtId="0" fontId="20" fillId="13" borderId="17" xfId="0" applyFont="1" applyFill="1" applyBorder="1" applyAlignment="1">
      <alignment wrapText="1"/>
    </xf>
    <xf numFmtId="0" fontId="20" fillId="14" borderId="17" xfId="0" applyFont="1" applyFill="1" applyBorder="1"/>
    <xf numFmtId="0" fontId="20" fillId="11" borderId="17" xfId="0" applyFont="1" applyFill="1" applyBorder="1"/>
    <xf numFmtId="0" fontId="20" fillId="11" borderId="19" xfId="0" applyFont="1" applyFill="1" applyBorder="1" applyAlignment="1">
      <alignment wrapText="1"/>
    </xf>
    <xf numFmtId="0" fontId="0" fillId="7" borderId="20" xfId="0" applyFill="1" applyBorder="1" applyAlignment="1">
      <alignment wrapText="1"/>
    </xf>
    <xf numFmtId="0" fontId="21" fillId="0" borderId="0" xfId="0" applyFont="1"/>
    <xf numFmtId="0" fontId="3" fillId="0" borderId="0" xfId="1" applyAlignment="1">
      <alignment wrapText="1"/>
    </xf>
    <xf numFmtId="0" fontId="22" fillId="0" borderId="0" xfId="0" applyFont="1"/>
    <xf numFmtId="0" fontId="23" fillId="0" borderId="0" xfId="0" applyFont="1"/>
    <xf numFmtId="0" fontId="10" fillId="8" borderId="7" xfId="0" applyFont="1" applyFill="1" applyBorder="1" applyAlignment="1">
      <alignment wrapText="1"/>
    </xf>
    <xf numFmtId="0" fontId="14" fillId="8" borderId="5" xfId="0" applyFont="1" applyFill="1" applyBorder="1" applyAlignment="1">
      <alignment wrapText="1"/>
    </xf>
    <xf numFmtId="0" fontId="10" fillId="8" borderId="5" xfId="0" applyFont="1" applyFill="1" applyBorder="1" applyAlignment="1">
      <alignment wrapText="1"/>
    </xf>
    <xf numFmtId="0" fontId="1" fillId="7" borderId="6" xfId="0" applyFont="1" applyFill="1" applyBorder="1" applyAlignment="1">
      <alignment horizontal="center" wrapText="1"/>
    </xf>
    <xf numFmtId="0" fontId="1" fillId="7" borderId="12" xfId="0" applyFont="1" applyFill="1" applyBorder="1" applyAlignment="1">
      <alignment horizontal="center" wrapText="1"/>
    </xf>
    <xf numFmtId="0" fontId="7" fillId="8" borderId="0" xfId="0" applyFont="1" applyFill="1" applyAlignment="1">
      <alignment horizontal="left" vertical="center" wrapText="1"/>
    </xf>
    <xf numFmtId="0" fontId="5" fillId="8" borderId="0" xfId="0" applyFont="1" applyFill="1" applyAlignment="1">
      <alignment horizontal="left" vertical="center" wrapText="1"/>
    </xf>
  </cellXfs>
  <cellStyles count="2">
    <cellStyle name="Hyperlink" xfId="1" builtinId="8"/>
    <cellStyle name="Normal" xfId="0" builtinId="0"/>
  </cellStyles>
  <dxfs count="3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general" vertical="bottom" textRotation="0" wrapText="1" indent="0" justifyLastLine="0" shrinkToFit="0" readingOrder="0"/>
    </dxf>
    <dxf>
      <numFmt numFmtId="0" formatCode="General"/>
    </dxf>
    <dxf>
      <numFmt numFmtId="0" formatCode="General"/>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453F6B7-EBD0-6145-866E-2A107A5350A7}" autoFormatId="16" applyNumberFormats="0" applyBorderFormats="0" applyFontFormats="0" applyPatternFormats="0" applyAlignmentFormats="0" applyWidthHeightFormats="0">
  <queryTableRefresh nextId="32">
    <queryTableFields count="30">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30" dataBound="0" tableColumnId="30"/>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29" dataBound="0" tableColumnId="29"/>
      <queryTableField id="19" name="Column19" tableColumnId="19"/>
      <queryTableField id="20" name="Column20" tableColumnId="20"/>
      <queryTableField id="21" name="Column21" tableColumnId="21"/>
      <queryTableField id="22" name="Column22" tableColumnId="22"/>
      <queryTableField id="23" name="Column23" tableColumnId="23"/>
      <queryTableField id="24" name="Column24" tableColumnId="24"/>
      <queryTableField id="25" name="Column25" tableColumnId="25"/>
      <queryTableField id="26" name="Column26" tableColumnId="26"/>
      <queryTableField id="27" name="Column27" tableColumnId="27"/>
      <queryTableField id="28" name="Column28" tableColumnId="2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45EE09-1AF1-4648-AE16-A2A2636B4264}" name="us_core_reqs" displayName="us_core_reqs" ref="A1:AD673" tableType="queryTable" totalsRowShown="0" headerRowDxfId="29">
  <autoFilter ref="A1:AD673" xr:uid="{B145EE09-1AF1-4648-AE16-A2A2636B4264}"/>
  <tableColumns count="30">
    <tableColumn id="1" xr3:uid="{3F275434-19D5-294B-BFFE-9F1DA8D54A60}" uniqueName="1" name="Is_New" queryTableFieldId="1" dataDxfId="28"/>
    <tableColumn id="2" xr3:uid="{9941A5D0-1B6C-824A-A3ED-1EAB7A7B96B1}" uniqueName="2" name="ID*" queryTableFieldId="2" dataDxfId="27"/>
    <tableColumn id="3" xr3:uid="{852AA658-898C-CF4A-B23F-6F6468B2FBD2}" uniqueName="3" name="key" queryTableFieldId="3" dataDxfId="26"/>
    <tableColumn id="4" xr3:uid="{F5C3F5D0-4C85-6E48-920D-ECB2526A75C8}" uniqueName="4" name="URL*" queryTableFieldId="4" dataDxfId="25"/>
    <tableColumn id="5" xr3:uid="{08F8506A-94D6-9841-9713-940E0BFD18BA}" uniqueName="5" name="rel_url" queryTableFieldId="5" dataDxfId="24"/>
    <tableColumn id="6" xr3:uid="{ED838C0D-535F-C543-AD08-F333164840ED}" uniqueName="6" name="requirement" queryTableFieldId="6" dataDxfId="23"/>
    <tableColumn id="7" xr3:uid="{0942E9AE-8454-D448-8A59-A6B486FDA1D0}" uniqueName="7" name="conformance" queryTableFieldId="7" dataDxfId="22"/>
    <tableColumn id="30" xr3:uid="{55FD57B9-F666-214A-B891-1852BF179615}" uniqueName="30" name="update_verb" queryTableFieldId="30"/>
    <tableColumn id="8" xr3:uid="{6697FDF9-5E19-AD4C-A948-802729440474}" uniqueName="8" name="actor" queryTableFieldId="8" dataDxfId="21"/>
    <tableColumn id="9" xr3:uid="{782348A4-FDA6-284B-8DE6-E6FBA18A279D}" uniqueName="9" name="certifiers_only" queryTableFieldId="9" dataDxfId="20"/>
    <tableColumn id="10" xr3:uid="{2C5219CA-5A8D-514E-B36E-F791F1E052DB}" uniqueName="10" name="Sub-Requirement(s)" queryTableFieldId="10" dataDxfId="19"/>
    <tableColumn id="11" xr3:uid="{FAACD511-9115-4D4A-87A1-072AFEE7D81A}" uniqueName="11" name="conditionality" queryTableFieldId="11" dataDxfId="18"/>
    <tableColumn id="12" xr3:uid="{C57A131A-51B9-0642-98E5-9323B739BD46}" uniqueName="12" name="Conditionality Details" queryTableFieldId="12" dataDxfId="17"/>
    <tableColumn id="13" xr3:uid="{3C97A665-FEAD-CA43-AC5A-C0C213AF7773}" uniqueName="13" name="Verifiable?" queryTableFieldId="13" dataDxfId="16"/>
    <tableColumn id="14" xr3:uid="{F4F97DEE-1ACC-FA40-8C09-12C6C11BA291}" uniqueName="14" name="Verifiability Details" queryTableFieldId="14" dataDxfId="15"/>
    <tableColumn id="15" xr3:uid="{6739A1CE-249D-8D4E-AE55-B9D5A84811D5}" uniqueName="15" name="Planning To Test?" queryTableFieldId="15" dataDxfId="14"/>
    <tableColumn id="16" xr3:uid="{5EE7894B-04C1-FE4F-837C-CC3B57B34E98}" uniqueName="16" name="Planning To Test Details" queryTableFieldId="16" dataDxfId="13"/>
    <tableColumn id="17" xr3:uid="{BCD7B051-DF0E-CC47-9F46-42CA9606A686}" uniqueName="17" name="Page" queryTableFieldId="17" dataDxfId="12"/>
    <tableColumn id="18" xr3:uid="{F8606DE9-F560-D349-A6EF-C1D9FA7E0773}" uniqueName="18" name="Section" queryTableFieldId="18" dataDxfId="11"/>
    <tableColumn id="29" xr3:uid="{CA451E1C-AED2-F240-96BF-52328849C39E}" uniqueName="29" name="context" queryTableFieldId="29" dataDxfId="10">
      <calculatedColumnFormula>SUBSTITUTE(SUBSTITUTE(PROPER(SUBSTITUTE(us_core_reqs[[#This Row],[Page]], "-", " "))&amp;": "&amp;PROPER(SUBSTITUTE(us_core_reqs[[#This Row],[Section]], "-", " ")),"Us ","US "), "Uscdi", "USCDI")</calculatedColumnFormula>
    </tableColumn>
    <tableColumn id="19" xr3:uid="{ED238864-EAB8-F649-B21D-A627F5EA2F14}" uniqueName="19" name="Verb Guess" queryTableFieldId="19" dataDxfId="9"/>
    <tableColumn id="20" xr3:uid="{705FF31A-651F-A04B-8F4B-2FA1EDA340D7}" uniqueName="20" name="Actor Guess" queryTableFieldId="20" dataDxfId="8"/>
    <tableColumn id="21" xr3:uid="{8F696C66-0F22-2A4A-B997-CCD294023F31}" uniqueName="21" name="Section #" queryTableFieldId="21" dataDxfId="7"/>
    <tableColumn id="22" xr3:uid="{69E095DD-0AE6-CA4E-9D02-05B2104AA5D9}" uniqueName="22" name="Grouping" queryTableFieldId="22" dataDxfId="6"/>
    <tableColumn id="23" xr3:uid="{656C549B-CB81-BA46-810B-5CB6A12C6C72}" uniqueName="23" name="Priority" queryTableFieldId="23" dataDxfId="5"/>
    <tableColumn id="24" xr3:uid="{939374BB-5AD2-4B4B-BEC4-6DFB96DF97CA}" uniqueName="24" name="Test Plan" queryTableFieldId="24" dataDxfId="4"/>
    <tableColumn id="25" xr3:uid="{7011B904-5C24-7A4C-9AB6-8D624594FCC5}" uniqueName="25" name="Questions" queryTableFieldId="25" dataDxfId="3"/>
    <tableColumn id="26" xr3:uid="{3BC520EE-3BB8-5F4F-8D89-ADB95D73A1B7}" uniqueName="26" name="Notes" queryTableFieldId="26" dataDxfId="2"/>
    <tableColumn id="27" xr3:uid="{8BEBA5E6-295D-5542-AA29-0396F4041321}" uniqueName="27" name="In Test" queryTableFieldId="27" dataDxfId="1"/>
    <tableColumn id="28" xr3:uid="{B6B29530-05E2-894D-B88E-6357142EE042}" uniqueName="28" name="Column1" queryTableFieldId="2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hl7.org/fhir/us/core/STU8/must-support.htm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hl7.org/fhir/us/core/STU8/StructureDefinition-us-core-allergyintolerance.html" TargetMode="External"/><Relationship Id="rId13" Type="http://schemas.openxmlformats.org/officeDocument/2006/relationships/hyperlink" Target="https://hl7.org/fhir/us/core/STU8/StructureDefinition-us-core-observation-screening-assessment.html" TargetMode="External"/><Relationship Id="rId3" Type="http://schemas.openxmlformats.org/officeDocument/2006/relationships/hyperlink" Target="https://hl7.org/fhir/us/core/STU8/screening-and-assessments.html" TargetMode="External"/><Relationship Id="rId7" Type="http://schemas.openxmlformats.org/officeDocument/2006/relationships/hyperlink" Target="https://hl7.org/fhir/us/core/STU8/basic-provenance.html" TargetMode="External"/><Relationship Id="rId12" Type="http://schemas.openxmlformats.org/officeDocument/2006/relationships/hyperlink" Target="https://hl7.org/fhir/us/core/STU8/screening-and-assessments.html" TargetMode="External"/><Relationship Id="rId2" Type="http://schemas.openxmlformats.org/officeDocument/2006/relationships/hyperlink" Target="https://hl7.org/fhir/us/core/STU8/medication-list.html" TargetMode="External"/><Relationship Id="rId1" Type="http://schemas.openxmlformats.org/officeDocument/2006/relationships/hyperlink" Target="https://hl7.org/fhir/us/core/STU8/scopes.html" TargetMode="External"/><Relationship Id="rId6" Type="http://schemas.openxmlformats.org/officeDocument/2006/relationships/hyperlink" Target="https://hl7.org/fhir/us/core/STU8/medication-list.html" TargetMode="External"/><Relationship Id="rId11" Type="http://schemas.openxmlformats.org/officeDocument/2006/relationships/hyperlink" Target="https://hl7.org/fhir/us/core/STU8/StructureDefinition-us-core-questionnaireresponse.html" TargetMode="External"/><Relationship Id="rId5" Type="http://schemas.openxmlformats.org/officeDocument/2006/relationships/hyperlink" Target="https://hl7.org/fhir/us/core/STU8/general-requirements.html" TargetMode="External"/><Relationship Id="rId10" Type="http://schemas.openxmlformats.org/officeDocument/2006/relationships/hyperlink" Target="https://hl7.org/fhir/us/core/STU8/StructureDefinition-us-core-questionnaireresponse.html" TargetMode="External"/><Relationship Id="rId4" Type="http://schemas.openxmlformats.org/officeDocument/2006/relationships/hyperlink" Target="https://hl7.org/fhir/us/core/STU8/general-requirements.html" TargetMode="External"/><Relationship Id="rId9" Type="http://schemas.openxmlformats.org/officeDocument/2006/relationships/hyperlink" Target="https://hl7.org/fhir/us/core/STU8/StructureDefinition-us-core-provenance.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hl7.org/fhir/us/core/STU7/"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mailto:ewhitebay@mitre.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A7094-ECFF-0B4E-A5C9-6F41B8D76EEB}">
  <dimension ref="A1:C11"/>
  <sheetViews>
    <sheetView topLeftCell="A9" zoomScale="130" zoomScaleNormal="130" workbookViewId="0">
      <selection activeCell="A10" sqref="A10"/>
    </sheetView>
  </sheetViews>
  <sheetFormatPr baseColWidth="10" defaultColWidth="10.6640625" defaultRowHeight="16" x14ac:dyDescent="0.2"/>
  <cols>
    <col min="1" max="1" width="148.83203125" style="18" customWidth="1"/>
    <col min="2" max="2" width="10.6640625" style="16"/>
    <col min="3" max="3" width="91.1640625" style="16" customWidth="1"/>
    <col min="4" max="16384" width="10.6640625" style="11"/>
  </cols>
  <sheetData>
    <row r="1" spans="1:3" ht="340.25" customHeight="1" x14ac:dyDescent="0.2">
      <c r="A1" s="19" t="s">
        <v>0</v>
      </c>
      <c r="B1" s="44"/>
      <c r="C1" s="25" t="s">
        <v>1</v>
      </c>
    </row>
    <row r="2" spans="1:3" ht="124.5" customHeight="1" x14ac:dyDescent="0.2">
      <c r="A2" s="20" t="s">
        <v>2</v>
      </c>
      <c r="B2" s="44"/>
      <c r="C2" s="28"/>
    </row>
    <row r="3" spans="1:3" ht="134" customHeight="1" x14ac:dyDescent="0.2">
      <c r="A3" s="20" t="s">
        <v>3</v>
      </c>
      <c r="B3" s="44"/>
      <c r="C3" s="26"/>
    </row>
    <row r="4" spans="1:3" ht="409.25" customHeight="1" x14ac:dyDescent="0.2">
      <c r="A4" s="72" t="s">
        <v>1168</v>
      </c>
      <c r="B4" s="45"/>
      <c r="C4" s="27"/>
    </row>
    <row r="5" spans="1:3" ht="258" customHeight="1" x14ac:dyDescent="0.2">
      <c r="A5" s="73"/>
      <c r="B5" s="46"/>
      <c r="C5" s="26"/>
    </row>
    <row r="6" spans="1:3" ht="164" x14ac:dyDescent="0.2">
      <c r="A6" s="21" t="s">
        <v>4</v>
      </c>
      <c r="B6" s="47"/>
      <c r="C6" s="48"/>
    </row>
    <row r="7" spans="1:3" ht="98" customHeight="1" x14ac:dyDescent="0.2">
      <c r="A7" s="74" t="s">
        <v>5</v>
      </c>
      <c r="B7" s="75"/>
      <c r="C7" s="44"/>
    </row>
    <row r="8" spans="1:3" ht="126" customHeight="1" x14ac:dyDescent="0.2">
      <c r="A8" s="74"/>
      <c r="B8" s="76"/>
      <c r="C8" s="44"/>
    </row>
    <row r="9" spans="1:3" ht="68" customHeight="1" x14ac:dyDescent="0.2">
      <c r="A9" s="72"/>
      <c r="B9" s="49"/>
      <c r="C9" s="44"/>
    </row>
    <row r="10" spans="1:3" ht="292" x14ac:dyDescent="0.2">
      <c r="A10" s="17" t="s">
        <v>6</v>
      </c>
      <c r="B10" s="44"/>
      <c r="C10" s="44"/>
    </row>
    <row r="11" spans="1:3" x14ac:dyDescent="0.2">
      <c r="A11" s="50"/>
      <c r="B11" s="44"/>
      <c r="C11" s="44"/>
    </row>
  </sheetData>
  <mergeCells count="3">
    <mergeCell ref="A4:A5"/>
    <mergeCell ref="A7:A9"/>
    <mergeCell ref="B7:B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A2812-8584-6144-AD53-A42B5249A80A}">
  <dimension ref="A1:AD673"/>
  <sheetViews>
    <sheetView tabSelected="1" topLeftCell="A593" zoomScale="140" zoomScaleNormal="140" workbookViewId="0">
      <selection activeCell="F605" sqref="F605"/>
    </sheetView>
  </sheetViews>
  <sheetFormatPr baseColWidth="10" defaultRowHeight="16" x14ac:dyDescent="0.2"/>
  <cols>
    <col min="1" max="1" width="11.1640625" bestFit="1" customWidth="1"/>
    <col min="3" max="3" width="11.1640625" bestFit="1" customWidth="1"/>
    <col min="4" max="4" width="54.5" style="11" customWidth="1"/>
    <col min="5" max="5" width="23.5" customWidth="1"/>
    <col min="6" max="6" width="58.1640625" style="11" customWidth="1"/>
    <col min="7" max="7" width="12.1640625" bestFit="1" customWidth="1"/>
    <col min="8" max="8" width="26" customWidth="1"/>
    <col min="9" max="9" width="14.5" customWidth="1"/>
    <col min="10" max="10" width="13.1640625" bestFit="1" customWidth="1"/>
    <col min="11" max="11" width="15.6640625" customWidth="1"/>
    <col min="12" max="12" width="12.6640625" bestFit="1" customWidth="1"/>
    <col min="13" max="13" width="80.6640625" bestFit="1" customWidth="1"/>
    <col min="14" max="14" width="12.1640625" bestFit="1" customWidth="1"/>
    <col min="15" max="15" width="16.6640625" bestFit="1" customWidth="1"/>
    <col min="16" max="16" width="14.6640625" bestFit="1" customWidth="1"/>
    <col min="17" max="17" width="80.6640625" bestFit="1" customWidth="1"/>
    <col min="18" max="18" width="58.33203125" bestFit="1" customWidth="1"/>
    <col min="19" max="19" width="72.5" bestFit="1" customWidth="1"/>
    <col min="20" max="20" width="72.5" customWidth="1"/>
    <col min="21" max="26" width="12.1640625" bestFit="1" customWidth="1"/>
    <col min="27" max="28" width="80.6640625" bestFit="1" customWidth="1"/>
    <col min="29" max="30" width="12.1640625" bestFit="1" customWidth="1"/>
  </cols>
  <sheetData>
    <row r="1" spans="1:30" ht="17" x14ac:dyDescent="0.2">
      <c r="A1" t="s">
        <v>1170</v>
      </c>
      <c r="B1" t="s">
        <v>7</v>
      </c>
      <c r="C1" t="s">
        <v>1835</v>
      </c>
      <c r="D1" s="11" t="s">
        <v>8</v>
      </c>
      <c r="E1" t="s">
        <v>1840</v>
      </c>
      <c r="F1" s="11" t="s">
        <v>1836</v>
      </c>
      <c r="G1" t="s">
        <v>1837</v>
      </c>
      <c r="H1" t="s">
        <v>1844</v>
      </c>
      <c r="I1" t="s">
        <v>1838</v>
      </c>
      <c r="J1" t="s">
        <v>1839</v>
      </c>
      <c r="K1" t="s">
        <v>12</v>
      </c>
      <c r="L1" t="s">
        <v>1885</v>
      </c>
      <c r="M1" t="s">
        <v>14</v>
      </c>
      <c r="N1" t="s">
        <v>15</v>
      </c>
      <c r="O1" t="s">
        <v>16</v>
      </c>
      <c r="P1" t="s">
        <v>17</v>
      </c>
      <c r="Q1" t="s">
        <v>18</v>
      </c>
      <c r="R1" t="s">
        <v>19</v>
      </c>
      <c r="S1" t="s">
        <v>20</v>
      </c>
      <c r="T1" t="s">
        <v>1841</v>
      </c>
      <c r="U1" t="s">
        <v>21</v>
      </c>
      <c r="V1" t="s">
        <v>22</v>
      </c>
      <c r="W1" t="s">
        <v>23</v>
      </c>
      <c r="X1" t="s">
        <v>24</v>
      </c>
      <c r="Y1" t="s">
        <v>25</v>
      </c>
      <c r="Z1" t="s">
        <v>26</v>
      </c>
      <c r="AA1" t="s">
        <v>27</v>
      </c>
      <c r="AB1" t="s">
        <v>28</v>
      </c>
      <c r="AC1" t="s">
        <v>1139</v>
      </c>
      <c r="AD1" t="s">
        <v>1169</v>
      </c>
    </row>
    <row r="2" spans="1:30" ht="51" x14ac:dyDescent="0.2">
      <c r="A2" t="s">
        <v>1171</v>
      </c>
      <c r="B2" t="s">
        <v>1172</v>
      </c>
      <c r="C2" t="str">
        <f>"CONF-"&amp;TEXT(us_core_reqs[[#This Row],[ID*]], "0000")</f>
        <v>CONF-0001</v>
      </c>
      <c r="D2" s="11" t="s">
        <v>610</v>
      </c>
      <c r="E2" t="str">
        <f>SUBSTITUTE(us_core_reqs[[#This Row],[URL*]], "https://hl7.org/fhir/us/core/STU8/","")</f>
        <v>general-requirements.html#profile-only-support</v>
      </c>
      <c r="F2" s="11" t="s">
        <v>961</v>
      </c>
      <c r="G2" t="s">
        <v>29</v>
      </c>
      <c r="I2" t="s">
        <v>30</v>
      </c>
      <c r="J2" t="s">
        <v>1171</v>
      </c>
      <c r="K2" t="s">
        <v>1171</v>
      </c>
      <c r="L2" t="s">
        <v>1173</v>
      </c>
      <c r="M2" t="s">
        <v>1171</v>
      </c>
      <c r="N2" t="s">
        <v>1171</v>
      </c>
      <c r="O2" t="s">
        <v>1171</v>
      </c>
      <c r="P2" t="s">
        <v>1171</v>
      </c>
      <c r="Q2" t="s">
        <v>1171</v>
      </c>
      <c r="R2" t="str">
        <f>_xlfn.TEXTBEFORE(_xlfn.TEXTAFTER(us_core_reqs[[#This Row],[URL*]],"/",-1),".")</f>
        <v>general-requirements</v>
      </c>
      <c r="S2" t="str">
        <f>_xlfn.TEXTAFTER(us_core_reqs[[#This Row],[URL*]],"#",-1)</f>
        <v>profile-only-support</v>
      </c>
      <c r="T2" t="str">
        <f>SUBSTITUTE(SUBSTITUTE(PROPER(SUBSTITUTE(us_core_reqs[[#This Row],[Page]], "-", " "))&amp;": "&amp;PROPER(SUBSTITUTE(us_core_reqs[[#This Row],[Section]], "-", " ")),"Us ","US "), "Uscdi", "USCDI")</f>
        <v>General Requirements: Profile Only Support</v>
      </c>
      <c r="U2" t="s">
        <v>29</v>
      </c>
      <c r="V2" t="s">
        <v>30</v>
      </c>
      <c r="W2" t="s">
        <v>31</v>
      </c>
      <c r="X2" t="s">
        <v>1171</v>
      </c>
      <c r="Y2" t="s">
        <v>1171</v>
      </c>
      <c r="Z2" t="s">
        <v>1171</v>
      </c>
      <c r="AA2" t="s">
        <v>1171</v>
      </c>
      <c r="AB2" t="s">
        <v>1171</v>
      </c>
      <c r="AC2" t="s">
        <v>1140</v>
      </c>
      <c r="AD2" t="s">
        <v>1171</v>
      </c>
    </row>
    <row r="3" spans="1:30" ht="51" x14ac:dyDescent="0.2">
      <c r="A3" t="s">
        <v>1171</v>
      </c>
      <c r="B3" t="s">
        <v>1174</v>
      </c>
      <c r="C3" t="str">
        <f>"CONF-"&amp;TEXT(us_core_reqs[[#This Row],[ID*]], "0000")</f>
        <v>CONF-0002</v>
      </c>
      <c r="D3" s="11" t="s">
        <v>610</v>
      </c>
      <c r="E3" t="str">
        <f>SUBSTITUTE(us_core_reqs[[#This Row],[URL*]], "https://hl7.org/fhir/us/core/STU8/","")</f>
        <v>general-requirements.html#profile-only-support</v>
      </c>
      <c r="F3" s="11" t="s">
        <v>962</v>
      </c>
      <c r="G3" t="s">
        <v>32</v>
      </c>
      <c r="I3" t="s">
        <v>30</v>
      </c>
      <c r="J3" t="s">
        <v>1171</v>
      </c>
      <c r="K3" t="s">
        <v>1171</v>
      </c>
      <c r="L3" t="s">
        <v>1173</v>
      </c>
      <c r="M3" t="s">
        <v>1171</v>
      </c>
      <c r="N3" t="s">
        <v>1171</v>
      </c>
      <c r="O3" t="s">
        <v>1171</v>
      </c>
      <c r="P3" t="s">
        <v>1171</v>
      </c>
      <c r="Q3" t="s">
        <v>1171</v>
      </c>
      <c r="R3" t="str">
        <f>_xlfn.TEXTBEFORE(_xlfn.TEXTAFTER(us_core_reqs[[#This Row],[URL*]],"/",-1),".")</f>
        <v>general-requirements</v>
      </c>
      <c r="S3" t="str">
        <f>_xlfn.TEXTAFTER(us_core_reqs[[#This Row],[URL*]],"#",-1)</f>
        <v>profile-only-support</v>
      </c>
      <c r="T3" t="str">
        <f>SUBSTITUTE(SUBSTITUTE(PROPER(SUBSTITUTE(us_core_reqs[[#This Row],[Page]], "-", " "))&amp;": "&amp;PROPER(SUBSTITUTE(us_core_reqs[[#This Row],[Section]], "-", " ")),"Us ","US "), "Uscdi", "USCDI")</f>
        <v>General Requirements: Profile Only Support</v>
      </c>
      <c r="U3" t="s">
        <v>32</v>
      </c>
      <c r="V3" t="s">
        <v>30</v>
      </c>
      <c r="W3" t="s">
        <v>33</v>
      </c>
      <c r="X3" t="s">
        <v>1171</v>
      </c>
      <c r="Y3" t="s">
        <v>1171</v>
      </c>
      <c r="Z3" t="s">
        <v>1171</v>
      </c>
      <c r="AA3" t="s">
        <v>1171</v>
      </c>
      <c r="AB3" t="s">
        <v>1171</v>
      </c>
      <c r="AC3" t="s">
        <v>1171</v>
      </c>
      <c r="AD3" t="s">
        <v>1171</v>
      </c>
    </row>
    <row r="4" spans="1:30" ht="34" x14ac:dyDescent="0.2">
      <c r="A4" t="s">
        <v>1171</v>
      </c>
      <c r="B4" t="s">
        <v>1175</v>
      </c>
      <c r="C4" t="str">
        <f>"CONF-"&amp;TEXT(us_core_reqs[[#This Row],[ID*]], "0000")</f>
        <v>CONF-0003</v>
      </c>
      <c r="D4" s="11" t="s">
        <v>817</v>
      </c>
      <c r="E4" t="str">
        <f>SUBSTITUTE(us_core_reqs[[#This Row],[URL*]], "https://hl7.org/fhir/us/core/STU8/","")</f>
        <v>general-requirements.html#profile-support--interaction-support</v>
      </c>
      <c r="F4" s="11" t="s">
        <v>34</v>
      </c>
      <c r="G4" t="s">
        <v>35</v>
      </c>
      <c r="I4" t="s">
        <v>30</v>
      </c>
      <c r="J4" t="s">
        <v>1171</v>
      </c>
      <c r="K4" t="s">
        <v>1095</v>
      </c>
      <c r="L4" t="s">
        <v>1176</v>
      </c>
      <c r="M4" t="s">
        <v>36</v>
      </c>
      <c r="N4" t="s">
        <v>1171</v>
      </c>
      <c r="O4" t="s">
        <v>1171</v>
      </c>
      <c r="P4" t="s">
        <v>1171</v>
      </c>
      <c r="Q4" t="s">
        <v>1171</v>
      </c>
      <c r="R4" t="str">
        <f>_xlfn.TEXTBEFORE(_xlfn.TEXTAFTER(us_core_reqs[[#This Row],[URL*]],"/",-1),".")</f>
        <v>general-requirements</v>
      </c>
      <c r="S4" t="str">
        <f>_xlfn.TEXTAFTER(us_core_reqs[[#This Row],[URL*]],"#",-1)</f>
        <v>profile-support--interaction-support</v>
      </c>
      <c r="T4" t="str">
        <f>SUBSTITUTE(SUBSTITUTE(PROPER(SUBSTITUTE(us_core_reqs[[#This Row],[Page]], "-", " "))&amp;": "&amp;PROPER(SUBSTITUTE(us_core_reqs[[#This Row],[Section]], "-", " ")),"Us ","US "), "Uscdi", "USCDI")</f>
        <v>General Requirements: Profile Support  Interaction Support</v>
      </c>
      <c r="U4" t="s">
        <v>35</v>
      </c>
      <c r="V4" t="s">
        <v>30</v>
      </c>
      <c r="W4" t="s">
        <v>33</v>
      </c>
      <c r="X4" t="s">
        <v>1171</v>
      </c>
      <c r="Y4" t="s">
        <v>1171</v>
      </c>
      <c r="Z4" t="s">
        <v>1171</v>
      </c>
      <c r="AA4" t="s">
        <v>1171</v>
      </c>
      <c r="AB4" t="s">
        <v>1171</v>
      </c>
      <c r="AC4" t="s">
        <v>1171</v>
      </c>
      <c r="AD4" t="s">
        <v>1171</v>
      </c>
    </row>
    <row r="5" spans="1:30" ht="34" x14ac:dyDescent="0.2">
      <c r="A5" t="s">
        <v>1171</v>
      </c>
      <c r="B5" t="s">
        <v>1177</v>
      </c>
      <c r="C5" t="str">
        <f>"CONF-"&amp;TEXT(us_core_reqs[[#This Row],[ID*]], "0000")</f>
        <v>CONF-0004</v>
      </c>
      <c r="D5" s="11" t="s">
        <v>817</v>
      </c>
      <c r="E5" t="str">
        <f>SUBSTITUTE(us_core_reqs[[#This Row],[URL*]], "https://hl7.org/fhir/us/core/STU8/","")</f>
        <v>general-requirements.html#profile-support--interaction-support</v>
      </c>
      <c r="F5" s="11" t="s">
        <v>37</v>
      </c>
      <c r="G5" t="s">
        <v>35</v>
      </c>
      <c r="I5" t="s">
        <v>30</v>
      </c>
      <c r="J5" t="s">
        <v>1171</v>
      </c>
      <c r="K5" t="s">
        <v>1171</v>
      </c>
      <c r="L5" t="s">
        <v>1176</v>
      </c>
      <c r="M5" t="s">
        <v>1171</v>
      </c>
      <c r="N5" t="s">
        <v>1171</v>
      </c>
      <c r="O5" t="s">
        <v>1171</v>
      </c>
      <c r="P5" t="s">
        <v>1171</v>
      </c>
      <c r="Q5" t="s">
        <v>1171</v>
      </c>
      <c r="R5" t="str">
        <f>_xlfn.TEXTBEFORE(_xlfn.TEXTAFTER(us_core_reqs[[#This Row],[URL*]],"/",-1),".")</f>
        <v>general-requirements</v>
      </c>
      <c r="S5" t="str">
        <f>_xlfn.TEXTAFTER(us_core_reqs[[#This Row],[URL*]],"#",-1)</f>
        <v>profile-support--interaction-support</v>
      </c>
      <c r="T5" t="str">
        <f>SUBSTITUTE(SUBSTITUTE(PROPER(SUBSTITUTE(us_core_reqs[[#This Row],[Page]], "-", " "))&amp;": "&amp;PROPER(SUBSTITUTE(us_core_reqs[[#This Row],[Section]], "-", " ")),"Us ","US "), "Uscdi", "USCDI")</f>
        <v>General Requirements: Profile Support  Interaction Support</v>
      </c>
      <c r="U5" t="s">
        <v>35</v>
      </c>
      <c r="V5" t="s">
        <v>30</v>
      </c>
      <c r="W5" t="s">
        <v>33</v>
      </c>
      <c r="X5" t="s">
        <v>1171</v>
      </c>
      <c r="Y5" t="s">
        <v>1171</v>
      </c>
      <c r="Z5" t="s">
        <v>1171</v>
      </c>
      <c r="AA5" t="s">
        <v>1171</v>
      </c>
      <c r="AB5" t="s">
        <v>1171</v>
      </c>
      <c r="AC5" t="s">
        <v>1171</v>
      </c>
      <c r="AD5" t="s">
        <v>1171</v>
      </c>
    </row>
    <row r="6" spans="1:30" ht="34" x14ac:dyDescent="0.2">
      <c r="A6" t="s">
        <v>1171</v>
      </c>
      <c r="B6" t="s">
        <v>1178</v>
      </c>
      <c r="C6" t="str">
        <f>"CONF-"&amp;TEXT(us_core_reqs[[#This Row],[ID*]], "0000")</f>
        <v>CONF-0005</v>
      </c>
      <c r="D6" s="11" t="s">
        <v>817</v>
      </c>
      <c r="E6" t="str">
        <f>SUBSTITUTE(us_core_reqs[[#This Row],[URL*]], "https://hl7.org/fhir/us/core/STU8/","")</f>
        <v>general-requirements.html#profile-support--interaction-support</v>
      </c>
      <c r="F6" s="11" t="s">
        <v>38</v>
      </c>
      <c r="G6" t="s">
        <v>35</v>
      </c>
      <c r="I6" t="s">
        <v>30</v>
      </c>
      <c r="J6" t="s">
        <v>1171</v>
      </c>
      <c r="K6" t="s">
        <v>1171</v>
      </c>
      <c r="L6" t="s">
        <v>1176</v>
      </c>
      <c r="M6" t="s">
        <v>1171</v>
      </c>
      <c r="N6" t="s">
        <v>1171</v>
      </c>
      <c r="O6" t="s">
        <v>1171</v>
      </c>
      <c r="P6" t="s">
        <v>1171</v>
      </c>
      <c r="Q6" t="s">
        <v>1171</v>
      </c>
      <c r="R6" t="str">
        <f>_xlfn.TEXTBEFORE(_xlfn.TEXTAFTER(us_core_reqs[[#This Row],[URL*]],"/",-1),".")</f>
        <v>general-requirements</v>
      </c>
      <c r="S6" t="str">
        <f>_xlfn.TEXTAFTER(us_core_reqs[[#This Row],[URL*]],"#",-1)</f>
        <v>profile-support--interaction-support</v>
      </c>
      <c r="T6" t="str">
        <f>SUBSTITUTE(SUBSTITUTE(PROPER(SUBSTITUTE(us_core_reqs[[#This Row],[Page]], "-", " "))&amp;": "&amp;PROPER(SUBSTITUTE(us_core_reqs[[#This Row],[Section]], "-", " ")),"Us ","US "), "Uscdi", "USCDI")</f>
        <v>General Requirements: Profile Support  Interaction Support</v>
      </c>
      <c r="U6" t="s">
        <v>35</v>
      </c>
      <c r="V6" t="s">
        <v>30</v>
      </c>
      <c r="W6" t="s">
        <v>33</v>
      </c>
      <c r="X6" t="s">
        <v>1171</v>
      </c>
      <c r="Y6" t="s">
        <v>1171</v>
      </c>
      <c r="Z6" t="s">
        <v>1171</v>
      </c>
      <c r="AA6" t="s">
        <v>1171</v>
      </c>
      <c r="AB6" t="s">
        <v>1171</v>
      </c>
      <c r="AC6" t="s">
        <v>1171</v>
      </c>
      <c r="AD6" t="s">
        <v>1171</v>
      </c>
    </row>
    <row r="7" spans="1:30" ht="34" x14ac:dyDescent="0.2">
      <c r="A7" t="s">
        <v>1171</v>
      </c>
      <c r="B7" t="s">
        <v>1179</v>
      </c>
      <c r="C7" t="str">
        <f>"CONF-"&amp;TEXT(us_core_reqs[[#This Row],[ID*]], "0000")</f>
        <v>CONF-0006</v>
      </c>
      <c r="D7" s="11" t="s">
        <v>817</v>
      </c>
      <c r="E7" t="str">
        <f>SUBSTITUTE(us_core_reqs[[#This Row],[URL*]], "https://hl7.org/fhir/us/core/STU8/","")</f>
        <v>general-requirements.html#profile-support--interaction-support</v>
      </c>
      <c r="F7" s="11" t="s">
        <v>39</v>
      </c>
      <c r="G7" t="s">
        <v>35</v>
      </c>
      <c r="I7" t="s">
        <v>30</v>
      </c>
      <c r="J7" t="s">
        <v>1171</v>
      </c>
      <c r="K7" t="s">
        <v>1171</v>
      </c>
      <c r="L7" t="s">
        <v>1176</v>
      </c>
      <c r="M7" t="s">
        <v>1171</v>
      </c>
      <c r="N7" t="s">
        <v>1171</v>
      </c>
      <c r="O7" t="s">
        <v>1171</v>
      </c>
      <c r="P7" t="s">
        <v>1171</v>
      </c>
      <c r="Q7" t="s">
        <v>1171</v>
      </c>
      <c r="R7" t="str">
        <f>_xlfn.TEXTBEFORE(_xlfn.TEXTAFTER(us_core_reqs[[#This Row],[URL*]],"/",-1),".")</f>
        <v>general-requirements</v>
      </c>
      <c r="S7" t="str">
        <f>_xlfn.TEXTAFTER(us_core_reqs[[#This Row],[URL*]],"#",-1)</f>
        <v>profile-support--interaction-support</v>
      </c>
      <c r="T7" t="str">
        <f>SUBSTITUTE(SUBSTITUTE(PROPER(SUBSTITUTE(us_core_reqs[[#This Row],[Page]], "-", " "))&amp;": "&amp;PROPER(SUBSTITUTE(us_core_reqs[[#This Row],[Section]], "-", " ")),"Us ","US "), "Uscdi", "USCDI")</f>
        <v>General Requirements: Profile Support  Interaction Support</v>
      </c>
      <c r="U7" t="s">
        <v>35</v>
      </c>
      <c r="V7" t="s">
        <v>30</v>
      </c>
      <c r="W7" t="s">
        <v>33</v>
      </c>
      <c r="X7" t="s">
        <v>1171</v>
      </c>
      <c r="Y7" t="s">
        <v>1171</v>
      </c>
      <c r="Z7" t="s">
        <v>1171</v>
      </c>
      <c r="AA7" t="s">
        <v>1171</v>
      </c>
      <c r="AB7" t="s">
        <v>1171</v>
      </c>
      <c r="AC7" t="s">
        <v>1171</v>
      </c>
      <c r="AD7" t="s">
        <v>1171</v>
      </c>
    </row>
    <row r="8" spans="1:30" ht="51" x14ac:dyDescent="0.2">
      <c r="A8" t="s">
        <v>1171</v>
      </c>
      <c r="B8" t="s">
        <v>1180</v>
      </c>
      <c r="C8" t="str">
        <f>"CONF-"&amp;TEXT(us_core_reqs[[#This Row],[ID*]], "0000")</f>
        <v>CONF-0007</v>
      </c>
      <c r="D8" s="11" t="s">
        <v>817</v>
      </c>
      <c r="E8" t="str">
        <f>SUBSTITUTE(us_core_reqs[[#This Row],[URL*]], "https://hl7.org/fhir/us/core/STU8/","")</f>
        <v>general-requirements.html#profile-support--interaction-support</v>
      </c>
      <c r="F8" s="11" t="s">
        <v>40</v>
      </c>
      <c r="G8" t="s">
        <v>35</v>
      </c>
      <c r="I8" t="s">
        <v>30</v>
      </c>
      <c r="J8" t="s">
        <v>1171</v>
      </c>
      <c r="K8" t="s">
        <v>1171</v>
      </c>
      <c r="L8" t="s">
        <v>1176</v>
      </c>
      <c r="M8" t="s">
        <v>1171</v>
      </c>
      <c r="N8" t="s">
        <v>1171</v>
      </c>
      <c r="O8" t="s">
        <v>1171</v>
      </c>
      <c r="P8" t="s">
        <v>1171</v>
      </c>
      <c r="Q8" t="s">
        <v>1171</v>
      </c>
      <c r="R8" t="str">
        <f>_xlfn.TEXTBEFORE(_xlfn.TEXTAFTER(us_core_reqs[[#This Row],[URL*]],"/",-1),".")</f>
        <v>general-requirements</v>
      </c>
      <c r="S8" t="str">
        <f>_xlfn.TEXTAFTER(us_core_reqs[[#This Row],[URL*]],"#",-1)</f>
        <v>profile-support--interaction-support</v>
      </c>
      <c r="T8" t="str">
        <f>SUBSTITUTE(SUBSTITUTE(PROPER(SUBSTITUTE(us_core_reqs[[#This Row],[Page]], "-", " "))&amp;": "&amp;PROPER(SUBSTITUTE(us_core_reqs[[#This Row],[Section]], "-", " ")),"Us ","US "), "Uscdi", "USCDI")</f>
        <v>General Requirements: Profile Support  Interaction Support</v>
      </c>
      <c r="U8" t="s">
        <v>35</v>
      </c>
      <c r="V8" t="s">
        <v>30</v>
      </c>
      <c r="W8" t="s">
        <v>33</v>
      </c>
      <c r="X8" t="s">
        <v>1171</v>
      </c>
      <c r="Y8" t="s">
        <v>1171</v>
      </c>
      <c r="Z8" t="s">
        <v>1171</v>
      </c>
      <c r="AA8" t="s">
        <v>1171</v>
      </c>
      <c r="AB8" t="s">
        <v>1171</v>
      </c>
      <c r="AC8" t="s">
        <v>1171</v>
      </c>
      <c r="AD8" t="s">
        <v>1171</v>
      </c>
    </row>
    <row r="9" spans="1:30" ht="51" x14ac:dyDescent="0.2">
      <c r="A9" t="s">
        <v>1171</v>
      </c>
      <c r="B9" t="s">
        <v>1181</v>
      </c>
      <c r="C9" t="str">
        <f>"CONF-"&amp;TEXT(us_core_reqs[[#This Row],[ID*]], "0000")</f>
        <v>CONF-0008</v>
      </c>
      <c r="D9" s="11" t="s">
        <v>817</v>
      </c>
      <c r="E9" t="str">
        <f>SUBSTITUTE(us_core_reqs[[#This Row],[URL*]], "https://hl7.org/fhir/us/core/STU8/","")</f>
        <v>general-requirements.html#profile-support--interaction-support</v>
      </c>
      <c r="F9" s="11" t="s">
        <v>41</v>
      </c>
      <c r="G9" t="s">
        <v>35</v>
      </c>
      <c r="I9" t="s">
        <v>30</v>
      </c>
      <c r="J9" t="s">
        <v>1171</v>
      </c>
      <c r="K9" t="s">
        <v>1171</v>
      </c>
      <c r="L9" t="s">
        <v>1176</v>
      </c>
      <c r="M9" t="s">
        <v>1171</v>
      </c>
      <c r="N9" t="s">
        <v>1171</v>
      </c>
      <c r="O9" t="s">
        <v>1171</v>
      </c>
      <c r="P9" t="s">
        <v>1171</v>
      </c>
      <c r="Q9" t="s">
        <v>1171</v>
      </c>
      <c r="R9" t="str">
        <f>_xlfn.TEXTBEFORE(_xlfn.TEXTAFTER(us_core_reqs[[#This Row],[URL*]],"/",-1),".")</f>
        <v>general-requirements</v>
      </c>
      <c r="S9" t="str">
        <f>_xlfn.TEXTAFTER(us_core_reqs[[#This Row],[URL*]],"#",-1)</f>
        <v>profile-support--interaction-support</v>
      </c>
      <c r="T9" t="str">
        <f>SUBSTITUTE(SUBSTITUTE(PROPER(SUBSTITUTE(us_core_reqs[[#This Row],[Page]], "-", " "))&amp;": "&amp;PROPER(SUBSTITUTE(us_core_reqs[[#This Row],[Section]], "-", " ")),"Us ","US "), "Uscdi", "USCDI")</f>
        <v>General Requirements: Profile Support  Interaction Support</v>
      </c>
      <c r="U9" t="s">
        <v>35</v>
      </c>
      <c r="V9" t="s">
        <v>30</v>
      </c>
      <c r="W9" t="s">
        <v>33</v>
      </c>
      <c r="X9" t="s">
        <v>1171</v>
      </c>
      <c r="Y9" t="s">
        <v>1171</v>
      </c>
      <c r="Z9" t="s">
        <v>1171</v>
      </c>
      <c r="AA9" t="s">
        <v>1171</v>
      </c>
      <c r="AB9" t="s">
        <v>1171</v>
      </c>
      <c r="AC9" t="s">
        <v>1171</v>
      </c>
      <c r="AD9" t="s">
        <v>1171</v>
      </c>
    </row>
    <row r="10" spans="1:30" ht="68" x14ac:dyDescent="0.2">
      <c r="A10" t="s">
        <v>1171</v>
      </c>
      <c r="B10" t="s">
        <v>1182</v>
      </c>
      <c r="C10" t="str">
        <f>"CONF-"&amp;TEXT(us_core_reqs[[#This Row],[ID*]], "0000")</f>
        <v>CONF-0009</v>
      </c>
      <c r="D10" s="11" t="s">
        <v>817</v>
      </c>
      <c r="E10" t="str">
        <f>SUBSTITUTE(us_core_reqs[[#This Row],[URL*]], "https://hl7.org/fhir/us/core/STU8/","")</f>
        <v>general-requirements.html#profile-support--interaction-support</v>
      </c>
      <c r="F10" s="11" t="s">
        <v>42</v>
      </c>
      <c r="G10" t="s">
        <v>35</v>
      </c>
      <c r="I10" t="s">
        <v>30</v>
      </c>
      <c r="J10" t="s">
        <v>1171</v>
      </c>
      <c r="K10" t="s">
        <v>1171</v>
      </c>
      <c r="L10" t="s">
        <v>1176</v>
      </c>
      <c r="M10" t="s">
        <v>1171</v>
      </c>
      <c r="N10" t="s">
        <v>1171</v>
      </c>
      <c r="O10" t="s">
        <v>1171</v>
      </c>
      <c r="P10" t="s">
        <v>1171</v>
      </c>
      <c r="Q10" t="s">
        <v>1171</v>
      </c>
      <c r="R10" t="str">
        <f>_xlfn.TEXTBEFORE(_xlfn.TEXTAFTER(us_core_reqs[[#This Row],[URL*]],"/",-1),".")</f>
        <v>general-requirements</v>
      </c>
      <c r="S10" t="str">
        <f>_xlfn.TEXTAFTER(us_core_reqs[[#This Row],[URL*]],"#",-1)</f>
        <v>profile-support--interaction-support</v>
      </c>
      <c r="T10" t="str">
        <f>SUBSTITUTE(SUBSTITUTE(PROPER(SUBSTITUTE(us_core_reqs[[#This Row],[Page]], "-", " "))&amp;": "&amp;PROPER(SUBSTITUTE(us_core_reqs[[#This Row],[Section]], "-", " ")),"Us ","US "), "Uscdi", "USCDI")</f>
        <v>General Requirements: Profile Support  Interaction Support</v>
      </c>
      <c r="U10" t="s">
        <v>1171</v>
      </c>
      <c r="V10" t="s">
        <v>30</v>
      </c>
      <c r="W10" t="s">
        <v>33</v>
      </c>
      <c r="X10" t="s">
        <v>1171</v>
      </c>
      <c r="Y10" t="s">
        <v>1171</v>
      </c>
      <c r="Z10" t="s">
        <v>1171</v>
      </c>
      <c r="AA10" t="s">
        <v>1171</v>
      </c>
      <c r="AB10" t="s">
        <v>1171</v>
      </c>
      <c r="AC10" t="s">
        <v>1171</v>
      </c>
      <c r="AD10" t="s">
        <v>1171</v>
      </c>
    </row>
    <row r="11" spans="1:30" ht="51" x14ac:dyDescent="0.2">
      <c r="A11" t="s">
        <v>1171</v>
      </c>
      <c r="B11" t="s">
        <v>1183</v>
      </c>
      <c r="C11" t="str">
        <f>"CONF-"&amp;TEXT(us_core_reqs[[#This Row],[ID*]], "0000")</f>
        <v>CONF-0010</v>
      </c>
      <c r="D11" s="11" t="s">
        <v>817</v>
      </c>
      <c r="E11" t="str">
        <f>SUBSTITUTE(us_core_reqs[[#This Row],[URL*]], "https://hl7.org/fhir/us/core/STU8/","")</f>
        <v>general-requirements.html#profile-support--interaction-support</v>
      </c>
      <c r="F11" s="11" t="s">
        <v>43</v>
      </c>
      <c r="G11" t="s">
        <v>35</v>
      </c>
      <c r="I11" t="s">
        <v>30</v>
      </c>
      <c r="J11" t="s">
        <v>1171</v>
      </c>
      <c r="K11" t="s">
        <v>1171</v>
      </c>
      <c r="L11" t="s">
        <v>1176</v>
      </c>
      <c r="M11" t="s">
        <v>1171</v>
      </c>
      <c r="N11" t="s">
        <v>1171</v>
      </c>
      <c r="O11" t="s">
        <v>1171</v>
      </c>
      <c r="P11" t="s">
        <v>1171</v>
      </c>
      <c r="Q11" t="s">
        <v>1171</v>
      </c>
      <c r="R11" t="str">
        <f>_xlfn.TEXTBEFORE(_xlfn.TEXTAFTER(us_core_reqs[[#This Row],[URL*]],"/",-1),".")</f>
        <v>general-requirements</v>
      </c>
      <c r="S11" t="str">
        <f>_xlfn.TEXTAFTER(us_core_reqs[[#This Row],[URL*]],"#",-1)</f>
        <v>profile-support--interaction-support</v>
      </c>
      <c r="T11" t="str">
        <f>SUBSTITUTE(SUBSTITUTE(PROPER(SUBSTITUTE(us_core_reqs[[#This Row],[Page]], "-", " "))&amp;": "&amp;PROPER(SUBSTITUTE(us_core_reqs[[#This Row],[Section]], "-", " ")),"Us ","US "), "Uscdi", "USCDI")</f>
        <v>General Requirements: Profile Support  Interaction Support</v>
      </c>
      <c r="U11" t="s">
        <v>1171</v>
      </c>
      <c r="V11" t="s">
        <v>30</v>
      </c>
      <c r="W11" t="s">
        <v>33</v>
      </c>
      <c r="X11" t="s">
        <v>1171</v>
      </c>
      <c r="Y11" t="s">
        <v>1171</v>
      </c>
      <c r="Z11" t="s">
        <v>1171</v>
      </c>
      <c r="AA11" t="s">
        <v>1171</v>
      </c>
      <c r="AB11" t="s">
        <v>1171</v>
      </c>
      <c r="AC11" t="s">
        <v>1171</v>
      </c>
      <c r="AD11" t="s">
        <v>1171</v>
      </c>
    </row>
    <row r="12" spans="1:30" ht="85" x14ac:dyDescent="0.2">
      <c r="A12" t="s">
        <v>1171</v>
      </c>
      <c r="B12" t="s">
        <v>1184</v>
      </c>
      <c r="C12" t="str">
        <f>"CONF-"&amp;TEXT(us_core_reqs[[#This Row],[ID*]], "0000")</f>
        <v>CONF-0011</v>
      </c>
      <c r="D12" s="11" t="s">
        <v>817</v>
      </c>
      <c r="E12" t="str">
        <f>SUBSTITUTE(us_core_reqs[[#This Row],[URL*]], "https://hl7.org/fhir/us/core/STU8/","")</f>
        <v>general-requirements.html#profile-support--interaction-support</v>
      </c>
      <c r="F12" s="11" t="s">
        <v>1842</v>
      </c>
      <c r="G12" t="s">
        <v>29</v>
      </c>
      <c r="H12" s="68" t="s">
        <v>1845</v>
      </c>
      <c r="I12" t="s">
        <v>30</v>
      </c>
      <c r="J12" t="s">
        <v>1176</v>
      </c>
      <c r="K12" t="s">
        <v>1171</v>
      </c>
      <c r="L12" t="b">
        <v>0</v>
      </c>
      <c r="M12" t="s">
        <v>1171</v>
      </c>
      <c r="N12" t="s">
        <v>44</v>
      </c>
      <c r="O12" t="s">
        <v>1171</v>
      </c>
      <c r="P12" t="s">
        <v>45</v>
      </c>
      <c r="Q12" t="s">
        <v>46</v>
      </c>
      <c r="R12" t="str">
        <f>_xlfn.TEXTBEFORE(_xlfn.TEXTAFTER(us_core_reqs[[#This Row],[URL*]],"/",-1),".")</f>
        <v>general-requirements</v>
      </c>
      <c r="S12" t="str">
        <f>_xlfn.TEXTAFTER(us_core_reqs[[#This Row],[URL*]],"#",-1)</f>
        <v>profile-support--interaction-support</v>
      </c>
      <c r="T12" t="str">
        <f>SUBSTITUTE(SUBSTITUTE(PROPER(SUBSTITUTE(us_core_reqs[[#This Row],[Page]], "-", " "))&amp;": "&amp;PROPER(SUBSTITUTE(us_core_reqs[[#This Row],[Section]], "-", " ")),"Us ","US "), "Uscdi", "USCDI")</f>
        <v>General Requirements: Profile Support  Interaction Support</v>
      </c>
      <c r="U12" t="s">
        <v>1171</v>
      </c>
      <c r="V12" t="s">
        <v>30</v>
      </c>
      <c r="W12" t="s">
        <v>33</v>
      </c>
      <c r="X12" t="s">
        <v>1171</v>
      </c>
      <c r="Y12" t="s">
        <v>1171</v>
      </c>
      <c r="Z12" t="s">
        <v>1171</v>
      </c>
      <c r="AA12" t="s">
        <v>1171</v>
      </c>
      <c r="AB12" t="s">
        <v>47</v>
      </c>
      <c r="AC12" t="s">
        <v>1141</v>
      </c>
      <c r="AD12" t="s">
        <v>1171</v>
      </c>
    </row>
    <row r="13" spans="1:30" ht="102" x14ac:dyDescent="0.2">
      <c r="A13" t="s">
        <v>1171</v>
      </c>
      <c r="B13" t="s">
        <v>1185</v>
      </c>
      <c r="C13" t="str">
        <f>"CONF-"&amp;TEXT(us_core_reqs[[#This Row],[ID*]], "0000")</f>
        <v>CONF-0012</v>
      </c>
      <c r="D13" s="11" t="s">
        <v>817</v>
      </c>
      <c r="E13" t="str">
        <f>SUBSTITUTE(us_core_reqs[[#This Row],[URL*]], "https://hl7.org/fhir/us/core/STU8/","")</f>
        <v>general-requirements.html#profile-support--interaction-support</v>
      </c>
      <c r="F13" s="11" t="s">
        <v>1843</v>
      </c>
      <c r="G13" t="s">
        <v>29</v>
      </c>
      <c r="H13" s="68" t="s">
        <v>1845</v>
      </c>
      <c r="I13" t="s">
        <v>30</v>
      </c>
      <c r="J13" t="s">
        <v>1176</v>
      </c>
      <c r="K13" t="s">
        <v>1171</v>
      </c>
      <c r="L13" t="b">
        <v>0</v>
      </c>
      <c r="M13" t="s">
        <v>1171</v>
      </c>
      <c r="N13" t="s">
        <v>44</v>
      </c>
      <c r="O13" t="s">
        <v>1171</v>
      </c>
      <c r="P13" t="s">
        <v>45</v>
      </c>
      <c r="Q13" t="s">
        <v>46</v>
      </c>
      <c r="R13" t="str">
        <f>_xlfn.TEXTBEFORE(_xlfn.TEXTAFTER(us_core_reqs[[#This Row],[URL*]],"/",-1),".")</f>
        <v>general-requirements</v>
      </c>
      <c r="S13" t="str">
        <f>_xlfn.TEXTAFTER(us_core_reqs[[#This Row],[URL*]],"#",-1)</f>
        <v>profile-support--interaction-support</v>
      </c>
      <c r="T13" t="str">
        <f>SUBSTITUTE(SUBSTITUTE(PROPER(SUBSTITUTE(us_core_reqs[[#This Row],[Page]], "-", " "))&amp;": "&amp;PROPER(SUBSTITUTE(us_core_reqs[[#This Row],[Section]], "-", " ")),"Us ","US "), "Uscdi", "USCDI")</f>
        <v>General Requirements: Profile Support  Interaction Support</v>
      </c>
      <c r="U13" t="s">
        <v>1171</v>
      </c>
      <c r="V13" t="s">
        <v>30</v>
      </c>
      <c r="W13" t="s">
        <v>33</v>
      </c>
      <c r="X13" t="s">
        <v>1171</v>
      </c>
      <c r="Y13" t="s">
        <v>1171</v>
      </c>
      <c r="Z13" t="s">
        <v>1171</v>
      </c>
      <c r="AA13" t="s">
        <v>1171</v>
      </c>
      <c r="AB13" t="s">
        <v>47</v>
      </c>
      <c r="AC13" t="s">
        <v>1141</v>
      </c>
      <c r="AD13" t="s">
        <v>1171</v>
      </c>
    </row>
    <row r="14" spans="1:30" ht="85" x14ac:dyDescent="0.2">
      <c r="A14" t="s">
        <v>1171</v>
      </c>
      <c r="B14" t="s">
        <v>1186</v>
      </c>
      <c r="C14" t="str">
        <f>"CONF-"&amp;TEXT(us_core_reqs[[#This Row],[ID*]], "0000")</f>
        <v>CONF-0013</v>
      </c>
      <c r="D14" s="11" t="s">
        <v>818</v>
      </c>
      <c r="E14" t="str">
        <f>SUBSTITUTE(us_core_reqs[[#This Row],[URL*]], "https://hl7.org/fhir/us/core/STU8/","")</f>
        <v>general-requirements.html#claiming-conformance-to-a-us-core-profile</v>
      </c>
      <c r="F14" s="11" t="s">
        <v>965</v>
      </c>
      <c r="G14" t="s">
        <v>29</v>
      </c>
      <c r="I14" t="s">
        <v>30</v>
      </c>
      <c r="J14" t="s">
        <v>1171</v>
      </c>
      <c r="K14" t="s">
        <v>1171</v>
      </c>
      <c r="L14" t="s">
        <v>1173</v>
      </c>
      <c r="M14" t="s">
        <v>1171</v>
      </c>
      <c r="N14" t="s">
        <v>1171</v>
      </c>
      <c r="O14" t="s">
        <v>1171</v>
      </c>
      <c r="P14" t="s">
        <v>1171</v>
      </c>
      <c r="Q14" t="s">
        <v>1171</v>
      </c>
      <c r="R14" t="str">
        <f>_xlfn.TEXTBEFORE(_xlfn.TEXTAFTER(us_core_reqs[[#This Row],[URL*]],"/",-1),".")</f>
        <v>general-requirements</v>
      </c>
      <c r="S14" t="str">
        <f>_xlfn.TEXTAFTER(us_core_reqs[[#This Row],[URL*]],"#",-1)</f>
        <v>claiming-conformance-to-a-us-core-profile</v>
      </c>
      <c r="T14" t="str">
        <f>SUBSTITUTE(SUBSTITUTE(PROPER(SUBSTITUTE(us_core_reqs[[#This Row],[Page]], "-", " "))&amp;": "&amp;PROPER(SUBSTITUTE(us_core_reqs[[#This Row],[Section]], "-", " ")),"Us ","US "), "Uscdi", "USCDI")</f>
        <v>General Requirements: Claiming Conformance To A US Core Profile</v>
      </c>
      <c r="U14" t="s">
        <v>29</v>
      </c>
      <c r="V14" t="s">
        <v>30</v>
      </c>
      <c r="W14" t="s">
        <v>33</v>
      </c>
      <c r="X14" t="s">
        <v>1171</v>
      </c>
      <c r="Y14" t="s">
        <v>1171</v>
      </c>
      <c r="Z14" t="s">
        <v>1171</v>
      </c>
      <c r="AA14" t="s">
        <v>1171</v>
      </c>
      <c r="AB14" t="s">
        <v>1171</v>
      </c>
      <c r="AC14" t="s">
        <v>1140</v>
      </c>
      <c r="AD14" t="s">
        <v>1171</v>
      </c>
    </row>
    <row r="15" spans="1:30" ht="136" x14ac:dyDescent="0.2">
      <c r="A15" t="s">
        <v>1171</v>
      </c>
      <c r="B15" t="s">
        <v>1187</v>
      </c>
      <c r="C15" t="str">
        <f>"CONF-"&amp;TEXT(us_core_reqs[[#This Row],[ID*]], "0000")</f>
        <v>CONF-0014</v>
      </c>
      <c r="D15" s="11" t="s">
        <v>818</v>
      </c>
      <c r="E15" t="str">
        <f>SUBSTITUTE(us_core_reqs[[#This Row],[URL*]], "https://hl7.org/fhir/us/core/STU8/","")</f>
        <v>general-requirements.html#claiming-conformance-to-a-us-core-profile</v>
      </c>
      <c r="F15" s="11" t="s">
        <v>966</v>
      </c>
      <c r="G15" t="s">
        <v>32</v>
      </c>
      <c r="I15" t="s">
        <v>30</v>
      </c>
      <c r="J15" t="s">
        <v>1171</v>
      </c>
      <c r="K15" t="s">
        <v>1171</v>
      </c>
      <c r="L15" t="s">
        <v>1173</v>
      </c>
      <c r="M15" t="s">
        <v>1171</v>
      </c>
      <c r="N15" t="s">
        <v>1171</v>
      </c>
      <c r="O15" t="s">
        <v>1171</v>
      </c>
      <c r="P15" t="s">
        <v>1171</v>
      </c>
      <c r="Q15" t="s">
        <v>1171</v>
      </c>
      <c r="R15" t="str">
        <f>_xlfn.TEXTBEFORE(_xlfn.TEXTAFTER(us_core_reqs[[#This Row],[URL*]],"/",-1),".")</f>
        <v>general-requirements</v>
      </c>
      <c r="S15" t="str">
        <f>_xlfn.TEXTAFTER(us_core_reqs[[#This Row],[URL*]],"#",-1)</f>
        <v>claiming-conformance-to-a-us-core-profile</v>
      </c>
      <c r="T15" t="str">
        <f>SUBSTITUTE(SUBSTITUTE(PROPER(SUBSTITUTE(us_core_reqs[[#This Row],[Page]], "-", " "))&amp;": "&amp;PROPER(SUBSTITUTE(us_core_reqs[[#This Row],[Section]], "-", " ")),"Us ","US "), "Uscdi", "USCDI")</f>
        <v>General Requirements: Claiming Conformance To A US Core Profile</v>
      </c>
      <c r="U15" t="s">
        <v>32</v>
      </c>
      <c r="V15" t="s">
        <v>30</v>
      </c>
      <c r="W15" t="s">
        <v>33</v>
      </c>
      <c r="X15" t="s">
        <v>1171</v>
      </c>
      <c r="Y15" t="s">
        <v>1171</v>
      </c>
      <c r="Z15" t="s">
        <v>1171</v>
      </c>
      <c r="AA15" t="s">
        <v>1171</v>
      </c>
      <c r="AB15" t="s">
        <v>1171</v>
      </c>
      <c r="AC15" t="s">
        <v>1171</v>
      </c>
      <c r="AD15" t="s">
        <v>1171</v>
      </c>
    </row>
    <row r="16" spans="1:30" ht="68" x14ac:dyDescent="0.2">
      <c r="A16" t="s">
        <v>1171</v>
      </c>
      <c r="B16" t="s">
        <v>1188</v>
      </c>
      <c r="C16" t="str">
        <f>"CONF-"&amp;TEXT(us_core_reqs[[#This Row],[ID*]], "0000")</f>
        <v>CONF-0015</v>
      </c>
      <c r="D16" s="11" t="s">
        <v>818</v>
      </c>
      <c r="E16" t="str">
        <f>SUBSTITUTE(us_core_reqs[[#This Row],[URL*]], "https://hl7.org/fhir/us/core/STU8/","")</f>
        <v>general-requirements.html#claiming-conformance-to-a-us-core-profile</v>
      </c>
      <c r="F16" s="11" t="s">
        <v>967</v>
      </c>
      <c r="G16" t="s">
        <v>29</v>
      </c>
      <c r="I16" t="s">
        <v>30</v>
      </c>
      <c r="J16" t="s">
        <v>1171</v>
      </c>
      <c r="K16" t="s">
        <v>1096</v>
      </c>
      <c r="L16" t="s">
        <v>1173</v>
      </c>
      <c r="M16" t="s">
        <v>48</v>
      </c>
      <c r="N16" t="s">
        <v>1171</v>
      </c>
      <c r="O16" t="s">
        <v>1171</v>
      </c>
      <c r="P16" t="s">
        <v>1171</v>
      </c>
      <c r="Q16" t="s">
        <v>1171</v>
      </c>
      <c r="R16" t="str">
        <f>_xlfn.TEXTBEFORE(_xlfn.TEXTAFTER(us_core_reqs[[#This Row],[URL*]],"/",-1),".")</f>
        <v>general-requirements</v>
      </c>
      <c r="S16" t="str">
        <f>_xlfn.TEXTAFTER(us_core_reqs[[#This Row],[URL*]],"#",-1)</f>
        <v>claiming-conformance-to-a-us-core-profile</v>
      </c>
      <c r="T16" t="str">
        <f>SUBSTITUTE(SUBSTITUTE(PROPER(SUBSTITUTE(us_core_reqs[[#This Row],[Page]], "-", " "))&amp;": "&amp;PROPER(SUBSTITUTE(us_core_reqs[[#This Row],[Section]], "-", " ")),"Us ","US "), "Uscdi", "USCDI")</f>
        <v>General Requirements: Claiming Conformance To A US Core Profile</v>
      </c>
      <c r="U16" t="s">
        <v>29</v>
      </c>
      <c r="V16" t="s">
        <v>30</v>
      </c>
      <c r="W16" t="s">
        <v>33</v>
      </c>
      <c r="X16" t="s">
        <v>1171</v>
      </c>
      <c r="Y16" t="s">
        <v>1171</v>
      </c>
      <c r="Z16" t="s">
        <v>1171</v>
      </c>
      <c r="AA16" t="s">
        <v>1171</v>
      </c>
      <c r="AB16" t="s">
        <v>1171</v>
      </c>
      <c r="AC16" t="s">
        <v>1140</v>
      </c>
      <c r="AD16" t="s">
        <v>1171</v>
      </c>
    </row>
    <row r="17" spans="1:30" ht="85" x14ac:dyDescent="0.2">
      <c r="A17" t="s">
        <v>1171</v>
      </c>
      <c r="B17" t="s">
        <v>1189</v>
      </c>
      <c r="C17" t="str">
        <f>"CONF-"&amp;TEXT(us_core_reqs[[#This Row],[ID*]], "0000")</f>
        <v>CONF-0016</v>
      </c>
      <c r="D17" s="11" t="s">
        <v>818</v>
      </c>
      <c r="E17" t="str">
        <f>SUBSTITUTE(us_core_reqs[[#This Row],[URL*]], "https://hl7.org/fhir/us/core/STU8/","")</f>
        <v>general-requirements.html#claiming-conformance-to-a-us-core-profile</v>
      </c>
      <c r="F17" s="11" t="s">
        <v>968</v>
      </c>
      <c r="G17" t="s">
        <v>29</v>
      </c>
      <c r="I17" t="s">
        <v>30</v>
      </c>
      <c r="J17" t="s">
        <v>1171</v>
      </c>
      <c r="K17" t="s">
        <v>1171</v>
      </c>
      <c r="L17" t="s">
        <v>1173</v>
      </c>
      <c r="M17" t="s">
        <v>1171</v>
      </c>
      <c r="N17" t="s">
        <v>1171</v>
      </c>
      <c r="O17" t="s">
        <v>1171</v>
      </c>
      <c r="P17" t="s">
        <v>1171</v>
      </c>
      <c r="Q17" t="s">
        <v>1171</v>
      </c>
      <c r="R17" t="str">
        <f>_xlfn.TEXTBEFORE(_xlfn.TEXTAFTER(us_core_reqs[[#This Row],[URL*]],"/",-1),".")</f>
        <v>general-requirements</v>
      </c>
      <c r="S17" t="str">
        <f>_xlfn.TEXTAFTER(us_core_reqs[[#This Row],[URL*]],"#",-1)</f>
        <v>claiming-conformance-to-a-us-core-profile</v>
      </c>
      <c r="T17" t="str">
        <f>SUBSTITUTE(SUBSTITUTE(PROPER(SUBSTITUTE(us_core_reqs[[#This Row],[Page]], "-", " "))&amp;": "&amp;PROPER(SUBSTITUTE(us_core_reqs[[#This Row],[Section]], "-", " ")),"Us ","US "), "Uscdi", "USCDI")</f>
        <v>General Requirements: Claiming Conformance To A US Core Profile</v>
      </c>
      <c r="U17" t="s">
        <v>29</v>
      </c>
      <c r="V17" t="s">
        <v>30</v>
      </c>
      <c r="W17" t="s">
        <v>33</v>
      </c>
      <c r="X17" t="s">
        <v>1171</v>
      </c>
      <c r="Y17" t="s">
        <v>1171</v>
      </c>
      <c r="Z17" t="s">
        <v>1171</v>
      </c>
      <c r="AA17" t="s">
        <v>1171</v>
      </c>
      <c r="AB17" t="s">
        <v>1171</v>
      </c>
      <c r="AC17" t="s">
        <v>1140</v>
      </c>
      <c r="AD17" t="s">
        <v>1171</v>
      </c>
    </row>
    <row r="18" spans="1:30" ht="68" x14ac:dyDescent="0.2">
      <c r="A18" t="s">
        <v>1171</v>
      </c>
      <c r="B18" t="s">
        <v>1190</v>
      </c>
      <c r="C18" t="str">
        <f>"CONF-"&amp;TEXT(us_core_reqs[[#This Row],[ID*]], "0000")</f>
        <v>CONF-0017</v>
      </c>
      <c r="D18" s="11" t="s">
        <v>818</v>
      </c>
      <c r="E18" t="str">
        <f>SUBSTITUTE(us_core_reqs[[#This Row],[URL*]], "https://hl7.org/fhir/us/core/STU8/","")</f>
        <v>general-requirements.html#claiming-conformance-to-a-us-core-profile</v>
      </c>
      <c r="F18" s="11" t="s">
        <v>969</v>
      </c>
      <c r="G18" t="s">
        <v>29</v>
      </c>
      <c r="I18" t="s">
        <v>30</v>
      </c>
      <c r="J18" t="s">
        <v>1171</v>
      </c>
      <c r="K18" t="s">
        <v>1171</v>
      </c>
      <c r="L18" t="s">
        <v>1173</v>
      </c>
      <c r="M18" t="s">
        <v>1171</v>
      </c>
      <c r="N18" t="s">
        <v>1171</v>
      </c>
      <c r="O18" t="s">
        <v>1171</v>
      </c>
      <c r="P18" t="s">
        <v>1171</v>
      </c>
      <c r="Q18" t="s">
        <v>1171</v>
      </c>
      <c r="R18" t="str">
        <f>_xlfn.TEXTBEFORE(_xlfn.TEXTAFTER(us_core_reqs[[#This Row],[URL*]],"/",-1),".")</f>
        <v>general-requirements</v>
      </c>
      <c r="S18" t="str">
        <f>_xlfn.TEXTAFTER(us_core_reqs[[#This Row],[URL*]],"#",-1)</f>
        <v>claiming-conformance-to-a-us-core-profile</v>
      </c>
      <c r="T18" t="str">
        <f>SUBSTITUTE(SUBSTITUTE(PROPER(SUBSTITUTE(us_core_reqs[[#This Row],[Page]], "-", " "))&amp;": "&amp;PROPER(SUBSTITUTE(us_core_reqs[[#This Row],[Section]], "-", " ")),"Us ","US "), "Uscdi", "USCDI")</f>
        <v>General Requirements: Claiming Conformance To A US Core Profile</v>
      </c>
      <c r="U18" t="s">
        <v>29</v>
      </c>
      <c r="V18" t="s">
        <v>30</v>
      </c>
      <c r="W18" t="s">
        <v>33</v>
      </c>
      <c r="X18" t="s">
        <v>1171</v>
      </c>
      <c r="Y18" t="s">
        <v>1171</v>
      </c>
      <c r="Z18" t="s">
        <v>1171</v>
      </c>
      <c r="AA18" t="s">
        <v>1171</v>
      </c>
      <c r="AB18" t="s">
        <v>1171</v>
      </c>
      <c r="AC18" t="s">
        <v>1141</v>
      </c>
      <c r="AD18" t="s">
        <v>1171</v>
      </c>
    </row>
    <row r="19" spans="1:30" ht="68" x14ac:dyDescent="0.2">
      <c r="A19" t="s">
        <v>1171</v>
      </c>
      <c r="B19" t="s">
        <v>1191</v>
      </c>
      <c r="C19" t="str">
        <f>"CONF-"&amp;TEXT(us_core_reqs[[#This Row],[ID*]], "0000")</f>
        <v>CONF-0018</v>
      </c>
      <c r="D19" s="11" t="s">
        <v>819</v>
      </c>
      <c r="E19" t="str">
        <f>SUBSTITUTE(us_core_reqs[[#This Row],[URL*]], "https://hl7.org/fhir/us/core/STU8/","")</f>
        <v>general-requirements.html#required-bindings-for-coded-elements</v>
      </c>
      <c r="F19" s="11" t="s">
        <v>49</v>
      </c>
      <c r="G19" t="s">
        <v>29</v>
      </c>
      <c r="I19" t="s">
        <v>30</v>
      </c>
      <c r="J19" t="s">
        <v>1171</v>
      </c>
      <c r="K19" t="s">
        <v>1097</v>
      </c>
      <c r="L19" t="s">
        <v>1173</v>
      </c>
      <c r="M19" t="s">
        <v>50</v>
      </c>
      <c r="N19" t="s">
        <v>1171</v>
      </c>
      <c r="O19" t="s">
        <v>1171</v>
      </c>
      <c r="P19" t="s">
        <v>1171</v>
      </c>
      <c r="Q19" t="s">
        <v>1171</v>
      </c>
      <c r="R19" t="str">
        <f>_xlfn.TEXTBEFORE(_xlfn.TEXTAFTER(us_core_reqs[[#This Row],[URL*]],"/",-1),".")</f>
        <v>general-requirements</v>
      </c>
      <c r="S19" t="str">
        <f>_xlfn.TEXTAFTER(us_core_reqs[[#This Row],[URL*]],"#",-1)</f>
        <v>required-bindings-for-coded-elements</v>
      </c>
      <c r="T19" t="str">
        <f>SUBSTITUTE(SUBSTITUTE(PROPER(SUBSTITUTE(us_core_reqs[[#This Row],[Page]], "-", " "))&amp;": "&amp;PROPER(SUBSTITUTE(us_core_reqs[[#This Row],[Section]], "-", " ")),"Us ","US "), "Uscdi", "USCDI")</f>
        <v>General Requirements: Required Bindings For Coded Elements</v>
      </c>
      <c r="U19" t="s">
        <v>29</v>
      </c>
      <c r="V19" t="s">
        <v>1171</v>
      </c>
      <c r="W19" t="s">
        <v>51</v>
      </c>
      <c r="X19" t="s">
        <v>1171</v>
      </c>
      <c r="Y19" t="s">
        <v>1171</v>
      </c>
      <c r="Z19" t="s">
        <v>1171</v>
      </c>
      <c r="AA19" t="s">
        <v>1171</v>
      </c>
      <c r="AB19" t="s">
        <v>1171</v>
      </c>
      <c r="AC19" t="s">
        <v>1140</v>
      </c>
      <c r="AD19" t="s">
        <v>1171</v>
      </c>
    </row>
    <row r="20" spans="1:30" ht="68" x14ac:dyDescent="0.2">
      <c r="A20" t="s">
        <v>1171</v>
      </c>
      <c r="B20" t="s">
        <v>1192</v>
      </c>
      <c r="C20" t="str">
        <f>"CONF-"&amp;TEXT(us_core_reqs[[#This Row],[ID*]], "0000")</f>
        <v>CONF-0019</v>
      </c>
      <c r="D20" s="11" t="s">
        <v>819</v>
      </c>
      <c r="E20" t="str">
        <f>SUBSTITUTE(us_core_reqs[[#This Row],[URL*]], "https://hl7.org/fhir/us/core/STU8/","")</f>
        <v>general-requirements.html#required-bindings-for-coded-elements</v>
      </c>
      <c r="F20" s="11" t="s">
        <v>52</v>
      </c>
      <c r="G20" t="s">
        <v>29</v>
      </c>
      <c r="I20" t="s">
        <v>30</v>
      </c>
      <c r="J20" t="s">
        <v>1171</v>
      </c>
      <c r="K20" t="s">
        <v>1098</v>
      </c>
      <c r="L20" t="s">
        <v>1176</v>
      </c>
      <c r="M20" t="s">
        <v>1171</v>
      </c>
      <c r="N20" t="s">
        <v>1171</v>
      </c>
      <c r="O20" t="s">
        <v>1171</v>
      </c>
      <c r="P20" t="s">
        <v>1171</v>
      </c>
      <c r="Q20" t="s">
        <v>1171</v>
      </c>
      <c r="R20" t="str">
        <f>_xlfn.TEXTBEFORE(_xlfn.TEXTAFTER(us_core_reqs[[#This Row],[URL*]],"/",-1),".")</f>
        <v>general-requirements</v>
      </c>
      <c r="S20" t="str">
        <f>_xlfn.TEXTAFTER(us_core_reqs[[#This Row],[URL*]],"#",-1)</f>
        <v>required-bindings-for-coded-elements</v>
      </c>
      <c r="T20" t="str">
        <f>SUBSTITUTE(SUBSTITUTE(PROPER(SUBSTITUTE(us_core_reqs[[#This Row],[Page]], "-", " "))&amp;": "&amp;PROPER(SUBSTITUTE(us_core_reqs[[#This Row],[Section]], "-", " ")),"Us ","US "), "Uscdi", "USCDI")</f>
        <v>General Requirements: Required Bindings For Coded Elements</v>
      </c>
      <c r="U20" t="s">
        <v>1171</v>
      </c>
      <c r="V20" t="s">
        <v>1171</v>
      </c>
      <c r="W20" t="s">
        <v>1171</v>
      </c>
      <c r="X20" t="s">
        <v>1171</v>
      </c>
      <c r="Y20" t="s">
        <v>1171</v>
      </c>
      <c r="Z20" t="s">
        <v>1171</v>
      </c>
      <c r="AA20" t="s">
        <v>1171</v>
      </c>
      <c r="AB20" t="s">
        <v>1171</v>
      </c>
      <c r="AC20" t="s">
        <v>1140</v>
      </c>
      <c r="AD20" t="s">
        <v>1171</v>
      </c>
    </row>
    <row r="21" spans="1:30" ht="68" x14ac:dyDescent="0.2">
      <c r="A21" t="s">
        <v>1171</v>
      </c>
      <c r="B21" t="s">
        <v>1193</v>
      </c>
      <c r="C21" t="str">
        <f>"CONF-"&amp;TEXT(us_core_reqs[[#This Row],[ID*]], "0000")</f>
        <v>CONF-0020</v>
      </c>
      <c r="D21" s="11" t="s">
        <v>819</v>
      </c>
      <c r="E21" t="str">
        <f>SUBSTITUTE(us_core_reqs[[#This Row],[URL*]], "https://hl7.org/fhir/us/core/STU8/","")</f>
        <v>general-requirements.html#required-bindings-for-coded-elements</v>
      </c>
      <c r="F21" s="11" t="s">
        <v>53</v>
      </c>
      <c r="G21" t="s">
        <v>1833</v>
      </c>
      <c r="I21" t="s">
        <v>30</v>
      </c>
      <c r="J21" t="s">
        <v>1171</v>
      </c>
      <c r="K21" t="s">
        <v>1098</v>
      </c>
      <c r="L21" t="s">
        <v>1173</v>
      </c>
      <c r="M21" t="s">
        <v>1171</v>
      </c>
      <c r="N21" t="s">
        <v>1171</v>
      </c>
      <c r="O21" t="s">
        <v>1171</v>
      </c>
      <c r="P21" t="s">
        <v>1171</v>
      </c>
      <c r="Q21" t="s">
        <v>1171</v>
      </c>
      <c r="R21" t="str">
        <f>_xlfn.TEXTBEFORE(_xlfn.TEXTAFTER(us_core_reqs[[#This Row],[URL*]],"/",-1),".")</f>
        <v>general-requirements</v>
      </c>
      <c r="S21" t="str">
        <f>_xlfn.TEXTAFTER(us_core_reqs[[#This Row],[URL*]],"#",-1)</f>
        <v>required-bindings-for-coded-elements</v>
      </c>
      <c r="T21" t="str">
        <f>SUBSTITUTE(SUBSTITUTE(PROPER(SUBSTITUTE(us_core_reqs[[#This Row],[Page]], "-", " "))&amp;": "&amp;PROPER(SUBSTITUTE(us_core_reqs[[#This Row],[Section]], "-", " ")),"Us ","US "), "Uscdi", "USCDI")</f>
        <v>General Requirements: Required Bindings For Coded Elements</v>
      </c>
      <c r="U21" t="s">
        <v>1171</v>
      </c>
      <c r="V21" t="s">
        <v>1171</v>
      </c>
      <c r="W21" t="s">
        <v>1171</v>
      </c>
      <c r="X21" t="s">
        <v>1171</v>
      </c>
      <c r="Y21" t="s">
        <v>1171</v>
      </c>
      <c r="Z21" t="s">
        <v>1171</v>
      </c>
      <c r="AA21" t="s">
        <v>1171</v>
      </c>
      <c r="AB21" t="s">
        <v>1171</v>
      </c>
      <c r="AC21" t="s">
        <v>1141</v>
      </c>
      <c r="AD21" t="s">
        <v>1171</v>
      </c>
    </row>
    <row r="22" spans="1:30" ht="68" x14ac:dyDescent="0.2">
      <c r="A22" t="s">
        <v>1171</v>
      </c>
      <c r="B22" t="s">
        <v>1194</v>
      </c>
      <c r="C22" t="str">
        <f>"CONF-"&amp;TEXT(us_core_reqs[[#This Row],[ID*]], "0000")</f>
        <v>CONF-0021</v>
      </c>
      <c r="D22" s="11" t="s">
        <v>819</v>
      </c>
      <c r="E22" t="str">
        <f>SUBSTITUTE(us_core_reqs[[#This Row],[URL*]], "https://hl7.org/fhir/us/core/STU8/","")</f>
        <v>general-requirements.html#required-bindings-for-coded-elements</v>
      </c>
      <c r="F22" s="11" t="s">
        <v>55</v>
      </c>
      <c r="G22" t="s">
        <v>29</v>
      </c>
      <c r="I22" t="s">
        <v>30</v>
      </c>
      <c r="J22" t="s">
        <v>1171</v>
      </c>
      <c r="K22" t="s">
        <v>1171</v>
      </c>
      <c r="L22" t="s">
        <v>1173</v>
      </c>
      <c r="M22" t="s">
        <v>56</v>
      </c>
      <c r="N22" t="s">
        <v>1171</v>
      </c>
      <c r="O22" t="s">
        <v>1171</v>
      </c>
      <c r="P22" t="s">
        <v>1171</v>
      </c>
      <c r="Q22" t="s">
        <v>1171</v>
      </c>
      <c r="R22" t="str">
        <f>_xlfn.TEXTBEFORE(_xlfn.TEXTAFTER(us_core_reqs[[#This Row],[URL*]],"/",-1),".")</f>
        <v>general-requirements</v>
      </c>
      <c r="S22" t="str">
        <f>_xlfn.TEXTAFTER(us_core_reqs[[#This Row],[URL*]],"#",-1)</f>
        <v>required-bindings-for-coded-elements</v>
      </c>
      <c r="T22" t="str">
        <f>SUBSTITUTE(SUBSTITUTE(PROPER(SUBSTITUTE(us_core_reqs[[#This Row],[Page]], "-", " "))&amp;": "&amp;PROPER(SUBSTITUTE(us_core_reqs[[#This Row],[Section]], "-", " ")),"Us ","US "), "Uscdi", "USCDI")</f>
        <v>General Requirements: Required Bindings For Coded Elements</v>
      </c>
      <c r="U22" t="s">
        <v>29</v>
      </c>
      <c r="V22" t="s">
        <v>30</v>
      </c>
      <c r="W22" t="s">
        <v>1171</v>
      </c>
      <c r="X22" t="s">
        <v>1171</v>
      </c>
      <c r="Y22" t="s">
        <v>1171</v>
      </c>
      <c r="Z22" t="s">
        <v>1171</v>
      </c>
      <c r="AA22" t="s">
        <v>1171</v>
      </c>
      <c r="AB22" t="s">
        <v>1171</v>
      </c>
      <c r="AC22" t="s">
        <v>1140</v>
      </c>
      <c r="AD22" t="s">
        <v>1171</v>
      </c>
    </row>
    <row r="23" spans="1:30" ht="68" x14ac:dyDescent="0.2">
      <c r="A23" t="s">
        <v>1171</v>
      </c>
      <c r="B23" t="s">
        <v>1195</v>
      </c>
      <c r="C23" t="str">
        <f>"CONF-"&amp;TEXT(us_core_reqs[[#This Row],[ID*]], "0000")</f>
        <v>CONF-0022</v>
      </c>
      <c r="D23" s="11" t="s">
        <v>819</v>
      </c>
      <c r="E23" t="str">
        <f>SUBSTITUTE(us_core_reqs[[#This Row],[URL*]], "https://hl7.org/fhir/us/core/STU8/","")</f>
        <v>general-requirements.html#required-bindings-for-coded-elements</v>
      </c>
      <c r="F23" s="11" t="s">
        <v>57</v>
      </c>
      <c r="G23" t="s">
        <v>29</v>
      </c>
      <c r="I23" t="s">
        <v>58</v>
      </c>
      <c r="J23" t="s">
        <v>1171</v>
      </c>
      <c r="K23" t="s">
        <v>1171</v>
      </c>
      <c r="L23" t="s">
        <v>1173</v>
      </c>
      <c r="M23" t="s">
        <v>56</v>
      </c>
      <c r="N23" t="s">
        <v>1171</v>
      </c>
      <c r="O23" t="s">
        <v>1171</v>
      </c>
      <c r="P23" t="s">
        <v>1171</v>
      </c>
      <c r="Q23" t="s">
        <v>1171</v>
      </c>
      <c r="R23" t="str">
        <f>_xlfn.TEXTBEFORE(_xlfn.TEXTAFTER(us_core_reqs[[#This Row],[URL*]],"/",-1),".")</f>
        <v>general-requirements</v>
      </c>
      <c r="S23" t="str">
        <f>_xlfn.TEXTAFTER(us_core_reqs[[#This Row],[URL*]],"#",-1)</f>
        <v>required-bindings-for-coded-elements</v>
      </c>
      <c r="T23" t="str">
        <f>SUBSTITUTE(SUBSTITUTE(PROPER(SUBSTITUTE(us_core_reqs[[#This Row],[Page]], "-", " "))&amp;": "&amp;PROPER(SUBSTITUTE(us_core_reqs[[#This Row],[Section]], "-", " ")),"Us ","US "), "Uscdi", "USCDI")</f>
        <v>General Requirements: Required Bindings For Coded Elements</v>
      </c>
      <c r="U23" t="s">
        <v>29</v>
      </c>
      <c r="V23" t="s">
        <v>58</v>
      </c>
      <c r="W23" t="s">
        <v>1171</v>
      </c>
      <c r="X23" t="s">
        <v>1171</v>
      </c>
      <c r="Y23" t="s">
        <v>1171</v>
      </c>
      <c r="Z23" t="s">
        <v>1171</v>
      </c>
      <c r="AA23" t="s">
        <v>1171</v>
      </c>
      <c r="AB23" t="s">
        <v>1171</v>
      </c>
      <c r="AC23" t="s">
        <v>1171</v>
      </c>
      <c r="AD23" t="s">
        <v>1171</v>
      </c>
    </row>
    <row r="24" spans="1:30" ht="68" x14ac:dyDescent="0.2">
      <c r="A24" t="s">
        <v>1171</v>
      </c>
      <c r="B24" t="s">
        <v>1196</v>
      </c>
      <c r="C24" t="str">
        <f>"CONF-"&amp;TEXT(us_core_reqs[[#This Row],[ID*]], "0000")</f>
        <v>CONF-0023</v>
      </c>
      <c r="D24" s="11" t="s">
        <v>1085</v>
      </c>
      <c r="E24" t="str">
        <f>SUBSTITUTE(us_core_reqs[[#This Row],[URL*]], "https://hl7.org/fhir/us/core/STU8/","")</f>
        <v>https://www.hl7.org/fhir/us/core/STU8/general-requirements.html#extensible-binding-for-coded-elements</v>
      </c>
      <c r="F24" s="11" t="s">
        <v>59</v>
      </c>
      <c r="G24" t="s">
        <v>29</v>
      </c>
      <c r="I24" t="s">
        <v>30</v>
      </c>
      <c r="J24" t="s">
        <v>1171</v>
      </c>
      <c r="K24" t="s">
        <v>1171</v>
      </c>
      <c r="L24" t="s">
        <v>1176</v>
      </c>
      <c r="M24" t="s">
        <v>60</v>
      </c>
      <c r="N24" t="s">
        <v>1171</v>
      </c>
      <c r="O24" t="s">
        <v>1171</v>
      </c>
      <c r="P24" t="s">
        <v>1171</v>
      </c>
      <c r="Q24" t="s">
        <v>1171</v>
      </c>
      <c r="R24" t="str">
        <f>_xlfn.TEXTBEFORE(_xlfn.TEXTAFTER(us_core_reqs[[#This Row],[URL*]],"/",-1),".")</f>
        <v>general-requirements</v>
      </c>
      <c r="S24" t="str">
        <f>_xlfn.TEXTAFTER(us_core_reqs[[#This Row],[URL*]],"#",-1)</f>
        <v>extensible-binding-for-coded-elements</v>
      </c>
      <c r="T24" t="str">
        <f>SUBSTITUTE(SUBSTITUTE(PROPER(SUBSTITUTE(us_core_reqs[[#This Row],[Page]], "-", " "))&amp;": "&amp;PROPER(SUBSTITUTE(us_core_reqs[[#This Row],[Section]], "-", " ")),"Us ","US "), "Uscdi", "USCDI")</f>
        <v>General Requirements: Extensible Binding For Coded Elements</v>
      </c>
      <c r="U24" t="s">
        <v>29</v>
      </c>
      <c r="V24" t="s">
        <v>1171</v>
      </c>
      <c r="W24" t="s">
        <v>61</v>
      </c>
      <c r="X24" t="s">
        <v>1171</v>
      </c>
      <c r="Y24" t="s">
        <v>1171</v>
      </c>
      <c r="Z24" t="s">
        <v>1171</v>
      </c>
      <c r="AA24" t="s">
        <v>1171</v>
      </c>
      <c r="AB24" t="s">
        <v>1171</v>
      </c>
      <c r="AC24" t="s">
        <v>1140</v>
      </c>
      <c r="AD24" t="s">
        <v>1171</v>
      </c>
    </row>
    <row r="25" spans="1:30" ht="68" x14ac:dyDescent="0.2">
      <c r="A25" t="s">
        <v>1171</v>
      </c>
      <c r="B25" t="s">
        <v>1197</v>
      </c>
      <c r="C25" t="str">
        <f>"CONF-"&amp;TEXT(us_core_reqs[[#This Row],[ID*]], "0000")</f>
        <v>CONF-0024</v>
      </c>
      <c r="D25" s="11" t="s">
        <v>820</v>
      </c>
      <c r="E25" t="str">
        <f>SUBSTITUTE(us_core_reqs[[#This Row],[URL*]], "https://hl7.org/fhir/us/core/STU8/","")</f>
        <v>general-requirements.html#extensible-binding-for-coded-elements</v>
      </c>
      <c r="F25" s="11" t="s">
        <v>62</v>
      </c>
      <c r="G25" t="s">
        <v>35</v>
      </c>
      <c r="I25" t="s">
        <v>30</v>
      </c>
      <c r="J25" t="s">
        <v>1171</v>
      </c>
      <c r="K25" t="s">
        <v>1171</v>
      </c>
      <c r="L25" t="s">
        <v>1176</v>
      </c>
      <c r="M25" t="s">
        <v>60</v>
      </c>
      <c r="N25" t="s">
        <v>1171</v>
      </c>
      <c r="O25" t="s">
        <v>1171</v>
      </c>
      <c r="P25" t="s">
        <v>1171</v>
      </c>
      <c r="Q25" t="s">
        <v>1171</v>
      </c>
      <c r="R25" t="str">
        <f>_xlfn.TEXTBEFORE(_xlfn.TEXTAFTER(us_core_reqs[[#This Row],[URL*]],"/",-1),".")</f>
        <v>general-requirements</v>
      </c>
      <c r="S25" t="str">
        <f>_xlfn.TEXTAFTER(us_core_reqs[[#This Row],[URL*]],"#",-1)</f>
        <v>extensible-binding-for-coded-elements</v>
      </c>
      <c r="T25" t="str">
        <f>SUBSTITUTE(SUBSTITUTE(PROPER(SUBSTITUTE(us_core_reqs[[#This Row],[Page]], "-", " "))&amp;": "&amp;PROPER(SUBSTITUTE(us_core_reqs[[#This Row],[Section]], "-", " ")),"Us ","US "), "Uscdi", "USCDI")</f>
        <v>General Requirements: Extensible Binding For Coded Elements</v>
      </c>
      <c r="U25" t="s">
        <v>35</v>
      </c>
      <c r="V25" t="s">
        <v>1171</v>
      </c>
      <c r="W25" t="s">
        <v>1171</v>
      </c>
      <c r="X25" t="s">
        <v>1171</v>
      </c>
      <c r="Y25" t="s">
        <v>1171</v>
      </c>
      <c r="Z25" t="s">
        <v>1171</v>
      </c>
      <c r="AA25" t="s">
        <v>1171</v>
      </c>
      <c r="AB25" t="s">
        <v>1171</v>
      </c>
      <c r="AC25" t="s">
        <v>1171</v>
      </c>
      <c r="AD25" t="s">
        <v>1171</v>
      </c>
    </row>
    <row r="26" spans="1:30" ht="68" x14ac:dyDescent="0.2">
      <c r="A26" t="s">
        <v>1171</v>
      </c>
      <c r="B26" t="s">
        <v>1198</v>
      </c>
      <c r="C26" t="str">
        <f>"CONF-"&amp;TEXT(us_core_reqs[[#This Row],[ID*]], "0000")</f>
        <v>CONF-0025</v>
      </c>
      <c r="D26" s="11" t="s">
        <v>820</v>
      </c>
      <c r="E26" t="str">
        <f>SUBSTITUTE(us_core_reqs[[#This Row],[URL*]], "https://hl7.org/fhir/us/core/STU8/","")</f>
        <v>general-requirements.html#extensible-binding-for-coded-elements</v>
      </c>
      <c r="F26" s="11" t="s">
        <v>63</v>
      </c>
      <c r="G26" t="s">
        <v>64</v>
      </c>
      <c r="I26" t="s">
        <v>30</v>
      </c>
      <c r="J26" t="s">
        <v>1171</v>
      </c>
      <c r="K26" t="s">
        <v>1171</v>
      </c>
      <c r="L26" t="s">
        <v>1176</v>
      </c>
      <c r="M26" t="s">
        <v>60</v>
      </c>
      <c r="N26" t="s">
        <v>1171</v>
      </c>
      <c r="O26" t="s">
        <v>1171</v>
      </c>
      <c r="P26" t="s">
        <v>1171</v>
      </c>
      <c r="Q26" t="s">
        <v>1171</v>
      </c>
      <c r="R26" t="str">
        <f>_xlfn.TEXTBEFORE(_xlfn.TEXTAFTER(us_core_reqs[[#This Row],[URL*]],"/",-1),".")</f>
        <v>general-requirements</v>
      </c>
      <c r="S26" t="str">
        <f>_xlfn.TEXTAFTER(us_core_reqs[[#This Row],[URL*]],"#",-1)</f>
        <v>extensible-binding-for-coded-elements</v>
      </c>
      <c r="T26" t="str">
        <f>SUBSTITUTE(SUBSTITUTE(PROPER(SUBSTITUTE(us_core_reqs[[#This Row],[Page]], "-", " "))&amp;": "&amp;PROPER(SUBSTITUTE(us_core_reqs[[#This Row],[Section]], "-", " ")),"Us ","US "), "Uscdi", "USCDI")</f>
        <v>General Requirements: Extensible Binding For Coded Elements</v>
      </c>
      <c r="U26" t="s">
        <v>1171</v>
      </c>
      <c r="V26" t="s">
        <v>1171</v>
      </c>
      <c r="W26" t="s">
        <v>1171</v>
      </c>
      <c r="X26" t="s">
        <v>1171</v>
      </c>
      <c r="Y26" t="s">
        <v>1171</v>
      </c>
      <c r="Z26" t="s">
        <v>1171</v>
      </c>
      <c r="AA26" t="s">
        <v>1171</v>
      </c>
      <c r="AB26" t="s">
        <v>65</v>
      </c>
      <c r="AC26" t="s">
        <v>1171</v>
      </c>
      <c r="AD26" t="s">
        <v>1171</v>
      </c>
    </row>
    <row r="27" spans="1:30" ht="68" x14ac:dyDescent="0.2">
      <c r="A27" t="s">
        <v>1171</v>
      </c>
      <c r="B27" t="s">
        <v>1199</v>
      </c>
      <c r="C27" t="str">
        <f>"CONF-"&amp;TEXT(us_core_reqs[[#This Row],[ID*]], "0000")</f>
        <v>CONF-0026</v>
      </c>
      <c r="D27" s="11" t="s">
        <v>820</v>
      </c>
      <c r="E27" t="str">
        <f>SUBSTITUTE(us_core_reqs[[#This Row],[URL*]], "https://hl7.org/fhir/us/core/STU8/","")</f>
        <v>general-requirements.html#extensible-binding-for-coded-elements</v>
      </c>
      <c r="F27" s="11" t="s">
        <v>66</v>
      </c>
      <c r="G27" t="s">
        <v>35</v>
      </c>
      <c r="I27" t="s">
        <v>30</v>
      </c>
      <c r="J27" t="s">
        <v>1171</v>
      </c>
      <c r="K27" t="s">
        <v>1099</v>
      </c>
      <c r="L27" t="s">
        <v>1176</v>
      </c>
      <c r="M27" t="s">
        <v>60</v>
      </c>
      <c r="N27" t="s">
        <v>1171</v>
      </c>
      <c r="O27" t="s">
        <v>1171</v>
      </c>
      <c r="P27" t="s">
        <v>1171</v>
      </c>
      <c r="Q27" t="s">
        <v>1171</v>
      </c>
      <c r="R27" t="str">
        <f>_xlfn.TEXTBEFORE(_xlfn.TEXTAFTER(us_core_reqs[[#This Row],[URL*]],"/",-1),".")</f>
        <v>general-requirements</v>
      </c>
      <c r="S27" t="str">
        <f>_xlfn.TEXTAFTER(us_core_reqs[[#This Row],[URL*]],"#",-1)</f>
        <v>extensible-binding-for-coded-elements</v>
      </c>
      <c r="T27" t="str">
        <f>SUBSTITUTE(SUBSTITUTE(PROPER(SUBSTITUTE(us_core_reqs[[#This Row],[Page]], "-", " "))&amp;": "&amp;PROPER(SUBSTITUTE(us_core_reqs[[#This Row],[Section]], "-", " ")),"Us ","US "), "Uscdi", "USCDI")</f>
        <v>General Requirements: Extensible Binding For Coded Elements</v>
      </c>
      <c r="U27" t="s">
        <v>35</v>
      </c>
      <c r="V27" t="s">
        <v>1171</v>
      </c>
      <c r="W27" t="s">
        <v>1171</v>
      </c>
      <c r="X27" t="s">
        <v>1171</v>
      </c>
      <c r="Y27" t="s">
        <v>1171</v>
      </c>
      <c r="Z27" t="s">
        <v>1171</v>
      </c>
      <c r="AA27" t="s">
        <v>1171</v>
      </c>
      <c r="AB27" t="s">
        <v>1171</v>
      </c>
      <c r="AC27" t="s">
        <v>1171</v>
      </c>
      <c r="AD27" t="s">
        <v>1171</v>
      </c>
    </row>
    <row r="28" spans="1:30" ht="153" x14ac:dyDescent="0.2">
      <c r="A28" t="s">
        <v>1171</v>
      </c>
      <c r="B28" t="s">
        <v>1200</v>
      </c>
      <c r="C28" t="str">
        <f>"CONF-"&amp;TEXT(us_core_reqs[[#This Row],[ID*]], "0000")</f>
        <v>CONF-0027</v>
      </c>
      <c r="D28" s="11" t="s">
        <v>820</v>
      </c>
      <c r="E28" t="str">
        <f>SUBSTITUTE(us_core_reqs[[#This Row],[URL*]], "https://hl7.org/fhir/us/core/STU8/","")</f>
        <v>general-requirements.html#extensible-binding-for-coded-elements</v>
      </c>
      <c r="F28" s="11" t="s">
        <v>67</v>
      </c>
      <c r="G28" t="s">
        <v>29</v>
      </c>
      <c r="I28" t="s">
        <v>30</v>
      </c>
      <c r="J28" t="s">
        <v>1171</v>
      </c>
      <c r="K28" t="s">
        <v>1171</v>
      </c>
      <c r="L28" t="s">
        <v>1176</v>
      </c>
      <c r="M28" t="s">
        <v>68</v>
      </c>
      <c r="N28" t="s">
        <v>1171</v>
      </c>
      <c r="O28" t="s">
        <v>1171</v>
      </c>
      <c r="P28" t="s">
        <v>1171</v>
      </c>
      <c r="Q28" t="s">
        <v>1171</v>
      </c>
      <c r="R28" t="str">
        <f>_xlfn.TEXTBEFORE(_xlfn.TEXTAFTER(us_core_reqs[[#This Row],[URL*]],"/",-1),".")</f>
        <v>general-requirements</v>
      </c>
      <c r="S28" t="str">
        <f>_xlfn.TEXTAFTER(us_core_reqs[[#This Row],[URL*]],"#",-1)</f>
        <v>extensible-binding-for-coded-elements</v>
      </c>
      <c r="T28" t="str">
        <f>SUBSTITUTE(SUBSTITUTE(PROPER(SUBSTITUTE(us_core_reqs[[#This Row],[Page]], "-", " "))&amp;": "&amp;PROPER(SUBSTITUTE(us_core_reqs[[#This Row],[Section]], "-", " ")),"Us ","US "), "Uscdi", "USCDI")</f>
        <v>General Requirements: Extensible Binding For Coded Elements</v>
      </c>
      <c r="U28" t="s">
        <v>29</v>
      </c>
      <c r="V28" t="s">
        <v>30</v>
      </c>
      <c r="W28" t="s">
        <v>1171</v>
      </c>
      <c r="X28" t="s">
        <v>1171</v>
      </c>
      <c r="Y28" t="s">
        <v>1171</v>
      </c>
      <c r="Z28" t="s">
        <v>1171</v>
      </c>
      <c r="AA28" t="s">
        <v>1171</v>
      </c>
      <c r="AB28" t="s">
        <v>1171</v>
      </c>
      <c r="AC28" t="s">
        <v>1140</v>
      </c>
      <c r="AD28" t="s">
        <v>1171</v>
      </c>
    </row>
    <row r="29" spans="1:30" ht="51" x14ac:dyDescent="0.2">
      <c r="A29" t="s">
        <v>1171</v>
      </c>
      <c r="B29" t="s">
        <v>1201</v>
      </c>
      <c r="C29" t="str">
        <f>"CONF-"&amp;TEXT(us_core_reqs[[#This Row],[ID*]], "0000")</f>
        <v>CONF-0028</v>
      </c>
      <c r="D29" s="11" t="s">
        <v>820</v>
      </c>
      <c r="E29" t="str">
        <f>SUBSTITUTE(us_core_reqs[[#This Row],[URL*]], "https://hl7.org/fhir/us/core/STU8/","")</f>
        <v>general-requirements.html#extensible-binding-for-coded-elements</v>
      </c>
      <c r="F29" s="11" t="s">
        <v>2041</v>
      </c>
      <c r="G29" t="s">
        <v>29</v>
      </c>
      <c r="I29" t="s">
        <v>58</v>
      </c>
      <c r="J29" t="s">
        <v>1171</v>
      </c>
      <c r="K29" t="s">
        <v>1171</v>
      </c>
      <c r="L29" t="s">
        <v>1176</v>
      </c>
      <c r="M29" t="s">
        <v>1171</v>
      </c>
      <c r="N29" t="s">
        <v>1171</v>
      </c>
      <c r="O29" t="s">
        <v>1171</v>
      </c>
      <c r="P29" t="s">
        <v>1171</v>
      </c>
      <c r="Q29" t="s">
        <v>1171</v>
      </c>
      <c r="R29" t="str">
        <f>_xlfn.TEXTBEFORE(_xlfn.TEXTAFTER(us_core_reqs[[#This Row],[URL*]],"/",-1),".")</f>
        <v>general-requirements</v>
      </c>
      <c r="S29" t="str">
        <f>_xlfn.TEXTAFTER(us_core_reqs[[#This Row],[URL*]],"#",-1)</f>
        <v>extensible-binding-for-coded-elements</v>
      </c>
      <c r="T29" t="str">
        <f>SUBSTITUTE(SUBSTITUTE(PROPER(SUBSTITUTE(us_core_reqs[[#This Row],[Page]], "-", " "))&amp;": "&amp;PROPER(SUBSTITUTE(us_core_reqs[[#This Row],[Section]], "-", " ")),"Us ","US "), "Uscdi", "USCDI")</f>
        <v>General Requirements: Extensible Binding For Coded Elements</v>
      </c>
      <c r="U29" t="s">
        <v>29</v>
      </c>
      <c r="V29" t="s">
        <v>58</v>
      </c>
      <c r="W29" t="s">
        <v>1171</v>
      </c>
      <c r="X29" t="s">
        <v>1171</v>
      </c>
      <c r="Y29" t="s">
        <v>1171</v>
      </c>
      <c r="Z29" t="s">
        <v>1171</v>
      </c>
      <c r="AA29" t="s">
        <v>1171</v>
      </c>
      <c r="AB29" t="s">
        <v>1171</v>
      </c>
      <c r="AC29" t="s">
        <v>1171</v>
      </c>
      <c r="AD29" t="s">
        <v>1171</v>
      </c>
    </row>
    <row r="30" spans="1:30" ht="51" x14ac:dyDescent="0.2">
      <c r="A30" t="s">
        <v>1171</v>
      </c>
      <c r="B30" t="s">
        <v>1202</v>
      </c>
      <c r="C30" t="str">
        <f>"CONF-"&amp;TEXT(us_core_reqs[[#This Row],[ID*]], "0000")</f>
        <v>CONF-0029</v>
      </c>
      <c r="D30" s="11" t="s">
        <v>611</v>
      </c>
      <c r="E30" t="str">
        <f>SUBSTITUTE(us_core_reqs[[#This Row],[URL*]], "https://hl7.org/fhir/us/core/STU8/","")</f>
        <v>general-requirements.html#translations</v>
      </c>
      <c r="F30" s="11" t="s">
        <v>644</v>
      </c>
      <c r="G30" t="s">
        <v>35</v>
      </c>
      <c r="I30" t="s">
        <v>30</v>
      </c>
      <c r="J30" t="s">
        <v>1171</v>
      </c>
      <c r="K30" t="s">
        <v>1171</v>
      </c>
      <c r="L30" t="s">
        <v>1173</v>
      </c>
      <c r="M30" t="s">
        <v>1171</v>
      </c>
      <c r="N30" t="s">
        <v>1171</v>
      </c>
      <c r="O30" t="s">
        <v>1171</v>
      </c>
      <c r="P30" t="s">
        <v>1171</v>
      </c>
      <c r="Q30" t="s">
        <v>1171</v>
      </c>
      <c r="R30" t="str">
        <f>_xlfn.TEXTBEFORE(_xlfn.TEXTAFTER(us_core_reqs[[#This Row],[URL*]],"/",-1),".")</f>
        <v>general-requirements</v>
      </c>
      <c r="S30" t="str">
        <f>_xlfn.TEXTAFTER(us_core_reqs[[#This Row],[URL*]],"#",-1)</f>
        <v>translations</v>
      </c>
      <c r="T30" t="str">
        <f>SUBSTITUTE(SUBSTITUTE(PROPER(SUBSTITUTE(us_core_reqs[[#This Row],[Page]], "-", " "))&amp;": "&amp;PROPER(SUBSTITUTE(us_core_reqs[[#This Row],[Section]], "-", " ")),"Us ","US "), "Uscdi", "USCDI")</f>
        <v>General Requirements: Translations</v>
      </c>
      <c r="U30" t="s">
        <v>35</v>
      </c>
      <c r="V30" t="s">
        <v>1171</v>
      </c>
      <c r="W30" t="s">
        <v>1171</v>
      </c>
      <c r="X30" t="s">
        <v>1171</v>
      </c>
      <c r="Y30" t="s">
        <v>1171</v>
      </c>
      <c r="Z30" t="s">
        <v>1171</v>
      </c>
      <c r="AA30" t="s">
        <v>1171</v>
      </c>
      <c r="AB30" t="s">
        <v>643</v>
      </c>
      <c r="AC30" t="s">
        <v>1171</v>
      </c>
      <c r="AD30" t="s">
        <v>1171</v>
      </c>
    </row>
    <row r="31" spans="1:30" ht="34" x14ac:dyDescent="0.2">
      <c r="A31" t="s">
        <v>1171</v>
      </c>
      <c r="B31" t="s">
        <v>1203</v>
      </c>
      <c r="C31" t="str">
        <f>"CONF-"&amp;TEXT(us_core_reqs[[#This Row],[ID*]], "0000")</f>
        <v>CONF-0030</v>
      </c>
      <c r="D31" s="11" t="s">
        <v>611</v>
      </c>
      <c r="E31" t="str">
        <f>SUBSTITUTE(us_core_reqs[[#This Row],[URL*]], "https://hl7.org/fhir/us/core/STU8/","")</f>
        <v>general-requirements.html#translations</v>
      </c>
      <c r="F31" s="11" t="s">
        <v>645</v>
      </c>
      <c r="G31" t="s">
        <v>35</v>
      </c>
      <c r="I31" t="s">
        <v>30</v>
      </c>
      <c r="J31" t="s">
        <v>1171</v>
      </c>
      <c r="K31" t="s">
        <v>1171</v>
      </c>
      <c r="L31" t="s">
        <v>1173</v>
      </c>
      <c r="M31" t="s">
        <v>1171</v>
      </c>
      <c r="N31" t="s">
        <v>1171</v>
      </c>
      <c r="O31" t="s">
        <v>1171</v>
      </c>
      <c r="P31" t="s">
        <v>1171</v>
      </c>
      <c r="Q31" t="s">
        <v>1171</v>
      </c>
      <c r="R31" t="str">
        <f>_xlfn.TEXTBEFORE(_xlfn.TEXTAFTER(us_core_reqs[[#This Row],[URL*]],"/",-1),".")</f>
        <v>general-requirements</v>
      </c>
      <c r="S31" t="str">
        <f>_xlfn.TEXTAFTER(us_core_reqs[[#This Row],[URL*]],"#",-1)</f>
        <v>translations</v>
      </c>
      <c r="T31" t="str">
        <f>SUBSTITUTE(SUBSTITUTE(PROPER(SUBSTITUTE(us_core_reqs[[#This Row],[Page]], "-", " "))&amp;": "&amp;PROPER(SUBSTITUTE(us_core_reqs[[#This Row],[Section]], "-", " ")),"Us ","US "), "Uscdi", "USCDI")</f>
        <v>General Requirements: Translations</v>
      </c>
      <c r="U31" t="s">
        <v>35</v>
      </c>
      <c r="V31" t="s">
        <v>1171</v>
      </c>
      <c r="W31" t="s">
        <v>1171</v>
      </c>
      <c r="X31" t="s">
        <v>1171</v>
      </c>
      <c r="Y31" t="s">
        <v>1171</v>
      </c>
      <c r="Z31" t="s">
        <v>1171</v>
      </c>
      <c r="AA31" t="s">
        <v>1171</v>
      </c>
      <c r="AB31" t="s">
        <v>643</v>
      </c>
      <c r="AC31" t="s">
        <v>1171</v>
      </c>
      <c r="AD31" t="s">
        <v>1171</v>
      </c>
    </row>
    <row r="32" spans="1:30" ht="51" x14ac:dyDescent="0.2">
      <c r="A32" t="s">
        <v>1171</v>
      </c>
      <c r="B32" t="s">
        <v>1204</v>
      </c>
      <c r="C32" t="str">
        <f>"CONF-"&amp;TEXT(us_core_reqs[[#This Row],[ID*]], "0000")</f>
        <v>CONF-0031</v>
      </c>
      <c r="D32" s="11" t="s">
        <v>821</v>
      </c>
      <c r="E32" t="str">
        <f>SUBSTITUTE(us_core_reqs[[#This Row],[URL*]], "https://hl7.org/fhir/us/core/STU8/","")</f>
        <v>general-requirements.html#modifier-elements</v>
      </c>
      <c r="F32" s="11" t="s">
        <v>2042</v>
      </c>
      <c r="G32" t="s">
        <v>64</v>
      </c>
      <c r="I32" t="s">
        <v>30</v>
      </c>
      <c r="J32" t="s">
        <v>1171</v>
      </c>
      <c r="K32" t="s">
        <v>1171</v>
      </c>
      <c r="L32" t="s">
        <v>1176</v>
      </c>
      <c r="M32" t="s">
        <v>1171</v>
      </c>
      <c r="N32" t="s">
        <v>1171</v>
      </c>
      <c r="O32" t="s">
        <v>1171</v>
      </c>
      <c r="P32" t="s">
        <v>1171</v>
      </c>
      <c r="Q32" t="s">
        <v>1171</v>
      </c>
      <c r="R32" t="str">
        <f>_xlfn.TEXTBEFORE(_xlfn.TEXTAFTER(us_core_reqs[[#This Row],[URL*]],"/",-1),".")</f>
        <v>general-requirements</v>
      </c>
      <c r="S32" t="str">
        <f>_xlfn.TEXTAFTER(us_core_reqs[[#This Row],[URL*]],"#",-1)</f>
        <v>modifier-elements</v>
      </c>
      <c r="T32" t="str">
        <f>SUBSTITUTE(SUBSTITUTE(PROPER(SUBSTITUTE(us_core_reqs[[#This Row],[Page]], "-", " "))&amp;": "&amp;PROPER(SUBSTITUTE(us_core_reqs[[#This Row],[Section]], "-", " ")),"Us ","US "), "Uscdi", "USCDI")</f>
        <v>General Requirements: Modifier Elements</v>
      </c>
      <c r="U32" t="s">
        <v>29</v>
      </c>
      <c r="V32" t="s">
        <v>30</v>
      </c>
      <c r="W32" t="s">
        <v>1171</v>
      </c>
      <c r="X32" t="s">
        <v>1171</v>
      </c>
      <c r="Y32" t="s">
        <v>1171</v>
      </c>
      <c r="Z32" t="s">
        <v>1171</v>
      </c>
      <c r="AA32" t="s">
        <v>1171</v>
      </c>
      <c r="AB32" t="s">
        <v>1144</v>
      </c>
      <c r="AC32" t="s">
        <v>1141</v>
      </c>
      <c r="AD32" t="s">
        <v>1171</v>
      </c>
    </row>
    <row r="33" spans="1:30" ht="51" x14ac:dyDescent="0.2">
      <c r="A33" t="s">
        <v>1171</v>
      </c>
      <c r="B33" t="s">
        <v>1205</v>
      </c>
      <c r="C33" t="str">
        <f>"CONF-"&amp;TEXT(us_core_reqs[[#This Row],[ID*]], "0000")</f>
        <v>CONF-0032</v>
      </c>
      <c r="D33" s="11" t="s">
        <v>821</v>
      </c>
      <c r="E33" t="str">
        <f>SUBSTITUTE(us_core_reqs[[#This Row],[URL*]], "https://hl7.org/fhir/us/core/STU8/","")</f>
        <v>general-requirements.html#modifier-elements</v>
      </c>
      <c r="F33" s="11" t="s">
        <v>2043</v>
      </c>
      <c r="G33" t="s">
        <v>29</v>
      </c>
      <c r="I33" t="s">
        <v>58</v>
      </c>
      <c r="J33" t="s">
        <v>1171</v>
      </c>
      <c r="K33" t="s">
        <v>1171</v>
      </c>
      <c r="L33" t="s">
        <v>1176</v>
      </c>
      <c r="M33" t="s">
        <v>1171</v>
      </c>
      <c r="N33" t="s">
        <v>1171</v>
      </c>
      <c r="O33" t="s">
        <v>1171</v>
      </c>
      <c r="P33" t="s">
        <v>1171</v>
      </c>
      <c r="Q33" t="s">
        <v>1171</v>
      </c>
      <c r="R33" t="str">
        <f>_xlfn.TEXTBEFORE(_xlfn.TEXTAFTER(us_core_reqs[[#This Row],[URL*]],"/",-1),".")</f>
        <v>general-requirements</v>
      </c>
      <c r="S33" t="str">
        <f>_xlfn.TEXTAFTER(us_core_reqs[[#This Row],[URL*]],"#",-1)</f>
        <v>modifier-elements</v>
      </c>
      <c r="T33" t="str">
        <f>SUBSTITUTE(SUBSTITUTE(PROPER(SUBSTITUTE(us_core_reqs[[#This Row],[Page]], "-", " "))&amp;": "&amp;PROPER(SUBSTITUTE(us_core_reqs[[#This Row],[Section]], "-", " ")),"Us ","US "), "Uscdi", "USCDI")</f>
        <v>General Requirements: Modifier Elements</v>
      </c>
      <c r="U33" t="s">
        <v>29</v>
      </c>
      <c r="V33" t="s">
        <v>58</v>
      </c>
      <c r="W33" t="s">
        <v>1171</v>
      </c>
      <c r="X33" t="s">
        <v>1171</v>
      </c>
      <c r="Y33" t="s">
        <v>1171</v>
      </c>
      <c r="Z33" t="s">
        <v>1171</v>
      </c>
      <c r="AA33" t="s">
        <v>1171</v>
      </c>
      <c r="AB33" t="s">
        <v>1171</v>
      </c>
      <c r="AC33" t="s">
        <v>1171</v>
      </c>
      <c r="AD33" t="s">
        <v>1171</v>
      </c>
    </row>
    <row r="34" spans="1:30" ht="34" x14ac:dyDescent="0.2">
      <c r="A34" t="s">
        <v>1171</v>
      </c>
      <c r="B34" t="s">
        <v>1206</v>
      </c>
      <c r="C34" t="str">
        <f>"CONF-"&amp;TEXT(us_core_reqs[[#This Row],[ID*]], "0000")</f>
        <v>CONF-0033</v>
      </c>
      <c r="D34" s="11" t="s">
        <v>821</v>
      </c>
      <c r="E34" t="str">
        <f>SUBSTITUTE(us_core_reqs[[#This Row],[URL*]], "https://hl7.org/fhir/us/core/STU8/","")</f>
        <v>general-requirements.html#modifier-elements</v>
      </c>
      <c r="F34" s="11" t="s">
        <v>72</v>
      </c>
      <c r="G34" t="s">
        <v>35</v>
      </c>
      <c r="I34" t="s">
        <v>30</v>
      </c>
      <c r="J34" t="s">
        <v>1171</v>
      </c>
      <c r="K34" t="s">
        <v>1171</v>
      </c>
      <c r="L34" t="s">
        <v>1173</v>
      </c>
      <c r="M34" t="s">
        <v>1171</v>
      </c>
      <c r="N34" t="s">
        <v>1171</v>
      </c>
      <c r="O34" t="s">
        <v>1171</v>
      </c>
      <c r="P34" t="s">
        <v>1171</v>
      </c>
      <c r="Q34" t="s">
        <v>1171</v>
      </c>
      <c r="R34" t="str">
        <f>_xlfn.TEXTBEFORE(_xlfn.TEXTAFTER(us_core_reqs[[#This Row],[URL*]],"/",-1),".")</f>
        <v>general-requirements</v>
      </c>
      <c r="S34" t="str">
        <f>_xlfn.TEXTAFTER(us_core_reqs[[#This Row],[URL*]],"#",-1)</f>
        <v>modifier-elements</v>
      </c>
      <c r="T34" t="str">
        <f>SUBSTITUTE(SUBSTITUTE(PROPER(SUBSTITUTE(us_core_reqs[[#This Row],[Page]], "-", " "))&amp;": "&amp;PROPER(SUBSTITUTE(us_core_reqs[[#This Row],[Section]], "-", " ")),"Us ","US "), "Uscdi", "USCDI")</f>
        <v>General Requirements: Modifier Elements</v>
      </c>
      <c r="U34" t="s">
        <v>1171</v>
      </c>
      <c r="V34" t="s">
        <v>1171</v>
      </c>
      <c r="W34" t="s">
        <v>1171</v>
      </c>
      <c r="X34" t="s">
        <v>1171</v>
      </c>
      <c r="Y34" t="s">
        <v>1171</v>
      </c>
      <c r="Z34" t="s">
        <v>1171</v>
      </c>
      <c r="AA34" t="s">
        <v>1171</v>
      </c>
      <c r="AB34" t="s">
        <v>1171</v>
      </c>
      <c r="AC34" t="s">
        <v>1171</v>
      </c>
      <c r="AD34" t="s">
        <v>1171</v>
      </c>
    </row>
    <row r="35" spans="1:30" ht="51" x14ac:dyDescent="0.2">
      <c r="A35" t="s">
        <v>1171</v>
      </c>
      <c r="B35" t="s">
        <v>1207</v>
      </c>
      <c r="C35" t="str">
        <f>"CONF-"&amp;TEXT(us_core_reqs[[#This Row],[ID*]], "0000")</f>
        <v>CONF-0034</v>
      </c>
      <c r="D35" s="11" t="s">
        <v>821</v>
      </c>
      <c r="E35" t="str">
        <f>SUBSTITUTE(us_core_reqs[[#This Row],[URL*]], "https://hl7.org/fhir/us/core/STU8/","")</f>
        <v>general-requirements.html#modifier-elements</v>
      </c>
      <c r="F35" s="11" t="s">
        <v>73</v>
      </c>
      <c r="G35" t="s">
        <v>35</v>
      </c>
      <c r="H35" t="s">
        <v>1846</v>
      </c>
      <c r="I35" t="s">
        <v>30</v>
      </c>
      <c r="J35" t="s">
        <v>1171</v>
      </c>
      <c r="K35" t="s">
        <v>1171</v>
      </c>
      <c r="L35" t="s">
        <v>1173</v>
      </c>
      <c r="M35" t="s">
        <v>1171</v>
      </c>
      <c r="N35" t="s">
        <v>1171</v>
      </c>
      <c r="O35" t="s">
        <v>1171</v>
      </c>
      <c r="P35" t="s">
        <v>1171</v>
      </c>
      <c r="Q35" t="s">
        <v>1171</v>
      </c>
      <c r="R35" t="str">
        <f>_xlfn.TEXTBEFORE(_xlfn.TEXTAFTER(us_core_reqs[[#This Row],[URL*]],"/",-1),".")</f>
        <v>general-requirements</v>
      </c>
      <c r="S35" t="str">
        <f>_xlfn.TEXTAFTER(us_core_reqs[[#This Row],[URL*]],"#",-1)</f>
        <v>modifier-elements</v>
      </c>
      <c r="T35" t="str">
        <f>SUBSTITUTE(SUBSTITUTE(PROPER(SUBSTITUTE(us_core_reqs[[#This Row],[Page]], "-", " "))&amp;": "&amp;PROPER(SUBSTITUTE(us_core_reqs[[#This Row],[Section]], "-", " ")),"Us ","US "), "Uscdi", "USCDI")</f>
        <v>General Requirements: Modifier Elements</v>
      </c>
      <c r="U35" t="s">
        <v>35</v>
      </c>
      <c r="V35" t="s">
        <v>30</v>
      </c>
      <c r="W35" t="s">
        <v>1171</v>
      </c>
      <c r="X35" t="s">
        <v>1171</v>
      </c>
      <c r="Y35" t="s">
        <v>1171</v>
      </c>
      <c r="Z35" t="s">
        <v>1171</v>
      </c>
      <c r="AA35" t="s">
        <v>1171</v>
      </c>
      <c r="AB35" t="s">
        <v>1171</v>
      </c>
      <c r="AC35" t="s">
        <v>1171</v>
      </c>
      <c r="AD35" t="s">
        <v>1171</v>
      </c>
    </row>
    <row r="36" spans="1:30" ht="51" x14ac:dyDescent="0.2">
      <c r="A36" t="s">
        <v>1171</v>
      </c>
      <c r="B36" t="s">
        <v>1208</v>
      </c>
      <c r="C36" t="str">
        <f>"CONF-"&amp;TEXT(us_core_reqs[[#This Row],[ID*]], "0000")</f>
        <v>CONF-0035</v>
      </c>
      <c r="D36" s="11" t="s">
        <v>821</v>
      </c>
      <c r="E36" t="str">
        <f>SUBSTITUTE(us_core_reqs[[#This Row],[URL*]], "https://hl7.org/fhir/us/core/STU8/","")</f>
        <v>general-requirements.html#modifier-elements</v>
      </c>
      <c r="F36" s="11" t="s">
        <v>74</v>
      </c>
      <c r="G36" t="s">
        <v>32</v>
      </c>
      <c r="I36" t="s">
        <v>58</v>
      </c>
      <c r="J36" t="s">
        <v>1171</v>
      </c>
      <c r="K36" t="s">
        <v>1171</v>
      </c>
      <c r="L36" t="s">
        <v>1176</v>
      </c>
      <c r="M36" t="s">
        <v>1171</v>
      </c>
      <c r="N36" t="s">
        <v>1171</v>
      </c>
      <c r="O36" t="s">
        <v>1171</v>
      </c>
      <c r="P36" t="s">
        <v>1171</v>
      </c>
      <c r="Q36" t="s">
        <v>1171</v>
      </c>
      <c r="R36" t="str">
        <f>_xlfn.TEXTBEFORE(_xlfn.TEXTAFTER(us_core_reqs[[#This Row],[URL*]],"/",-1),".")</f>
        <v>general-requirements</v>
      </c>
      <c r="S36" t="str">
        <f>_xlfn.TEXTAFTER(us_core_reqs[[#This Row],[URL*]],"#",-1)</f>
        <v>modifier-elements</v>
      </c>
      <c r="T36" t="str">
        <f>SUBSTITUTE(SUBSTITUTE(PROPER(SUBSTITUTE(us_core_reqs[[#This Row],[Page]], "-", " "))&amp;": "&amp;PROPER(SUBSTITUTE(us_core_reqs[[#This Row],[Section]], "-", " ")),"Us ","US "), "Uscdi", "USCDI")</f>
        <v>General Requirements: Modifier Elements</v>
      </c>
      <c r="U36" t="s">
        <v>32</v>
      </c>
      <c r="V36" t="s">
        <v>1171</v>
      </c>
      <c r="W36" t="s">
        <v>1171</v>
      </c>
      <c r="X36" t="s">
        <v>1171</v>
      </c>
      <c r="Y36" t="s">
        <v>1171</v>
      </c>
      <c r="Z36" t="s">
        <v>1171</v>
      </c>
      <c r="AA36" t="s">
        <v>1171</v>
      </c>
      <c r="AB36" t="s">
        <v>1171</v>
      </c>
      <c r="AC36" t="s">
        <v>1171</v>
      </c>
      <c r="AD36" t="s">
        <v>1171</v>
      </c>
    </row>
    <row r="37" spans="1:30" ht="68" x14ac:dyDescent="0.2">
      <c r="A37" t="s">
        <v>1171</v>
      </c>
      <c r="B37" t="s">
        <v>1209</v>
      </c>
      <c r="C37" t="str">
        <f>"CONF-"&amp;TEXT(us_core_reqs[[#This Row],[ID*]], "0000")</f>
        <v>CONF-0036</v>
      </c>
      <c r="D37" s="11" t="s">
        <v>821</v>
      </c>
      <c r="E37" t="str">
        <f>SUBSTITUTE(us_core_reqs[[#This Row],[URL*]], "https://hl7.org/fhir/us/core/STU8/","")</f>
        <v>general-requirements.html#modifier-elements</v>
      </c>
      <c r="F37" s="11" t="s">
        <v>75</v>
      </c>
      <c r="G37" t="s">
        <v>1834</v>
      </c>
      <c r="I37" t="s">
        <v>58</v>
      </c>
      <c r="J37" t="s">
        <v>1171</v>
      </c>
      <c r="K37" t="s">
        <v>1171</v>
      </c>
      <c r="L37" t="s">
        <v>1176</v>
      </c>
      <c r="M37" t="s">
        <v>1171</v>
      </c>
      <c r="N37" t="s">
        <v>1171</v>
      </c>
      <c r="O37" t="s">
        <v>1171</v>
      </c>
      <c r="P37" t="s">
        <v>1171</v>
      </c>
      <c r="Q37" t="s">
        <v>1171</v>
      </c>
      <c r="R37" t="str">
        <f>_xlfn.TEXTBEFORE(_xlfn.TEXTAFTER(us_core_reqs[[#This Row],[URL*]],"/",-1),".")</f>
        <v>general-requirements</v>
      </c>
      <c r="S37" t="str">
        <f>_xlfn.TEXTAFTER(us_core_reqs[[#This Row],[URL*]],"#",-1)</f>
        <v>modifier-elements</v>
      </c>
      <c r="T37" t="str">
        <f>SUBSTITUTE(SUBSTITUTE(PROPER(SUBSTITUTE(us_core_reqs[[#This Row],[Page]], "-", " "))&amp;": "&amp;PROPER(SUBSTITUTE(us_core_reqs[[#This Row],[Section]], "-", " ")),"Us ","US "), "Uscdi", "USCDI")</f>
        <v>General Requirements: Modifier Elements</v>
      </c>
      <c r="U37" t="s">
        <v>32</v>
      </c>
      <c r="V37" t="s">
        <v>1171</v>
      </c>
      <c r="W37" t="s">
        <v>1171</v>
      </c>
      <c r="X37" t="s">
        <v>1171</v>
      </c>
      <c r="Y37" t="s">
        <v>1171</v>
      </c>
      <c r="Z37" t="s">
        <v>1171</v>
      </c>
      <c r="AA37" t="s">
        <v>1171</v>
      </c>
      <c r="AB37" t="s">
        <v>1171</v>
      </c>
      <c r="AC37" t="s">
        <v>1171</v>
      </c>
      <c r="AD37" t="s">
        <v>1171</v>
      </c>
    </row>
    <row r="38" spans="1:30" ht="51" x14ac:dyDescent="0.2">
      <c r="A38" t="s">
        <v>1171</v>
      </c>
      <c r="B38" t="s">
        <v>1210</v>
      </c>
      <c r="C38" t="str">
        <f>"CONF-"&amp;TEXT(us_core_reqs[[#This Row],[ID*]], "0000")</f>
        <v>CONF-0037</v>
      </c>
      <c r="D38" s="11" t="s">
        <v>821</v>
      </c>
      <c r="E38" t="str">
        <f>SUBSTITUTE(us_core_reqs[[#This Row],[URL*]], "https://hl7.org/fhir/us/core/STU8/","")</f>
        <v>general-requirements.html#modifier-elements</v>
      </c>
      <c r="F38" s="11" t="s">
        <v>906</v>
      </c>
      <c r="G38" t="s">
        <v>32</v>
      </c>
      <c r="I38" t="s">
        <v>58</v>
      </c>
      <c r="J38" t="s">
        <v>1171</v>
      </c>
      <c r="K38" t="s">
        <v>1171</v>
      </c>
      <c r="L38" t="s">
        <v>1173</v>
      </c>
      <c r="M38" t="s">
        <v>1171</v>
      </c>
      <c r="N38" t="s">
        <v>1171</v>
      </c>
      <c r="O38" t="s">
        <v>1171</v>
      </c>
      <c r="P38" t="s">
        <v>1171</v>
      </c>
      <c r="Q38" t="s">
        <v>1171</v>
      </c>
      <c r="R38" t="str">
        <f>_xlfn.TEXTBEFORE(_xlfn.TEXTAFTER(us_core_reqs[[#This Row],[URL*]],"/",-1),".")</f>
        <v>general-requirements</v>
      </c>
      <c r="S38" t="str">
        <f>_xlfn.TEXTAFTER(us_core_reqs[[#This Row],[URL*]],"#",-1)</f>
        <v>modifier-elements</v>
      </c>
      <c r="T38" t="str">
        <f>SUBSTITUTE(SUBSTITUTE(PROPER(SUBSTITUTE(us_core_reqs[[#This Row],[Page]], "-", " "))&amp;": "&amp;PROPER(SUBSTITUTE(us_core_reqs[[#This Row],[Section]], "-", " ")),"Us ","US "), "Uscdi", "USCDI")</f>
        <v>General Requirements: Modifier Elements</v>
      </c>
      <c r="U38" t="s">
        <v>1171</v>
      </c>
      <c r="V38" t="s">
        <v>58</v>
      </c>
      <c r="W38" t="s">
        <v>1171</v>
      </c>
      <c r="X38" t="s">
        <v>1171</v>
      </c>
      <c r="Y38" t="s">
        <v>1171</v>
      </c>
      <c r="Z38" t="s">
        <v>1171</v>
      </c>
      <c r="AA38" t="s">
        <v>1171</v>
      </c>
      <c r="AB38" t="s">
        <v>1171</v>
      </c>
      <c r="AC38" t="s">
        <v>1171</v>
      </c>
      <c r="AD38" t="s">
        <v>1171</v>
      </c>
    </row>
    <row r="39" spans="1:30" ht="34" x14ac:dyDescent="0.2">
      <c r="A39" t="s">
        <v>1171</v>
      </c>
      <c r="B39" t="s">
        <v>1211</v>
      </c>
      <c r="C39" t="str">
        <f>"CONF-"&amp;TEXT(us_core_reqs[[#This Row],[ID*]], "0000")</f>
        <v>CONF-0038</v>
      </c>
      <c r="D39" s="11" t="s">
        <v>821</v>
      </c>
      <c r="E39" t="str">
        <f>SUBSTITUTE(us_core_reqs[[#This Row],[URL*]], "https://hl7.org/fhir/us/core/STU8/","")</f>
        <v>general-requirements.html#modifier-elements</v>
      </c>
      <c r="F39" s="11" t="s">
        <v>1908</v>
      </c>
      <c r="G39" t="s">
        <v>64</v>
      </c>
      <c r="H39" t="s">
        <v>1847</v>
      </c>
      <c r="I39" t="s">
        <v>1171</v>
      </c>
      <c r="J39" t="s">
        <v>1171</v>
      </c>
      <c r="K39" t="s">
        <v>1171</v>
      </c>
      <c r="L39" t="s">
        <v>1173</v>
      </c>
      <c r="M39" t="s">
        <v>1171</v>
      </c>
      <c r="N39" t="s">
        <v>1171</v>
      </c>
      <c r="O39" t="s">
        <v>1171</v>
      </c>
      <c r="P39" t="s">
        <v>1171</v>
      </c>
      <c r="Q39" t="s">
        <v>1171</v>
      </c>
      <c r="R39" t="str">
        <f>_xlfn.TEXTBEFORE(_xlfn.TEXTAFTER(us_core_reqs[[#This Row],[URL*]],"/",-1),".")</f>
        <v>general-requirements</v>
      </c>
      <c r="S39" t="str">
        <f>_xlfn.TEXTAFTER(us_core_reqs[[#This Row],[URL*]],"#",-1)</f>
        <v>modifier-elements</v>
      </c>
      <c r="T39" t="str">
        <f>SUBSTITUTE(SUBSTITUTE(PROPER(SUBSTITUTE(us_core_reqs[[#This Row],[Page]], "-", " "))&amp;": "&amp;PROPER(SUBSTITUTE(us_core_reqs[[#This Row],[Section]], "-", " ")),"Us ","US "), "Uscdi", "USCDI")</f>
        <v>General Requirements: Modifier Elements</v>
      </c>
      <c r="U39" t="s">
        <v>32</v>
      </c>
      <c r="V39" t="s">
        <v>1171</v>
      </c>
      <c r="W39" t="s">
        <v>1171</v>
      </c>
      <c r="X39" t="s">
        <v>1171</v>
      </c>
      <c r="Y39" t="s">
        <v>1171</v>
      </c>
      <c r="Z39" t="s">
        <v>1171</v>
      </c>
      <c r="AA39" t="s">
        <v>1171</v>
      </c>
      <c r="AB39" t="s">
        <v>78</v>
      </c>
      <c r="AC39" t="s">
        <v>1171</v>
      </c>
      <c r="AD39" t="s">
        <v>1171</v>
      </c>
    </row>
    <row r="40" spans="1:30" ht="51" x14ac:dyDescent="0.2">
      <c r="A40" t="s">
        <v>1171</v>
      </c>
      <c r="B40" t="s">
        <v>1212</v>
      </c>
      <c r="C40" t="str">
        <f>"CONF-"&amp;TEXT(us_core_reqs[[#This Row],[ID*]], "0000")</f>
        <v>CONF-0039</v>
      </c>
      <c r="D40" s="11" t="s">
        <v>822</v>
      </c>
      <c r="E40" t="str">
        <f>SUBSTITUTE(us_core_reqs[[#This Row],[URL*]], "https://hl7.org/fhir/us/core/STU8/","")</f>
        <v>general-requirements.html#missing-data</v>
      </c>
      <c r="F40" s="11" t="s">
        <v>79</v>
      </c>
      <c r="G40" t="s">
        <v>29</v>
      </c>
      <c r="I40" t="s">
        <v>30</v>
      </c>
      <c r="J40" t="s">
        <v>1171</v>
      </c>
      <c r="K40" t="s">
        <v>1171</v>
      </c>
      <c r="L40" t="s">
        <v>1176</v>
      </c>
      <c r="M40" t="s">
        <v>80</v>
      </c>
      <c r="N40" t="s">
        <v>1171</v>
      </c>
      <c r="O40" t="s">
        <v>1171</v>
      </c>
      <c r="P40" t="s">
        <v>1171</v>
      </c>
      <c r="Q40" t="s">
        <v>1171</v>
      </c>
      <c r="R40" t="str">
        <f>_xlfn.TEXTBEFORE(_xlfn.TEXTAFTER(us_core_reqs[[#This Row],[URL*]],"/",-1),".")</f>
        <v>general-requirements</v>
      </c>
      <c r="S40" t="str">
        <f>_xlfn.TEXTAFTER(us_core_reqs[[#This Row],[URL*]],"#",-1)</f>
        <v>missing-data</v>
      </c>
      <c r="T40" t="str">
        <f>SUBSTITUTE(SUBSTITUTE(PROPER(SUBSTITUTE(us_core_reqs[[#This Row],[Page]], "-", " "))&amp;": "&amp;PROPER(SUBSTITUTE(us_core_reqs[[#This Row],[Section]], "-", " ")),"Us ","US "), "Uscdi", "USCDI")</f>
        <v>General Requirements: Missing Data</v>
      </c>
      <c r="U40" t="s">
        <v>29</v>
      </c>
      <c r="V40" t="s">
        <v>1171</v>
      </c>
      <c r="W40" t="s">
        <v>81</v>
      </c>
      <c r="X40" t="s">
        <v>1171</v>
      </c>
      <c r="Y40" t="s">
        <v>1171</v>
      </c>
      <c r="Z40" t="s">
        <v>1171</v>
      </c>
      <c r="AA40" t="s">
        <v>1171</v>
      </c>
      <c r="AB40" t="s">
        <v>1171</v>
      </c>
      <c r="AC40" t="s">
        <v>1140</v>
      </c>
      <c r="AD40" t="s">
        <v>1171</v>
      </c>
    </row>
    <row r="41" spans="1:30" ht="51" x14ac:dyDescent="0.2">
      <c r="A41" t="s">
        <v>1171</v>
      </c>
      <c r="B41" t="s">
        <v>1213</v>
      </c>
      <c r="C41" t="str">
        <f>"CONF-"&amp;TEXT(us_core_reqs[[#This Row],[ID*]], "0000")</f>
        <v>CONF-0040</v>
      </c>
      <c r="D41" s="11" t="s">
        <v>822</v>
      </c>
      <c r="E41" t="str">
        <f>SUBSTITUTE(us_core_reqs[[#This Row],[URL*]], "https://hl7.org/fhir/us/core/STU8/","")</f>
        <v>general-requirements.html#missing-data</v>
      </c>
      <c r="F41" s="11" t="s">
        <v>82</v>
      </c>
      <c r="G41" t="s">
        <v>29</v>
      </c>
      <c r="I41" t="s">
        <v>30</v>
      </c>
      <c r="J41" t="s">
        <v>1171</v>
      </c>
      <c r="K41" t="s">
        <v>1171</v>
      </c>
      <c r="L41" t="s">
        <v>1176</v>
      </c>
      <c r="M41" t="s">
        <v>83</v>
      </c>
      <c r="N41" t="s">
        <v>1171</v>
      </c>
      <c r="O41" t="s">
        <v>1171</v>
      </c>
      <c r="P41" t="s">
        <v>1171</v>
      </c>
      <c r="Q41" t="s">
        <v>1171</v>
      </c>
      <c r="R41" t="str">
        <f>_xlfn.TEXTBEFORE(_xlfn.TEXTAFTER(us_core_reqs[[#This Row],[URL*]],"/",-1),".")</f>
        <v>general-requirements</v>
      </c>
      <c r="S41" t="str">
        <f>_xlfn.TEXTAFTER(us_core_reqs[[#This Row],[URL*]],"#",-1)</f>
        <v>missing-data</v>
      </c>
      <c r="T41" t="str">
        <f>SUBSTITUTE(SUBSTITUTE(PROPER(SUBSTITUTE(us_core_reqs[[#This Row],[Page]], "-", " "))&amp;": "&amp;PROPER(SUBSTITUTE(us_core_reqs[[#This Row],[Section]], "-", " ")),"Us ","US "), "Uscdi", "USCDI")</f>
        <v>General Requirements: Missing Data</v>
      </c>
      <c r="U41" t="s">
        <v>29</v>
      </c>
      <c r="V41" t="s">
        <v>1171</v>
      </c>
      <c r="W41" t="s">
        <v>1171</v>
      </c>
      <c r="X41" t="s">
        <v>1171</v>
      </c>
      <c r="Y41" t="s">
        <v>1171</v>
      </c>
      <c r="Z41" t="s">
        <v>1171</v>
      </c>
      <c r="AA41" t="s">
        <v>1171</v>
      </c>
      <c r="AB41" t="s">
        <v>1171</v>
      </c>
      <c r="AC41" t="s">
        <v>1140</v>
      </c>
      <c r="AD41" t="s">
        <v>1171</v>
      </c>
    </row>
    <row r="42" spans="1:30" ht="85" x14ac:dyDescent="0.2">
      <c r="A42" t="s">
        <v>1171</v>
      </c>
      <c r="B42" t="s">
        <v>1214</v>
      </c>
      <c r="C42" t="str">
        <f>"CONF-"&amp;TEXT(us_core_reqs[[#This Row],[ID*]], "0000")</f>
        <v>CONF-0041</v>
      </c>
      <c r="D42" s="11" t="s">
        <v>822</v>
      </c>
      <c r="E42" t="str">
        <f>SUBSTITUTE(us_core_reqs[[#This Row],[URL*]], "https://hl7.org/fhir/us/core/STU8/","")</f>
        <v>general-requirements.html#missing-data</v>
      </c>
      <c r="F42" s="11" t="s">
        <v>84</v>
      </c>
      <c r="G42" t="s">
        <v>29</v>
      </c>
      <c r="I42" t="s">
        <v>30</v>
      </c>
      <c r="J42" t="s">
        <v>1171</v>
      </c>
      <c r="K42" t="s">
        <v>1171</v>
      </c>
      <c r="L42" t="s">
        <v>1176</v>
      </c>
      <c r="M42" t="s">
        <v>85</v>
      </c>
      <c r="N42" t="s">
        <v>1171</v>
      </c>
      <c r="O42" t="s">
        <v>1171</v>
      </c>
      <c r="P42" t="s">
        <v>1171</v>
      </c>
      <c r="Q42" t="s">
        <v>1171</v>
      </c>
      <c r="R42" t="str">
        <f>_xlfn.TEXTBEFORE(_xlfn.TEXTAFTER(us_core_reqs[[#This Row],[URL*]],"/",-1),".")</f>
        <v>general-requirements</v>
      </c>
      <c r="S42" t="str">
        <f>_xlfn.TEXTAFTER(us_core_reqs[[#This Row],[URL*]],"#",-1)</f>
        <v>missing-data</v>
      </c>
      <c r="T42" t="str">
        <f>SUBSTITUTE(SUBSTITUTE(PROPER(SUBSTITUTE(us_core_reqs[[#This Row],[Page]], "-", " "))&amp;": "&amp;PROPER(SUBSTITUTE(us_core_reqs[[#This Row],[Section]], "-", " ")),"Us ","US "), "Uscdi", "USCDI")</f>
        <v>General Requirements: Missing Data</v>
      </c>
      <c r="U42" t="s">
        <v>1171</v>
      </c>
      <c r="V42" t="s">
        <v>1171</v>
      </c>
      <c r="W42" t="s">
        <v>1171</v>
      </c>
      <c r="X42" t="s">
        <v>1171</v>
      </c>
      <c r="Y42" t="s">
        <v>1171</v>
      </c>
      <c r="Z42" t="s">
        <v>1171</v>
      </c>
      <c r="AA42" t="s">
        <v>1171</v>
      </c>
      <c r="AB42" t="s">
        <v>1171</v>
      </c>
      <c r="AC42" t="s">
        <v>1140</v>
      </c>
      <c r="AD42" t="s">
        <v>1171</v>
      </c>
    </row>
    <row r="43" spans="1:30" ht="68" x14ac:dyDescent="0.2">
      <c r="A43" t="s">
        <v>1171</v>
      </c>
      <c r="B43" t="s">
        <v>1215</v>
      </c>
      <c r="C43" t="str">
        <f>"CONF-"&amp;TEXT(us_core_reqs[[#This Row],[ID*]], "0000")</f>
        <v>CONF-0042</v>
      </c>
      <c r="D43" s="11" t="s">
        <v>822</v>
      </c>
      <c r="E43" t="str">
        <f>SUBSTITUTE(us_core_reqs[[#This Row],[URL*]], "https://hl7.org/fhir/us/core/STU8/","")</f>
        <v>general-requirements.html#missing-data</v>
      </c>
      <c r="F43" s="11" t="s">
        <v>86</v>
      </c>
      <c r="G43" t="s">
        <v>29</v>
      </c>
      <c r="I43" t="s">
        <v>30</v>
      </c>
      <c r="J43" t="s">
        <v>1171</v>
      </c>
      <c r="K43" t="s">
        <v>1171</v>
      </c>
      <c r="L43" t="s">
        <v>1176</v>
      </c>
      <c r="M43" t="s">
        <v>85</v>
      </c>
      <c r="N43" t="s">
        <v>1171</v>
      </c>
      <c r="O43" t="s">
        <v>1171</v>
      </c>
      <c r="P43" t="s">
        <v>1171</v>
      </c>
      <c r="Q43" t="s">
        <v>1171</v>
      </c>
      <c r="R43" t="str">
        <f>_xlfn.TEXTBEFORE(_xlfn.TEXTAFTER(us_core_reqs[[#This Row],[URL*]],"/",-1),".")</f>
        <v>general-requirements</v>
      </c>
      <c r="S43" t="str">
        <f>_xlfn.TEXTAFTER(us_core_reqs[[#This Row],[URL*]],"#",-1)</f>
        <v>missing-data</v>
      </c>
      <c r="T43" t="str">
        <f>SUBSTITUTE(SUBSTITUTE(PROPER(SUBSTITUTE(us_core_reqs[[#This Row],[Page]], "-", " "))&amp;": "&amp;PROPER(SUBSTITUTE(us_core_reqs[[#This Row],[Section]], "-", " ")),"Us ","US "), "Uscdi", "USCDI")</f>
        <v>General Requirements: Missing Data</v>
      </c>
      <c r="U43" t="s">
        <v>1171</v>
      </c>
      <c r="V43" t="s">
        <v>1171</v>
      </c>
      <c r="W43" t="s">
        <v>1171</v>
      </c>
      <c r="X43" t="s">
        <v>1171</v>
      </c>
      <c r="Y43" t="s">
        <v>1171</v>
      </c>
      <c r="Z43" t="s">
        <v>1171</v>
      </c>
      <c r="AA43" t="s">
        <v>1171</v>
      </c>
      <c r="AB43" t="s">
        <v>1171</v>
      </c>
      <c r="AC43" t="s">
        <v>1140</v>
      </c>
      <c r="AD43" t="s">
        <v>1171</v>
      </c>
    </row>
    <row r="44" spans="1:30" ht="85" x14ac:dyDescent="0.2">
      <c r="A44" t="s">
        <v>1171</v>
      </c>
      <c r="B44" t="s">
        <v>1216</v>
      </c>
      <c r="C44" t="str">
        <f>"CONF-"&amp;TEXT(us_core_reqs[[#This Row],[ID*]], "0000")</f>
        <v>CONF-0043</v>
      </c>
      <c r="D44" s="11" t="s">
        <v>822</v>
      </c>
      <c r="E44" t="str">
        <f>SUBSTITUTE(us_core_reqs[[#This Row],[URL*]], "https://hl7.org/fhir/us/core/STU8/","")</f>
        <v>general-requirements.html#missing-data</v>
      </c>
      <c r="F44" s="11" t="s">
        <v>87</v>
      </c>
      <c r="G44" t="s">
        <v>29</v>
      </c>
      <c r="I44" t="s">
        <v>30</v>
      </c>
      <c r="J44" t="s">
        <v>1171</v>
      </c>
      <c r="K44" t="s">
        <v>1100</v>
      </c>
      <c r="L44" t="s">
        <v>1176</v>
      </c>
      <c r="M44" t="s">
        <v>88</v>
      </c>
      <c r="N44" t="s">
        <v>1171</v>
      </c>
      <c r="O44" t="s">
        <v>1171</v>
      </c>
      <c r="P44" t="s">
        <v>1171</v>
      </c>
      <c r="Q44" t="s">
        <v>1171</v>
      </c>
      <c r="R44" t="str">
        <f>_xlfn.TEXTBEFORE(_xlfn.TEXTAFTER(us_core_reqs[[#This Row],[URL*]],"/",-1),".")</f>
        <v>general-requirements</v>
      </c>
      <c r="S44" t="str">
        <f>_xlfn.TEXTAFTER(us_core_reqs[[#This Row],[URL*]],"#",-1)</f>
        <v>missing-data</v>
      </c>
      <c r="T44" t="str">
        <f>SUBSTITUTE(SUBSTITUTE(PROPER(SUBSTITUTE(us_core_reqs[[#This Row],[Page]], "-", " "))&amp;": "&amp;PROPER(SUBSTITUTE(us_core_reqs[[#This Row],[Section]], "-", " ")),"Us ","US "), "Uscdi", "USCDI")</f>
        <v>General Requirements: Missing Data</v>
      </c>
      <c r="U44" t="s">
        <v>1171</v>
      </c>
      <c r="V44" t="s">
        <v>1171</v>
      </c>
      <c r="W44" t="s">
        <v>1171</v>
      </c>
      <c r="X44" t="s">
        <v>1171</v>
      </c>
      <c r="Y44" t="s">
        <v>1171</v>
      </c>
      <c r="Z44" t="s">
        <v>1171</v>
      </c>
      <c r="AA44" t="s">
        <v>1171</v>
      </c>
      <c r="AB44" t="s">
        <v>1171</v>
      </c>
      <c r="AC44" t="s">
        <v>1140</v>
      </c>
      <c r="AD44" t="s">
        <v>1171</v>
      </c>
    </row>
    <row r="45" spans="1:30" ht="85" x14ac:dyDescent="0.2">
      <c r="A45" t="s">
        <v>1171</v>
      </c>
      <c r="B45" t="s">
        <v>1217</v>
      </c>
      <c r="C45" t="str">
        <f>"CONF-"&amp;TEXT(us_core_reqs[[#This Row],[ID*]], "0000")</f>
        <v>CONF-0044</v>
      </c>
      <c r="D45" s="11" t="s">
        <v>822</v>
      </c>
      <c r="E45" t="str">
        <f>SUBSTITUTE(us_core_reqs[[#This Row],[URL*]], "https://hl7.org/fhir/us/core/STU8/","")</f>
        <v>general-requirements.html#missing-data</v>
      </c>
      <c r="F45" s="11" t="s">
        <v>89</v>
      </c>
      <c r="G45" t="s">
        <v>29</v>
      </c>
      <c r="I45" t="s">
        <v>30</v>
      </c>
      <c r="J45" t="s">
        <v>1171</v>
      </c>
      <c r="K45" t="s">
        <v>1171</v>
      </c>
      <c r="L45" t="s">
        <v>1176</v>
      </c>
      <c r="M45" t="s">
        <v>85</v>
      </c>
      <c r="N45" t="s">
        <v>1171</v>
      </c>
      <c r="O45" t="s">
        <v>1171</v>
      </c>
      <c r="P45" t="s">
        <v>1171</v>
      </c>
      <c r="Q45" t="s">
        <v>1171</v>
      </c>
      <c r="R45" t="str">
        <f>_xlfn.TEXTBEFORE(_xlfn.TEXTAFTER(us_core_reqs[[#This Row],[URL*]],"/",-1),".")</f>
        <v>general-requirements</v>
      </c>
      <c r="S45" t="str">
        <f>_xlfn.TEXTAFTER(us_core_reqs[[#This Row],[URL*]],"#",-1)</f>
        <v>missing-data</v>
      </c>
      <c r="T45" t="str">
        <f>SUBSTITUTE(SUBSTITUTE(PROPER(SUBSTITUTE(us_core_reqs[[#This Row],[Page]], "-", " "))&amp;": "&amp;PROPER(SUBSTITUTE(us_core_reqs[[#This Row],[Section]], "-", " ")),"Us ","US "), "Uscdi", "USCDI")</f>
        <v>General Requirements: Missing Data</v>
      </c>
      <c r="U45" t="s">
        <v>1171</v>
      </c>
      <c r="V45" t="s">
        <v>1171</v>
      </c>
      <c r="W45" t="s">
        <v>1171</v>
      </c>
      <c r="X45" t="s">
        <v>1171</v>
      </c>
      <c r="Y45" t="s">
        <v>1171</v>
      </c>
      <c r="Z45" t="s">
        <v>1171</v>
      </c>
      <c r="AA45" t="s">
        <v>1171</v>
      </c>
      <c r="AB45" t="s">
        <v>1171</v>
      </c>
      <c r="AC45" t="s">
        <v>1140</v>
      </c>
      <c r="AD45" t="s">
        <v>1171</v>
      </c>
    </row>
    <row r="46" spans="1:30" ht="119" x14ac:dyDescent="0.2">
      <c r="A46" t="s">
        <v>1171</v>
      </c>
      <c r="B46" t="s">
        <v>1218</v>
      </c>
      <c r="C46" t="str">
        <f>"CONF-"&amp;TEXT(us_core_reqs[[#This Row],[ID*]], "0000")</f>
        <v>CONF-0045</v>
      </c>
      <c r="D46" s="11" t="s">
        <v>822</v>
      </c>
      <c r="E46" t="str">
        <f>SUBSTITUTE(us_core_reqs[[#This Row],[URL*]], "https://hl7.org/fhir/us/core/STU8/","")</f>
        <v>general-requirements.html#missing-data</v>
      </c>
      <c r="F46" s="11" t="s">
        <v>90</v>
      </c>
      <c r="G46" t="s">
        <v>29</v>
      </c>
      <c r="I46" t="s">
        <v>30</v>
      </c>
      <c r="J46" t="s">
        <v>1171</v>
      </c>
      <c r="K46" t="s">
        <v>1171</v>
      </c>
      <c r="L46" t="s">
        <v>1176</v>
      </c>
      <c r="M46" t="s">
        <v>85</v>
      </c>
      <c r="N46" t="s">
        <v>1171</v>
      </c>
      <c r="O46" t="s">
        <v>1171</v>
      </c>
      <c r="P46" t="s">
        <v>1171</v>
      </c>
      <c r="Q46" t="s">
        <v>1171</v>
      </c>
      <c r="R46" t="str">
        <f>_xlfn.TEXTBEFORE(_xlfn.TEXTAFTER(us_core_reqs[[#This Row],[URL*]],"/",-1),".")</f>
        <v>general-requirements</v>
      </c>
      <c r="S46" t="str">
        <f>_xlfn.TEXTAFTER(us_core_reqs[[#This Row],[URL*]],"#",-1)</f>
        <v>missing-data</v>
      </c>
      <c r="T46" t="str">
        <f>SUBSTITUTE(SUBSTITUTE(PROPER(SUBSTITUTE(us_core_reqs[[#This Row],[Page]], "-", " "))&amp;": "&amp;PROPER(SUBSTITUTE(us_core_reqs[[#This Row],[Section]], "-", " ")),"Us ","US "), "Uscdi", "USCDI")</f>
        <v>General Requirements: Missing Data</v>
      </c>
      <c r="U46" t="s">
        <v>1171</v>
      </c>
      <c r="V46" t="s">
        <v>1171</v>
      </c>
      <c r="W46" t="s">
        <v>1171</v>
      </c>
      <c r="X46" t="s">
        <v>1171</v>
      </c>
      <c r="Y46" t="s">
        <v>1171</v>
      </c>
      <c r="Z46" t="s">
        <v>1171</v>
      </c>
      <c r="AA46" t="s">
        <v>1171</v>
      </c>
      <c r="AB46" t="s">
        <v>1171</v>
      </c>
      <c r="AC46" t="s">
        <v>1140</v>
      </c>
      <c r="AD46" t="s">
        <v>1171</v>
      </c>
    </row>
    <row r="47" spans="1:30" ht="68" x14ac:dyDescent="0.2">
      <c r="A47" t="s">
        <v>1171</v>
      </c>
      <c r="B47" t="s">
        <v>1219</v>
      </c>
      <c r="C47" t="str">
        <f>"CONF-"&amp;TEXT(us_core_reqs[[#This Row],[ID*]], "0000")</f>
        <v>CONF-0046</v>
      </c>
      <c r="D47" s="11" t="s">
        <v>822</v>
      </c>
      <c r="E47" t="str">
        <f>SUBSTITUTE(us_core_reqs[[#This Row],[URL*]], "https://hl7.org/fhir/us/core/STU8/","")</f>
        <v>general-requirements.html#missing-data</v>
      </c>
      <c r="F47" s="11" t="s">
        <v>91</v>
      </c>
      <c r="G47" t="s">
        <v>29</v>
      </c>
      <c r="I47" t="s">
        <v>30</v>
      </c>
      <c r="J47" t="s">
        <v>1171</v>
      </c>
      <c r="K47" t="s">
        <v>1171</v>
      </c>
      <c r="L47" t="s">
        <v>1176</v>
      </c>
      <c r="M47" t="s">
        <v>85</v>
      </c>
      <c r="N47" t="s">
        <v>1171</v>
      </c>
      <c r="O47" t="s">
        <v>1171</v>
      </c>
      <c r="P47" t="s">
        <v>1171</v>
      </c>
      <c r="Q47" t="s">
        <v>1171</v>
      </c>
      <c r="R47" t="str">
        <f>_xlfn.TEXTBEFORE(_xlfn.TEXTAFTER(us_core_reqs[[#This Row],[URL*]],"/",-1),".")</f>
        <v>general-requirements</v>
      </c>
      <c r="S47" t="str">
        <f>_xlfn.TEXTAFTER(us_core_reqs[[#This Row],[URL*]],"#",-1)</f>
        <v>missing-data</v>
      </c>
      <c r="T47" t="str">
        <f>SUBSTITUTE(SUBSTITUTE(PROPER(SUBSTITUTE(us_core_reqs[[#This Row],[Page]], "-", " "))&amp;": "&amp;PROPER(SUBSTITUTE(us_core_reqs[[#This Row],[Section]], "-", " ")),"Us ","US "), "Uscdi", "USCDI")</f>
        <v>General Requirements: Missing Data</v>
      </c>
      <c r="U47" t="s">
        <v>1171</v>
      </c>
      <c r="V47" t="s">
        <v>1171</v>
      </c>
      <c r="W47" t="s">
        <v>1171</v>
      </c>
      <c r="X47" t="s">
        <v>1171</v>
      </c>
      <c r="Y47" t="s">
        <v>1171</v>
      </c>
      <c r="Z47" t="s">
        <v>1171</v>
      </c>
      <c r="AA47" t="s">
        <v>1171</v>
      </c>
      <c r="AB47" t="s">
        <v>1171</v>
      </c>
      <c r="AC47" t="s">
        <v>1140</v>
      </c>
      <c r="AD47" t="s">
        <v>1171</v>
      </c>
    </row>
    <row r="48" spans="1:30" ht="85" x14ac:dyDescent="0.2">
      <c r="A48" t="s">
        <v>1171</v>
      </c>
      <c r="B48" t="s">
        <v>1220</v>
      </c>
      <c r="C48" t="str">
        <f>"CONF-"&amp;TEXT(us_core_reqs[[#This Row],[ID*]], "0000")</f>
        <v>CONF-0047</v>
      </c>
      <c r="D48" s="11" t="s">
        <v>822</v>
      </c>
      <c r="E48" t="str">
        <f>SUBSTITUTE(us_core_reqs[[#This Row],[URL*]], "https://hl7.org/fhir/us/core/STU8/","")</f>
        <v>general-requirements.html#missing-data</v>
      </c>
      <c r="F48" s="11" t="s">
        <v>92</v>
      </c>
      <c r="G48" t="s">
        <v>29</v>
      </c>
      <c r="I48" t="s">
        <v>30</v>
      </c>
      <c r="J48" t="s">
        <v>1171</v>
      </c>
      <c r="K48" t="s">
        <v>1171</v>
      </c>
      <c r="L48" t="s">
        <v>1176</v>
      </c>
      <c r="M48" t="s">
        <v>93</v>
      </c>
      <c r="N48" t="s">
        <v>1171</v>
      </c>
      <c r="O48" t="s">
        <v>1171</v>
      </c>
      <c r="P48" t="s">
        <v>1171</v>
      </c>
      <c r="Q48" t="s">
        <v>1171</v>
      </c>
      <c r="R48" t="str">
        <f>_xlfn.TEXTBEFORE(_xlfn.TEXTAFTER(us_core_reqs[[#This Row],[URL*]],"/",-1),".")</f>
        <v>general-requirements</v>
      </c>
      <c r="S48" t="str">
        <f>_xlfn.TEXTAFTER(us_core_reqs[[#This Row],[URL*]],"#",-1)</f>
        <v>missing-data</v>
      </c>
      <c r="T48" t="str">
        <f>SUBSTITUTE(SUBSTITUTE(PROPER(SUBSTITUTE(us_core_reqs[[#This Row],[Page]], "-", " "))&amp;": "&amp;PROPER(SUBSTITUTE(us_core_reqs[[#This Row],[Section]], "-", " ")),"Us ","US "), "Uscdi", "USCDI")</f>
        <v>General Requirements: Missing Data</v>
      </c>
      <c r="U48" t="s">
        <v>1171</v>
      </c>
      <c r="V48" t="s">
        <v>1171</v>
      </c>
      <c r="W48" t="s">
        <v>1171</v>
      </c>
      <c r="X48" t="s">
        <v>1171</v>
      </c>
      <c r="Y48" t="s">
        <v>1171</v>
      </c>
      <c r="Z48" t="s">
        <v>1171</v>
      </c>
      <c r="AA48" t="s">
        <v>1171</v>
      </c>
      <c r="AB48" t="s">
        <v>1171</v>
      </c>
      <c r="AC48" t="s">
        <v>1140</v>
      </c>
      <c r="AD48" t="s">
        <v>1171</v>
      </c>
    </row>
    <row r="49" spans="1:30" ht="102" x14ac:dyDescent="0.2">
      <c r="A49" t="s">
        <v>1171</v>
      </c>
      <c r="B49" t="s">
        <v>1221</v>
      </c>
      <c r="C49" t="str">
        <f>"CONF-"&amp;TEXT(us_core_reqs[[#This Row],[ID*]], "0000")</f>
        <v>CONF-0048</v>
      </c>
      <c r="D49" s="11" t="s">
        <v>822</v>
      </c>
      <c r="E49" t="str">
        <f>SUBSTITUTE(us_core_reqs[[#This Row],[URL*]], "https://hl7.org/fhir/us/core/STU8/","")</f>
        <v>general-requirements.html#missing-data</v>
      </c>
      <c r="F49" s="11" t="s">
        <v>94</v>
      </c>
      <c r="G49" t="s">
        <v>29</v>
      </c>
      <c r="I49" t="s">
        <v>30</v>
      </c>
      <c r="J49" t="s">
        <v>1171</v>
      </c>
      <c r="K49" t="s">
        <v>1171</v>
      </c>
      <c r="L49" t="s">
        <v>1176</v>
      </c>
      <c r="M49" t="s">
        <v>95</v>
      </c>
      <c r="N49" t="s">
        <v>1171</v>
      </c>
      <c r="O49" t="s">
        <v>1171</v>
      </c>
      <c r="P49" t="s">
        <v>1171</v>
      </c>
      <c r="Q49" t="s">
        <v>1171</v>
      </c>
      <c r="R49" t="str">
        <f>_xlfn.TEXTBEFORE(_xlfn.TEXTAFTER(us_core_reqs[[#This Row],[URL*]],"/",-1),".")</f>
        <v>general-requirements</v>
      </c>
      <c r="S49" t="str">
        <f>_xlfn.TEXTAFTER(us_core_reqs[[#This Row],[URL*]],"#",-1)</f>
        <v>missing-data</v>
      </c>
      <c r="T49" t="str">
        <f>SUBSTITUTE(SUBSTITUTE(PROPER(SUBSTITUTE(us_core_reqs[[#This Row],[Page]], "-", " "))&amp;": "&amp;PROPER(SUBSTITUTE(us_core_reqs[[#This Row],[Section]], "-", " ")),"Us ","US "), "Uscdi", "USCDI")</f>
        <v>General Requirements: Missing Data</v>
      </c>
      <c r="U49" t="s">
        <v>29</v>
      </c>
      <c r="V49" t="s">
        <v>1171</v>
      </c>
      <c r="W49" t="s">
        <v>1171</v>
      </c>
      <c r="X49" t="s">
        <v>1171</v>
      </c>
      <c r="Y49" t="s">
        <v>1171</v>
      </c>
      <c r="Z49" t="s">
        <v>1171</v>
      </c>
      <c r="AA49" t="s">
        <v>1171</v>
      </c>
      <c r="AB49" t="s">
        <v>1171</v>
      </c>
      <c r="AC49" t="s">
        <v>1141</v>
      </c>
      <c r="AD49" t="s">
        <v>1171</v>
      </c>
    </row>
    <row r="50" spans="1:30" ht="85" x14ac:dyDescent="0.2">
      <c r="A50" t="s">
        <v>1171</v>
      </c>
      <c r="B50" t="s">
        <v>1222</v>
      </c>
      <c r="C50" t="str">
        <f>"CONF-"&amp;TEXT(us_core_reqs[[#This Row],[ID*]], "0000")</f>
        <v>CONF-0049</v>
      </c>
      <c r="D50" s="11" t="s">
        <v>822</v>
      </c>
      <c r="E50" t="str">
        <f>SUBSTITUTE(us_core_reqs[[#This Row],[URL*]], "https://hl7.org/fhir/us/core/STU8/","")</f>
        <v>general-requirements.html#missing-data</v>
      </c>
      <c r="F50" s="11" t="s">
        <v>96</v>
      </c>
      <c r="G50" t="s">
        <v>29</v>
      </c>
      <c r="I50" t="s">
        <v>30</v>
      </c>
      <c r="J50" t="s">
        <v>1171</v>
      </c>
      <c r="K50" t="s">
        <v>1171</v>
      </c>
      <c r="L50" t="s">
        <v>1176</v>
      </c>
      <c r="M50" t="s">
        <v>95</v>
      </c>
      <c r="N50" t="s">
        <v>1171</v>
      </c>
      <c r="O50" t="s">
        <v>1171</v>
      </c>
      <c r="P50" t="s">
        <v>1171</v>
      </c>
      <c r="Q50" t="s">
        <v>1171</v>
      </c>
      <c r="R50" t="str">
        <f>_xlfn.TEXTBEFORE(_xlfn.TEXTAFTER(us_core_reqs[[#This Row],[URL*]],"/",-1),".")</f>
        <v>general-requirements</v>
      </c>
      <c r="S50" t="str">
        <f>_xlfn.TEXTAFTER(us_core_reqs[[#This Row],[URL*]],"#",-1)</f>
        <v>missing-data</v>
      </c>
      <c r="T50" t="str">
        <f>SUBSTITUTE(SUBSTITUTE(PROPER(SUBSTITUTE(us_core_reqs[[#This Row],[Page]], "-", " "))&amp;": "&amp;PROPER(SUBSTITUTE(us_core_reqs[[#This Row],[Section]], "-", " ")),"Us ","US "), "Uscdi", "USCDI")</f>
        <v>General Requirements: Missing Data</v>
      </c>
      <c r="U50" t="s">
        <v>29</v>
      </c>
      <c r="V50" t="s">
        <v>1171</v>
      </c>
      <c r="W50" t="s">
        <v>1171</v>
      </c>
      <c r="X50" t="s">
        <v>1171</v>
      </c>
      <c r="Y50" t="s">
        <v>1171</v>
      </c>
      <c r="Z50" t="s">
        <v>1171</v>
      </c>
      <c r="AA50" t="s">
        <v>1171</v>
      </c>
      <c r="AB50" t="s">
        <v>1171</v>
      </c>
      <c r="AC50" t="s">
        <v>1141</v>
      </c>
      <c r="AD50" t="s">
        <v>1171</v>
      </c>
    </row>
    <row r="51" spans="1:30" ht="119" x14ac:dyDescent="0.2">
      <c r="A51" t="s">
        <v>1171</v>
      </c>
      <c r="B51" t="s">
        <v>1223</v>
      </c>
      <c r="C51" t="str">
        <f>"CONF-"&amp;TEXT(us_core_reqs[[#This Row],[ID*]], "0000")</f>
        <v>CONF-0050</v>
      </c>
      <c r="D51" s="11" t="s">
        <v>822</v>
      </c>
      <c r="E51" t="str">
        <f>SUBSTITUTE(us_core_reqs[[#This Row],[URL*]], "https://hl7.org/fhir/us/core/STU8/","")</f>
        <v>general-requirements.html#missing-data</v>
      </c>
      <c r="F51" s="11" t="s">
        <v>97</v>
      </c>
      <c r="G51" t="s">
        <v>32</v>
      </c>
      <c r="I51" t="s">
        <v>30</v>
      </c>
      <c r="J51" t="s">
        <v>1171</v>
      </c>
      <c r="K51" t="s">
        <v>1171</v>
      </c>
      <c r="L51" t="s">
        <v>1176</v>
      </c>
      <c r="M51" t="s">
        <v>95</v>
      </c>
      <c r="N51" t="s">
        <v>1171</v>
      </c>
      <c r="O51" t="s">
        <v>1171</v>
      </c>
      <c r="P51" t="s">
        <v>1171</v>
      </c>
      <c r="Q51" t="s">
        <v>1171</v>
      </c>
      <c r="R51" t="str">
        <f>_xlfn.TEXTBEFORE(_xlfn.TEXTAFTER(us_core_reqs[[#This Row],[URL*]],"/",-1),".")</f>
        <v>general-requirements</v>
      </c>
      <c r="S51" t="str">
        <f>_xlfn.TEXTAFTER(us_core_reqs[[#This Row],[URL*]],"#",-1)</f>
        <v>missing-data</v>
      </c>
      <c r="T51" t="str">
        <f>SUBSTITUTE(SUBSTITUTE(PROPER(SUBSTITUTE(us_core_reqs[[#This Row],[Page]], "-", " "))&amp;": "&amp;PROPER(SUBSTITUTE(us_core_reqs[[#This Row],[Section]], "-", " ")),"Us ","US "), "Uscdi", "USCDI")</f>
        <v>General Requirements: Missing Data</v>
      </c>
      <c r="U51" t="s">
        <v>32</v>
      </c>
      <c r="V51" t="s">
        <v>1171</v>
      </c>
      <c r="W51" t="s">
        <v>1171</v>
      </c>
      <c r="X51" t="s">
        <v>1171</v>
      </c>
      <c r="Y51" t="s">
        <v>1171</v>
      </c>
      <c r="Z51" t="s">
        <v>1171</v>
      </c>
      <c r="AA51" t="s">
        <v>1171</v>
      </c>
      <c r="AB51" t="s">
        <v>1171</v>
      </c>
      <c r="AC51" t="s">
        <v>1171</v>
      </c>
      <c r="AD51" t="s">
        <v>1171</v>
      </c>
    </row>
    <row r="52" spans="1:30" ht="68" x14ac:dyDescent="0.2">
      <c r="A52" t="s">
        <v>1171</v>
      </c>
      <c r="B52" t="s">
        <v>1224</v>
      </c>
      <c r="C52" t="str">
        <f>"CONF-"&amp;TEXT(us_core_reqs[[#This Row],[ID*]], "0000")</f>
        <v>CONF-0051</v>
      </c>
      <c r="D52" s="11" t="s">
        <v>823</v>
      </c>
      <c r="E52" t="str">
        <f>SUBSTITUTE(us_core_reqs[[#This Row],[URL*]], "https://hl7.org/fhir/us/core/STU8/","")</f>
        <v>general-requirements.html#fhir-restful-search-api-requirements</v>
      </c>
      <c r="F52" s="11" t="s">
        <v>970</v>
      </c>
      <c r="G52" t="s">
        <v>29</v>
      </c>
      <c r="I52" t="s">
        <v>30</v>
      </c>
      <c r="J52" t="s">
        <v>1171</v>
      </c>
      <c r="K52" t="s">
        <v>1171</v>
      </c>
      <c r="L52" t="s">
        <v>1173</v>
      </c>
      <c r="M52" t="s">
        <v>1171</v>
      </c>
      <c r="N52" t="s">
        <v>1171</v>
      </c>
      <c r="O52" t="s">
        <v>1171</v>
      </c>
      <c r="P52" t="s">
        <v>1171</v>
      </c>
      <c r="Q52" t="s">
        <v>1171</v>
      </c>
      <c r="R52" t="str">
        <f>_xlfn.TEXTBEFORE(_xlfn.TEXTAFTER(us_core_reqs[[#This Row],[URL*]],"/",-1),".")</f>
        <v>general-requirements</v>
      </c>
      <c r="S52" t="str">
        <f>_xlfn.TEXTAFTER(us_core_reqs[[#This Row],[URL*]],"#",-1)</f>
        <v>fhir-restful-search-api-requirements</v>
      </c>
      <c r="T52" t="str">
        <f>SUBSTITUTE(SUBSTITUTE(PROPER(SUBSTITUTE(us_core_reqs[[#This Row],[Page]], "-", " "))&amp;": "&amp;PROPER(SUBSTITUTE(us_core_reqs[[#This Row],[Section]], "-", " ")),"Us ","US "), "Uscdi", "USCDI")</f>
        <v>General Requirements: Fhir Restful Search Api Requirements</v>
      </c>
      <c r="U52" t="s">
        <v>29</v>
      </c>
      <c r="V52" t="s">
        <v>30</v>
      </c>
      <c r="W52" t="s">
        <v>1171</v>
      </c>
      <c r="X52" t="s">
        <v>1171</v>
      </c>
      <c r="Y52" t="s">
        <v>1171</v>
      </c>
      <c r="Z52" t="s">
        <v>1171</v>
      </c>
      <c r="AA52" t="s">
        <v>1171</v>
      </c>
      <c r="AB52" t="s">
        <v>1171</v>
      </c>
      <c r="AC52" t="s">
        <v>1140</v>
      </c>
      <c r="AD52" t="s">
        <v>1171</v>
      </c>
    </row>
    <row r="53" spans="1:30" ht="34" x14ac:dyDescent="0.2">
      <c r="A53" t="s">
        <v>1171</v>
      </c>
      <c r="B53" t="s">
        <v>1225</v>
      </c>
      <c r="C53" t="str">
        <f>"CONF-"&amp;TEXT(us_core_reqs[[#This Row],[ID*]], "0000")</f>
        <v>CONF-0052</v>
      </c>
      <c r="D53" s="11" t="s">
        <v>823</v>
      </c>
      <c r="E53" t="str">
        <f>SUBSTITUTE(us_core_reqs[[#This Row],[URL*]], "https://hl7.org/fhir/us/core/STU8/","")</f>
        <v>general-requirements.html#fhir-restful-search-api-requirements</v>
      </c>
      <c r="F53" s="11" t="s">
        <v>971</v>
      </c>
      <c r="G53" t="s">
        <v>29</v>
      </c>
      <c r="I53" t="s">
        <v>30</v>
      </c>
      <c r="J53" t="s">
        <v>1171</v>
      </c>
      <c r="K53" t="s">
        <v>1171</v>
      </c>
      <c r="L53" t="s">
        <v>1173</v>
      </c>
      <c r="M53" t="s">
        <v>1171</v>
      </c>
      <c r="N53" t="s">
        <v>1171</v>
      </c>
      <c r="O53" t="s">
        <v>1171</v>
      </c>
      <c r="P53" t="s">
        <v>1171</v>
      </c>
      <c r="Q53" t="s">
        <v>1171</v>
      </c>
      <c r="R53" t="str">
        <f>_xlfn.TEXTBEFORE(_xlfn.TEXTAFTER(us_core_reqs[[#This Row],[URL*]],"/",-1),".")</f>
        <v>general-requirements</v>
      </c>
      <c r="S53" t="str">
        <f>_xlfn.TEXTAFTER(us_core_reqs[[#This Row],[URL*]],"#",-1)</f>
        <v>fhir-restful-search-api-requirements</v>
      </c>
      <c r="T53" t="str">
        <f>SUBSTITUTE(SUBSTITUTE(PROPER(SUBSTITUTE(us_core_reqs[[#This Row],[Page]], "-", " "))&amp;": "&amp;PROPER(SUBSTITUTE(us_core_reqs[[#This Row],[Section]], "-", " ")),"Us ","US "), "Uscdi", "USCDI")</f>
        <v>General Requirements: Fhir Restful Search Api Requirements</v>
      </c>
      <c r="U53" t="s">
        <v>29</v>
      </c>
      <c r="V53" t="s">
        <v>30</v>
      </c>
      <c r="W53" t="s">
        <v>1171</v>
      </c>
      <c r="X53" t="s">
        <v>1171</v>
      </c>
      <c r="Y53" t="s">
        <v>1171</v>
      </c>
      <c r="Z53" t="s">
        <v>1171</v>
      </c>
      <c r="AA53" t="s">
        <v>1171</v>
      </c>
      <c r="AB53" t="s">
        <v>1171</v>
      </c>
      <c r="AC53" t="s">
        <v>1140</v>
      </c>
      <c r="AD53" t="s">
        <v>1171</v>
      </c>
    </row>
    <row r="54" spans="1:30" ht="51" x14ac:dyDescent="0.2">
      <c r="A54" t="s">
        <v>1171</v>
      </c>
      <c r="B54" t="s">
        <v>1226</v>
      </c>
      <c r="C54" t="str">
        <f>"CONF-"&amp;TEXT(us_core_reqs[[#This Row],[ID*]], "0000")</f>
        <v>CONF-0053</v>
      </c>
      <c r="D54" s="11" t="s">
        <v>823</v>
      </c>
      <c r="E54" t="str">
        <f>SUBSTITUTE(us_core_reqs[[#This Row],[URL*]], "https://hl7.org/fhir/us/core/STU8/","")</f>
        <v>general-requirements.html#fhir-restful-search-api-requirements</v>
      </c>
      <c r="F54" s="11" t="s">
        <v>907</v>
      </c>
      <c r="G54" t="s">
        <v>29</v>
      </c>
      <c r="I54" t="s">
        <v>58</v>
      </c>
      <c r="J54" t="s">
        <v>1171</v>
      </c>
      <c r="K54" t="s">
        <v>1171</v>
      </c>
      <c r="L54" t="s">
        <v>1173</v>
      </c>
      <c r="M54" t="s">
        <v>1171</v>
      </c>
      <c r="N54" t="s">
        <v>1171</v>
      </c>
      <c r="O54" t="s">
        <v>1171</v>
      </c>
      <c r="P54" t="s">
        <v>1171</v>
      </c>
      <c r="Q54" t="s">
        <v>1171</v>
      </c>
      <c r="R54" t="str">
        <f>_xlfn.TEXTBEFORE(_xlfn.TEXTAFTER(us_core_reqs[[#This Row],[URL*]],"/",-1),".")</f>
        <v>general-requirements</v>
      </c>
      <c r="S54" t="str">
        <f>_xlfn.TEXTAFTER(us_core_reqs[[#This Row],[URL*]],"#",-1)</f>
        <v>fhir-restful-search-api-requirements</v>
      </c>
      <c r="T54" t="str">
        <f>SUBSTITUTE(SUBSTITUTE(PROPER(SUBSTITUTE(us_core_reqs[[#This Row],[Page]], "-", " "))&amp;": "&amp;PROPER(SUBSTITUTE(us_core_reqs[[#This Row],[Section]], "-", " ")),"Us ","US "), "Uscdi", "USCDI")</f>
        <v>General Requirements: Fhir Restful Search Api Requirements</v>
      </c>
      <c r="U54" t="s">
        <v>29</v>
      </c>
      <c r="V54" t="s">
        <v>58</v>
      </c>
      <c r="W54" t="s">
        <v>1171</v>
      </c>
      <c r="X54" t="s">
        <v>1171</v>
      </c>
      <c r="Y54" t="s">
        <v>1171</v>
      </c>
      <c r="Z54" t="s">
        <v>1171</v>
      </c>
      <c r="AA54" t="s">
        <v>1171</v>
      </c>
      <c r="AB54" t="s">
        <v>1171</v>
      </c>
      <c r="AC54" t="s">
        <v>1171</v>
      </c>
      <c r="AD54" t="s">
        <v>1171</v>
      </c>
    </row>
    <row r="55" spans="1:30" ht="51" x14ac:dyDescent="0.2">
      <c r="A55" t="s">
        <v>1171</v>
      </c>
      <c r="B55" t="s">
        <v>1227</v>
      </c>
      <c r="C55" t="str">
        <f>"CONF-"&amp;TEXT(us_core_reqs[[#This Row],[ID*]], "0000")</f>
        <v>CONF-0054</v>
      </c>
      <c r="D55" s="11" t="s">
        <v>823</v>
      </c>
      <c r="E55" t="str">
        <f>SUBSTITUTE(us_core_reqs[[#This Row],[URL*]], "https://hl7.org/fhir/us/core/STU8/","")</f>
        <v>general-requirements.html#fhir-restful-search-api-requirements</v>
      </c>
      <c r="F55" s="11" t="s">
        <v>908</v>
      </c>
      <c r="G55" t="s">
        <v>35</v>
      </c>
      <c r="I55" t="s">
        <v>58</v>
      </c>
      <c r="J55" t="s">
        <v>1171</v>
      </c>
      <c r="K55" t="s">
        <v>1171</v>
      </c>
      <c r="L55" t="s">
        <v>1173</v>
      </c>
      <c r="M55" t="s">
        <v>1171</v>
      </c>
      <c r="N55" t="s">
        <v>1171</v>
      </c>
      <c r="O55" t="s">
        <v>1171</v>
      </c>
      <c r="P55" t="s">
        <v>1171</v>
      </c>
      <c r="Q55" t="s">
        <v>1171</v>
      </c>
      <c r="R55" t="str">
        <f>_xlfn.TEXTBEFORE(_xlfn.TEXTAFTER(us_core_reqs[[#This Row],[URL*]],"/",-1),".")</f>
        <v>general-requirements</v>
      </c>
      <c r="S55" t="str">
        <f>_xlfn.TEXTAFTER(us_core_reqs[[#This Row],[URL*]],"#",-1)</f>
        <v>fhir-restful-search-api-requirements</v>
      </c>
      <c r="T55" t="str">
        <f>SUBSTITUTE(SUBSTITUTE(PROPER(SUBSTITUTE(us_core_reqs[[#This Row],[Page]], "-", " "))&amp;": "&amp;PROPER(SUBSTITUTE(us_core_reqs[[#This Row],[Section]], "-", " ")),"Us ","US "), "Uscdi", "USCDI")</f>
        <v>General Requirements: Fhir Restful Search Api Requirements</v>
      </c>
      <c r="U55" t="s">
        <v>35</v>
      </c>
      <c r="V55" t="s">
        <v>58</v>
      </c>
      <c r="W55" t="s">
        <v>1171</v>
      </c>
      <c r="X55" t="s">
        <v>1171</v>
      </c>
      <c r="Y55" t="s">
        <v>1171</v>
      </c>
      <c r="Z55" t="s">
        <v>1171</v>
      </c>
      <c r="AA55" t="s">
        <v>1171</v>
      </c>
      <c r="AB55" t="s">
        <v>1171</v>
      </c>
      <c r="AC55" t="s">
        <v>1171</v>
      </c>
      <c r="AD55" t="s">
        <v>1171</v>
      </c>
    </row>
    <row r="56" spans="1:30" ht="51" x14ac:dyDescent="0.2">
      <c r="A56" t="s">
        <v>1171</v>
      </c>
      <c r="B56" t="s">
        <v>1228</v>
      </c>
      <c r="C56" t="str">
        <f>"CONF-"&amp;TEXT(us_core_reqs[[#This Row],[ID*]], "0000")</f>
        <v>CONF-0055</v>
      </c>
      <c r="D56" s="11" t="s">
        <v>823</v>
      </c>
      <c r="E56" t="str">
        <f>SUBSTITUTE(us_core_reqs[[#This Row],[URL*]], "https://hl7.org/fhir/us/core/STU8/","")</f>
        <v>general-requirements.html#fhir-restful-search-api-requirements</v>
      </c>
      <c r="F56" s="11" t="s">
        <v>972</v>
      </c>
      <c r="G56" t="s">
        <v>29</v>
      </c>
      <c r="I56" t="s">
        <v>30</v>
      </c>
      <c r="J56" t="s">
        <v>1171</v>
      </c>
      <c r="K56" t="s">
        <v>1171</v>
      </c>
      <c r="L56" t="s">
        <v>1173</v>
      </c>
      <c r="M56" t="s">
        <v>1171</v>
      </c>
      <c r="N56" t="s">
        <v>1171</v>
      </c>
      <c r="O56" t="s">
        <v>1171</v>
      </c>
      <c r="P56" t="s">
        <v>1171</v>
      </c>
      <c r="Q56" t="s">
        <v>1171</v>
      </c>
      <c r="R56" t="str">
        <f>_xlfn.TEXTBEFORE(_xlfn.TEXTAFTER(us_core_reqs[[#This Row],[URL*]],"/",-1),".")</f>
        <v>general-requirements</v>
      </c>
      <c r="S56" t="str">
        <f>_xlfn.TEXTAFTER(us_core_reqs[[#This Row],[URL*]],"#",-1)</f>
        <v>fhir-restful-search-api-requirements</v>
      </c>
      <c r="T56" t="str">
        <f>SUBSTITUTE(SUBSTITUTE(PROPER(SUBSTITUTE(us_core_reqs[[#This Row],[Page]], "-", " "))&amp;": "&amp;PROPER(SUBSTITUTE(us_core_reqs[[#This Row],[Section]], "-", " ")),"Us ","US "), "Uscdi", "USCDI")</f>
        <v>General Requirements: Fhir Restful Search Api Requirements</v>
      </c>
      <c r="U56" t="s">
        <v>29</v>
      </c>
      <c r="V56" t="s">
        <v>30</v>
      </c>
      <c r="W56" t="s">
        <v>1171</v>
      </c>
      <c r="X56" t="s">
        <v>1171</v>
      </c>
      <c r="Y56" t="s">
        <v>1171</v>
      </c>
      <c r="Z56" t="s">
        <v>1171</v>
      </c>
      <c r="AA56" t="s">
        <v>1171</v>
      </c>
      <c r="AB56" t="s">
        <v>1171</v>
      </c>
      <c r="AC56" t="s">
        <v>1140</v>
      </c>
      <c r="AD56" t="s">
        <v>1171</v>
      </c>
    </row>
    <row r="57" spans="1:30" ht="51" x14ac:dyDescent="0.2">
      <c r="A57" t="s">
        <v>1171</v>
      </c>
      <c r="B57" t="s">
        <v>1229</v>
      </c>
      <c r="C57" t="str">
        <f>"CONF-"&amp;TEXT(us_core_reqs[[#This Row],[ID*]], "0000")</f>
        <v>CONF-0056</v>
      </c>
      <c r="D57" s="11" t="s">
        <v>823</v>
      </c>
      <c r="E57" t="str">
        <f>SUBSTITUTE(us_core_reqs[[#This Row],[URL*]], "https://hl7.org/fhir/us/core/STU8/","")</f>
        <v>general-requirements.html#fhir-restful-search-api-requirements</v>
      </c>
      <c r="F57" s="11" t="s">
        <v>909</v>
      </c>
      <c r="G57" t="s">
        <v>29</v>
      </c>
      <c r="I57" t="s">
        <v>58</v>
      </c>
      <c r="J57" t="s">
        <v>1171</v>
      </c>
      <c r="K57" t="s">
        <v>1171</v>
      </c>
      <c r="L57" t="s">
        <v>1173</v>
      </c>
      <c r="M57" t="s">
        <v>1171</v>
      </c>
      <c r="N57" t="s">
        <v>1171</v>
      </c>
      <c r="O57" t="s">
        <v>1171</v>
      </c>
      <c r="P57" t="s">
        <v>1171</v>
      </c>
      <c r="Q57" t="s">
        <v>1171</v>
      </c>
      <c r="R57" t="str">
        <f>_xlfn.TEXTBEFORE(_xlfn.TEXTAFTER(us_core_reqs[[#This Row],[URL*]],"/",-1),".")</f>
        <v>general-requirements</v>
      </c>
      <c r="S57" t="str">
        <f>_xlfn.TEXTAFTER(us_core_reqs[[#This Row],[URL*]],"#",-1)</f>
        <v>fhir-restful-search-api-requirements</v>
      </c>
      <c r="T57" t="str">
        <f>SUBSTITUTE(SUBSTITUTE(PROPER(SUBSTITUTE(us_core_reqs[[#This Row],[Page]], "-", " "))&amp;": "&amp;PROPER(SUBSTITUTE(us_core_reqs[[#This Row],[Section]], "-", " ")),"Us ","US "), "Uscdi", "USCDI")</f>
        <v>General Requirements: Fhir Restful Search Api Requirements</v>
      </c>
      <c r="U57" t="s">
        <v>29</v>
      </c>
      <c r="V57" t="s">
        <v>58</v>
      </c>
      <c r="W57" t="s">
        <v>1171</v>
      </c>
      <c r="X57" t="s">
        <v>1171</v>
      </c>
      <c r="Y57" t="s">
        <v>1171</v>
      </c>
      <c r="Z57" t="s">
        <v>1171</v>
      </c>
      <c r="AA57" t="s">
        <v>1171</v>
      </c>
      <c r="AB57" t="s">
        <v>1171</v>
      </c>
      <c r="AC57" t="s">
        <v>1171</v>
      </c>
      <c r="AD57" t="s">
        <v>1171</v>
      </c>
    </row>
    <row r="58" spans="1:30" ht="51" x14ac:dyDescent="0.2">
      <c r="A58" t="s">
        <v>1171</v>
      </c>
      <c r="B58" t="s">
        <v>1230</v>
      </c>
      <c r="C58" t="str">
        <f>"CONF-"&amp;TEXT(us_core_reqs[[#This Row],[ID*]], "0000")</f>
        <v>CONF-0057</v>
      </c>
      <c r="D58" s="11" t="s">
        <v>823</v>
      </c>
      <c r="E58" t="str">
        <f>SUBSTITUTE(us_core_reqs[[#This Row],[URL*]], "https://hl7.org/fhir/us/core/STU8/","")</f>
        <v>general-requirements.html#fhir-restful-search-api-requirements</v>
      </c>
      <c r="F58" s="11" t="s">
        <v>910</v>
      </c>
      <c r="G58" t="s">
        <v>35</v>
      </c>
      <c r="I58" t="s">
        <v>58</v>
      </c>
      <c r="J58" t="s">
        <v>1171</v>
      </c>
      <c r="K58" t="s">
        <v>1171</v>
      </c>
      <c r="L58" t="s">
        <v>1173</v>
      </c>
      <c r="M58" t="s">
        <v>1171</v>
      </c>
      <c r="N58" t="s">
        <v>1171</v>
      </c>
      <c r="O58" t="s">
        <v>1171</v>
      </c>
      <c r="P58" t="s">
        <v>1171</v>
      </c>
      <c r="Q58" t="s">
        <v>1171</v>
      </c>
      <c r="R58" t="str">
        <f>_xlfn.TEXTBEFORE(_xlfn.TEXTAFTER(us_core_reqs[[#This Row],[URL*]],"/",-1),".")</f>
        <v>general-requirements</v>
      </c>
      <c r="S58" t="str">
        <f>_xlfn.TEXTAFTER(us_core_reqs[[#This Row],[URL*]],"#",-1)</f>
        <v>fhir-restful-search-api-requirements</v>
      </c>
      <c r="T58" t="str">
        <f>SUBSTITUTE(SUBSTITUTE(PROPER(SUBSTITUTE(us_core_reqs[[#This Row],[Page]], "-", " "))&amp;": "&amp;PROPER(SUBSTITUTE(us_core_reqs[[#This Row],[Section]], "-", " ")),"Us ","US "), "Uscdi", "USCDI")</f>
        <v>General Requirements: Fhir Restful Search Api Requirements</v>
      </c>
      <c r="U58" t="s">
        <v>35</v>
      </c>
      <c r="V58" t="s">
        <v>58</v>
      </c>
      <c r="W58" t="s">
        <v>1171</v>
      </c>
      <c r="X58" t="s">
        <v>1171</v>
      </c>
      <c r="Y58" t="s">
        <v>1171</v>
      </c>
      <c r="Z58" t="s">
        <v>1171</v>
      </c>
      <c r="AA58" t="s">
        <v>1171</v>
      </c>
      <c r="AB58" t="s">
        <v>1171</v>
      </c>
      <c r="AC58" t="s">
        <v>1171</v>
      </c>
      <c r="AD58" t="s">
        <v>1171</v>
      </c>
    </row>
    <row r="59" spans="1:30" ht="51" x14ac:dyDescent="0.2">
      <c r="A59" t="s">
        <v>1171</v>
      </c>
      <c r="B59" t="s">
        <v>1231</v>
      </c>
      <c r="C59" t="str">
        <f>"CONF-"&amp;TEXT(us_core_reqs[[#This Row],[ID*]], "0000")</f>
        <v>CONF-0058</v>
      </c>
      <c r="D59" s="11" t="s">
        <v>823</v>
      </c>
      <c r="E59" t="str">
        <f>SUBSTITUTE(us_core_reqs[[#This Row],[URL*]], "https://hl7.org/fhir/us/core/STU8/","")</f>
        <v>general-requirements.html#fhir-restful-search-api-requirements</v>
      </c>
      <c r="F59" s="11" t="s">
        <v>973</v>
      </c>
      <c r="G59" t="s">
        <v>29</v>
      </c>
      <c r="I59" t="s">
        <v>30</v>
      </c>
      <c r="J59" t="s">
        <v>1171</v>
      </c>
      <c r="K59" t="s">
        <v>1171</v>
      </c>
      <c r="L59" t="s">
        <v>1173</v>
      </c>
      <c r="M59" t="s">
        <v>1171</v>
      </c>
      <c r="N59" t="s">
        <v>1171</v>
      </c>
      <c r="O59" t="s">
        <v>1171</v>
      </c>
      <c r="P59" t="s">
        <v>1171</v>
      </c>
      <c r="Q59" t="s">
        <v>1171</v>
      </c>
      <c r="R59" t="str">
        <f>_xlfn.TEXTBEFORE(_xlfn.TEXTAFTER(us_core_reqs[[#This Row],[URL*]],"/",-1),".")</f>
        <v>general-requirements</v>
      </c>
      <c r="S59" t="str">
        <f>_xlfn.TEXTAFTER(us_core_reqs[[#This Row],[URL*]],"#",-1)</f>
        <v>fhir-restful-search-api-requirements</v>
      </c>
      <c r="T59" t="str">
        <f>SUBSTITUTE(SUBSTITUTE(PROPER(SUBSTITUTE(us_core_reqs[[#This Row],[Page]], "-", " "))&amp;": "&amp;PROPER(SUBSTITUTE(us_core_reqs[[#This Row],[Section]], "-", " ")),"Us ","US "), "Uscdi", "USCDI")</f>
        <v>General Requirements: Fhir Restful Search Api Requirements</v>
      </c>
      <c r="U59" t="s">
        <v>29</v>
      </c>
      <c r="V59" t="s">
        <v>30</v>
      </c>
      <c r="W59" t="s">
        <v>1171</v>
      </c>
      <c r="X59" t="s">
        <v>1171</v>
      </c>
      <c r="Y59" t="s">
        <v>1171</v>
      </c>
      <c r="Z59" t="s">
        <v>1171</v>
      </c>
      <c r="AA59" t="s">
        <v>1171</v>
      </c>
      <c r="AB59" t="s">
        <v>1171</v>
      </c>
      <c r="AC59" t="s">
        <v>1140</v>
      </c>
      <c r="AD59" t="s">
        <v>1171</v>
      </c>
    </row>
    <row r="60" spans="1:30" ht="68" x14ac:dyDescent="0.2">
      <c r="A60" t="s">
        <v>1171</v>
      </c>
      <c r="B60" t="s">
        <v>1232</v>
      </c>
      <c r="C60" t="str">
        <f>"CONF-"&amp;TEXT(us_core_reqs[[#This Row],[ID*]], "0000")</f>
        <v>CONF-0059</v>
      </c>
      <c r="D60" s="11" t="s">
        <v>823</v>
      </c>
      <c r="E60" t="str">
        <f>SUBSTITUTE(us_core_reqs[[#This Row],[URL*]], "https://hl7.org/fhir/us/core/STU8/","")</f>
        <v>general-requirements.html#fhir-restful-search-api-requirements</v>
      </c>
      <c r="F60" s="11" t="s">
        <v>911</v>
      </c>
      <c r="G60" t="s">
        <v>29</v>
      </c>
      <c r="I60" t="s">
        <v>58</v>
      </c>
      <c r="J60" t="s">
        <v>1171</v>
      </c>
      <c r="K60" t="s">
        <v>1171</v>
      </c>
      <c r="L60" t="s">
        <v>1173</v>
      </c>
      <c r="M60" t="s">
        <v>1171</v>
      </c>
      <c r="N60" t="s">
        <v>1171</v>
      </c>
      <c r="O60" t="s">
        <v>1171</v>
      </c>
      <c r="P60" t="s">
        <v>1171</v>
      </c>
      <c r="Q60" t="s">
        <v>1171</v>
      </c>
      <c r="R60" t="str">
        <f>_xlfn.TEXTBEFORE(_xlfn.TEXTAFTER(us_core_reqs[[#This Row],[URL*]],"/",-1),".")</f>
        <v>general-requirements</v>
      </c>
      <c r="S60" t="str">
        <f>_xlfn.TEXTAFTER(us_core_reqs[[#This Row],[URL*]],"#",-1)</f>
        <v>fhir-restful-search-api-requirements</v>
      </c>
      <c r="T60" t="str">
        <f>SUBSTITUTE(SUBSTITUTE(PROPER(SUBSTITUTE(us_core_reqs[[#This Row],[Page]], "-", " "))&amp;": "&amp;PROPER(SUBSTITUTE(us_core_reqs[[#This Row],[Section]], "-", " ")),"Us ","US "), "Uscdi", "USCDI")</f>
        <v>General Requirements: Fhir Restful Search Api Requirements</v>
      </c>
      <c r="U60" t="s">
        <v>29</v>
      </c>
      <c r="V60" t="s">
        <v>58</v>
      </c>
      <c r="W60" t="s">
        <v>1171</v>
      </c>
      <c r="X60" t="s">
        <v>1171</v>
      </c>
      <c r="Y60" t="s">
        <v>1171</v>
      </c>
      <c r="Z60" t="s">
        <v>1171</v>
      </c>
      <c r="AA60" t="s">
        <v>1171</v>
      </c>
      <c r="AB60" t="s">
        <v>1171</v>
      </c>
      <c r="AC60" t="s">
        <v>1171</v>
      </c>
      <c r="AD60" t="s">
        <v>1171</v>
      </c>
    </row>
    <row r="61" spans="1:30" ht="68" x14ac:dyDescent="0.2">
      <c r="A61" t="s">
        <v>1171</v>
      </c>
      <c r="B61" t="s">
        <v>1233</v>
      </c>
      <c r="C61" t="str">
        <f>"CONF-"&amp;TEXT(us_core_reqs[[#This Row],[ID*]], "0000")</f>
        <v>CONF-0060</v>
      </c>
      <c r="D61" s="11" t="s">
        <v>823</v>
      </c>
      <c r="E61" t="str">
        <f>SUBSTITUTE(us_core_reqs[[#This Row],[URL*]], "https://hl7.org/fhir/us/core/STU8/","")</f>
        <v>general-requirements.html#fhir-restful-search-api-requirements</v>
      </c>
      <c r="F61" s="11" t="s">
        <v>912</v>
      </c>
      <c r="G61" t="s">
        <v>29</v>
      </c>
      <c r="I61" t="s">
        <v>58</v>
      </c>
      <c r="J61" t="s">
        <v>1171</v>
      </c>
      <c r="K61" t="s">
        <v>1171</v>
      </c>
      <c r="L61" t="s">
        <v>1173</v>
      </c>
      <c r="M61" t="s">
        <v>1171</v>
      </c>
      <c r="N61" t="s">
        <v>1171</v>
      </c>
      <c r="O61" t="s">
        <v>1171</v>
      </c>
      <c r="P61" t="s">
        <v>1171</v>
      </c>
      <c r="Q61" t="s">
        <v>1171</v>
      </c>
      <c r="R61" t="str">
        <f>_xlfn.TEXTBEFORE(_xlfn.TEXTAFTER(us_core_reqs[[#This Row],[URL*]],"/",-1),".")</f>
        <v>general-requirements</v>
      </c>
      <c r="S61" t="str">
        <f>_xlfn.TEXTAFTER(us_core_reqs[[#This Row],[URL*]],"#",-1)</f>
        <v>fhir-restful-search-api-requirements</v>
      </c>
      <c r="T61" t="str">
        <f>SUBSTITUTE(SUBSTITUTE(PROPER(SUBSTITUTE(us_core_reqs[[#This Row],[Page]], "-", " "))&amp;": "&amp;PROPER(SUBSTITUTE(us_core_reqs[[#This Row],[Section]], "-", " ")),"Us ","US "), "Uscdi", "USCDI")</f>
        <v>General Requirements: Fhir Restful Search Api Requirements</v>
      </c>
      <c r="U61" t="s">
        <v>29</v>
      </c>
      <c r="V61" t="s">
        <v>58</v>
      </c>
      <c r="W61" t="s">
        <v>1171</v>
      </c>
      <c r="X61" t="s">
        <v>1171</v>
      </c>
      <c r="Y61" t="s">
        <v>1171</v>
      </c>
      <c r="Z61" t="s">
        <v>1171</v>
      </c>
      <c r="AA61" t="s">
        <v>1171</v>
      </c>
      <c r="AB61" t="s">
        <v>1171</v>
      </c>
      <c r="AC61" t="s">
        <v>1171</v>
      </c>
      <c r="AD61" t="s">
        <v>1171</v>
      </c>
    </row>
    <row r="62" spans="1:30" ht="68" x14ac:dyDescent="0.2">
      <c r="A62" t="s">
        <v>1171</v>
      </c>
      <c r="B62" t="s">
        <v>1234</v>
      </c>
      <c r="C62" t="str">
        <f>"CONF-"&amp;TEXT(us_core_reqs[[#This Row],[ID*]], "0000")</f>
        <v>CONF-0061</v>
      </c>
      <c r="D62" s="11" t="s">
        <v>823</v>
      </c>
      <c r="E62" t="str">
        <f>SUBSTITUTE(us_core_reqs[[#This Row],[URL*]], "https://hl7.org/fhir/us/core/STU8/","")</f>
        <v>general-requirements.html#fhir-restful-search-api-requirements</v>
      </c>
      <c r="F62" s="11" t="s">
        <v>974</v>
      </c>
      <c r="G62" t="s">
        <v>29</v>
      </c>
      <c r="I62" t="s">
        <v>30</v>
      </c>
      <c r="J62" t="s">
        <v>1171</v>
      </c>
      <c r="K62" t="s">
        <v>1171</v>
      </c>
      <c r="L62" t="s">
        <v>1173</v>
      </c>
      <c r="M62" t="s">
        <v>1171</v>
      </c>
      <c r="N62" t="s">
        <v>1171</v>
      </c>
      <c r="O62" t="s">
        <v>1171</v>
      </c>
      <c r="P62" t="s">
        <v>1171</v>
      </c>
      <c r="Q62" t="s">
        <v>1171</v>
      </c>
      <c r="R62" t="str">
        <f>_xlfn.TEXTBEFORE(_xlfn.TEXTAFTER(us_core_reqs[[#This Row],[URL*]],"/",-1),".")</f>
        <v>general-requirements</v>
      </c>
      <c r="S62" t="str">
        <f>_xlfn.TEXTAFTER(us_core_reqs[[#This Row],[URL*]],"#",-1)</f>
        <v>fhir-restful-search-api-requirements</v>
      </c>
      <c r="T62" t="str">
        <f>SUBSTITUTE(SUBSTITUTE(PROPER(SUBSTITUTE(us_core_reqs[[#This Row],[Page]], "-", " "))&amp;": "&amp;PROPER(SUBSTITUTE(us_core_reqs[[#This Row],[Section]], "-", " ")),"Us ","US "), "Uscdi", "USCDI")</f>
        <v>General Requirements: Fhir Restful Search Api Requirements</v>
      </c>
      <c r="U62" t="s">
        <v>29</v>
      </c>
      <c r="V62" t="s">
        <v>30</v>
      </c>
      <c r="W62" t="s">
        <v>1171</v>
      </c>
      <c r="X62" t="s">
        <v>1171</v>
      </c>
      <c r="Y62" t="s">
        <v>1171</v>
      </c>
      <c r="Z62" t="s">
        <v>1171</v>
      </c>
      <c r="AA62" t="s">
        <v>1171</v>
      </c>
      <c r="AB62" t="s">
        <v>1171</v>
      </c>
      <c r="AC62" t="s">
        <v>1140</v>
      </c>
      <c r="AD62" t="s">
        <v>1171</v>
      </c>
    </row>
    <row r="63" spans="1:30" ht="68" x14ac:dyDescent="0.2">
      <c r="A63" t="s">
        <v>1171</v>
      </c>
      <c r="B63" t="s">
        <v>1235</v>
      </c>
      <c r="C63" t="str">
        <f>"CONF-"&amp;TEXT(us_core_reqs[[#This Row],[ID*]], "0000")</f>
        <v>CONF-0062</v>
      </c>
      <c r="D63" s="11" t="s">
        <v>823</v>
      </c>
      <c r="E63" t="str">
        <f>SUBSTITUTE(us_core_reqs[[#This Row],[URL*]], "https://hl7.org/fhir/us/core/STU8/","")</f>
        <v>general-requirements.html#fhir-restful-search-api-requirements</v>
      </c>
      <c r="F63" s="11" t="s">
        <v>975</v>
      </c>
      <c r="G63" t="s">
        <v>29</v>
      </c>
      <c r="I63" t="s">
        <v>30</v>
      </c>
      <c r="J63" t="s">
        <v>1171</v>
      </c>
      <c r="K63" t="s">
        <v>1171</v>
      </c>
      <c r="L63" t="s">
        <v>1173</v>
      </c>
      <c r="M63" t="s">
        <v>1171</v>
      </c>
      <c r="N63" t="s">
        <v>1171</v>
      </c>
      <c r="O63" t="s">
        <v>1171</v>
      </c>
      <c r="P63" t="s">
        <v>1171</v>
      </c>
      <c r="Q63" t="s">
        <v>1171</v>
      </c>
      <c r="R63" t="str">
        <f>_xlfn.TEXTBEFORE(_xlfn.TEXTAFTER(us_core_reqs[[#This Row],[URL*]],"/",-1),".")</f>
        <v>general-requirements</v>
      </c>
      <c r="S63" t="str">
        <f>_xlfn.TEXTAFTER(us_core_reqs[[#This Row],[URL*]],"#",-1)</f>
        <v>fhir-restful-search-api-requirements</v>
      </c>
      <c r="T63" t="str">
        <f>SUBSTITUTE(SUBSTITUTE(PROPER(SUBSTITUTE(us_core_reqs[[#This Row],[Page]], "-", " "))&amp;": "&amp;PROPER(SUBSTITUTE(us_core_reqs[[#This Row],[Section]], "-", " ")),"Us ","US "), "Uscdi", "USCDI")</f>
        <v>General Requirements: Fhir Restful Search Api Requirements</v>
      </c>
      <c r="U63" t="s">
        <v>29</v>
      </c>
      <c r="V63" t="s">
        <v>30</v>
      </c>
      <c r="W63" t="s">
        <v>1171</v>
      </c>
      <c r="X63" t="s">
        <v>1171</v>
      </c>
      <c r="Y63" t="s">
        <v>1171</v>
      </c>
      <c r="Z63" t="s">
        <v>1171</v>
      </c>
      <c r="AA63" t="s">
        <v>1171</v>
      </c>
      <c r="AB63" t="s">
        <v>1171</v>
      </c>
      <c r="AC63" t="s">
        <v>1140</v>
      </c>
      <c r="AD63" t="s">
        <v>1171</v>
      </c>
    </row>
    <row r="64" spans="1:30" ht="34" x14ac:dyDescent="0.2">
      <c r="A64" t="s">
        <v>1171</v>
      </c>
      <c r="B64" t="s">
        <v>1236</v>
      </c>
      <c r="C64" t="str">
        <f>"CONF-"&amp;TEXT(us_core_reqs[[#This Row],[ID*]], "0000")</f>
        <v>CONF-0063</v>
      </c>
      <c r="D64" s="11" t="s">
        <v>976</v>
      </c>
      <c r="E64" t="str">
        <f>SUBSTITUTE(us_core_reqs[[#This Row],[URL*]], "https://hl7.org/fhir/us/core/STU8/","")</f>
        <v>general-requirements.html#search-for-Servers-requiring-status</v>
      </c>
      <c r="F64" s="11" t="s">
        <v>98</v>
      </c>
      <c r="G64" t="s">
        <v>32</v>
      </c>
      <c r="H64" t="s">
        <v>1848</v>
      </c>
      <c r="I64" t="s">
        <v>30</v>
      </c>
      <c r="J64" t="s">
        <v>1171</v>
      </c>
      <c r="K64" t="s">
        <v>1171</v>
      </c>
      <c r="L64" t="s">
        <v>1173</v>
      </c>
      <c r="M64" t="s">
        <v>1171</v>
      </c>
      <c r="N64" t="s">
        <v>1171</v>
      </c>
      <c r="O64" t="s">
        <v>1171</v>
      </c>
      <c r="P64" t="s">
        <v>1171</v>
      </c>
      <c r="Q64" t="s">
        <v>1171</v>
      </c>
      <c r="R64" t="str">
        <f>_xlfn.TEXTBEFORE(_xlfn.TEXTAFTER(us_core_reqs[[#This Row],[URL*]],"/",-1),".")</f>
        <v>general-requirements</v>
      </c>
      <c r="S64" t="str">
        <f>_xlfn.TEXTAFTER(us_core_reqs[[#This Row],[URL*]],"#",-1)</f>
        <v>search-for-Servers-requiring-status</v>
      </c>
      <c r="T64" t="str">
        <f>SUBSTITUTE(SUBSTITUTE(PROPER(SUBSTITUTE(us_core_reqs[[#This Row],[Page]], "-", " "))&amp;": "&amp;PROPER(SUBSTITUTE(us_core_reqs[[#This Row],[Section]], "-", " ")),"Us ","US "), "Uscdi", "USCDI")</f>
        <v>General Requirements: Search For Servers Requiring Status</v>
      </c>
      <c r="U64" t="s">
        <v>1171</v>
      </c>
      <c r="V64" t="s">
        <v>30</v>
      </c>
      <c r="W64" t="s">
        <v>1171</v>
      </c>
      <c r="X64" t="s">
        <v>1171</v>
      </c>
      <c r="Y64" t="s">
        <v>1171</v>
      </c>
      <c r="Z64" t="s">
        <v>1171</v>
      </c>
      <c r="AA64" t="s">
        <v>1171</v>
      </c>
      <c r="AB64" t="s">
        <v>1171</v>
      </c>
      <c r="AC64" t="s">
        <v>1171</v>
      </c>
      <c r="AD64" t="s">
        <v>1171</v>
      </c>
    </row>
    <row r="65" spans="1:30" ht="34" x14ac:dyDescent="0.2">
      <c r="A65" t="s">
        <v>1171</v>
      </c>
      <c r="B65" t="s">
        <v>1237</v>
      </c>
      <c r="C65" t="str">
        <f>"CONF-"&amp;TEXT(us_core_reqs[[#This Row],[ID*]], "0000")</f>
        <v>CONF-0064</v>
      </c>
      <c r="D65" s="11" t="s">
        <v>976</v>
      </c>
      <c r="E65" t="str">
        <f>SUBSTITUTE(us_core_reqs[[#This Row],[URL*]], "https://hl7.org/fhir/us/core/STU8/","")</f>
        <v>general-requirements.html#search-for-Servers-requiring-status</v>
      </c>
      <c r="F65" s="11" t="s">
        <v>99</v>
      </c>
      <c r="G65" t="s">
        <v>29</v>
      </c>
      <c r="I65" t="s">
        <v>30</v>
      </c>
      <c r="J65" t="s">
        <v>1171</v>
      </c>
      <c r="K65" t="s">
        <v>1101</v>
      </c>
      <c r="L65" t="s">
        <v>1176</v>
      </c>
      <c r="M65" t="s">
        <v>100</v>
      </c>
      <c r="N65" t="s">
        <v>1171</v>
      </c>
      <c r="O65" t="s">
        <v>1171</v>
      </c>
      <c r="P65" t="s">
        <v>1171</v>
      </c>
      <c r="Q65" t="s">
        <v>1171</v>
      </c>
      <c r="R65" t="str">
        <f>_xlfn.TEXTBEFORE(_xlfn.TEXTAFTER(us_core_reqs[[#This Row],[URL*]],"/",-1),".")</f>
        <v>general-requirements</v>
      </c>
      <c r="S65" t="str">
        <f>_xlfn.TEXTAFTER(us_core_reqs[[#This Row],[URL*]],"#",-1)</f>
        <v>search-for-Servers-requiring-status</v>
      </c>
      <c r="T65" t="str">
        <f>SUBSTITUTE(SUBSTITUTE(PROPER(SUBSTITUTE(us_core_reqs[[#This Row],[Page]], "-", " "))&amp;": "&amp;PROPER(SUBSTITUTE(us_core_reqs[[#This Row],[Section]], "-", " ")),"Us ","US "), "Uscdi", "USCDI")</f>
        <v>General Requirements: Search For Servers Requiring Status</v>
      </c>
      <c r="U65" t="s">
        <v>29</v>
      </c>
      <c r="V65" t="s">
        <v>1171</v>
      </c>
      <c r="W65" t="s">
        <v>1171</v>
      </c>
      <c r="X65" t="s">
        <v>1171</v>
      </c>
      <c r="Y65" t="s">
        <v>1171</v>
      </c>
      <c r="Z65" t="s">
        <v>1171</v>
      </c>
      <c r="AA65" t="s">
        <v>1171</v>
      </c>
      <c r="AB65" t="s">
        <v>1171</v>
      </c>
      <c r="AC65" t="s">
        <v>1141</v>
      </c>
      <c r="AD65" t="s">
        <v>1171</v>
      </c>
    </row>
    <row r="66" spans="1:30" ht="51" x14ac:dyDescent="0.2">
      <c r="A66" t="s">
        <v>1171</v>
      </c>
      <c r="B66" t="s">
        <v>1238</v>
      </c>
      <c r="C66" t="str">
        <f>"CONF-"&amp;TEXT(us_core_reqs[[#This Row],[ID*]], "0000")</f>
        <v>CONF-0065</v>
      </c>
      <c r="D66" s="11" t="s">
        <v>976</v>
      </c>
      <c r="E66" t="str">
        <f>SUBSTITUTE(us_core_reqs[[#This Row],[URL*]], "https://hl7.org/fhir/us/core/STU8/","")</f>
        <v>general-requirements.html#search-for-Servers-requiring-status</v>
      </c>
      <c r="F66" s="11" t="s">
        <v>913</v>
      </c>
      <c r="G66" t="s">
        <v>35</v>
      </c>
      <c r="I66" t="s">
        <v>30</v>
      </c>
      <c r="J66" t="s">
        <v>1171</v>
      </c>
      <c r="K66" t="s">
        <v>1171</v>
      </c>
      <c r="L66" t="s">
        <v>1173</v>
      </c>
      <c r="M66" t="s">
        <v>1171</v>
      </c>
      <c r="N66" t="s">
        <v>1171</v>
      </c>
      <c r="O66" t="s">
        <v>1171</v>
      </c>
      <c r="P66" t="s">
        <v>1171</v>
      </c>
      <c r="Q66" t="s">
        <v>1171</v>
      </c>
      <c r="R66" t="str">
        <f>_xlfn.TEXTBEFORE(_xlfn.TEXTAFTER(us_core_reqs[[#This Row],[URL*]],"/",-1),".")</f>
        <v>general-requirements</v>
      </c>
      <c r="S66" t="str">
        <f>_xlfn.TEXTAFTER(us_core_reqs[[#This Row],[URL*]],"#",-1)</f>
        <v>search-for-Servers-requiring-status</v>
      </c>
      <c r="T66" t="str">
        <f>SUBSTITUTE(SUBSTITUTE(PROPER(SUBSTITUTE(us_core_reqs[[#This Row],[Page]], "-", " "))&amp;": "&amp;PROPER(SUBSTITUTE(us_core_reqs[[#This Row],[Section]], "-", " ")),"Us ","US "), "Uscdi", "USCDI")</f>
        <v>General Requirements: Search For Servers Requiring Status</v>
      </c>
      <c r="U66" t="s">
        <v>35</v>
      </c>
      <c r="V66" t="s">
        <v>58</v>
      </c>
      <c r="W66" t="s">
        <v>1171</v>
      </c>
      <c r="X66" t="s">
        <v>1171</v>
      </c>
      <c r="Y66" t="s">
        <v>1171</v>
      </c>
      <c r="Z66" t="s">
        <v>1171</v>
      </c>
      <c r="AA66" t="s">
        <v>1171</v>
      </c>
      <c r="AB66" t="s">
        <v>1171</v>
      </c>
      <c r="AC66" t="s">
        <v>1171</v>
      </c>
      <c r="AD66" t="s">
        <v>1171</v>
      </c>
    </row>
    <row r="67" spans="1:30" ht="85" x14ac:dyDescent="0.2">
      <c r="A67" t="s">
        <v>1171</v>
      </c>
      <c r="B67" t="s">
        <v>1239</v>
      </c>
      <c r="C67" t="str">
        <f>"CONF-"&amp;TEXT(us_core_reqs[[#This Row],[ID*]], "0000")</f>
        <v>CONF-0066</v>
      </c>
      <c r="D67" s="11" t="s">
        <v>976</v>
      </c>
      <c r="E67" t="str">
        <f>SUBSTITUTE(us_core_reqs[[#This Row],[URL*]], "https://hl7.org/fhir/us/core/STU8/","")</f>
        <v>general-requirements.html#search-for-Servers-requiring-status</v>
      </c>
      <c r="F67" s="11" t="s">
        <v>914</v>
      </c>
      <c r="G67" t="s">
        <v>29</v>
      </c>
      <c r="I67" t="s">
        <v>30</v>
      </c>
      <c r="J67" t="s">
        <v>1171</v>
      </c>
      <c r="K67" t="s">
        <v>1171</v>
      </c>
      <c r="L67" t="s">
        <v>1173</v>
      </c>
      <c r="M67" t="s">
        <v>1171</v>
      </c>
      <c r="N67" t="s">
        <v>1171</v>
      </c>
      <c r="O67" t="s">
        <v>1171</v>
      </c>
      <c r="P67" t="s">
        <v>1171</v>
      </c>
      <c r="Q67" t="s">
        <v>1171</v>
      </c>
      <c r="R67" t="str">
        <f>_xlfn.TEXTBEFORE(_xlfn.TEXTAFTER(us_core_reqs[[#This Row],[URL*]],"/",-1),".")</f>
        <v>general-requirements</v>
      </c>
      <c r="S67" t="str">
        <f>_xlfn.TEXTAFTER(us_core_reqs[[#This Row],[URL*]],"#",-1)</f>
        <v>search-for-Servers-requiring-status</v>
      </c>
      <c r="T67" t="str">
        <f>SUBSTITUTE(SUBSTITUTE(PROPER(SUBSTITUTE(us_core_reqs[[#This Row],[Page]], "-", " "))&amp;": "&amp;PROPER(SUBSTITUTE(us_core_reqs[[#This Row],[Section]], "-", " ")),"Us ","US "), "Uscdi", "USCDI")</f>
        <v>General Requirements: Search For Servers Requiring Status</v>
      </c>
      <c r="U67" t="s">
        <v>29</v>
      </c>
      <c r="V67" t="s">
        <v>58</v>
      </c>
      <c r="W67" t="s">
        <v>1171</v>
      </c>
      <c r="X67" t="s">
        <v>1171</v>
      </c>
      <c r="Y67" t="s">
        <v>1171</v>
      </c>
      <c r="Z67" t="s">
        <v>1171</v>
      </c>
      <c r="AA67" t="s">
        <v>1171</v>
      </c>
      <c r="AB67" t="s">
        <v>1171</v>
      </c>
      <c r="AC67" t="s">
        <v>1140</v>
      </c>
      <c r="AD67" t="s">
        <v>1171</v>
      </c>
    </row>
    <row r="68" spans="1:30" ht="119" x14ac:dyDescent="0.2">
      <c r="A68" t="s">
        <v>1171</v>
      </c>
      <c r="B68" t="s">
        <v>1240</v>
      </c>
      <c r="C68" t="str">
        <f>"CONF-"&amp;TEXT(us_core_reqs[[#This Row],[ID*]], "0000")</f>
        <v>CONF-0067</v>
      </c>
      <c r="D68" s="11" t="s">
        <v>976</v>
      </c>
      <c r="E68" t="str">
        <f>SUBSTITUTE(us_core_reqs[[#This Row],[URL*]], "https://hl7.org/fhir/us/core/STU8/","")</f>
        <v>general-requirements.html#search-for-Servers-requiring-status</v>
      </c>
      <c r="F68" s="11" t="s">
        <v>915</v>
      </c>
      <c r="G68" t="s">
        <v>29</v>
      </c>
      <c r="I68" t="s">
        <v>30</v>
      </c>
      <c r="J68" t="s">
        <v>1171</v>
      </c>
      <c r="K68" t="s">
        <v>1171</v>
      </c>
      <c r="L68" t="s">
        <v>1173</v>
      </c>
      <c r="M68" t="s">
        <v>1171</v>
      </c>
      <c r="N68" t="s">
        <v>1171</v>
      </c>
      <c r="O68" t="s">
        <v>1171</v>
      </c>
      <c r="P68" t="s">
        <v>1171</v>
      </c>
      <c r="Q68" t="s">
        <v>1171</v>
      </c>
      <c r="R68" t="str">
        <f>_xlfn.TEXTBEFORE(_xlfn.TEXTAFTER(us_core_reqs[[#This Row],[URL*]],"/",-1),".")</f>
        <v>general-requirements</v>
      </c>
      <c r="S68" t="str">
        <f>_xlfn.TEXTAFTER(us_core_reqs[[#This Row],[URL*]],"#",-1)</f>
        <v>search-for-Servers-requiring-status</v>
      </c>
      <c r="T68" t="str">
        <f>SUBSTITUTE(SUBSTITUTE(PROPER(SUBSTITUTE(us_core_reqs[[#This Row],[Page]], "-", " "))&amp;": "&amp;PROPER(SUBSTITUTE(us_core_reqs[[#This Row],[Section]], "-", " ")),"Us ","US "), "Uscdi", "USCDI")</f>
        <v>General Requirements: Search For Servers Requiring Status</v>
      </c>
      <c r="U68" t="s">
        <v>29</v>
      </c>
      <c r="V68" t="s">
        <v>58</v>
      </c>
      <c r="W68" t="s">
        <v>1171</v>
      </c>
      <c r="X68" t="s">
        <v>1171</v>
      </c>
      <c r="Y68" t="s">
        <v>1171</v>
      </c>
      <c r="Z68" t="s">
        <v>1171</v>
      </c>
      <c r="AA68" t="s">
        <v>1171</v>
      </c>
      <c r="AB68" t="s">
        <v>1171</v>
      </c>
      <c r="AC68" t="s">
        <v>1140</v>
      </c>
      <c r="AD68" t="s">
        <v>1171</v>
      </c>
    </row>
    <row r="69" spans="1:30" ht="85" x14ac:dyDescent="0.2">
      <c r="A69" t="s">
        <v>1171</v>
      </c>
      <c r="B69" t="s">
        <v>1241</v>
      </c>
      <c r="C69" t="str">
        <f>"CONF-"&amp;TEXT(us_core_reqs[[#This Row],[ID*]], "0000")</f>
        <v>CONF-0068</v>
      </c>
      <c r="D69" s="11" t="s">
        <v>976</v>
      </c>
      <c r="E69" t="str">
        <f>SUBSTITUTE(us_core_reqs[[#This Row],[URL*]], "https://hl7.org/fhir/us/core/STU8/","")</f>
        <v>general-requirements.html#search-for-Servers-requiring-status</v>
      </c>
      <c r="F69" s="11" t="s">
        <v>916</v>
      </c>
      <c r="G69" t="s">
        <v>29</v>
      </c>
      <c r="I69" t="s">
        <v>30</v>
      </c>
      <c r="J69" t="s">
        <v>1171</v>
      </c>
      <c r="K69" t="s">
        <v>1171</v>
      </c>
      <c r="L69" t="s">
        <v>1173</v>
      </c>
      <c r="M69" t="s">
        <v>1171</v>
      </c>
      <c r="N69" t="s">
        <v>1171</v>
      </c>
      <c r="O69" t="s">
        <v>1171</v>
      </c>
      <c r="P69" t="s">
        <v>1171</v>
      </c>
      <c r="Q69" t="s">
        <v>1171</v>
      </c>
      <c r="R69" t="str">
        <f>_xlfn.TEXTBEFORE(_xlfn.TEXTAFTER(us_core_reqs[[#This Row],[URL*]],"/",-1),".")</f>
        <v>general-requirements</v>
      </c>
      <c r="S69" t="str">
        <f>_xlfn.TEXTAFTER(us_core_reqs[[#This Row],[URL*]],"#",-1)</f>
        <v>search-for-Servers-requiring-status</v>
      </c>
      <c r="T69" t="str">
        <f>SUBSTITUTE(SUBSTITUTE(PROPER(SUBSTITUTE(us_core_reqs[[#This Row],[Page]], "-", " "))&amp;": "&amp;PROPER(SUBSTITUTE(us_core_reqs[[#This Row],[Section]], "-", " ")),"Us ","US "), "Uscdi", "USCDI")</f>
        <v>General Requirements: Search For Servers Requiring Status</v>
      </c>
      <c r="U69" t="s">
        <v>29</v>
      </c>
      <c r="V69" t="s">
        <v>58</v>
      </c>
      <c r="W69" t="s">
        <v>1171</v>
      </c>
      <c r="X69" t="s">
        <v>1171</v>
      </c>
      <c r="Y69" t="s">
        <v>1171</v>
      </c>
      <c r="Z69" t="s">
        <v>1171</v>
      </c>
      <c r="AA69" t="s">
        <v>1171</v>
      </c>
      <c r="AB69" t="s">
        <v>1171</v>
      </c>
      <c r="AC69" t="s">
        <v>1140</v>
      </c>
      <c r="AD69" t="s">
        <v>1171</v>
      </c>
    </row>
    <row r="70" spans="1:30" ht="34" x14ac:dyDescent="0.2">
      <c r="A70" t="s">
        <v>1171</v>
      </c>
      <c r="B70" t="s">
        <v>1242</v>
      </c>
      <c r="C70" t="str">
        <f>"CONF-"&amp;TEXT(us_core_reqs[[#This Row],[ID*]], "0000")</f>
        <v>CONF-0069</v>
      </c>
      <c r="D70" s="11" t="s">
        <v>976</v>
      </c>
      <c r="E70" t="str">
        <f>SUBSTITUTE(us_core_reqs[[#This Row],[URL*]], "https://hl7.org/fhir/us/core/STU8/","")</f>
        <v>general-requirements.html#search-for-Servers-requiring-status</v>
      </c>
      <c r="F70" s="11" t="s">
        <v>2030</v>
      </c>
      <c r="G70" t="s">
        <v>1833</v>
      </c>
      <c r="I70" t="s">
        <v>30</v>
      </c>
      <c r="J70" t="s">
        <v>1171</v>
      </c>
      <c r="K70" t="s">
        <v>1171</v>
      </c>
      <c r="L70" t="s">
        <v>1173</v>
      </c>
      <c r="M70" t="s">
        <v>1171</v>
      </c>
      <c r="N70" t="s">
        <v>1171</v>
      </c>
      <c r="O70" t="s">
        <v>1171</v>
      </c>
      <c r="P70" t="s">
        <v>1171</v>
      </c>
      <c r="Q70" t="s">
        <v>1171</v>
      </c>
      <c r="R70" t="str">
        <f>_xlfn.TEXTBEFORE(_xlfn.TEXTAFTER(us_core_reqs[[#This Row],[URL*]],"/",-1),".")</f>
        <v>general-requirements</v>
      </c>
      <c r="S70" t="str">
        <f>_xlfn.TEXTAFTER(us_core_reqs[[#This Row],[URL*]],"#",-1)</f>
        <v>search-for-Servers-requiring-status</v>
      </c>
      <c r="T70" t="str">
        <f>SUBSTITUTE(SUBSTITUTE(PROPER(SUBSTITUTE(us_core_reqs[[#This Row],[Page]], "-", " "))&amp;": "&amp;PROPER(SUBSTITUTE(us_core_reqs[[#This Row],[Section]], "-", " ")),"Us ","US "), "Uscdi", "USCDI")</f>
        <v>General Requirements: Search For Servers Requiring Status</v>
      </c>
      <c r="U70" t="s">
        <v>29</v>
      </c>
      <c r="V70" t="s">
        <v>58</v>
      </c>
      <c r="W70" t="s">
        <v>1171</v>
      </c>
      <c r="X70" t="s">
        <v>1171</v>
      </c>
      <c r="Y70" t="s">
        <v>1171</v>
      </c>
      <c r="Z70" t="s">
        <v>1171</v>
      </c>
      <c r="AA70" t="s">
        <v>1171</v>
      </c>
      <c r="AB70" t="s">
        <v>1171</v>
      </c>
      <c r="AC70" t="s">
        <v>1140</v>
      </c>
      <c r="AD70" t="s">
        <v>1171</v>
      </c>
    </row>
    <row r="71" spans="1:30" ht="51" x14ac:dyDescent="0.2">
      <c r="A71" t="s">
        <v>1171</v>
      </c>
      <c r="B71" t="s">
        <v>1243</v>
      </c>
      <c r="C71" t="str">
        <f>"CONF-"&amp;TEXT(us_core_reqs[[#This Row],[ID*]], "0000")</f>
        <v>CONF-0070</v>
      </c>
      <c r="D71" s="11" t="s">
        <v>976</v>
      </c>
      <c r="E71" t="str">
        <f>SUBSTITUTE(us_core_reqs[[#This Row],[URL*]], "https://hl7.org/fhir/us/core/STU8/","")</f>
        <v>general-requirements.html#search-for-Servers-requiring-status</v>
      </c>
      <c r="F71" s="11" t="s">
        <v>101</v>
      </c>
      <c r="G71" t="s">
        <v>32</v>
      </c>
      <c r="I71" t="s">
        <v>30</v>
      </c>
      <c r="J71" t="s">
        <v>1171</v>
      </c>
      <c r="K71" t="s">
        <v>1171</v>
      </c>
      <c r="L71" t="s">
        <v>1176</v>
      </c>
      <c r="M71" t="s">
        <v>102</v>
      </c>
      <c r="N71" t="s">
        <v>1171</v>
      </c>
      <c r="O71" t="s">
        <v>1171</v>
      </c>
      <c r="P71" t="s">
        <v>1171</v>
      </c>
      <c r="Q71" t="s">
        <v>1171</v>
      </c>
      <c r="R71" t="str">
        <f>_xlfn.TEXTBEFORE(_xlfn.TEXTAFTER(us_core_reqs[[#This Row],[URL*]],"/",-1),".")</f>
        <v>general-requirements</v>
      </c>
      <c r="S71" t="str">
        <f>_xlfn.TEXTAFTER(us_core_reqs[[#This Row],[URL*]],"#",-1)</f>
        <v>search-for-Servers-requiring-status</v>
      </c>
      <c r="T71" t="str">
        <f>SUBSTITUTE(SUBSTITUTE(PROPER(SUBSTITUTE(us_core_reqs[[#This Row],[Page]], "-", " "))&amp;": "&amp;PROPER(SUBSTITUTE(us_core_reqs[[#This Row],[Section]], "-", " ")),"Us ","US "), "Uscdi", "USCDI")</f>
        <v>General Requirements: Search For Servers Requiring Status</v>
      </c>
      <c r="U71" t="s">
        <v>32</v>
      </c>
      <c r="V71" t="s">
        <v>1171</v>
      </c>
      <c r="W71" t="s">
        <v>1171</v>
      </c>
      <c r="X71" t="s">
        <v>1171</v>
      </c>
      <c r="Y71" t="s">
        <v>1171</v>
      </c>
      <c r="Z71" t="s">
        <v>1171</v>
      </c>
      <c r="AA71" t="s">
        <v>1171</v>
      </c>
      <c r="AB71" t="s">
        <v>1171</v>
      </c>
      <c r="AC71" t="s">
        <v>1171</v>
      </c>
      <c r="AD71" t="s">
        <v>1171</v>
      </c>
    </row>
    <row r="72" spans="1:30" ht="68" x14ac:dyDescent="0.2">
      <c r="A72" t="s">
        <v>1171</v>
      </c>
      <c r="B72" t="s">
        <v>1244</v>
      </c>
      <c r="C72" t="str">
        <f>"CONF-"&amp;TEXT(us_core_reqs[[#This Row],[ID*]], "0000")</f>
        <v>CONF-0071</v>
      </c>
      <c r="D72" s="11" t="s">
        <v>976</v>
      </c>
      <c r="E72" t="str">
        <f>SUBSTITUTE(us_core_reqs[[#This Row],[URL*]], "https://hl7.org/fhir/us/core/STU8/","")</f>
        <v>general-requirements.html#search-for-Servers-requiring-status</v>
      </c>
      <c r="F72" s="11" t="s">
        <v>103</v>
      </c>
      <c r="G72" t="s">
        <v>32</v>
      </c>
      <c r="I72" t="s">
        <v>30</v>
      </c>
      <c r="J72" t="s">
        <v>1171</v>
      </c>
      <c r="K72" t="s">
        <v>1171</v>
      </c>
      <c r="L72" t="s">
        <v>1176</v>
      </c>
      <c r="M72" t="s">
        <v>104</v>
      </c>
      <c r="N72" t="s">
        <v>1171</v>
      </c>
      <c r="O72" t="s">
        <v>1171</v>
      </c>
      <c r="P72" t="s">
        <v>1171</v>
      </c>
      <c r="Q72" t="s">
        <v>1171</v>
      </c>
      <c r="R72" t="str">
        <f>_xlfn.TEXTBEFORE(_xlfn.TEXTAFTER(us_core_reqs[[#This Row],[URL*]],"/",-1),".")</f>
        <v>general-requirements</v>
      </c>
      <c r="S72" t="str">
        <f>_xlfn.TEXTAFTER(us_core_reqs[[#This Row],[URL*]],"#",-1)</f>
        <v>search-for-Servers-requiring-status</v>
      </c>
      <c r="T72" t="str">
        <f>SUBSTITUTE(SUBSTITUTE(PROPER(SUBSTITUTE(us_core_reqs[[#This Row],[Page]], "-", " "))&amp;": "&amp;PROPER(SUBSTITUTE(us_core_reqs[[#This Row],[Section]], "-", " ")),"Us ","US "), "Uscdi", "USCDI")</f>
        <v>General Requirements: Search For Servers Requiring Status</v>
      </c>
      <c r="U72" t="s">
        <v>32</v>
      </c>
      <c r="V72" t="s">
        <v>1171</v>
      </c>
      <c r="W72" t="s">
        <v>1171</v>
      </c>
      <c r="X72" t="s">
        <v>1171</v>
      </c>
      <c r="Y72" t="s">
        <v>1171</v>
      </c>
      <c r="Z72" t="s">
        <v>1171</v>
      </c>
      <c r="AA72" t="s">
        <v>1171</v>
      </c>
      <c r="AB72" t="s">
        <v>1171</v>
      </c>
      <c r="AC72" t="s">
        <v>1171</v>
      </c>
      <c r="AD72" t="s">
        <v>1171</v>
      </c>
    </row>
    <row r="73" spans="1:30" ht="85" x14ac:dyDescent="0.2">
      <c r="A73" t="s">
        <v>1171</v>
      </c>
      <c r="B73" t="s">
        <v>1245</v>
      </c>
      <c r="C73" t="str">
        <f>"CONF-"&amp;TEXT(us_core_reqs[[#This Row],[ID*]], "0000")</f>
        <v>CONF-0072</v>
      </c>
      <c r="D73" s="11" t="s">
        <v>976</v>
      </c>
      <c r="E73" t="str">
        <f>SUBSTITUTE(us_core_reqs[[#This Row],[URL*]], "https://hl7.org/fhir/us/core/STU8/","")</f>
        <v>general-requirements.html#search-for-Servers-requiring-status</v>
      </c>
      <c r="F73" s="11" t="s">
        <v>918</v>
      </c>
      <c r="G73" t="s">
        <v>32</v>
      </c>
      <c r="I73" t="s">
        <v>30</v>
      </c>
      <c r="J73" t="s">
        <v>1171</v>
      </c>
      <c r="K73" t="s">
        <v>1171</v>
      </c>
      <c r="L73" t="s">
        <v>1176</v>
      </c>
      <c r="M73" t="s">
        <v>104</v>
      </c>
      <c r="N73" t="s">
        <v>1171</v>
      </c>
      <c r="O73" t="s">
        <v>1171</v>
      </c>
      <c r="P73" t="s">
        <v>1171</v>
      </c>
      <c r="Q73" t="s">
        <v>1171</v>
      </c>
      <c r="R73" t="str">
        <f>_xlfn.TEXTBEFORE(_xlfn.TEXTAFTER(us_core_reqs[[#This Row],[URL*]],"/",-1),".")</f>
        <v>general-requirements</v>
      </c>
      <c r="S73" t="str">
        <f>_xlfn.TEXTAFTER(us_core_reqs[[#This Row],[URL*]],"#",-1)</f>
        <v>search-for-Servers-requiring-status</v>
      </c>
      <c r="T73" t="str">
        <f>SUBSTITUTE(SUBSTITUTE(PROPER(SUBSTITUTE(us_core_reqs[[#This Row],[Page]], "-", " "))&amp;": "&amp;PROPER(SUBSTITUTE(us_core_reqs[[#This Row],[Section]], "-", " ")),"Us ","US "), "Uscdi", "USCDI")</f>
        <v>General Requirements: Search For Servers Requiring Status</v>
      </c>
      <c r="U73" t="s">
        <v>32</v>
      </c>
      <c r="V73" t="s">
        <v>58</v>
      </c>
      <c r="W73" t="s">
        <v>1171</v>
      </c>
      <c r="X73" t="s">
        <v>1171</v>
      </c>
      <c r="Y73" t="s">
        <v>1171</v>
      </c>
      <c r="Z73" t="s">
        <v>1171</v>
      </c>
      <c r="AA73" t="s">
        <v>1171</v>
      </c>
      <c r="AB73" t="s">
        <v>1171</v>
      </c>
      <c r="AC73" t="s">
        <v>1171</v>
      </c>
      <c r="AD73" t="s">
        <v>1171</v>
      </c>
    </row>
    <row r="74" spans="1:30" ht="119" x14ac:dyDescent="0.2">
      <c r="A74" t="s">
        <v>1171</v>
      </c>
      <c r="B74" t="s">
        <v>1246</v>
      </c>
      <c r="C74" t="str">
        <f>"CONF-"&amp;TEXT(us_core_reqs[[#This Row],[ID*]], "0000")</f>
        <v>CONF-0073</v>
      </c>
      <c r="D74" s="11" t="s">
        <v>976</v>
      </c>
      <c r="E74" t="str">
        <f>SUBSTITUTE(us_core_reqs[[#This Row],[URL*]], "https://hl7.org/fhir/us/core/STU8/","")</f>
        <v>general-requirements.html#search-for-Servers-requiring-status</v>
      </c>
      <c r="F74" s="11" t="s">
        <v>919</v>
      </c>
      <c r="G74" t="s">
        <v>29</v>
      </c>
      <c r="I74" t="s">
        <v>30</v>
      </c>
      <c r="J74" t="s">
        <v>1171</v>
      </c>
      <c r="K74" t="s">
        <v>1171</v>
      </c>
      <c r="L74" t="s">
        <v>1173</v>
      </c>
      <c r="M74" t="s">
        <v>1171</v>
      </c>
      <c r="N74" t="s">
        <v>1171</v>
      </c>
      <c r="O74" t="s">
        <v>1171</v>
      </c>
      <c r="P74" t="s">
        <v>1171</v>
      </c>
      <c r="Q74" t="s">
        <v>1171</v>
      </c>
      <c r="R74" t="str">
        <f>_xlfn.TEXTBEFORE(_xlfn.TEXTAFTER(us_core_reqs[[#This Row],[URL*]],"/",-1),".")</f>
        <v>general-requirements</v>
      </c>
      <c r="S74" t="str">
        <f>_xlfn.TEXTAFTER(us_core_reqs[[#This Row],[URL*]],"#",-1)</f>
        <v>search-for-Servers-requiring-status</v>
      </c>
      <c r="T74" t="str">
        <f>SUBSTITUTE(SUBSTITUTE(PROPER(SUBSTITUTE(us_core_reqs[[#This Row],[Page]], "-", " "))&amp;": "&amp;PROPER(SUBSTITUTE(us_core_reqs[[#This Row],[Section]], "-", " ")),"Us ","US "), "Uscdi", "USCDI")</f>
        <v>General Requirements: Search For Servers Requiring Status</v>
      </c>
      <c r="U74" t="s">
        <v>29</v>
      </c>
      <c r="V74" t="s">
        <v>58</v>
      </c>
      <c r="W74" t="s">
        <v>1171</v>
      </c>
      <c r="X74" t="s">
        <v>1171</v>
      </c>
      <c r="Y74" t="s">
        <v>1171</v>
      </c>
      <c r="Z74" t="s">
        <v>1171</v>
      </c>
      <c r="AA74" t="s">
        <v>1171</v>
      </c>
      <c r="AB74" t="s">
        <v>1171</v>
      </c>
      <c r="AC74" t="s">
        <v>1141</v>
      </c>
      <c r="AD74" t="s">
        <v>1171</v>
      </c>
    </row>
    <row r="75" spans="1:30" ht="34" x14ac:dyDescent="0.2">
      <c r="A75" t="s">
        <v>1171</v>
      </c>
      <c r="B75" t="s">
        <v>1247</v>
      </c>
      <c r="C75" t="str">
        <f>"CONF-"&amp;TEXT(us_core_reqs[[#This Row],[ID*]], "0000")</f>
        <v>CONF-0074</v>
      </c>
      <c r="D75" s="11" t="s">
        <v>612</v>
      </c>
      <c r="E75" t="str">
        <f>SUBSTITUTE(us_core_reqs[[#This Row],[URL*]], "https://hl7.org/fhir/us/core/STU8/","")</f>
        <v>must-support.html#must-support-elements</v>
      </c>
      <c r="F75" s="11" t="s">
        <v>105</v>
      </c>
      <c r="G75" t="s">
        <v>29</v>
      </c>
      <c r="H75" t="s">
        <v>1849</v>
      </c>
      <c r="I75" t="s">
        <v>30</v>
      </c>
      <c r="J75" t="s">
        <v>1171</v>
      </c>
      <c r="K75" t="s">
        <v>1171</v>
      </c>
      <c r="L75" t="s">
        <v>1173</v>
      </c>
      <c r="M75" t="s">
        <v>1171</v>
      </c>
      <c r="N75" t="s">
        <v>1171</v>
      </c>
      <c r="O75" t="s">
        <v>1171</v>
      </c>
      <c r="P75" t="s">
        <v>1171</v>
      </c>
      <c r="Q75" t="s">
        <v>1171</v>
      </c>
      <c r="R75" t="str">
        <f>_xlfn.TEXTBEFORE(_xlfn.TEXTAFTER(us_core_reqs[[#This Row],[URL*]],"/",-1),".")</f>
        <v>must-support</v>
      </c>
      <c r="S75" t="str">
        <f>_xlfn.TEXTAFTER(us_core_reqs[[#This Row],[URL*]],"#",-1)</f>
        <v>must-support-elements</v>
      </c>
      <c r="T75" t="str">
        <f>SUBSTITUTE(SUBSTITUTE(PROPER(SUBSTITUTE(us_core_reqs[[#This Row],[Page]], "-", " "))&amp;": "&amp;PROPER(SUBSTITUTE(us_core_reqs[[#This Row],[Section]], "-", " ")),"Us ","US "), "Uscdi", "USCDI")</f>
        <v>Must Support: Must Support Elements</v>
      </c>
      <c r="U75" t="s">
        <v>1171</v>
      </c>
      <c r="V75" t="s">
        <v>1171</v>
      </c>
      <c r="W75" t="s">
        <v>1171</v>
      </c>
      <c r="X75" t="s">
        <v>1171</v>
      </c>
      <c r="Y75" t="s">
        <v>1171</v>
      </c>
      <c r="Z75" t="s">
        <v>1171</v>
      </c>
      <c r="AA75" t="s">
        <v>1171</v>
      </c>
      <c r="AB75" t="s">
        <v>1171</v>
      </c>
      <c r="AC75" t="s">
        <v>1140</v>
      </c>
      <c r="AD75" t="s">
        <v>1171</v>
      </c>
    </row>
    <row r="76" spans="1:30" ht="136" x14ac:dyDescent="0.2">
      <c r="A76" t="s">
        <v>1171</v>
      </c>
      <c r="B76" t="s">
        <v>1248</v>
      </c>
      <c r="C76" t="str">
        <f>"CONF-"&amp;TEXT(us_core_reqs[[#This Row],[ID*]], "0000")</f>
        <v>CONF-0075</v>
      </c>
      <c r="D76" s="11" t="s">
        <v>612</v>
      </c>
      <c r="E76" t="str">
        <f>SUBSTITUTE(us_core_reqs[[#This Row],[URL*]], "https://hl7.org/fhir/us/core/STU8/","")</f>
        <v>must-support.html#must-support-elements</v>
      </c>
      <c r="F76" s="11" t="s">
        <v>977</v>
      </c>
      <c r="G76" t="s">
        <v>29</v>
      </c>
      <c r="I76" t="s">
        <v>30</v>
      </c>
      <c r="J76" t="s">
        <v>1171</v>
      </c>
      <c r="K76" t="s">
        <v>1171</v>
      </c>
      <c r="L76" t="s">
        <v>1176</v>
      </c>
      <c r="M76" t="s">
        <v>1171</v>
      </c>
      <c r="N76" t="s">
        <v>1171</v>
      </c>
      <c r="O76" t="s">
        <v>1171</v>
      </c>
      <c r="P76" t="s">
        <v>1171</v>
      </c>
      <c r="Q76" t="s">
        <v>1171</v>
      </c>
      <c r="R76" t="str">
        <f>_xlfn.TEXTBEFORE(_xlfn.TEXTAFTER(us_core_reqs[[#This Row],[URL*]],"/",-1),".")</f>
        <v>must-support</v>
      </c>
      <c r="S76" t="str">
        <f>_xlfn.TEXTAFTER(us_core_reqs[[#This Row],[URL*]],"#",-1)</f>
        <v>must-support-elements</v>
      </c>
      <c r="T76" t="str">
        <f>SUBSTITUTE(SUBSTITUTE(PROPER(SUBSTITUTE(us_core_reqs[[#This Row],[Page]], "-", " "))&amp;": "&amp;PROPER(SUBSTITUTE(us_core_reqs[[#This Row],[Section]], "-", " ")),"Us ","US "), "Uscdi", "USCDI")</f>
        <v>Must Support: Must Support Elements</v>
      </c>
      <c r="U76" t="s">
        <v>29</v>
      </c>
      <c r="V76" t="s">
        <v>30</v>
      </c>
      <c r="W76" t="s">
        <v>106</v>
      </c>
      <c r="X76" t="s">
        <v>1171</v>
      </c>
      <c r="Y76" t="s">
        <v>1171</v>
      </c>
      <c r="Z76" t="s">
        <v>1171</v>
      </c>
      <c r="AA76" t="s">
        <v>1171</v>
      </c>
      <c r="AB76" t="s">
        <v>107</v>
      </c>
      <c r="AC76" t="s">
        <v>1140</v>
      </c>
      <c r="AD76" t="s">
        <v>1171</v>
      </c>
    </row>
    <row r="77" spans="1:30" ht="102" x14ac:dyDescent="0.2">
      <c r="A77" t="s">
        <v>1171</v>
      </c>
      <c r="B77" t="s">
        <v>1249</v>
      </c>
      <c r="C77" t="str">
        <f>"CONF-"&amp;TEXT(us_core_reqs[[#This Row],[ID*]], "0000")</f>
        <v>CONF-0076</v>
      </c>
      <c r="D77" s="11" t="s">
        <v>612</v>
      </c>
      <c r="E77" t="str">
        <f>SUBSTITUTE(us_core_reqs[[#This Row],[URL*]], "https://hl7.org/fhir/us/core/STU8/","")</f>
        <v>must-support.html#must-support-elements</v>
      </c>
      <c r="F77" s="11" t="s">
        <v>108</v>
      </c>
      <c r="G77" t="s">
        <v>29</v>
      </c>
      <c r="I77" t="s">
        <v>58</v>
      </c>
      <c r="J77" t="s">
        <v>1171</v>
      </c>
      <c r="K77" t="s">
        <v>1171</v>
      </c>
      <c r="L77" t="s">
        <v>1173</v>
      </c>
      <c r="M77" t="s">
        <v>1171</v>
      </c>
      <c r="N77" t="s">
        <v>1171</v>
      </c>
      <c r="O77" t="s">
        <v>1171</v>
      </c>
      <c r="P77" t="s">
        <v>1171</v>
      </c>
      <c r="Q77" t="s">
        <v>1171</v>
      </c>
      <c r="R77" t="str">
        <f>_xlfn.TEXTBEFORE(_xlfn.TEXTAFTER(us_core_reqs[[#This Row],[URL*]],"/",-1),".")</f>
        <v>must-support</v>
      </c>
      <c r="S77" t="str">
        <f>_xlfn.TEXTAFTER(us_core_reqs[[#This Row],[URL*]],"#",-1)</f>
        <v>must-support-elements</v>
      </c>
      <c r="T77" t="str">
        <f>SUBSTITUTE(SUBSTITUTE(PROPER(SUBSTITUTE(us_core_reqs[[#This Row],[Page]], "-", " "))&amp;": "&amp;PROPER(SUBSTITUTE(us_core_reqs[[#This Row],[Section]], "-", " ")),"Us ","US "), "Uscdi", "USCDI")</f>
        <v>Must Support: Must Support Elements</v>
      </c>
      <c r="U77" t="s">
        <v>29</v>
      </c>
      <c r="V77" t="s">
        <v>58</v>
      </c>
      <c r="W77" t="s">
        <v>106</v>
      </c>
      <c r="X77" t="s">
        <v>1171</v>
      </c>
      <c r="Y77" t="s">
        <v>1171</v>
      </c>
      <c r="Z77" t="s">
        <v>1171</v>
      </c>
      <c r="AA77" t="s">
        <v>1171</v>
      </c>
      <c r="AB77" t="s">
        <v>1171</v>
      </c>
      <c r="AC77" t="s">
        <v>1171</v>
      </c>
      <c r="AD77" t="s">
        <v>1171</v>
      </c>
    </row>
    <row r="78" spans="1:30" ht="85" x14ac:dyDescent="0.2">
      <c r="A78" t="s">
        <v>1171</v>
      </c>
      <c r="B78" t="s">
        <v>1250</v>
      </c>
      <c r="C78" t="str">
        <f>"CONF-"&amp;TEXT(us_core_reqs[[#This Row],[ID*]], "0000")</f>
        <v>CONF-0077</v>
      </c>
      <c r="D78" s="11" t="s">
        <v>612</v>
      </c>
      <c r="E78" t="str">
        <f>SUBSTITUTE(us_core_reqs[[#This Row],[URL*]], "https://hl7.org/fhir/us/core/STU8/","")</f>
        <v>must-support.html#must-support-elements</v>
      </c>
      <c r="F78" s="11" t="s">
        <v>109</v>
      </c>
      <c r="G78" t="s">
        <v>64</v>
      </c>
      <c r="I78" t="s">
        <v>58</v>
      </c>
      <c r="J78" t="s">
        <v>1171</v>
      </c>
      <c r="K78" t="s">
        <v>1171</v>
      </c>
      <c r="L78" t="s">
        <v>1173</v>
      </c>
      <c r="M78" t="s">
        <v>1171</v>
      </c>
      <c r="N78" t="s">
        <v>1171</v>
      </c>
      <c r="O78" t="s">
        <v>1171</v>
      </c>
      <c r="P78" t="s">
        <v>1171</v>
      </c>
      <c r="Q78" t="s">
        <v>1171</v>
      </c>
      <c r="R78" t="str">
        <f>_xlfn.TEXTBEFORE(_xlfn.TEXTAFTER(us_core_reqs[[#This Row],[URL*]],"/",-1),".")</f>
        <v>must-support</v>
      </c>
      <c r="S78" t="str">
        <f>_xlfn.TEXTAFTER(us_core_reqs[[#This Row],[URL*]],"#",-1)</f>
        <v>must-support-elements</v>
      </c>
      <c r="T78" t="str">
        <f>SUBSTITUTE(SUBSTITUTE(PROPER(SUBSTITUTE(us_core_reqs[[#This Row],[Page]], "-", " "))&amp;": "&amp;PROPER(SUBSTITUTE(us_core_reqs[[#This Row],[Section]], "-", " ")),"Us ","US "), "Uscdi", "USCDI")</f>
        <v>Must Support: Must Support Elements</v>
      </c>
      <c r="U78" t="s">
        <v>32</v>
      </c>
      <c r="V78" t="s">
        <v>58</v>
      </c>
      <c r="W78" t="s">
        <v>1171</v>
      </c>
      <c r="X78" t="s">
        <v>1171</v>
      </c>
      <c r="Y78" t="s">
        <v>1171</v>
      </c>
      <c r="Z78" t="s">
        <v>1171</v>
      </c>
      <c r="AA78" t="s">
        <v>1171</v>
      </c>
      <c r="AB78" t="s">
        <v>646</v>
      </c>
      <c r="AC78" t="s">
        <v>1171</v>
      </c>
      <c r="AD78" t="s">
        <v>1171</v>
      </c>
    </row>
    <row r="79" spans="1:30" ht="119" x14ac:dyDescent="0.2">
      <c r="A79" t="s">
        <v>1171</v>
      </c>
      <c r="B79" t="s">
        <v>1251</v>
      </c>
      <c r="C79" t="str">
        <f>"CONF-"&amp;TEXT(us_core_reqs[[#This Row],[ID*]], "0000")</f>
        <v>CONF-0078</v>
      </c>
      <c r="D79" s="11" t="s">
        <v>612</v>
      </c>
      <c r="E79" t="str">
        <f>SUBSTITUTE(us_core_reqs[[#This Row],[URL*]], "https://hl7.org/fhir/us/core/STU8/","")</f>
        <v>must-support.html#must-support-elements</v>
      </c>
      <c r="F79" s="11" t="s">
        <v>2231</v>
      </c>
      <c r="G79" t="s">
        <v>1833</v>
      </c>
      <c r="I79" t="s">
        <v>30</v>
      </c>
      <c r="J79" t="s">
        <v>1171</v>
      </c>
      <c r="K79" t="s">
        <v>1171</v>
      </c>
      <c r="L79" t="s">
        <v>1176</v>
      </c>
      <c r="M79" t="s">
        <v>111</v>
      </c>
      <c r="N79" t="s">
        <v>1171</v>
      </c>
      <c r="O79" t="s">
        <v>1171</v>
      </c>
      <c r="P79" t="s">
        <v>1171</v>
      </c>
      <c r="Q79" t="s">
        <v>1171</v>
      </c>
      <c r="R79" t="str">
        <f>_xlfn.TEXTBEFORE(_xlfn.TEXTAFTER(us_core_reqs[[#This Row],[URL*]],"/",-1),".")</f>
        <v>must-support</v>
      </c>
      <c r="S79" t="str">
        <f>_xlfn.TEXTAFTER(us_core_reqs[[#This Row],[URL*]],"#",-1)</f>
        <v>must-support-elements</v>
      </c>
      <c r="T79" t="str">
        <f>SUBSTITUTE(SUBSTITUTE(PROPER(SUBSTITUTE(us_core_reqs[[#This Row],[Page]], "-", " "))&amp;": "&amp;PROPER(SUBSTITUTE(us_core_reqs[[#This Row],[Section]], "-", " ")),"Us ","US "), "Uscdi", "USCDI")</f>
        <v>Must Support: Must Support Elements</v>
      </c>
      <c r="U79" t="s">
        <v>29</v>
      </c>
      <c r="V79" t="s">
        <v>30</v>
      </c>
      <c r="W79" t="s">
        <v>1171</v>
      </c>
      <c r="X79" t="s">
        <v>1171</v>
      </c>
      <c r="Y79" t="s">
        <v>1171</v>
      </c>
      <c r="Z79" t="s">
        <v>1171</v>
      </c>
      <c r="AA79" t="s">
        <v>1171</v>
      </c>
      <c r="AB79" t="s">
        <v>1171</v>
      </c>
      <c r="AC79" t="s">
        <v>1141</v>
      </c>
      <c r="AD79" t="s">
        <v>1171</v>
      </c>
    </row>
    <row r="80" spans="1:30" ht="102" x14ac:dyDescent="0.2">
      <c r="A80" t="s">
        <v>1171</v>
      </c>
      <c r="B80" t="s">
        <v>1252</v>
      </c>
      <c r="C80" t="str">
        <f>"CONF-"&amp;TEXT(us_core_reqs[[#This Row],[ID*]], "0000")</f>
        <v>CONF-0079</v>
      </c>
      <c r="D80" s="11" t="s">
        <v>612</v>
      </c>
      <c r="E80" t="str">
        <f>SUBSTITUTE(us_core_reqs[[#This Row],[URL*]], "https://hl7.org/fhir/us/core/STU8/","")</f>
        <v>must-support.html#must-support-elements</v>
      </c>
      <c r="F80" s="11" t="s">
        <v>112</v>
      </c>
      <c r="G80" t="s">
        <v>29</v>
      </c>
      <c r="I80" t="s">
        <v>58</v>
      </c>
      <c r="J80" t="s">
        <v>1171</v>
      </c>
      <c r="K80" t="s">
        <v>1171</v>
      </c>
      <c r="L80" t="s">
        <v>1173</v>
      </c>
      <c r="M80" t="s">
        <v>1171</v>
      </c>
      <c r="N80" t="s">
        <v>1171</v>
      </c>
      <c r="O80" t="s">
        <v>1171</v>
      </c>
      <c r="P80" t="s">
        <v>1171</v>
      </c>
      <c r="Q80" t="s">
        <v>1171</v>
      </c>
      <c r="R80" t="str">
        <f>_xlfn.TEXTBEFORE(_xlfn.TEXTAFTER(us_core_reqs[[#This Row],[URL*]],"/",-1),".")</f>
        <v>must-support</v>
      </c>
      <c r="S80" t="str">
        <f>_xlfn.TEXTAFTER(us_core_reqs[[#This Row],[URL*]],"#",-1)</f>
        <v>must-support-elements</v>
      </c>
      <c r="T80" t="str">
        <f>SUBSTITUTE(SUBSTITUTE(PROPER(SUBSTITUTE(us_core_reqs[[#This Row],[Page]], "-", " "))&amp;": "&amp;PROPER(SUBSTITUTE(us_core_reqs[[#This Row],[Section]], "-", " ")),"Us ","US "), "Uscdi", "USCDI")</f>
        <v>Must Support: Must Support Elements</v>
      </c>
      <c r="U80" t="s">
        <v>29</v>
      </c>
      <c r="V80" t="s">
        <v>30</v>
      </c>
      <c r="W80" t="s">
        <v>1171</v>
      </c>
      <c r="X80" t="s">
        <v>1171</v>
      </c>
      <c r="Y80" t="s">
        <v>1171</v>
      </c>
      <c r="Z80" t="s">
        <v>1171</v>
      </c>
      <c r="AA80" t="s">
        <v>1171</v>
      </c>
      <c r="AB80" t="s">
        <v>1171</v>
      </c>
      <c r="AC80" t="s">
        <v>1171</v>
      </c>
      <c r="AD80" t="s">
        <v>1171</v>
      </c>
    </row>
    <row r="81" spans="1:30" ht="119" x14ac:dyDescent="0.2">
      <c r="A81" t="s">
        <v>1171</v>
      </c>
      <c r="B81" t="s">
        <v>1253</v>
      </c>
      <c r="C81" t="str">
        <f>"CONF-"&amp;TEXT(us_core_reqs[[#This Row],[ID*]], "0000")</f>
        <v>CONF-0080</v>
      </c>
      <c r="D81" s="69" t="s">
        <v>1850</v>
      </c>
      <c r="E81" t="str">
        <f>SUBSTITUTE(us_core_reqs[[#This Row],[URL*]], "https://hl7.org/fhir/us/core/STU8/","")</f>
        <v>must-support.html#must-support-el+D647ements</v>
      </c>
      <c r="F81" s="11" t="s">
        <v>113</v>
      </c>
      <c r="G81" t="s">
        <v>32</v>
      </c>
      <c r="I81" t="s">
        <v>30</v>
      </c>
      <c r="J81" t="s">
        <v>1171</v>
      </c>
      <c r="K81" t="s">
        <v>1171</v>
      </c>
      <c r="L81" t="s">
        <v>1176</v>
      </c>
      <c r="M81" t="s">
        <v>114</v>
      </c>
      <c r="N81" t="s">
        <v>1171</v>
      </c>
      <c r="O81" t="s">
        <v>1171</v>
      </c>
      <c r="P81" t="s">
        <v>1171</v>
      </c>
      <c r="Q81" t="s">
        <v>1171</v>
      </c>
      <c r="R81" t="str">
        <f>_xlfn.TEXTBEFORE(_xlfn.TEXTAFTER(us_core_reqs[[#This Row],[URL*]],"/",-1),".")</f>
        <v>must-support</v>
      </c>
      <c r="S81" t="str">
        <f>_xlfn.TEXTAFTER(us_core_reqs[[#This Row],[URL*]],"#",-1)</f>
        <v>must-support-el+D647ements</v>
      </c>
      <c r="T81" t="str">
        <f>SUBSTITUTE(SUBSTITUTE(PROPER(SUBSTITUTE(us_core_reqs[[#This Row],[Page]], "-", " "))&amp;": "&amp;PROPER(SUBSTITUTE(us_core_reqs[[#This Row],[Section]], "-", " ")),"Us ","US "), "Uscdi", "USCDI")</f>
        <v>Must Support: Must Support El+D647Ements</v>
      </c>
      <c r="U81" t="s">
        <v>32</v>
      </c>
      <c r="V81" t="s">
        <v>30</v>
      </c>
      <c r="W81" t="s">
        <v>1171</v>
      </c>
      <c r="X81" t="s">
        <v>1171</v>
      </c>
      <c r="Y81" t="s">
        <v>1171</v>
      </c>
      <c r="Z81" t="s">
        <v>1171</v>
      </c>
      <c r="AA81" t="s">
        <v>1171</v>
      </c>
      <c r="AB81" t="s">
        <v>1171</v>
      </c>
      <c r="AC81" t="s">
        <v>1171</v>
      </c>
      <c r="AD81" t="s">
        <v>1171</v>
      </c>
    </row>
    <row r="82" spans="1:30" ht="85" x14ac:dyDescent="0.2">
      <c r="A82" t="s">
        <v>1171</v>
      </c>
      <c r="B82" t="s">
        <v>1254</v>
      </c>
      <c r="C82" t="str">
        <f>"CONF-"&amp;TEXT(us_core_reqs[[#This Row],[ID*]], "0000")</f>
        <v>CONF-0081</v>
      </c>
      <c r="D82" s="11" t="s">
        <v>612</v>
      </c>
      <c r="E82" t="str">
        <f>SUBSTITUTE(us_core_reqs[[#This Row],[URL*]], "https://hl7.org/fhir/us/core/STU8/","")</f>
        <v>must-support.html#must-support-elements</v>
      </c>
      <c r="F82" s="11" t="s">
        <v>824</v>
      </c>
      <c r="G82" t="s">
        <v>32</v>
      </c>
      <c r="I82" t="s">
        <v>30</v>
      </c>
      <c r="J82" t="s">
        <v>1171</v>
      </c>
      <c r="K82" t="s">
        <v>1102</v>
      </c>
      <c r="L82" t="s">
        <v>1176</v>
      </c>
      <c r="M82" t="s">
        <v>115</v>
      </c>
      <c r="N82" t="s">
        <v>1171</v>
      </c>
      <c r="O82" t="s">
        <v>1171</v>
      </c>
      <c r="P82" t="s">
        <v>1171</v>
      </c>
      <c r="Q82" t="s">
        <v>1171</v>
      </c>
      <c r="R82" t="str">
        <f>_xlfn.TEXTBEFORE(_xlfn.TEXTAFTER(us_core_reqs[[#This Row],[URL*]],"/",-1),".")</f>
        <v>must-support</v>
      </c>
      <c r="S82" t="str">
        <f>_xlfn.TEXTAFTER(us_core_reqs[[#This Row],[URL*]],"#",-1)</f>
        <v>must-support-elements</v>
      </c>
      <c r="T82" t="str">
        <f>SUBSTITUTE(SUBSTITUTE(PROPER(SUBSTITUTE(us_core_reqs[[#This Row],[Page]], "-", " "))&amp;": "&amp;PROPER(SUBSTITUTE(us_core_reqs[[#This Row],[Section]], "-", " ")),"Us ","US "), "Uscdi", "USCDI")</f>
        <v>Must Support: Must Support Elements</v>
      </c>
      <c r="U82" t="s">
        <v>1171</v>
      </c>
      <c r="V82" t="s">
        <v>1171</v>
      </c>
      <c r="W82" t="s">
        <v>1171</v>
      </c>
      <c r="X82" t="s">
        <v>1171</v>
      </c>
      <c r="Y82" t="s">
        <v>1171</v>
      </c>
      <c r="Z82" t="s">
        <v>1171</v>
      </c>
      <c r="AA82" t="s">
        <v>1171</v>
      </c>
      <c r="AB82" t="s">
        <v>1171</v>
      </c>
      <c r="AC82" t="s">
        <v>1171</v>
      </c>
      <c r="AD82" t="s">
        <v>1171</v>
      </c>
    </row>
    <row r="83" spans="1:30" ht="85" x14ac:dyDescent="0.2">
      <c r="A83" t="s">
        <v>1171</v>
      </c>
      <c r="B83" t="s">
        <v>1255</v>
      </c>
      <c r="C83" t="str">
        <f>"CONF-"&amp;TEXT(us_core_reqs[[#This Row],[ID*]], "0000")</f>
        <v>CONF-0082</v>
      </c>
      <c r="D83" s="11" t="s">
        <v>612</v>
      </c>
      <c r="E83" t="str">
        <f>SUBSTITUTE(us_core_reqs[[#This Row],[URL*]], "https://hl7.org/fhir/us/core/STU8/","")</f>
        <v>must-support.html#must-support-elements</v>
      </c>
      <c r="F83" s="11" t="s">
        <v>116</v>
      </c>
      <c r="G83" t="s">
        <v>29</v>
      </c>
      <c r="I83" t="s">
        <v>58</v>
      </c>
      <c r="J83" t="s">
        <v>1171</v>
      </c>
      <c r="K83" t="s">
        <v>1171</v>
      </c>
      <c r="L83" t="s">
        <v>1173</v>
      </c>
      <c r="M83" t="s">
        <v>1171</v>
      </c>
      <c r="N83" t="s">
        <v>1171</v>
      </c>
      <c r="O83" t="s">
        <v>1171</v>
      </c>
      <c r="P83" t="s">
        <v>1171</v>
      </c>
      <c r="Q83" t="s">
        <v>1171</v>
      </c>
      <c r="R83" t="str">
        <f>_xlfn.TEXTBEFORE(_xlfn.TEXTAFTER(us_core_reqs[[#This Row],[URL*]],"/",-1),".")</f>
        <v>must-support</v>
      </c>
      <c r="S83" t="str">
        <f>_xlfn.TEXTAFTER(us_core_reqs[[#This Row],[URL*]],"#",-1)</f>
        <v>must-support-elements</v>
      </c>
      <c r="T83" t="str">
        <f>SUBSTITUTE(SUBSTITUTE(PROPER(SUBSTITUTE(us_core_reqs[[#This Row],[Page]], "-", " "))&amp;": "&amp;PROPER(SUBSTITUTE(us_core_reqs[[#This Row],[Section]], "-", " ")),"Us ","US "), "Uscdi", "USCDI")</f>
        <v>Must Support: Must Support Elements</v>
      </c>
      <c r="U83" t="s">
        <v>29</v>
      </c>
      <c r="V83" t="s">
        <v>58</v>
      </c>
      <c r="W83" t="s">
        <v>1171</v>
      </c>
      <c r="X83" t="s">
        <v>1171</v>
      </c>
      <c r="Y83" t="s">
        <v>1171</v>
      </c>
      <c r="Z83" t="s">
        <v>1171</v>
      </c>
      <c r="AA83" t="s">
        <v>1171</v>
      </c>
      <c r="AB83" t="s">
        <v>1171</v>
      </c>
      <c r="AC83" t="s">
        <v>1171</v>
      </c>
      <c r="AD83" t="s">
        <v>1171</v>
      </c>
    </row>
    <row r="84" spans="1:30" ht="68" x14ac:dyDescent="0.2">
      <c r="A84" t="s">
        <v>1171</v>
      </c>
      <c r="B84" t="s">
        <v>1256</v>
      </c>
      <c r="C84" t="str">
        <f>"CONF-"&amp;TEXT(us_core_reqs[[#This Row],[ID*]], "0000")</f>
        <v>CONF-0083</v>
      </c>
      <c r="D84" s="11" t="s">
        <v>613</v>
      </c>
      <c r="E84" t="str">
        <f>SUBSTITUTE(us_core_reqs[[#This Row],[URL*]], "https://hl7.org/fhir/us/core/STU8/","")</f>
        <v>must-support.html#additional-uscdi-requirements</v>
      </c>
      <c r="F84" s="11" t="s">
        <v>648</v>
      </c>
      <c r="G84" t="s">
        <v>29</v>
      </c>
      <c r="I84" t="s">
        <v>58</v>
      </c>
      <c r="J84" t="b">
        <v>1</v>
      </c>
      <c r="K84" t="s">
        <v>1171</v>
      </c>
      <c r="L84" t="s">
        <v>1176</v>
      </c>
      <c r="M84" t="s">
        <v>117</v>
      </c>
      <c r="N84" t="s">
        <v>1171</v>
      </c>
      <c r="O84" t="s">
        <v>1171</v>
      </c>
      <c r="P84" t="s">
        <v>1171</v>
      </c>
      <c r="Q84" t="s">
        <v>1171</v>
      </c>
      <c r="R84" t="str">
        <f>_xlfn.TEXTBEFORE(_xlfn.TEXTAFTER(us_core_reqs[[#This Row],[URL*]],"/",-1),".")</f>
        <v>must-support</v>
      </c>
      <c r="S84" t="str">
        <f>_xlfn.TEXTAFTER(us_core_reqs[[#This Row],[URL*]],"#",-1)</f>
        <v>additional-uscdi-requirements</v>
      </c>
      <c r="T84" t="str">
        <f>SUBSTITUTE(SUBSTITUTE(PROPER(SUBSTITUTE(us_core_reqs[[#This Row],[Page]], "-", " "))&amp;": "&amp;PROPER(SUBSTITUTE(us_core_reqs[[#This Row],[Section]], "-", " ")),"Us ","US "), "Uscdi", "USCDI")</f>
        <v>Must Support: Additional USCDI Requirements</v>
      </c>
      <c r="U84" t="s">
        <v>29</v>
      </c>
      <c r="V84" t="s">
        <v>58</v>
      </c>
      <c r="W84" t="s">
        <v>118</v>
      </c>
      <c r="X84" t="s">
        <v>1171</v>
      </c>
      <c r="Y84" t="s">
        <v>1171</v>
      </c>
      <c r="Z84" t="s">
        <v>1171</v>
      </c>
      <c r="AA84" t="s">
        <v>1171</v>
      </c>
      <c r="AB84" t="s">
        <v>651</v>
      </c>
      <c r="AC84" t="s">
        <v>1171</v>
      </c>
      <c r="AD84" t="s">
        <v>1171</v>
      </c>
    </row>
    <row r="85" spans="1:30" ht="68" x14ac:dyDescent="0.2">
      <c r="A85" t="s">
        <v>1171</v>
      </c>
      <c r="B85" t="s">
        <v>1257</v>
      </c>
      <c r="C85" t="str">
        <f>"CONF-"&amp;TEXT(us_core_reqs[[#This Row],[ID*]], "0000")</f>
        <v>CONF-0084</v>
      </c>
      <c r="D85" s="11" t="s">
        <v>613</v>
      </c>
      <c r="E85" t="str">
        <f>SUBSTITUTE(us_core_reqs[[#This Row],[URL*]], "https://hl7.org/fhir/us/core/STU8/","")</f>
        <v>must-support.html#additional-uscdi-requirements</v>
      </c>
      <c r="F85" s="11" t="s">
        <v>649</v>
      </c>
      <c r="G85" t="s">
        <v>29</v>
      </c>
      <c r="I85" t="s">
        <v>30</v>
      </c>
      <c r="J85">
        <v>77</v>
      </c>
      <c r="K85" t="s">
        <v>1171</v>
      </c>
      <c r="L85" t="s">
        <v>1176</v>
      </c>
      <c r="M85" t="s">
        <v>119</v>
      </c>
      <c r="N85" t="s">
        <v>44</v>
      </c>
      <c r="O85" t="s">
        <v>1171</v>
      </c>
      <c r="P85" t="s">
        <v>45</v>
      </c>
      <c r="Q85" t="s">
        <v>120</v>
      </c>
      <c r="R85" t="str">
        <f>_xlfn.TEXTBEFORE(_xlfn.TEXTAFTER(us_core_reqs[[#This Row],[URL*]],"/",-1),".")</f>
        <v>must-support</v>
      </c>
      <c r="S85" t="str">
        <f>_xlfn.TEXTAFTER(us_core_reqs[[#This Row],[URL*]],"#",-1)</f>
        <v>additional-uscdi-requirements</v>
      </c>
      <c r="T85" t="str">
        <f>SUBSTITUTE(SUBSTITUTE(PROPER(SUBSTITUTE(us_core_reqs[[#This Row],[Page]], "-", " "))&amp;": "&amp;PROPER(SUBSTITUTE(us_core_reqs[[#This Row],[Section]], "-", " ")),"Us ","US "), "Uscdi", "USCDI")</f>
        <v>Must Support: Additional USCDI Requirements</v>
      </c>
      <c r="U85" t="s">
        <v>29</v>
      </c>
      <c r="V85" t="s">
        <v>30</v>
      </c>
      <c r="W85" t="s">
        <v>118</v>
      </c>
      <c r="X85" t="s">
        <v>1171</v>
      </c>
      <c r="Y85" t="s">
        <v>1171</v>
      </c>
      <c r="Z85" t="s">
        <v>1171</v>
      </c>
      <c r="AA85" t="s">
        <v>1171</v>
      </c>
      <c r="AB85" t="s">
        <v>650</v>
      </c>
      <c r="AC85" t="s">
        <v>1140</v>
      </c>
      <c r="AD85" t="s">
        <v>1171</v>
      </c>
    </row>
    <row r="86" spans="1:30" ht="51" x14ac:dyDescent="0.2">
      <c r="A86" t="s">
        <v>1171</v>
      </c>
      <c r="B86" t="s">
        <v>1258</v>
      </c>
      <c r="C86" t="str">
        <f>"CONF-"&amp;TEXT(us_core_reqs[[#This Row],[ID*]], "0000")</f>
        <v>CONF-0085</v>
      </c>
      <c r="D86" s="11" t="s">
        <v>613</v>
      </c>
      <c r="E86" t="str">
        <f>SUBSTITUTE(us_core_reqs[[#This Row],[URL*]], "https://hl7.org/fhir/us/core/STU8/","")</f>
        <v>must-support.html#additional-uscdi-requirements</v>
      </c>
      <c r="F86" s="11" t="s">
        <v>121</v>
      </c>
      <c r="G86" t="s">
        <v>29</v>
      </c>
      <c r="I86" t="s">
        <v>58</v>
      </c>
      <c r="J86" t="s">
        <v>1171</v>
      </c>
      <c r="K86" t="s">
        <v>1171</v>
      </c>
      <c r="L86" t="s">
        <v>1176</v>
      </c>
      <c r="M86" t="s">
        <v>122</v>
      </c>
      <c r="N86" t="s">
        <v>1171</v>
      </c>
      <c r="O86" t="s">
        <v>1171</v>
      </c>
      <c r="P86" t="s">
        <v>1171</v>
      </c>
      <c r="Q86" t="s">
        <v>1171</v>
      </c>
      <c r="R86" t="str">
        <f>_xlfn.TEXTBEFORE(_xlfn.TEXTAFTER(us_core_reqs[[#This Row],[URL*]],"/",-1),".")</f>
        <v>must-support</v>
      </c>
      <c r="S86" t="str">
        <f>_xlfn.TEXTAFTER(us_core_reqs[[#This Row],[URL*]],"#",-1)</f>
        <v>additional-uscdi-requirements</v>
      </c>
      <c r="T86" t="str">
        <f>SUBSTITUTE(SUBSTITUTE(PROPER(SUBSTITUTE(us_core_reqs[[#This Row],[Page]], "-", " "))&amp;": "&amp;PROPER(SUBSTITUTE(us_core_reqs[[#This Row],[Section]], "-", " ")),"Us ","US "), "Uscdi", "USCDI")</f>
        <v>Must Support: Additional USCDI Requirements</v>
      </c>
      <c r="U86" t="s">
        <v>29</v>
      </c>
      <c r="V86" t="s">
        <v>58</v>
      </c>
      <c r="W86" t="s">
        <v>1171</v>
      </c>
      <c r="X86" t="s">
        <v>1171</v>
      </c>
      <c r="Y86" t="s">
        <v>1171</v>
      </c>
      <c r="Z86" t="s">
        <v>1171</v>
      </c>
      <c r="AA86" t="s">
        <v>1171</v>
      </c>
      <c r="AB86" t="s">
        <v>1171</v>
      </c>
      <c r="AC86" t="s">
        <v>1171</v>
      </c>
      <c r="AD86" t="s">
        <v>1171</v>
      </c>
    </row>
    <row r="87" spans="1:30" ht="51" x14ac:dyDescent="0.2">
      <c r="A87" t="s">
        <v>1171</v>
      </c>
      <c r="B87" t="s">
        <v>1259</v>
      </c>
      <c r="C87" t="str">
        <f>"CONF-"&amp;TEXT(us_core_reqs[[#This Row],[ID*]], "0000")</f>
        <v>CONF-0086</v>
      </c>
      <c r="D87" s="11" t="s">
        <v>613</v>
      </c>
      <c r="E87" t="str">
        <f>SUBSTITUTE(us_core_reqs[[#This Row],[URL*]], "https://hl7.org/fhir/us/core/STU8/","")</f>
        <v>must-support.html#additional-uscdi-requirements</v>
      </c>
      <c r="F87" s="11" t="s">
        <v>123</v>
      </c>
      <c r="G87" t="s">
        <v>29</v>
      </c>
      <c r="I87" t="s">
        <v>30</v>
      </c>
      <c r="J87" t="s">
        <v>1171</v>
      </c>
      <c r="K87" t="s">
        <v>1171</v>
      </c>
      <c r="L87" t="s">
        <v>1176</v>
      </c>
      <c r="M87" t="s">
        <v>124</v>
      </c>
      <c r="N87" t="s">
        <v>1171</v>
      </c>
      <c r="O87" t="s">
        <v>1171</v>
      </c>
      <c r="P87" t="s">
        <v>1171</v>
      </c>
      <c r="Q87" t="s">
        <v>1171</v>
      </c>
      <c r="R87" t="str">
        <f>_xlfn.TEXTBEFORE(_xlfn.TEXTAFTER(us_core_reqs[[#This Row],[URL*]],"/",-1),".")</f>
        <v>must-support</v>
      </c>
      <c r="S87" t="str">
        <f>_xlfn.TEXTAFTER(us_core_reqs[[#This Row],[URL*]],"#",-1)</f>
        <v>additional-uscdi-requirements</v>
      </c>
      <c r="T87" t="str">
        <f>SUBSTITUTE(SUBSTITUTE(PROPER(SUBSTITUTE(us_core_reqs[[#This Row],[Page]], "-", " "))&amp;": "&amp;PROPER(SUBSTITUTE(us_core_reqs[[#This Row],[Section]], "-", " ")),"Us ","US "), "Uscdi", "USCDI")</f>
        <v>Must Support: Additional USCDI Requirements</v>
      </c>
      <c r="U87" t="s">
        <v>29</v>
      </c>
      <c r="V87" t="s">
        <v>30</v>
      </c>
      <c r="W87" t="s">
        <v>1171</v>
      </c>
      <c r="X87" t="s">
        <v>1171</v>
      </c>
      <c r="Y87" t="s">
        <v>1171</v>
      </c>
      <c r="Z87" t="s">
        <v>1171</v>
      </c>
      <c r="AA87" t="s">
        <v>1171</v>
      </c>
      <c r="AB87" t="s">
        <v>1171</v>
      </c>
      <c r="AC87" t="s">
        <v>1141</v>
      </c>
      <c r="AD87" t="s">
        <v>1171</v>
      </c>
    </row>
    <row r="88" spans="1:30" ht="102" x14ac:dyDescent="0.2">
      <c r="A88" t="s">
        <v>1171</v>
      </c>
      <c r="B88" t="s">
        <v>1260</v>
      </c>
      <c r="C88" t="str">
        <f>"CONF-"&amp;TEXT(us_core_reqs[[#This Row],[ID*]], "0000")</f>
        <v>CONF-0087</v>
      </c>
      <c r="D88" s="11" t="s">
        <v>614</v>
      </c>
      <c r="E88" t="str">
        <f>SUBSTITUTE(us_core_reqs[[#This Row],[URL*]], "https://hl7.org/fhir/us/core/STU8/","")</f>
        <v>must-support.html#defined-pattern-elements</v>
      </c>
      <c r="F88" s="11" t="s">
        <v>978</v>
      </c>
      <c r="G88" t="s">
        <v>29</v>
      </c>
      <c r="I88" t="s">
        <v>30</v>
      </c>
      <c r="J88" t="s">
        <v>1171</v>
      </c>
      <c r="K88" t="s">
        <v>1171</v>
      </c>
      <c r="L88" t="s">
        <v>1173</v>
      </c>
      <c r="M88" t="s">
        <v>1171</v>
      </c>
      <c r="N88" t="s">
        <v>1171</v>
      </c>
      <c r="O88" t="s">
        <v>1171</v>
      </c>
      <c r="P88" t="s">
        <v>1171</v>
      </c>
      <c r="Q88" t="s">
        <v>1171</v>
      </c>
      <c r="R88" t="str">
        <f>_xlfn.TEXTBEFORE(_xlfn.TEXTAFTER(us_core_reqs[[#This Row],[URL*]],"/",-1),".")</f>
        <v>must-support</v>
      </c>
      <c r="S88" t="str">
        <f>_xlfn.TEXTAFTER(us_core_reqs[[#This Row],[URL*]],"#",-1)</f>
        <v>defined-pattern-elements</v>
      </c>
      <c r="T88" t="str">
        <f>SUBSTITUTE(SUBSTITUTE(PROPER(SUBSTITUTE(us_core_reqs[[#This Row],[Page]], "-", " "))&amp;": "&amp;PROPER(SUBSTITUTE(us_core_reqs[[#This Row],[Section]], "-", " ")),"Us ","US "), "Uscdi", "USCDI")</f>
        <v>Must Support: Defined Pattern Elements</v>
      </c>
      <c r="U88" t="s">
        <v>29</v>
      </c>
      <c r="V88" t="s">
        <v>30</v>
      </c>
      <c r="W88" t="s">
        <v>125</v>
      </c>
      <c r="X88" t="s">
        <v>1171</v>
      </c>
      <c r="Y88" t="s">
        <v>1171</v>
      </c>
      <c r="Z88" t="s">
        <v>1171</v>
      </c>
      <c r="AA88" t="s">
        <v>1171</v>
      </c>
      <c r="AB88" t="s">
        <v>1171</v>
      </c>
      <c r="AC88" t="s">
        <v>1140</v>
      </c>
      <c r="AD88" t="s">
        <v>1171</v>
      </c>
    </row>
    <row r="89" spans="1:30" ht="119" x14ac:dyDescent="0.2">
      <c r="A89" t="s">
        <v>1171</v>
      </c>
      <c r="B89" t="s">
        <v>1261</v>
      </c>
      <c r="C89" t="str">
        <f>"CONF-"&amp;TEXT(us_core_reqs[[#This Row],[ID*]], "0000")</f>
        <v>CONF-0088</v>
      </c>
      <c r="D89" s="11" t="s">
        <v>614</v>
      </c>
      <c r="E89" t="str">
        <f>SUBSTITUTE(us_core_reqs[[#This Row],[URL*]], "https://hl7.org/fhir/us/core/STU8/","")</f>
        <v>must-support.html#defined-pattern-elements</v>
      </c>
      <c r="F89" s="11" t="s">
        <v>126</v>
      </c>
      <c r="G89" t="s">
        <v>64</v>
      </c>
      <c r="I89" t="s">
        <v>30</v>
      </c>
      <c r="J89" t="s">
        <v>1171</v>
      </c>
      <c r="K89" t="s">
        <v>1171</v>
      </c>
      <c r="L89" t="s">
        <v>1176</v>
      </c>
      <c r="M89" t="s">
        <v>127</v>
      </c>
      <c r="N89" t="s">
        <v>1171</v>
      </c>
      <c r="O89" t="s">
        <v>1171</v>
      </c>
      <c r="P89" t="s">
        <v>1171</v>
      </c>
      <c r="Q89" t="s">
        <v>1171</v>
      </c>
      <c r="R89" t="str">
        <f>_xlfn.TEXTBEFORE(_xlfn.TEXTAFTER(us_core_reqs[[#This Row],[URL*]],"/",-1),".")</f>
        <v>must-support</v>
      </c>
      <c r="S89" t="str">
        <f>_xlfn.TEXTAFTER(us_core_reqs[[#This Row],[URL*]],"#",-1)</f>
        <v>defined-pattern-elements</v>
      </c>
      <c r="T89" t="str">
        <f>SUBSTITUTE(SUBSTITUTE(PROPER(SUBSTITUTE(us_core_reqs[[#This Row],[Page]], "-", " "))&amp;": "&amp;PROPER(SUBSTITUTE(us_core_reqs[[#This Row],[Section]], "-", " ")),"Us ","US "), "Uscdi", "USCDI")</f>
        <v>Must Support: Defined Pattern Elements</v>
      </c>
      <c r="U89" t="s">
        <v>29</v>
      </c>
      <c r="V89" t="s">
        <v>30</v>
      </c>
      <c r="W89" t="s">
        <v>1171</v>
      </c>
      <c r="X89" t="s">
        <v>1171</v>
      </c>
      <c r="Y89" t="s">
        <v>1171</v>
      </c>
      <c r="Z89" t="s">
        <v>1171</v>
      </c>
      <c r="AA89" t="s">
        <v>1171</v>
      </c>
      <c r="AB89" t="s">
        <v>652</v>
      </c>
      <c r="AC89" t="s">
        <v>1140</v>
      </c>
      <c r="AD89" t="s">
        <v>1171</v>
      </c>
    </row>
    <row r="90" spans="1:30" ht="119" x14ac:dyDescent="0.2">
      <c r="A90" t="s">
        <v>1171</v>
      </c>
      <c r="B90" t="s">
        <v>1262</v>
      </c>
      <c r="C90" t="str">
        <f>"CONF-"&amp;TEXT(us_core_reqs[[#This Row],[ID*]], "0000")</f>
        <v>CONF-0089</v>
      </c>
      <c r="D90" s="11" t="s">
        <v>614</v>
      </c>
      <c r="E90" t="str">
        <f>SUBSTITUTE(us_core_reqs[[#This Row],[URL*]], "https://hl7.org/fhir/us/core/STU8/","")</f>
        <v>must-support.html#defined-pattern-elements</v>
      </c>
      <c r="F90" s="11" t="s">
        <v>128</v>
      </c>
      <c r="G90" t="s">
        <v>64</v>
      </c>
      <c r="I90" t="s">
        <v>58</v>
      </c>
      <c r="J90" t="s">
        <v>1171</v>
      </c>
      <c r="K90" t="s">
        <v>1171</v>
      </c>
      <c r="L90" t="s">
        <v>1176</v>
      </c>
      <c r="M90" t="s">
        <v>127</v>
      </c>
      <c r="N90" t="s">
        <v>1171</v>
      </c>
      <c r="O90" t="s">
        <v>1171</v>
      </c>
      <c r="P90" t="s">
        <v>1171</v>
      </c>
      <c r="Q90" t="s">
        <v>1171</v>
      </c>
      <c r="R90" t="str">
        <f>_xlfn.TEXTBEFORE(_xlfn.TEXTAFTER(us_core_reqs[[#This Row],[URL*]],"/",-1),".")</f>
        <v>must-support</v>
      </c>
      <c r="S90" t="str">
        <f>_xlfn.TEXTAFTER(us_core_reqs[[#This Row],[URL*]],"#",-1)</f>
        <v>defined-pattern-elements</v>
      </c>
      <c r="T90" t="str">
        <f>SUBSTITUTE(SUBSTITUTE(PROPER(SUBSTITUTE(us_core_reqs[[#This Row],[Page]], "-", " "))&amp;": "&amp;PROPER(SUBSTITUTE(us_core_reqs[[#This Row],[Section]], "-", " ")),"Us ","US "), "Uscdi", "USCDI")</f>
        <v>Must Support: Defined Pattern Elements</v>
      </c>
      <c r="U90" t="s">
        <v>29</v>
      </c>
      <c r="V90" t="s">
        <v>58</v>
      </c>
      <c r="W90" t="s">
        <v>1171</v>
      </c>
      <c r="X90" t="s">
        <v>1171</v>
      </c>
      <c r="Y90" t="s">
        <v>1171</v>
      </c>
      <c r="Z90" t="s">
        <v>1171</v>
      </c>
      <c r="AA90" t="s">
        <v>1171</v>
      </c>
      <c r="AB90" t="s">
        <v>652</v>
      </c>
      <c r="AC90" t="s">
        <v>1171</v>
      </c>
      <c r="AD90" t="s">
        <v>1171</v>
      </c>
    </row>
    <row r="91" spans="1:30" ht="51" x14ac:dyDescent="0.2">
      <c r="A91" t="s">
        <v>1171</v>
      </c>
      <c r="B91" t="s">
        <v>1263</v>
      </c>
      <c r="C91" t="str">
        <f>"CONF-"&amp;TEXT(us_core_reqs[[#This Row],[ID*]], "0000")</f>
        <v>CONF-0090</v>
      </c>
      <c r="D91" s="11" t="s">
        <v>1851</v>
      </c>
      <c r="E91" t="str">
        <f>SUBSTITUTE(us_core_reqs[[#This Row],[URL*]], "https://hl7.org/fhir/us/core/STU8/","")</f>
        <v>must-support.html#must-support---primitive-elements</v>
      </c>
      <c r="F91" s="11" t="s">
        <v>979</v>
      </c>
      <c r="G91" t="s">
        <v>29</v>
      </c>
      <c r="I91" t="s">
        <v>30</v>
      </c>
      <c r="J91" t="s">
        <v>1171</v>
      </c>
      <c r="K91" t="s">
        <v>1171</v>
      </c>
      <c r="L91" t="s">
        <v>1173</v>
      </c>
      <c r="M91" t="s">
        <v>1171</v>
      </c>
      <c r="N91" t="s">
        <v>1171</v>
      </c>
      <c r="O91" t="s">
        <v>1171</v>
      </c>
      <c r="P91" t="s">
        <v>1171</v>
      </c>
      <c r="Q91" t="s">
        <v>1171</v>
      </c>
      <c r="R91" t="str">
        <f>_xlfn.TEXTBEFORE(_xlfn.TEXTAFTER(us_core_reqs[[#This Row],[URL*]],"/",-1),".")</f>
        <v>must-support</v>
      </c>
      <c r="S91" t="str">
        <f>_xlfn.TEXTAFTER(us_core_reqs[[#This Row],[URL*]],"#",-1)</f>
        <v>must-support---primitive-elements</v>
      </c>
      <c r="T91" t="str">
        <f>SUBSTITUTE(SUBSTITUTE(PROPER(SUBSTITUTE(us_core_reqs[[#This Row],[Page]], "-", " "))&amp;": "&amp;PROPER(SUBSTITUTE(us_core_reqs[[#This Row],[Section]], "-", " ")),"Us ","US "), "Uscdi", "USCDI")</f>
        <v>Must Support: Must Support   Primitive Elements</v>
      </c>
      <c r="U91" t="s">
        <v>29</v>
      </c>
      <c r="V91" t="s">
        <v>30</v>
      </c>
      <c r="W91" t="s">
        <v>129</v>
      </c>
      <c r="X91" t="s">
        <v>1171</v>
      </c>
      <c r="Y91" t="s">
        <v>1171</v>
      </c>
      <c r="Z91" t="s">
        <v>1171</v>
      </c>
      <c r="AA91" t="s">
        <v>1171</v>
      </c>
      <c r="AB91" t="s">
        <v>1171</v>
      </c>
      <c r="AC91" t="s">
        <v>1140</v>
      </c>
      <c r="AD91" t="s">
        <v>1171</v>
      </c>
    </row>
    <row r="92" spans="1:30" ht="51" x14ac:dyDescent="0.2">
      <c r="A92" t="s">
        <v>1171</v>
      </c>
      <c r="B92" t="s">
        <v>1264</v>
      </c>
      <c r="C92" t="str">
        <f>"CONF-"&amp;TEXT(us_core_reqs[[#This Row],[ID*]], "0000")</f>
        <v>CONF-0091</v>
      </c>
      <c r="D92" s="11" t="s">
        <v>1851</v>
      </c>
      <c r="E92" t="str">
        <f>SUBSTITUTE(us_core_reqs[[#This Row],[URL*]], "https://hl7.org/fhir/us/core/STU8/","")</f>
        <v>must-support.html#must-support---primitive-elements</v>
      </c>
      <c r="F92" s="11" t="s">
        <v>2044</v>
      </c>
      <c r="G92" t="s">
        <v>29</v>
      </c>
      <c r="I92" t="s">
        <v>30</v>
      </c>
      <c r="J92" t="s">
        <v>1171</v>
      </c>
      <c r="K92" t="s">
        <v>1171</v>
      </c>
      <c r="L92" t="s">
        <v>1173</v>
      </c>
      <c r="M92" t="s">
        <v>1171</v>
      </c>
      <c r="N92" t="s">
        <v>1171</v>
      </c>
      <c r="O92" t="s">
        <v>1171</v>
      </c>
      <c r="P92" t="s">
        <v>1171</v>
      </c>
      <c r="Q92" t="s">
        <v>1171</v>
      </c>
      <c r="R92" t="str">
        <f>_xlfn.TEXTBEFORE(_xlfn.TEXTAFTER(us_core_reqs[[#This Row],[URL*]],"/",-1),".")</f>
        <v>must-support</v>
      </c>
      <c r="S92" t="str">
        <f>_xlfn.TEXTAFTER(us_core_reqs[[#This Row],[URL*]],"#",-1)</f>
        <v>must-support---primitive-elements</v>
      </c>
      <c r="T92" t="str">
        <f>SUBSTITUTE(SUBSTITUTE(PROPER(SUBSTITUTE(us_core_reqs[[#This Row],[Page]], "-", " "))&amp;": "&amp;PROPER(SUBSTITUTE(us_core_reqs[[#This Row],[Section]], "-", " ")),"Us ","US "), "Uscdi", "USCDI")</f>
        <v>Must Support: Must Support   Primitive Elements</v>
      </c>
      <c r="U92" t="s">
        <v>29</v>
      </c>
      <c r="V92" t="s">
        <v>30</v>
      </c>
      <c r="W92" t="s">
        <v>1171</v>
      </c>
      <c r="X92" t="s">
        <v>1171</v>
      </c>
      <c r="Y92" t="s">
        <v>1171</v>
      </c>
      <c r="Z92" t="s">
        <v>1171</v>
      </c>
      <c r="AA92" t="s">
        <v>1171</v>
      </c>
      <c r="AB92" t="s">
        <v>1171</v>
      </c>
      <c r="AC92" t="s">
        <v>1140</v>
      </c>
      <c r="AD92" t="s">
        <v>1171</v>
      </c>
    </row>
    <row r="93" spans="1:30" ht="51" x14ac:dyDescent="0.2">
      <c r="A93" t="s">
        <v>1171</v>
      </c>
      <c r="B93" t="s">
        <v>1265</v>
      </c>
      <c r="C93" t="str">
        <f>"CONF-"&amp;TEXT(us_core_reqs[[#This Row],[ID*]], "0000")</f>
        <v>CONF-0092</v>
      </c>
      <c r="D93" s="11" t="s">
        <v>1851</v>
      </c>
      <c r="E93" t="str">
        <f>SUBSTITUTE(us_core_reqs[[#This Row],[URL*]], "https://hl7.org/fhir/us/core/STU8/","")</f>
        <v>must-support.html#must-support---primitive-elements</v>
      </c>
      <c r="F93" s="11" t="s">
        <v>2045</v>
      </c>
      <c r="G93" t="s">
        <v>29</v>
      </c>
      <c r="I93" t="s">
        <v>58</v>
      </c>
      <c r="J93" t="s">
        <v>1171</v>
      </c>
      <c r="K93" t="s">
        <v>1171</v>
      </c>
      <c r="L93" t="s">
        <v>1173</v>
      </c>
      <c r="M93" t="s">
        <v>1171</v>
      </c>
      <c r="N93" t="s">
        <v>1171</v>
      </c>
      <c r="O93" t="s">
        <v>1171</v>
      </c>
      <c r="P93" t="s">
        <v>1171</v>
      </c>
      <c r="Q93" t="s">
        <v>1171</v>
      </c>
      <c r="R93" t="str">
        <f>_xlfn.TEXTBEFORE(_xlfn.TEXTAFTER(us_core_reqs[[#This Row],[URL*]],"/",-1),".")</f>
        <v>must-support</v>
      </c>
      <c r="S93" t="str">
        <f>_xlfn.TEXTAFTER(us_core_reqs[[#This Row],[URL*]],"#",-1)</f>
        <v>must-support---primitive-elements</v>
      </c>
      <c r="T93" t="str">
        <f>SUBSTITUTE(SUBSTITUTE(PROPER(SUBSTITUTE(us_core_reqs[[#This Row],[Page]], "-", " "))&amp;": "&amp;PROPER(SUBSTITUTE(us_core_reqs[[#This Row],[Section]], "-", " ")),"Us ","US "), "Uscdi", "USCDI")</f>
        <v>Must Support: Must Support   Primitive Elements</v>
      </c>
      <c r="U93" t="s">
        <v>29</v>
      </c>
      <c r="V93" t="s">
        <v>58</v>
      </c>
      <c r="W93" t="s">
        <v>1171</v>
      </c>
      <c r="X93" t="s">
        <v>1171</v>
      </c>
      <c r="Y93" t="s">
        <v>1171</v>
      </c>
      <c r="Z93" t="s">
        <v>1171</v>
      </c>
      <c r="AA93" t="s">
        <v>1171</v>
      </c>
      <c r="AB93" t="s">
        <v>1171</v>
      </c>
      <c r="AC93" t="s">
        <v>1171</v>
      </c>
      <c r="AD93" t="s">
        <v>1171</v>
      </c>
    </row>
    <row r="94" spans="1:30" ht="51" x14ac:dyDescent="0.2">
      <c r="A94" t="s">
        <v>1171</v>
      </c>
      <c r="B94" t="s">
        <v>1266</v>
      </c>
      <c r="C94" t="str">
        <f>"CONF-"&amp;TEXT(us_core_reqs[[#This Row],[ID*]], "0000")</f>
        <v>CONF-0093</v>
      </c>
      <c r="D94" s="11" t="s">
        <v>616</v>
      </c>
      <c r="E94" t="str">
        <f>SUBSTITUTE(us_core_reqs[[#This Row],[URL*]], "https://hl7.org/fhir/us/core/STU8/","")</f>
        <v>must-support.html#must-support---complex-elements</v>
      </c>
      <c r="F94" s="11" t="s">
        <v>980</v>
      </c>
      <c r="G94" t="s">
        <v>29</v>
      </c>
      <c r="I94" t="s">
        <v>30</v>
      </c>
      <c r="J94" t="s">
        <v>1171</v>
      </c>
      <c r="K94" t="s">
        <v>1171</v>
      </c>
      <c r="L94" t="s">
        <v>1173</v>
      </c>
      <c r="M94" t="s">
        <v>1171</v>
      </c>
      <c r="N94" t="s">
        <v>1171</v>
      </c>
      <c r="O94" t="s">
        <v>1171</v>
      </c>
      <c r="P94" t="s">
        <v>1171</v>
      </c>
      <c r="Q94" t="s">
        <v>1171</v>
      </c>
      <c r="R94" t="str">
        <f>_xlfn.TEXTBEFORE(_xlfn.TEXTAFTER(us_core_reqs[[#This Row],[URL*]],"/",-1),".")</f>
        <v>must-support</v>
      </c>
      <c r="S94" t="str">
        <f>_xlfn.TEXTAFTER(us_core_reqs[[#This Row],[URL*]],"#",-1)</f>
        <v>must-support---complex-elements</v>
      </c>
      <c r="T94" t="str">
        <f>SUBSTITUTE(SUBSTITUTE(PROPER(SUBSTITUTE(us_core_reqs[[#This Row],[Page]], "-", " "))&amp;": "&amp;PROPER(SUBSTITUTE(us_core_reqs[[#This Row],[Section]], "-", " ")),"Us ","US "), "Uscdi", "USCDI")</f>
        <v>Must Support: Must Support   Complex Elements</v>
      </c>
      <c r="U94" t="s">
        <v>29</v>
      </c>
      <c r="V94" t="s">
        <v>30</v>
      </c>
      <c r="W94" t="s">
        <v>132</v>
      </c>
      <c r="X94" t="s">
        <v>1171</v>
      </c>
      <c r="Y94" t="s">
        <v>1171</v>
      </c>
      <c r="Z94" t="s">
        <v>1171</v>
      </c>
      <c r="AA94" t="s">
        <v>1171</v>
      </c>
      <c r="AB94" t="s">
        <v>1171</v>
      </c>
      <c r="AC94" t="s">
        <v>1140</v>
      </c>
      <c r="AD94" t="s">
        <v>1171</v>
      </c>
    </row>
    <row r="95" spans="1:30" ht="51" x14ac:dyDescent="0.2">
      <c r="A95" t="s">
        <v>1171</v>
      </c>
      <c r="B95" t="s">
        <v>1267</v>
      </c>
      <c r="C95" t="str">
        <f>"CONF-"&amp;TEXT(us_core_reqs[[#This Row],[ID*]], "0000")</f>
        <v>CONF-0094</v>
      </c>
      <c r="D95" s="11" t="s">
        <v>616</v>
      </c>
      <c r="E95" t="str">
        <f>SUBSTITUTE(us_core_reqs[[#This Row],[URL*]], "https://hl7.org/fhir/us/core/STU8/","")</f>
        <v>must-support.html#must-support---complex-elements</v>
      </c>
      <c r="F95" s="11" t="s">
        <v>133</v>
      </c>
      <c r="G95" t="s">
        <v>29</v>
      </c>
      <c r="H95" t="s">
        <v>1845</v>
      </c>
      <c r="I95" t="s">
        <v>30</v>
      </c>
      <c r="J95" t="s">
        <v>1171</v>
      </c>
      <c r="K95" t="s">
        <v>1171</v>
      </c>
      <c r="L95" t="s">
        <v>1173</v>
      </c>
      <c r="M95" t="s">
        <v>1171</v>
      </c>
      <c r="N95" t="s">
        <v>1171</v>
      </c>
      <c r="O95" t="s">
        <v>1171</v>
      </c>
      <c r="P95" t="s">
        <v>1171</v>
      </c>
      <c r="Q95" t="s">
        <v>1171</v>
      </c>
      <c r="R95" t="str">
        <f>_xlfn.TEXTBEFORE(_xlfn.TEXTAFTER(us_core_reqs[[#This Row],[URL*]],"/",-1),".")</f>
        <v>must-support</v>
      </c>
      <c r="S95" t="str">
        <f>_xlfn.TEXTAFTER(us_core_reqs[[#This Row],[URL*]],"#",-1)</f>
        <v>must-support---complex-elements</v>
      </c>
      <c r="T95" t="str">
        <f>SUBSTITUTE(SUBSTITUTE(PROPER(SUBSTITUTE(us_core_reqs[[#This Row],[Page]], "-", " "))&amp;": "&amp;PROPER(SUBSTITUTE(us_core_reqs[[#This Row],[Section]], "-", " ")),"Us ","US "), "Uscdi", "USCDI")</f>
        <v>Must Support: Must Support   Complex Elements</v>
      </c>
      <c r="U95" t="s">
        <v>1171</v>
      </c>
      <c r="V95" t="s">
        <v>1171</v>
      </c>
      <c r="W95" t="s">
        <v>132</v>
      </c>
      <c r="X95" t="s">
        <v>1171</v>
      </c>
      <c r="Y95" t="s">
        <v>1171</v>
      </c>
      <c r="Z95" t="s">
        <v>1171</v>
      </c>
      <c r="AA95" t="s">
        <v>1171</v>
      </c>
      <c r="AB95" t="s">
        <v>1171</v>
      </c>
      <c r="AC95" t="s">
        <v>1140</v>
      </c>
      <c r="AD95" t="s">
        <v>1171</v>
      </c>
    </row>
    <row r="96" spans="1:30" ht="51" x14ac:dyDescent="0.2">
      <c r="A96" t="s">
        <v>1171</v>
      </c>
      <c r="B96" t="s">
        <v>1268</v>
      </c>
      <c r="C96" t="str">
        <f>"CONF-"&amp;TEXT(us_core_reqs[[#This Row],[ID*]], "0000")</f>
        <v>CONF-0095</v>
      </c>
      <c r="D96" s="11" t="s">
        <v>616</v>
      </c>
      <c r="E96" t="str">
        <f>SUBSTITUTE(us_core_reqs[[#This Row],[URL*]], "https://hl7.org/fhir/us/core/STU8/","")</f>
        <v>must-support.html#must-support---complex-elements</v>
      </c>
      <c r="F96" s="11" t="s">
        <v>657</v>
      </c>
      <c r="G96" t="s">
        <v>35</v>
      </c>
      <c r="I96" t="s">
        <v>30</v>
      </c>
      <c r="J96" t="s">
        <v>1171</v>
      </c>
      <c r="K96" t="s">
        <v>1171</v>
      </c>
      <c r="L96" t="s">
        <v>1173</v>
      </c>
      <c r="M96" t="s">
        <v>1171</v>
      </c>
      <c r="N96" t="s">
        <v>1171</v>
      </c>
      <c r="O96" t="s">
        <v>1171</v>
      </c>
      <c r="P96" t="s">
        <v>1171</v>
      </c>
      <c r="Q96" t="s">
        <v>1171</v>
      </c>
      <c r="R96" t="str">
        <f>_xlfn.TEXTBEFORE(_xlfn.TEXTAFTER(us_core_reqs[[#This Row],[URL*]],"/",-1),".")</f>
        <v>must-support</v>
      </c>
      <c r="S96" t="str">
        <f>_xlfn.TEXTAFTER(us_core_reqs[[#This Row],[URL*]],"#",-1)</f>
        <v>must-support---complex-elements</v>
      </c>
      <c r="T96" t="str">
        <f>SUBSTITUTE(SUBSTITUTE(PROPER(SUBSTITUTE(us_core_reqs[[#This Row],[Page]], "-", " "))&amp;": "&amp;PROPER(SUBSTITUTE(us_core_reqs[[#This Row],[Section]], "-", " ")),"Us ","US "), "Uscdi", "USCDI")</f>
        <v>Must Support: Must Support   Complex Elements</v>
      </c>
      <c r="U96" t="s">
        <v>1171</v>
      </c>
      <c r="V96" t="s">
        <v>1171</v>
      </c>
      <c r="W96" t="s">
        <v>1171</v>
      </c>
      <c r="X96" t="s">
        <v>1171</v>
      </c>
      <c r="Y96" t="s">
        <v>1171</v>
      </c>
      <c r="Z96" t="s">
        <v>1171</v>
      </c>
      <c r="AA96" t="s">
        <v>1171</v>
      </c>
      <c r="AB96" t="s">
        <v>659</v>
      </c>
      <c r="AC96" t="s">
        <v>1171</v>
      </c>
      <c r="AD96" t="s">
        <v>1171</v>
      </c>
    </row>
    <row r="97" spans="1:30" ht="68" x14ac:dyDescent="0.2">
      <c r="A97" t="s">
        <v>1171</v>
      </c>
      <c r="B97" t="s">
        <v>1269</v>
      </c>
      <c r="C97" t="str">
        <f>"CONF-"&amp;TEXT(us_core_reqs[[#This Row],[ID*]], "0000")</f>
        <v>CONF-0096</v>
      </c>
      <c r="D97" s="11" t="s">
        <v>616</v>
      </c>
      <c r="E97" t="str">
        <f>SUBSTITUTE(us_core_reqs[[#This Row],[URL*]], "https://hl7.org/fhir/us/core/STU8/","")</f>
        <v>must-support.html#must-support---complex-elements</v>
      </c>
      <c r="F97" s="11" t="s">
        <v>2078</v>
      </c>
      <c r="G97" t="s">
        <v>29</v>
      </c>
      <c r="H97" s="70" t="s">
        <v>1853</v>
      </c>
      <c r="I97" t="s">
        <v>30</v>
      </c>
      <c r="J97" t="s">
        <v>1171</v>
      </c>
      <c r="K97" t="s">
        <v>1171</v>
      </c>
      <c r="L97" t="s">
        <v>1173</v>
      </c>
      <c r="M97" t="s">
        <v>1171</v>
      </c>
      <c r="N97" t="s">
        <v>1171</v>
      </c>
      <c r="O97" t="s">
        <v>1171</v>
      </c>
      <c r="P97" t="s">
        <v>1171</v>
      </c>
      <c r="Q97" t="s">
        <v>1171</v>
      </c>
      <c r="R97" t="str">
        <f>_xlfn.TEXTBEFORE(_xlfn.TEXTAFTER(us_core_reqs[[#This Row],[URL*]],"/",-1),".")</f>
        <v>must-support</v>
      </c>
      <c r="S97" t="str">
        <f>_xlfn.TEXTAFTER(us_core_reqs[[#This Row],[URL*]],"#",-1)</f>
        <v>must-support---complex-elements</v>
      </c>
      <c r="T97" t="str">
        <f>SUBSTITUTE(SUBSTITUTE(PROPER(SUBSTITUTE(us_core_reqs[[#This Row],[Page]], "-", " "))&amp;": "&amp;PROPER(SUBSTITUTE(us_core_reqs[[#This Row],[Section]], "-", " ")),"Us ","US "), "Uscdi", "USCDI")</f>
        <v>Must Support: Must Support   Complex Elements</v>
      </c>
      <c r="U97" t="s">
        <v>29</v>
      </c>
      <c r="V97" t="s">
        <v>30</v>
      </c>
      <c r="W97" t="s">
        <v>1171</v>
      </c>
      <c r="X97" t="s">
        <v>1171</v>
      </c>
      <c r="Y97" t="s">
        <v>1171</v>
      </c>
      <c r="Z97" t="s">
        <v>1171</v>
      </c>
      <c r="AA97" t="s">
        <v>1171</v>
      </c>
      <c r="AB97" t="s">
        <v>661</v>
      </c>
      <c r="AC97" t="s">
        <v>1140</v>
      </c>
      <c r="AD97" t="s">
        <v>1171</v>
      </c>
    </row>
    <row r="98" spans="1:30" ht="51" x14ac:dyDescent="0.2">
      <c r="A98" t="s">
        <v>1171</v>
      </c>
      <c r="B98" t="s">
        <v>1270</v>
      </c>
      <c r="C98" t="str">
        <f>"CONF-"&amp;TEXT(us_core_reqs[[#This Row],[ID*]], "0000")</f>
        <v>CONF-0097</v>
      </c>
      <c r="D98" s="11" t="s">
        <v>616</v>
      </c>
      <c r="E98" t="str">
        <f>SUBSTITUTE(us_core_reqs[[#This Row],[URL*]], "https://hl7.org/fhir/us/core/STU8/","")</f>
        <v>must-support.html#must-support---complex-elements</v>
      </c>
      <c r="F98" s="11" t="s">
        <v>2046</v>
      </c>
      <c r="G98" t="s">
        <v>29</v>
      </c>
      <c r="I98" t="s">
        <v>30</v>
      </c>
      <c r="J98" t="s">
        <v>1171</v>
      </c>
      <c r="K98" t="s">
        <v>1171</v>
      </c>
      <c r="L98" t="s">
        <v>1173</v>
      </c>
      <c r="M98" t="s">
        <v>1171</v>
      </c>
      <c r="N98" t="s">
        <v>1171</v>
      </c>
      <c r="O98" t="s">
        <v>1171</v>
      </c>
      <c r="P98" t="s">
        <v>1171</v>
      </c>
      <c r="Q98" t="s">
        <v>1171</v>
      </c>
      <c r="R98" t="str">
        <f>_xlfn.TEXTBEFORE(_xlfn.TEXTAFTER(us_core_reqs[[#This Row],[URL*]],"/",-1),".")</f>
        <v>must-support</v>
      </c>
      <c r="S98" t="str">
        <f>_xlfn.TEXTAFTER(us_core_reqs[[#This Row],[URL*]],"#",-1)</f>
        <v>must-support---complex-elements</v>
      </c>
      <c r="T98" t="str">
        <f>SUBSTITUTE(SUBSTITUTE(PROPER(SUBSTITUTE(us_core_reqs[[#This Row],[Page]], "-", " "))&amp;": "&amp;PROPER(SUBSTITUTE(us_core_reqs[[#This Row],[Section]], "-", " ")),"Us ","US "), "Uscdi", "USCDI")</f>
        <v>Must Support: Must Support   Complex Elements</v>
      </c>
      <c r="U98" t="s">
        <v>29</v>
      </c>
      <c r="V98" t="s">
        <v>30</v>
      </c>
      <c r="W98" t="s">
        <v>1171</v>
      </c>
      <c r="X98" t="s">
        <v>1171</v>
      </c>
      <c r="Y98" t="s">
        <v>1171</v>
      </c>
      <c r="Z98" t="s">
        <v>1171</v>
      </c>
      <c r="AA98" t="s">
        <v>1171</v>
      </c>
      <c r="AB98" t="s">
        <v>1171</v>
      </c>
      <c r="AC98" t="s">
        <v>1140</v>
      </c>
      <c r="AD98" t="s">
        <v>1171</v>
      </c>
    </row>
    <row r="99" spans="1:30" ht="51" x14ac:dyDescent="0.2">
      <c r="A99" t="s">
        <v>1171</v>
      </c>
      <c r="B99" t="s">
        <v>1271</v>
      </c>
      <c r="C99" t="str">
        <f>"CONF-"&amp;TEXT(us_core_reqs[[#This Row],[ID*]], "0000")</f>
        <v>CONF-0098</v>
      </c>
      <c r="D99" s="11" t="s">
        <v>616</v>
      </c>
      <c r="E99" t="str">
        <f>SUBSTITUTE(us_core_reqs[[#This Row],[URL*]], "https://hl7.org/fhir/us/core/STU8/","")</f>
        <v>must-support.html#must-support---complex-elements</v>
      </c>
      <c r="F99" s="11" t="s">
        <v>2047</v>
      </c>
      <c r="G99" t="s">
        <v>29</v>
      </c>
      <c r="I99" t="s">
        <v>58</v>
      </c>
      <c r="J99" t="s">
        <v>1171</v>
      </c>
      <c r="K99" t="s">
        <v>1171</v>
      </c>
      <c r="L99" t="s">
        <v>1173</v>
      </c>
      <c r="M99" t="s">
        <v>1171</v>
      </c>
      <c r="N99" t="s">
        <v>1171</v>
      </c>
      <c r="O99" t="s">
        <v>1171</v>
      </c>
      <c r="P99" t="s">
        <v>1171</v>
      </c>
      <c r="Q99" t="s">
        <v>1171</v>
      </c>
      <c r="R99" t="str">
        <f>_xlfn.TEXTBEFORE(_xlfn.TEXTAFTER(us_core_reqs[[#This Row],[URL*]],"/",-1),".")</f>
        <v>must-support</v>
      </c>
      <c r="S99" t="str">
        <f>_xlfn.TEXTAFTER(us_core_reqs[[#This Row],[URL*]],"#",-1)</f>
        <v>must-support---complex-elements</v>
      </c>
      <c r="T99" t="str">
        <f>SUBSTITUTE(SUBSTITUTE(PROPER(SUBSTITUTE(us_core_reqs[[#This Row],[Page]], "-", " "))&amp;": "&amp;PROPER(SUBSTITUTE(us_core_reqs[[#This Row],[Section]], "-", " ")),"Us ","US "), "Uscdi", "USCDI")</f>
        <v>Must Support: Must Support   Complex Elements</v>
      </c>
      <c r="U99" t="s">
        <v>29</v>
      </c>
      <c r="V99" t="s">
        <v>58</v>
      </c>
      <c r="W99" t="s">
        <v>1171</v>
      </c>
      <c r="X99" t="s">
        <v>1171</v>
      </c>
      <c r="Y99" t="s">
        <v>1171</v>
      </c>
      <c r="Z99" t="s">
        <v>1171</v>
      </c>
      <c r="AA99" t="s">
        <v>1171</v>
      </c>
      <c r="AB99" t="s">
        <v>1171</v>
      </c>
      <c r="AC99" t="s">
        <v>1171</v>
      </c>
      <c r="AD99" t="s">
        <v>1171</v>
      </c>
    </row>
    <row r="100" spans="1:30" ht="68" x14ac:dyDescent="0.2">
      <c r="A100" t="s">
        <v>1171</v>
      </c>
      <c r="B100" t="s">
        <v>1272</v>
      </c>
      <c r="C100" t="str">
        <f>"CONF-"&amp;TEXT(us_core_reqs[[#This Row],[ID*]], "0000")</f>
        <v>CONF-0099</v>
      </c>
      <c r="D100" s="11" t="s">
        <v>616</v>
      </c>
      <c r="E100" t="str">
        <f>SUBSTITUTE(us_core_reqs[[#This Row],[URL*]], "https://hl7.org/fhir/us/core/STU8/","")</f>
        <v>must-support.html#must-support---complex-elements</v>
      </c>
      <c r="F100" s="11" t="s">
        <v>2048</v>
      </c>
      <c r="G100" t="s">
        <v>29</v>
      </c>
      <c r="I100" t="s">
        <v>30</v>
      </c>
      <c r="J100" t="s">
        <v>1171</v>
      </c>
      <c r="K100" t="s">
        <v>1171</v>
      </c>
      <c r="L100" t="s">
        <v>1173</v>
      </c>
      <c r="M100" t="s">
        <v>1171</v>
      </c>
      <c r="N100" t="s">
        <v>1171</v>
      </c>
      <c r="O100" t="s">
        <v>1171</v>
      </c>
      <c r="P100" t="s">
        <v>1171</v>
      </c>
      <c r="Q100" t="s">
        <v>1171</v>
      </c>
      <c r="R100" t="str">
        <f>_xlfn.TEXTBEFORE(_xlfn.TEXTAFTER(us_core_reqs[[#This Row],[URL*]],"/",-1),".")</f>
        <v>must-support</v>
      </c>
      <c r="S100" t="str">
        <f>_xlfn.TEXTAFTER(us_core_reqs[[#This Row],[URL*]],"#",-1)</f>
        <v>must-support---complex-elements</v>
      </c>
      <c r="T100" t="str">
        <f>SUBSTITUTE(SUBSTITUTE(PROPER(SUBSTITUTE(us_core_reqs[[#This Row],[Page]], "-", " "))&amp;": "&amp;PROPER(SUBSTITUTE(us_core_reqs[[#This Row],[Section]], "-", " ")),"Us ","US "), "Uscdi", "USCDI")</f>
        <v>Must Support: Must Support   Complex Elements</v>
      </c>
      <c r="U100" t="s">
        <v>29</v>
      </c>
      <c r="V100" t="s">
        <v>30</v>
      </c>
      <c r="W100" t="s">
        <v>1171</v>
      </c>
      <c r="X100" t="s">
        <v>1171</v>
      </c>
      <c r="Y100" t="s">
        <v>1171</v>
      </c>
      <c r="Z100" t="s">
        <v>1171</v>
      </c>
      <c r="AA100" t="s">
        <v>1171</v>
      </c>
      <c r="AB100" t="s">
        <v>1171</v>
      </c>
      <c r="AC100" t="s">
        <v>1140</v>
      </c>
      <c r="AD100" t="s">
        <v>1171</v>
      </c>
    </row>
    <row r="101" spans="1:30" ht="68" x14ac:dyDescent="0.2">
      <c r="A101" t="s">
        <v>1171</v>
      </c>
      <c r="B101" t="s">
        <v>1273</v>
      </c>
      <c r="C101" t="str">
        <f>"CONF-"&amp;TEXT(us_core_reqs[[#This Row],[ID*]], "0000")</f>
        <v>CONF-0100</v>
      </c>
      <c r="D101" s="11" t="s">
        <v>616</v>
      </c>
      <c r="E101" t="str">
        <f>SUBSTITUTE(us_core_reqs[[#This Row],[URL*]], "https://hl7.org/fhir/us/core/STU8/","")</f>
        <v>must-support.html#must-support---complex-elements</v>
      </c>
      <c r="F101" s="11" t="s">
        <v>2049</v>
      </c>
      <c r="G101" t="s">
        <v>29</v>
      </c>
      <c r="I101" t="s">
        <v>58</v>
      </c>
      <c r="J101" t="s">
        <v>1171</v>
      </c>
      <c r="K101" t="s">
        <v>1171</v>
      </c>
      <c r="L101" t="s">
        <v>1173</v>
      </c>
      <c r="M101" t="s">
        <v>1171</v>
      </c>
      <c r="N101" t="s">
        <v>1171</v>
      </c>
      <c r="O101" t="s">
        <v>1171</v>
      </c>
      <c r="P101" t="s">
        <v>1171</v>
      </c>
      <c r="Q101" t="s">
        <v>1171</v>
      </c>
      <c r="R101" t="str">
        <f>_xlfn.TEXTBEFORE(_xlfn.TEXTAFTER(us_core_reqs[[#This Row],[URL*]],"/",-1),".")</f>
        <v>must-support</v>
      </c>
      <c r="S101" t="str">
        <f>_xlfn.TEXTAFTER(us_core_reqs[[#This Row],[URL*]],"#",-1)</f>
        <v>must-support---complex-elements</v>
      </c>
      <c r="T101" t="str">
        <f>SUBSTITUTE(SUBSTITUTE(PROPER(SUBSTITUTE(us_core_reqs[[#This Row],[Page]], "-", " "))&amp;": "&amp;PROPER(SUBSTITUTE(us_core_reqs[[#This Row],[Section]], "-", " ")),"Us ","US "), "Uscdi", "USCDI")</f>
        <v>Must Support: Must Support   Complex Elements</v>
      </c>
      <c r="U101" t="s">
        <v>29</v>
      </c>
      <c r="V101" t="s">
        <v>58</v>
      </c>
      <c r="W101" t="s">
        <v>1171</v>
      </c>
      <c r="X101" t="s">
        <v>1171</v>
      </c>
      <c r="Y101" t="s">
        <v>1171</v>
      </c>
      <c r="Z101" t="s">
        <v>1171</v>
      </c>
      <c r="AA101" t="s">
        <v>1171</v>
      </c>
      <c r="AB101" t="s">
        <v>1171</v>
      </c>
      <c r="AC101" t="s">
        <v>1171</v>
      </c>
      <c r="AD101" t="s">
        <v>1171</v>
      </c>
    </row>
    <row r="102" spans="1:30" ht="51" x14ac:dyDescent="0.2">
      <c r="A102" t="s">
        <v>1171</v>
      </c>
      <c r="B102" t="s">
        <v>1274</v>
      </c>
      <c r="C102" t="str">
        <f>"CONF-"&amp;TEXT(us_core_reqs[[#This Row],[ID*]], "0000")</f>
        <v>CONF-0101</v>
      </c>
      <c r="D102" s="11" t="s">
        <v>616</v>
      </c>
      <c r="E102" t="str">
        <f>SUBSTITUTE(us_core_reqs[[#This Row],[URL*]], "https://hl7.org/fhir/us/core/STU8/","")</f>
        <v>must-support.html#must-support---complex-elements</v>
      </c>
      <c r="F102" s="11" t="s">
        <v>138</v>
      </c>
      <c r="G102" t="s">
        <v>35</v>
      </c>
      <c r="I102" t="s">
        <v>30</v>
      </c>
      <c r="J102" t="s">
        <v>1171</v>
      </c>
      <c r="K102" t="s">
        <v>1171</v>
      </c>
      <c r="L102" t="s">
        <v>1173</v>
      </c>
      <c r="M102" t="s">
        <v>1171</v>
      </c>
      <c r="N102" t="s">
        <v>1171</v>
      </c>
      <c r="O102" t="s">
        <v>1171</v>
      </c>
      <c r="P102" t="s">
        <v>1171</v>
      </c>
      <c r="Q102" t="s">
        <v>1171</v>
      </c>
      <c r="R102" t="str">
        <f>_xlfn.TEXTBEFORE(_xlfn.TEXTAFTER(us_core_reqs[[#This Row],[URL*]],"/",-1),".")</f>
        <v>must-support</v>
      </c>
      <c r="S102" t="str">
        <f>_xlfn.TEXTAFTER(us_core_reqs[[#This Row],[URL*]],"#",-1)</f>
        <v>must-support---complex-elements</v>
      </c>
      <c r="T102" t="str">
        <f>SUBSTITUTE(SUBSTITUTE(PROPER(SUBSTITUTE(us_core_reqs[[#This Row],[Page]], "-", " "))&amp;": "&amp;PROPER(SUBSTITUTE(us_core_reqs[[#This Row],[Section]], "-", " ")),"Us ","US "), "Uscdi", "USCDI")</f>
        <v>Must Support: Must Support   Complex Elements</v>
      </c>
      <c r="U102" t="s">
        <v>1171</v>
      </c>
      <c r="V102" t="s">
        <v>30</v>
      </c>
      <c r="W102" t="s">
        <v>1171</v>
      </c>
      <c r="X102" t="s">
        <v>1171</v>
      </c>
      <c r="Y102" t="s">
        <v>1171</v>
      </c>
      <c r="Z102" t="s">
        <v>1171</v>
      </c>
      <c r="AA102" t="s">
        <v>1171</v>
      </c>
      <c r="AB102" t="s">
        <v>1171</v>
      </c>
      <c r="AC102" t="s">
        <v>1171</v>
      </c>
      <c r="AD102" t="s">
        <v>1171</v>
      </c>
    </row>
    <row r="103" spans="1:30" ht="51" x14ac:dyDescent="0.2">
      <c r="A103" t="s">
        <v>1171</v>
      </c>
      <c r="B103" t="s">
        <v>1275</v>
      </c>
      <c r="C103" t="str">
        <f>"CONF-"&amp;TEXT(us_core_reqs[[#This Row],[ID*]], "0000")</f>
        <v>CONF-0102</v>
      </c>
      <c r="D103" s="11" t="s">
        <v>616</v>
      </c>
      <c r="E103" t="str">
        <f>SUBSTITUTE(us_core_reqs[[#This Row],[URL*]], "https://hl7.org/fhir/us/core/STU8/","")</f>
        <v>must-support.html#must-support---complex-elements</v>
      </c>
      <c r="F103" s="11" t="s">
        <v>139</v>
      </c>
      <c r="G103" t="s">
        <v>35</v>
      </c>
      <c r="I103" t="s">
        <v>58</v>
      </c>
      <c r="J103" t="s">
        <v>1171</v>
      </c>
      <c r="K103" t="s">
        <v>1171</v>
      </c>
      <c r="L103" t="s">
        <v>1173</v>
      </c>
      <c r="M103" t="s">
        <v>1171</v>
      </c>
      <c r="N103" t="s">
        <v>1171</v>
      </c>
      <c r="O103" t="s">
        <v>1171</v>
      </c>
      <c r="P103" t="s">
        <v>1171</v>
      </c>
      <c r="Q103" t="s">
        <v>1171</v>
      </c>
      <c r="R103" t="str">
        <f>_xlfn.TEXTBEFORE(_xlfn.TEXTAFTER(us_core_reqs[[#This Row],[URL*]],"/",-1),".")</f>
        <v>must-support</v>
      </c>
      <c r="S103" t="str">
        <f>_xlfn.TEXTAFTER(us_core_reqs[[#This Row],[URL*]],"#",-1)</f>
        <v>must-support---complex-elements</v>
      </c>
      <c r="T103" t="str">
        <f>SUBSTITUTE(SUBSTITUTE(PROPER(SUBSTITUTE(us_core_reqs[[#This Row],[Page]], "-", " "))&amp;": "&amp;PROPER(SUBSTITUTE(us_core_reqs[[#This Row],[Section]], "-", " ")),"Us ","US "), "Uscdi", "USCDI")</f>
        <v>Must Support: Must Support   Complex Elements</v>
      </c>
      <c r="U103" t="s">
        <v>1171</v>
      </c>
      <c r="V103" t="s">
        <v>58</v>
      </c>
      <c r="W103" t="s">
        <v>1171</v>
      </c>
      <c r="X103" t="s">
        <v>1171</v>
      </c>
      <c r="Y103" t="s">
        <v>1171</v>
      </c>
      <c r="Z103" t="s">
        <v>1171</v>
      </c>
      <c r="AA103" t="s">
        <v>1171</v>
      </c>
      <c r="AB103" t="s">
        <v>1171</v>
      </c>
      <c r="AC103" t="s">
        <v>1171</v>
      </c>
      <c r="AD103" t="s">
        <v>1171</v>
      </c>
    </row>
    <row r="104" spans="1:30" ht="68" x14ac:dyDescent="0.2">
      <c r="A104" t="s">
        <v>1171</v>
      </c>
      <c r="B104" t="s">
        <v>1276</v>
      </c>
      <c r="C104" t="str">
        <f>"CONF-"&amp;TEXT(us_core_reqs[[#This Row],[ID*]], "0000")</f>
        <v>CONF-0103</v>
      </c>
      <c r="D104" s="11" t="s">
        <v>616</v>
      </c>
      <c r="E104" t="str">
        <f>SUBSTITUTE(us_core_reqs[[#This Row],[URL*]], "https://hl7.org/fhir/us/core/STU8/","")</f>
        <v>must-support.html#must-support---complex-elements</v>
      </c>
      <c r="F104" s="11" t="s">
        <v>140</v>
      </c>
      <c r="G104" t="s">
        <v>35</v>
      </c>
      <c r="H104" t="s">
        <v>1856</v>
      </c>
      <c r="I104" t="s">
        <v>30</v>
      </c>
      <c r="J104" t="s">
        <v>1171</v>
      </c>
      <c r="K104" t="s">
        <v>1171</v>
      </c>
      <c r="L104" t="s">
        <v>1173</v>
      </c>
      <c r="M104" t="s">
        <v>1171</v>
      </c>
      <c r="N104" t="s">
        <v>1171</v>
      </c>
      <c r="O104" t="s">
        <v>1171</v>
      </c>
      <c r="P104" t="s">
        <v>1171</v>
      </c>
      <c r="Q104" t="s">
        <v>1171</v>
      </c>
      <c r="R104" t="str">
        <f>_xlfn.TEXTBEFORE(_xlfn.TEXTAFTER(us_core_reqs[[#This Row],[URL*]],"/",-1),".")</f>
        <v>must-support</v>
      </c>
      <c r="S104" t="str">
        <f>_xlfn.TEXTAFTER(us_core_reqs[[#This Row],[URL*]],"#",-1)</f>
        <v>must-support---complex-elements</v>
      </c>
      <c r="T104" t="str">
        <f>SUBSTITUTE(SUBSTITUTE(PROPER(SUBSTITUTE(us_core_reqs[[#This Row],[Page]], "-", " "))&amp;": "&amp;PROPER(SUBSTITUTE(us_core_reqs[[#This Row],[Section]], "-", " ")),"Us ","US "), "Uscdi", "USCDI")</f>
        <v>Must Support: Must Support   Complex Elements</v>
      </c>
      <c r="U104" t="s">
        <v>35</v>
      </c>
      <c r="V104" t="s">
        <v>30</v>
      </c>
      <c r="W104" t="s">
        <v>1171</v>
      </c>
      <c r="X104" t="s">
        <v>1171</v>
      </c>
      <c r="Y104" t="s">
        <v>1171</v>
      </c>
      <c r="Z104" t="s">
        <v>1171</v>
      </c>
      <c r="AA104" t="s">
        <v>1171</v>
      </c>
      <c r="AB104" t="s">
        <v>1171</v>
      </c>
      <c r="AC104" t="s">
        <v>1171</v>
      </c>
      <c r="AD104" t="s">
        <v>1171</v>
      </c>
    </row>
    <row r="105" spans="1:30" ht="68" x14ac:dyDescent="0.2">
      <c r="A105" t="s">
        <v>1171</v>
      </c>
      <c r="B105" t="s">
        <v>1277</v>
      </c>
      <c r="C105" t="str">
        <f>"CONF-"&amp;TEXT(us_core_reqs[[#This Row],[ID*]], "0000")</f>
        <v>CONF-0104</v>
      </c>
      <c r="D105" s="11" t="s">
        <v>616</v>
      </c>
      <c r="E105" t="str">
        <f>SUBSTITUTE(us_core_reqs[[#This Row],[URL*]], "https://hl7.org/fhir/us/core/STU8/","")</f>
        <v>must-support.html#must-support---complex-elements</v>
      </c>
      <c r="F105" s="11" t="s">
        <v>141</v>
      </c>
      <c r="G105" t="s">
        <v>35</v>
      </c>
      <c r="I105" t="s">
        <v>58</v>
      </c>
      <c r="J105" t="s">
        <v>1171</v>
      </c>
      <c r="K105" t="s">
        <v>1171</v>
      </c>
      <c r="L105" t="s">
        <v>1173</v>
      </c>
      <c r="M105" t="s">
        <v>1171</v>
      </c>
      <c r="N105" t="s">
        <v>1171</v>
      </c>
      <c r="O105" t="s">
        <v>1171</v>
      </c>
      <c r="P105" t="s">
        <v>1171</v>
      </c>
      <c r="Q105" t="s">
        <v>1171</v>
      </c>
      <c r="R105" t="str">
        <f>_xlfn.TEXTBEFORE(_xlfn.TEXTAFTER(us_core_reqs[[#This Row],[URL*]],"/",-1),".")</f>
        <v>must-support</v>
      </c>
      <c r="S105" t="str">
        <f>_xlfn.TEXTAFTER(us_core_reqs[[#This Row],[URL*]],"#",-1)</f>
        <v>must-support---complex-elements</v>
      </c>
      <c r="T105" t="str">
        <f>SUBSTITUTE(SUBSTITUTE(PROPER(SUBSTITUTE(us_core_reqs[[#This Row],[Page]], "-", " "))&amp;": "&amp;PROPER(SUBSTITUTE(us_core_reqs[[#This Row],[Section]], "-", " ")),"Us ","US "), "Uscdi", "USCDI")</f>
        <v>Must Support: Must Support   Complex Elements</v>
      </c>
      <c r="U105" t="s">
        <v>35</v>
      </c>
      <c r="V105" t="s">
        <v>58</v>
      </c>
      <c r="W105" t="s">
        <v>1171</v>
      </c>
      <c r="X105" t="s">
        <v>1171</v>
      </c>
      <c r="Y105" t="s">
        <v>1171</v>
      </c>
      <c r="Z105" t="s">
        <v>1171</v>
      </c>
      <c r="AA105" t="s">
        <v>1171</v>
      </c>
      <c r="AB105" t="s">
        <v>1171</v>
      </c>
      <c r="AC105" t="s">
        <v>1171</v>
      </c>
      <c r="AD105" t="s">
        <v>1171</v>
      </c>
    </row>
    <row r="106" spans="1:30" ht="119" x14ac:dyDescent="0.2">
      <c r="A106" t="s">
        <v>1171</v>
      </c>
      <c r="B106" t="s">
        <v>1278</v>
      </c>
      <c r="C106" t="str">
        <f>"CONF-"&amp;TEXT(us_core_reqs[[#This Row],[ID*]], "0000")</f>
        <v>CONF-0105</v>
      </c>
      <c r="D106" s="11" t="s">
        <v>617</v>
      </c>
      <c r="E106" t="str">
        <f>SUBSTITUTE(us_core_reqs[[#This Row],[URL*]], "https://hl7.org/fhir/us/core/STU8/","")</f>
        <v>must-support.html#must-support---resource-references</v>
      </c>
      <c r="F106" s="11" t="s">
        <v>142</v>
      </c>
      <c r="G106" t="s">
        <v>29</v>
      </c>
      <c r="H106" t="s">
        <v>1862</v>
      </c>
      <c r="I106" t="s">
        <v>30</v>
      </c>
      <c r="J106" t="s">
        <v>1171</v>
      </c>
      <c r="K106" t="s">
        <v>1171</v>
      </c>
      <c r="L106" t="s">
        <v>1173</v>
      </c>
      <c r="M106" t="s">
        <v>1171</v>
      </c>
      <c r="N106" t="s">
        <v>1171</v>
      </c>
      <c r="O106" t="s">
        <v>1171</v>
      </c>
      <c r="P106" t="s">
        <v>1171</v>
      </c>
      <c r="Q106" t="s">
        <v>1171</v>
      </c>
      <c r="R106" t="str">
        <f>_xlfn.TEXTBEFORE(_xlfn.TEXTAFTER(us_core_reqs[[#This Row],[URL*]],"/",-1),".")</f>
        <v>must-support</v>
      </c>
      <c r="S106" t="str">
        <f>_xlfn.TEXTAFTER(us_core_reqs[[#This Row],[URL*]],"#",-1)</f>
        <v>must-support---resource-references</v>
      </c>
      <c r="T106" t="str">
        <f>SUBSTITUTE(SUBSTITUTE(PROPER(SUBSTITUTE(us_core_reqs[[#This Row],[Page]], "-", " "))&amp;": "&amp;PROPER(SUBSTITUTE(us_core_reqs[[#This Row],[Section]], "-", " ")),"Us ","US "), "Uscdi", "USCDI")</f>
        <v>Must Support: Must Support   Resource References</v>
      </c>
      <c r="U106" t="s">
        <v>29</v>
      </c>
      <c r="V106" t="s">
        <v>30</v>
      </c>
      <c r="W106" t="s">
        <v>143</v>
      </c>
      <c r="X106" t="s">
        <v>1171</v>
      </c>
      <c r="Y106" t="s">
        <v>1171</v>
      </c>
      <c r="Z106" t="s">
        <v>1171</v>
      </c>
      <c r="AA106" t="s">
        <v>1171</v>
      </c>
      <c r="AB106" t="s">
        <v>1171</v>
      </c>
      <c r="AC106" t="s">
        <v>1140</v>
      </c>
      <c r="AD106" t="s">
        <v>1171</v>
      </c>
    </row>
    <row r="107" spans="1:30" ht="119" x14ac:dyDescent="0.2">
      <c r="A107" t="s">
        <v>1171</v>
      </c>
      <c r="B107" t="s">
        <v>1279</v>
      </c>
      <c r="C107" t="str">
        <f>"CONF-"&amp;TEXT(us_core_reqs[[#This Row],[ID*]], "0000")</f>
        <v>CONF-0106</v>
      </c>
      <c r="D107" s="11" t="s">
        <v>617</v>
      </c>
      <c r="E107" t="str">
        <f>SUBSTITUTE(us_core_reqs[[#This Row],[URL*]], "https://hl7.org/fhir/us/core/STU8/","")</f>
        <v>must-support.html#must-support---resource-references</v>
      </c>
      <c r="F107" s="11" t="s">
        <v>144</v>
      </c>
      <c r="G107" t="s">
        <v>29</v>
      </c>
      <c r="H107" t="s">
        <v>1862</v>
      </c>
      <c r="I107" t="s">
        <v>58</v>
      </c>
      <c r="J107" t="s">
        <v>1171</v>
      </c>
      <c r="K107" t="s">
        <v>1171</v>
      </c>
      <c r="L107" t="s">
        <v>1173</v>
      </c>
      <c r="M107" t="s">
        <v>1171</v>
      </c>
      <c r="N107" t="s">
        <v>1171</v>
      </c>
      <c r="O107" t="s">
        <v>1171</v>
      </c>
      <c r="P107" t="s">
        <v>1171</v>
      </c>
      <c r="Q107" t="s">
        <v>1171</v>
      </c>
      <c r="R107" t="str">
        <f>_xlfn.TEXTBEFORE(_xlfn.TEXTAFTER(us_core_reqs[[#This Row],[URL*]],"/",-1),".")</f>
        <v>must-support</v>
      </c>
      <c r="S107" t="str">
        <f>_xlfn.TEXTAFTER(us_core_reqs[[#This Row],[URL*]],"#",-1)</f>
        <v>must-support---resource-references</v>
      </c>
      <c r="T107" t="str">
        <f>SUBSTITUTE(SUBSTITUTE(PROPER(SUBSTITUTE(us_core_reqs[[#This Row],[Page]], "-", " "))&amp;": "&amp;PROPER(SUBSTITUTE(us_core_reqs[[#This Row],[Section]], "-", " ")),"Us ","US "), "Uscdi", "USCDI")</f>
        <v>Must Support: Must Support   Resource References</v>
      </c>
      <c r="U107" t="s">
        <v>29</v>
      </c>
      <c r="V107" t="s">
        <v>58</v>
      </c>
      <c r="W107" t="s">
        <v>143</v>
      </c>
      <c r="X107" t="s">
        <v>1171</v>
      </c>
      <c r="Y107" t="s">
        <v>1171</v>
      </c>
      <c r="Z107" t="s">
        <v>1171</v>
      </c>
      <c r="AA107" t="s">
        <v>1171</v>
      </c>
      <c r="AB107" t="s">
        <v>1171</v>
      </c>
      <c r="AC107" t="s">
        <v>1171</v>
      </c>
      <c r="AD107" t="s">
        <v>1171</v>
      </c>
    </row>
    <row r="108" spans="1:30" ht="51" x14ac:dyDescent="0.2">
      <c r="A108" t="s">
        <v>1171</v>
      </c>
      <c r="B108" t="s">
        <v>1280</v>
      </c>
      <c r="C108" t="str">
        <f>"CONF-"&amp;TEXT(us_core_reqs[[#This Row],[ID*]], "0000")</f>
        <v>CONF-0107</v>
      </c>
      <c r="D108" s="11" t="s">
        <v>617</v>
      </c>
      <c r="E108" t="str">
        <f>SUBSTITUTE(us_core_reqs[[#This Row],[URL*]], "https://hl7.org/fhir/us/core/STU8/","")</f>
        <v>must-support.html#must-support---resource-references</v>
      </c>
      <c r="F108" s="11" t="s">
        <v>145</v>
      </c>
      <c r="G108" t="s">
        <v>35</v>
      </c>
      <c r="I108" t="s">
        <v>30</v>
      </c>
      <c r="J108" t="s">
        <v>1171</v>
      </c>
      <c r="K108" t="s">
        <v>1171</v>
      </c>
      <c r="L108" t="s">
        <v>1171</v>
      </c>
      <c r="M108" t="s">
        <v>1171</v>
      </c>
      <c r="N108" t="s">
        <v>1171</v>
      </c>
      <c r="O108" t="s">
        <v>1171</v>
      </c>
      <c r="P108" t="s">
        <v>1171</v>
      </c>
      <c r="Q108" t="s">
        <v>1171</v>
      </c>
      <c r="R108" t="str">
        <f>_xlfn.TEXTBEFORE(_xlfn.TEXTAFTER(us_core_reqs[[#This Row],[URL*]],"/",-1),".")</f>
        <v>must-support</v>
      </c>
      <c r="S108" t="str">
        <f>_xlfn.TEXTAFTER(us_core_reqs[[#This Row],[URL*]],"#",-1)</f>
        <v>must-support---resource-references</v>
      </c>
      <c r="T108" t="str">
        <f>SUBSTITUTE(SUBSTITUTE(PROPER(SUBSTITUTE(us_core_reqs[[#This Row],[Page]], "-", " "))&amp;": "&amp;PROPER(SUBSTITUTE(us_core_reqs[[#This Row],[Section]], "-", " ")),"Us ","US "), "Uscdi", "USCDI")</f>
        <v>Must Support: Must Support   Resource References</v>
      </c>
      <c r="U108" t="s">
        <v>1171</v>
      </c>
      <c r="V108" t="s">
        <v>30</v>
      </c>
      <c r="W108" t="s">
        <v>1171</v>
      </c>
      <c r="X108" t="s">
        <v>1171</v>
      </c>
      <c r="Y108" t="s">
        <v>1171</v>
      </c>
      <c r="Z108" t="s">
        <v>1171</v>
      </c>
      <c r="AA108" t="s">
        <v>1171</v>
      </c>
      <c r="AB108" t="s">
        <v>1171</v>
      </c>
      <c r="AC108" t="s">
        <v>1171</v>
      </c>
      <c r="AD108" t="s">
        <v>1171</v>
      </c>
    </row>
    <row r="109" spans="1:30" ht="51" x14ac:dyDescent="0.2">
      <c r="A109" t="s">
        <v>1171</v>
      </c>
      <c r="B109" t="s">
        <v>1281</v>
      </c>
      <c r="C109" t="str">
        <f>"CONF-"&amp;TEXT(us_core_reqs[[#This Row],[ID*]], "0000")</f>
        <v>CONF-0108</v>
      </c>
      <c r="D109" s="11" t="s">
        <v>617</v>
      </c>
      <c r="E109" t="str">
        <f>SUBSTITUTE(us_core_reqs[[#This Row],[URL*]], "https://hl7.org/fhir/us/core/STU8/","")</f>
        <v>must-support.html#must-support---resource-references</v>
      </c>
      <c r="F109" s="11" t="s">
        <v>146</v>
      </c>
      <c r="G109" t="s">
        <v>35</v>
      </c>
      <c r="I109" t="s">
        <v>58</v>
      </c>
      <c r="J109" t="s">
        <v>1171</v>
      </c>
      <c r="K109" t="s">
        <v>1171</v>
      </c>
      <c r="L109" t="s">
        <v>1171</v>
      </c>
      <c r="M109" t="s">
        <v>1171</v>
      </c>
      <c r="N109" t="s">
        <v>1171</v>
      </c>
      <c r="O109" t="s">
        <v>1171</v>
      </c>
      <c r="P109" t="s">
        <v>1171</v>
      </c>
      <c r="Q109" t="s">
        <v>1171</v>
      </c>
      <c r="R109" t="str">
        <f>_xlfn.TEXTBEFORE(_xlfn.TEXTAFTER(us_core_reqs[[#This Row],[URL*]],"/",-1),".")</f>
        <v>must-support</v>
      </c>
      <c r="S109" t="str">
        <f>_xlfn.TEXTAFTER(us_core_reqs[[#This Row],[URL*]],"#",-1)</f>
        <v>must-support---resource-references</v>
      </c>
      <c r="T109" t="str">
        <f>SUBSTITUTE(SUBSTITUTE(PROPER(SUBSTITUTE(us_core_reqs[[#This Row],[Page]], "-", " "))&amp;": "&amp;PROPER(SUBSTITUTE(us_core_reqs[[#This Row],[Section]], "-", " ")),"Us ","US "), "Uscdi", "USCDI")</f>
        <v>Must Support: Must Support   Resource References</v>
      </c>
      <c r="U109" t="s">
        <v>1171</v>
      </c>
      <c r="V109" t="s">
        <v>58</v>
      </c>
      <c r="W109" t="s">
        <v>1171</v>
      </c>
      <c r="X109" t="s">
        <v>1171</v>
      </c>
      <c r="Y109" t="s">
        <v>1171</v>
      </c>
      <c r="Z109" t="s">
        <v>1171</v>
      </c>
      <c r="AA109" t="s">
        <v>1171</v>
      </c>
      <c r="AB109" t="s">
        <v>1171</v>
      </c>
      <c r="AC109" t="s">
        <v>1171</v>
      </c>
      <c r="AD109" t="s">
        <v>1171</v>
      </c>
    </row>
    <row r="110" spans="1:30" ht="119" x14ac:dyDescent="0.2">
      <c r="A110" t="s">
        <v>1171</v>
      </c>
      <c r="B110" t="s">
        <v>1282</v>
      </c>
      <c r="C110" t="str">
        <f>"CONF-"&amp;TEXT(us_core_reqs[[#This Row],[ID*]], "0000")</f>
        <v>CONF-0109</v>
      </c>
      <c r="D110" s="11" t="s">
        <v>617</v>
      </c>
      <c r="E110" t="str">
        <f>SUBSTITUTE(us_core_reqs[[#This Row],[URL*]], "https://hl7.org/fhir/us/core/STU8/","")</f>
        <v>must-support.html#must-support---resource-references</v>
      </c>
      <c r="F110" s="11" t="s">
        <v>147</v>
      </c>
      <c r="G110" t="s">
        <v>29</v>
      </c>
      <c r="H110" t="s">
        <v>1857</v>
      </c>
      <c r="I110" t="s">
        <v>30</v>
      </c>
      <c r="J110" t="s">
        <v>1171</v>
      </c>
      <c r="K110" t="s">
        <v>1171</v>
      </c>
      <c r="L110" t="s">
        <v>1173</v>
      </c>
      <c r="M110" t="s">
        <v>1171</v>
      </c>
      <c r="N110" t="s">
        <v>1171</v>
      </c>
      <c r="O110" t="s">
        <v>1171</v>
      </c>
      <c r="P110" t="s">
        <v>1171</v>
      </c>
      <c r="Q110" t="s">
        <v>1171</v>
      </c>
      <c r="R110" t="str">
        <f>_xlfn.TEXTBEFORE(_xlfn.TEXTAFTER(us_core_reqs[[#This Row],[URL*]],"/",-1),".")</f>
        <v>must-support</v>
      </c>
      <c r="S110" t="str">
        <f>_xlfn.TEXTAFTER(us_core_reqs[[#This Row],[URL*]],"#",-1)</f>
        <v>must-support---resource-references</v>
      </c>
      <c r="T110" t="str">
        <f>SUBSTITUTE(SUBSTITUTE(PROPER(SUBSTITUTE(us_core_reqs[[#This Row],[Page]], "-", " "))&amp;": "&amp;PROPER(SUBSTITUTE(us_core_reqs[[#This Row],[Section]], "-", " ")),"Us ","US "), "Uscdi", "USCDI")</f>
        <v>Must Support: Must Support   Resource References</v>
      </c>
      <c r="U110" t="s">
        <v>29</v>
      </c>
      <c r="V110" t="s">
        <v>30</v>
      </c>
      <c r="W110" t="s">
        <v>143</v>
      </c>
      <c r="X110" t="s">
        <v>1171</v>
      </c>
      <c r="Y110" t="s">
        <v>1171</v>
      </c>
      <c r="Z110" t="s">
        <v>1171</v>
      </c>
      <c r="AA110" t="s">
        <v>1171</v>
      </c>
      <c r="AB110" t="s">
        <v>1171</v>
      </c>
      <c r="AC110" t="s">
        <v>1140</v>
      </c>
      <c r="AD110" t="s">
        <v>1171</v>
      </c>
    </row>
    <row r="111" spans="1:30" ht="119" x14ac:dyDescent="0.2">
      <c r="A111" t="s">
        <v>1171</v>
      </c>
      <c r="B111" t="s">
        <v>1283</v>
      </c>
      <c r="C111" t="str">
        <f>"CONF-"&amp;TEXT(us_core_reqs[[#This Row],[ID*]], "0000")</f>
        <v>CONF-0110</v>
      </c>
      <c r="D111" s="11" t="s">
        <v>617</v>
      </c>
      <c r="E111" t="str">
        <f>SUBSTITUTE(us_core_reqs[[#This Row],[URL*]], "https://hl7.org/fhir/us/core/STU8/","")</f>
        <v>must-support.html#must-support---resource-references</v>
      </c>
      <c r="F111" s="11" t="s">
        <v>148</v>
      </c>
      <c r="G111" t="s">
        <v>29</v>
      </c>
      <c r="H111" t="s">
        <v>1857</v>
      </c>
      <c r="I111" t="s">
        <v>58</v>
      </c>
      <c r="J111" t="s">
        <v>1171</v>
      </c>
      <c r="K111" t="s">
        <v>1171</v>
      </c>
      <c r="L111" t="s">
        <v>1173</v>
      </c>
      <c r="M111" t="s">
        <v>1171</v>
      </c>
      <c r="N111" t="s">
        <v>1171</v>
      </c>
      <c r="O111" t="s">
        <v>1171</v>
      </c>
      <c r="P111" t="s">
        <v>1171</v>
      </c>
      <c r="Q111" t="s">
        <v>1171</v>
      </c>
      <c r="R111" t="str">
        <f>_xlfn.TEXTBEFORE(_xlfn.TEXTAFTER(us_core_reqs[[#This Row],[URL*]],"/",-1),".")</f>
        <v>must-support</v>
      </c>
      <c r="S111" t="str">
        <f>_xlfn.TEXTAFTER(us_core_reqs[[#This Row],[URL*]],"#",-1)</f>
        <v>must-support---resource-references</v>
      </c>
      <c r="T111" t="str">
        <f>SUBSTITUTE(SUBSTITUTE(PROPER(SUBSTITUTE(us_core_reqs[[#This Row],[Page]], "-", " "))&amp;": "&amp;PROPER(SUBSTITUTE(us_core_reqs[[#This Row],[Section]], "-", " ")),"Us ","US "), "Uscdi", "USCDI")</f>
        <v>Must Support: Must Support   Resource References</v>
      </c>
      <c r="U111" t="s">
        <v>29</v>
      </c>
      <c r="V111" t="s">
        <v>58</v>
      </c>
      <c r="W111" t="s">
        <v>143</v>
      </c>
      <c r="X111" t="s">
        <v>1171</v>
      </c>
      <c r="Y111" t="s">
        <v>1171</v>
      </c>
      <c r="Z111" t="s">
        <v>1171</v>
      </c>
      <c r="AA111" t="s">
        <v>1171</v>
      </c>
      <c r="AB111" t="s">
        <v>1171</v>
      </c>
      <c r="AC111" t="s">
        <v>1171</v>
      </c>
      <c r="AD111" t="s">
        <v>1171</v>
      </c>
    </row>
    <row r="112" spans="1:30" ht="119" x14ac:dyDescent="0.2">
      <c r="A112" t="s">
        <v>1171</v>
      </c>
      <c r="B112" t="s">
        <v>1284</v>
      </c>
      <c r="C112" t="str">
        <f>"CONF-"&amp;TEXT(us_core_reqs[[#This Row],[ID*]], "0000")</f>
        <v>CONF-0111</v>
      </c>
      <c r="D112" s="11" t="s">
        <v>619</v>
      </c>
      <c r="E112" t="str">
        <f>SUBSTITUTE(us_core_reqs[[#This Row],[URL*]], "https://hl7.org/fhir/us/core/STU8/","")</f>
        <v>must-support.html#must-support---choice-of-data-types</v>
      </c>
      <c r="F112" s="11" t="s">
        <v>1866</v>
      </c>
      <c r="G112" t="s">
        <v>29</v>
      </c>
      <c r="I112" t="s">
        <v>30</v>
      </c>
      <c r="J112" t="s">
        <v>1171</v>
      </c>
      <c r="K112" t="s">
        <v>1171</v>
      </c>
      <c r="L112" t="s">
        <v>1173</v>
      </c>
      <c r="M112" t="s">
        <v>1171</v>
      </c>
      <c r="N112" t="s">
        <v>1171</v>
      </c>
      <c r="O112" t="s">
        <v>1171</v>
      </c>
      <c r="P112" t="s">
        <v>1171</v>
      </c>
      <c r="Q112" t="s">
        <v>1171</v>
      </c>
      <c r="R112" t="str">
        <f>_xlfn.TEXTBEFORE(_xlfn.TEXTAFTER(us_core_reqs[[#This Row],[URL*]],"/",-1),".")</f>
        <v>must-support</v>
      </c>
      <c r="S112" t="str">
        <f>_xlfn.TEXTAFTER(us_core_reqs[[#This Row],[URL*]],"#",-1)</f>
        <v>must-support---choice-of-data-types</v>
      </c>
      <c r="T112" t="str">
        <f>SUBSTITUTE(SUBSTITUTE(PROPER(SUBSTITUTE(us_core_reqs[[#This Row],[Page]], "-", " "))&amp;": "&amp;PROPER(SUBSTITUTE(us_core_reqs[[#This Row],[Section]], "-", " ")),"Us ","US "), "Uscdi", "USCDI")</f>
        <v>Must Support: Must Support   Choice Of Data Types</v>
      </c>
      <c r="U112" t="s">
        <v>29</v>
      </c>
      <c r="V112" t="s">
        <v>30</v>
      </c>
      <c r="W112" t="s">
        <v>149</v>
      </c>
      <c r="X112" t="s">
        <v>1171</v>
      </c>
      <c r="Y112" t="s">
        <v>1171</v>
      </c>
      <c r="Z112" t="s">
        <v>1171</v>
      </c>
      <c r="AA112" t="s">
        <v>1171</v>
      </c>
      <c r="AB112" t="s">
        <v>662</v>
      </c>
      <c r="AC112" t="s">
        <v>1140</v>
      </c>
      <c r="AD112" t="s">
        <v>1171</v>
      </c>
    </row>
    <row r="113" spans="1:30" ht="119" x14ac:dyDescent="0.2">
      <c r="A113" t="s">
        <v>1171</v>
      </c>
      <c r="B113" t="s">
        <v>1285</v>
      </c>
      <c r="C113" t="str">
        <f>"CONF-"&amp;TEXT(us_core_reqs[[#This Row],[ID*]], "0000")</f>
        <v>CONF-0112</v>
      </c>
      <c r="D113" s="11" t="s">
        <v>619</v>
      </c>
      <c r="E113" t="str">
        <f>SUBSTITUTE(us_core_reqs[[#This Row],[URL*]], "https://hl7.org/fhir/us/core/STU8/","")</f>
        <v>must-support.html#must-support---choice-of-data-types</v>
      </c>
      <c r="F113" s="11" t="s">
        <v>1867</v>
      </c>
      <c r="G113" t="s">
        <v>29</v>
      </c>
      <c r="I113" t="s">
        <v>58</v>
      </c>
      <c r="J113" t="s">
        <v>1171</v>
      </c>
      <c r="K113" t="s">
        <v>1171</v>
      </c>
      <c r="L113" t="s">
        <v>1173</v>
      </c>
      <c r="M113" t="s">
        <v>1171</v>
      </c>
      <c r="N113" t="s">
        <v>1171</v>
      </c>
      <c r="O113" t="s">
        <v>1171</v>
      </c>
      <c r="P113" t="s">
        <v>1171</v>
      </c>
      <c r="Q113" t="s">
        <v>1171</v>
      </c>
      <c r="R113" t="str">
        <f>_xlfn.TEXTBEFORE(_xlfn.TEXTAFTER(us_core_reqs[[#This Row],[URL*]],"/",-1),".")</f>
        <v>must-support</v>
      </c>
      <c r="S113" t="str">
        <f>_xlfn.TEXTAFTER(us_core_reqs[[#This Row],[URL*]],"#",-1)</f>
        <v>must-support---choice-of-data-types</v>
      </c>
      <c r="T113" t="str">
        <f>SUBSTITUTE(SUBSTITUTE(PROPER(SUBSTITUTE(us_core_reqs[[#This Row],[Page]], "-", " "))&amp;": "&amp;PROPER(SUBSTITUTE(us_core_reqs[[#This Row],[Section]], "-", " ")),"Us ","US "), "Uscdi", "USCDI")</f>
        <v>Must Support: Must Support   Choice Of Data Types</v>
      </c>
      <c r="U113" t="s">
        <v>29</v>
      </c>
      <c r="V113" t="s">
        <v>58</v>
      </c>
      <c r="W113" t="s">
        <v>149</v>
      </c>
      <c r="X113" t="s">
        <v>1171</v>
      </c>
      <c r="Y113" t="s">
        <v>1171</v>
      </c>
      <c r="Z113" t="s">
        <v>1171</v>
      </c>
      <c r="AA113" t="s">
        <v>1171</v>
      </c>
      <c r="AB113" t="s">
        <v>662</v>
      </c>
      <c r="AC113" t="s">
        <v>1171</v>
      </c>
      <c r="AD113" t="s">
        <v>1171</v>
      </c>
    </row>
    <row r="114" spans="1:30" ht="187" x14ac:dyDescent="0.2">
      <c r="A114" t="s">
        <v>1171</v>
      </c>
      <c r="B114" t="s">
        <v>1286</v>
      </c>
      <c r="C114" t="str">
        <f>"CONF-"&amp;TEXT(us_core_reqs[[#This Row],[ID*]], "0000")</f>
        <v>CONF-0113</v>
      </c>
      <c r="D114" s="11" t="s">
        <v>619</v>
      </c>
      <c r="E114" t="str">
        <f>SUBSTITUTE(us_core_reqs[[#This Row],[URL*]], "https://hl7.org/fhir/us/core/STU8/","")</f>
        <v>must-support.html#must-support---choice-of-data-types</v>
      </c>
      <c r="F114" s="11" t="s">
        <v>664</v>
      </c>
      <c r="G114" t="s">
        <v>35</v>
      </c>
      <c r="H114" t="s">
        <v>1869</v>
      </c>
      <c r="I114" t="s">
        <v>58</v>
      </c>
      <c r="J114" t="s">
        <v>1171</v>
      </c>
      <c r="K114" t="s">
        <v>1171</v>
      </c>
      <c r="L114" t="s">
        <v>1173</v>
      </c>
      <c r="M114" t="s">
        <v>1171</v>
      </c>
      <c r="N114" t="s">
        <v>1171</v>
      </c>
      <c r="O114" t="s">
        <v>1171</v>
      </c>
      <c r="P114" t="s">
        <v>1171</v>
      </c>
      <c r="Q114" t="s">
        <v>1171</v>
      </c>
      <c r="R114" t="str">
        <f>_xlfn.TEXTBEFORE(_xlfn.TEXTAFTER(us_core_reqs[[#This Row],[URL*]],"/",-1),".")</f>
        <v>must-support</v>
      </c>
      <c r="S114" t="str">
        <f>_xlfn.TEXTAFTER(us_core_reqs[[#This Row],[URL*]],"#",-1)</f>
        <v>must-support---choice-of-data-types</v>
      </c>
      <c r="T114" t="str">
        <f>SUBSTITUTE(SUBSTITUTE(PROPER(SUBSTITUTE(us_core_reqs[[#This Row],[Page]], "-", " "))&amp;": "&amp;PROPER(SUBSTITUTE(us_core_reqs[[#This Row],[Section]], "-", " ")),"Us ","US "), "Uscdi", "USCDI")</f>
        <v>Must Support: Must Support   Choice Of Data Types</v>
      </c>
      <c r="U114" t="s">
        <v>35</v>
      </c>
      <c r="V114" t="s">
        <v>58</v>
      </c>
      <c r="W114" t="s">
        <v>149</v>
      </c>
      <c r="X114" t="s">
        <v>1171</v>
      </c>
      <c r="Y114" t="s">
        <v>1171</v>
      </c>
      <c r="Z114" t="s">
        <v>1171</v>
      </c>
      <c r="AA114" t="s">
        <v>1171</v>
      </c>
      <c r="AB114" t="s">
        <v>662</v>
      </c>
      <c r="AC114" t="s">
        <v>1171</v>
      </c>
      <c r="AD114" t="s">
        <v>1171</v>
      </c>
    </row>
    <row r="115" spans="1:30" ht="187" x14ac:dyDescent="0.2">
      <c r="A115" t="s">
        <v>1171</v>
      </c>
      <c r="B115" t="s">
        <v>1287</v>
      </c>
      <c r="C115" t="str">
        <f>"CONF-"&amp;TEXT(us_core_reqs[[#This Row],[ID*]], "0000")</f>
        <v>CONF-0114</v>
      </c>
      <c r="D115" s="11" t="s">
        <v>619</v>
      </c>
      <c r="E115" t="str">
        <f>SUBSTITUTE(us_core_reqs[[#This Row],[URL*]], "https://hl7.org/fhir/us/core/STU8/","")</f>
        <v>must-support.html#must-support---choice-of-data-types</v>
      </c>
      <c r="F115" s="11" t="s">
        <v>665</v>
      </c>
      <c r="G115" t="s">
        <v>35</v>
      </c>
      <c r="H115" t="s">
        <v>1869</v>
      </c>
      <c r="I115" t="s">
        <v>30</v>
      </c>
      <c r="J115" t="s">
        <v>1171</v>
      </c>
      <c r="K115" t="s">
        <v>1171</v>
      </c>
      <c r="L115" t="s">
        <v>1173</v>
      </c>
      <c r="M115" t="s">
        <v>1171</v>
      </c>
      <c r="N115" t="s">
        <v>1171</v>
      </c>
      <c r="O115" t="s">
        <v>1171</v>
      </c>
      <c r="P115" t="s">
        <v>1171</v>
      </c>
      <c r="Q115" t="s">
        <v>1171</v>
      </c>
      <c r="R115" t="str">
        <f>_xlfn.TEXTBEFORE(_xlfn.TEXTAFTER(us_core_reqs[[#This Row],[URL*]],"/",-1),".")</f>
        <v>must-support</v>
      </c>
      <c r="S115" t="str">
        <f>_xlfn.TEXTAFTER(us_core_reqs[[#This Row],[URL*]],"#",-1)</f>
        <v>must-support---choice-of-data-types</v>
      </c>
      <c r="T115" t="str">
        <f>SUBSTITUTE(SUBSTITUTE(PROPER(SUBSTITUTE(us_core_reqs[[#This Row],[Page]], "-", " "))&amp;": "&amp;PROPER(SUBSTITUTE(us_core_reqs[[#This Row],[Section]], "-", " ")),"Us ","US "), "Uscdi", "USCDI")</f>
        <v>Must Support: Must Support   Choice Of Data Types</v>
      </c>
      <c r="U115" t="s">
        <v>35</v>
      </c>
      <c r="V115" t="s">
        <v>30</v>
      </c>
      <c r="W115" t="s">
        <v>149</v>
      </c>
      <c r="X115" t="s">
        <v>1171</v>
      </c>
      <c r="Y115" t="s">
        <v>1171</v>
      </c>
      <c r="Z115" t="s">
        <v>1171</v>
      </c>
      <c r="AA115" t="s">
        <v>1171</v>
      </c>
      <c r="AB115" t="s">
        <v>662</v>
      </c>
      <c r="AC115" t="s">
        <v>1171</v>
      </c>
      <c r="AD115" t="s">
        <v>1171</v>
      </c>
    </row>
    <row r="116" spans="1:30" ht="68" x14ac:dyDescent="0.2">
      <c r="A116" t="s">
        <v>1171</v>
      </c>
      <c r="B116" t="s">
        <v>1288</v>
      </c>
      <c r="C116" t="str">
        <f>"CONF-"&amp;TEXT(us_core_reqs[[#This Row],[ID*]], "0000")</f>
        <v>CONF-0115</v>
      </c>
      <c r="D116" s="11" t="s">
        <v>620</v>
      </c>
      <c r="E116" t="str">
        <f>SUBSTITUTE(us_core_reqs[[#This Row],[URL*]], "https://hl7.org/fhir/us/core/STU8/","")</f>
        <v>must-support.html#must-support---choice-of-profile-elements</v>
      </c>
      <c r="F116" s="11" t="s">
        <v>981</v>
      </c>
      <c r="G116" t="s">
        <v>29</v>
      </c>
      <c r="I116" t="s">
        <v>30</v>
      </c>
      <c r="J116" t="s">
        <v>1171</v>
      </c>
      <c r="K116" t="s">
        <v>1171</v>
      </c>
      <c r="L116" t="s">
        <v>1176</v>
      </c>
      <c r="M116" t="s">
        <v>1171</v>
      </c>
      <c r="N116" t="s">
        <v>1171</v>
      </c>
      <c r="O116" t="s">
        <v>1171</v>
      </c>
      <c r="P116" t="s">
        <v>1171</v>
      </c>
      <c r="Q116" t="s">
        <v>1171</v>
      </c>
      <c r="R116" t="str">
        <f>_xlfn.TEXTBEFORE(_xlfn.TEXTAFTER(us_core_reqs[[#This Row],[URL*]],"/",-1),".")</f>
        <v>must-support</v>
      </c>
      <c r="S116" t="str">
        <f>_xlfn.TEXTAFTER(us_core_reqs[[#This Row],[URL*]],"#",-1)</f>
        <v>must-support---choice-of-profile-elements</v>
      </c>
      <c r="T116" t="str">
        <f>SUBSTITUTE(SUBSTITUTE(PROPER(SUBSTITUTE(us_core_reqs[[#This Row],[Page]], "-", " "))&amp;": "&amp;PROPER(SUBSTITUTE(us_core_reqs[[#This Row],[Section]], "-", " ")),"Us ","US "), "Uscdi", "USCDI")</f>
        <v>Must Support: Must Support   Choice Of Profile Elements</v>
      </c>
      <c r="U116" t="s">
        <v>29</v>
      </c>
      <c r="V116" t="s">
        <v>30</v>
      </c>
      <c r="W116" t="s">
        <v>150</v>
      </c>
      <c r="X116" t="s">
        <v>1171</v>
      </c>
      <c r="Y116" t="s">
        <v>1171</v>
      </c>
      <c r="Z116" t="s">
        <v>1171</v>
      </c>
      <c r="AA116" t="s">
        <v>1171</v>
      </c>
      <c r="AB116" t="s">
        <v>667</v>
      </c>
      <c r="AC116" t="s">
        <v>1140</v>
      </c>
      <c r="AD116" t="s">
        <v>1171</v>
      </c>
    </row>
    <row r="117" spans="1:30" ht="68" x14ac:dyDescent="0.2">
      <c r="A117" t="s">
        <v>1171</v>
      </c>
      <c r="B117" t="s">
        <v>1289</v>
      </c>
      <c r="C117" t="str">
        <f>"CONF-"&amp;TEXT(us_core_reqs[[#This Row],[ID*]], "0000")</f>
        <v>CONF-0116</v>
      </c>
      <c r="D117" s="11" t="s">
        <v>620</v>
      </c>
      <c r="E117" t="str">
        <f>SUBSTITUTE(us_core_reqs[[#This Row],[URL*]], "https://hl7.org/fhir/us/core/STU8/","")</f>
        <v>must-support.html#must-support---choice-of-profile-elements</v>
      </c>
      <c r="F117" s="11" t="s">
        <v>920</v>
      </c>
      <c r="G117" t="s">
        <v>29</v>
      </c>
      <c r="I117" t="s">
        <v>58</v>
      </c>
      <c r="J117" t="s">
        <v>1171</v>
      </c>
      <c r="K117" t="s">
        <v>1171</v>
      </c>
      <c r="L117" t="s">
        <v>1176</v>
      </c>
      <c r="M117" t="s">
        <v>1171</v>
      </c>
      <c r="N117" t="s">
        <v>1171</v>
      </c>
      <c r="O117" t="s">
        <v>1171</v>
      </c>
      <c r="P117" t="s">
        <v>1171</v>
      </c>
      <c r="Q117" t="s">
        <v>1171</v>
      </c>
      <c r="R117" t="str">
        <f>_xlfn.TEXTBEFORE(_xlfn.TEXTAFTER(us_core_reqs[[#This Row],[URL*]],"/",-1),".")</f>
        <v>must-support</v>
      </c>
      <c r="S117" t="str">
        <f>_xlfn.TEXTAFTER(us_core_reqs[[#This Row],[URL*]],"#",-1)</f>
        <v>must-support---choice-of-profile-elements</v>
      </c>
      <c r="T117" t="str">
        <f>SUBSTITUTE(SUBSTITUTE(PROPER(SUBSTITUTE(us_core_reqs[[#This Row],[Page]], "-", " "))&amp;": "&amp;PROPER(SUBSTITUTE(us_core_reqs[[#This Row],[Section]], "-", " ")),"Us ","US "), "Uscdi", "USCDI")</f>
        <v>Must Support: Must Support   Choice Of Profile Elements</v>
      </c>
      <c r="U117" t="s">
        <v>29</v>
      </c>
      <c r="V117" t="s">
        <v>58</v>
      </c>
      <c r="W117" t="s">
        <v>150</v>
      </c>
      <c r="X117" t="s">
        <v>1171</v>
      </c>
      <c r="Y117" t="s">
        <v>1171</v>
      </c>
      <c r="Z117" t="s">
        <v>1171</v>
      </c>
      <c r="AA117" t="s">
        <v>1171</v>
      </c>
      <c r="AB117" t="s">
        <v>666</v>
      </c>
      <c r="AC117" t="s">
        <v>1171</v>
      </c>
      <c r="AD117" t="s">
        <v>1171</v>
      </c>
    </row>
    <row r="118" spans="1:30" ht="187" x14ac:dyDescent="0.2">
      <c r="A118" t="s">
        <v>1171</v>
      </c>
      <c r="B118" t="s">
        <v>1290</v>
      </c>
      <c r="C118" t="str">
        <f>"CONF-"&amp;TEXT(us_core_reqs[[#This Row],[ID*]], "0000")</f>
        <v>CONF-0117</v>
      </c>
      <c r="D118" s="11" t="s">
        <v>825</v>
      </c>
      <c r="E118" t="str">
        <f>SUBSTITUTE(us_core_reqs[[#This Row],[URL*]], "https://hl7.org/fhir/us/core/STU8/","")</f>
        <v>scopes.html#capability-sets</v>
      </c>
      <c r="F118" s="11" t="s">
        <v>2165</v>
      </c>
      <c r="G118" t="s">
        <v>35</v>
      </c>
      <c r="H118" t="s">
        <v>1870</v>
      </c>
      <c r="I118" t="s">
        <v>30</v>
      </c>
      <c r="J118" t="s">
        <v>1171</v>
      </c>
      <c r="K118" t="s">
        <v>1171</v>
      </c>
      <c r="L118" t="s">
        <v>1173</v>
      </c>
      <c r="M118" t="s">
        <v>1171</v>
      </c>
      <c r="N118" t="s">
        <v>1171</v>
      </c>
      <c r="O118" t="s">
        <v>1171</v>
      </c>
      <c r="P118" t="s">
        <v>1171</v>
      </c>
      <c r="Q118" t="s">
        <v>1171</v>
      </c>
      <c r="R118" t="str">
        <f>_xlfn.TEXTBEFORE(_xlfn.TEXTAFTER(us_core_reqs[[#This Row],[URL*]],"/",-1),".")</f>
        <v>scopes</v>
      </c>
      <c r="S118" t="str">
        <f>_xlfn.TEXTAFTER(us_core_reqs[[#This Row],[URL*]],"#",-1)</f>
        <v>capability-sets</v>
      </c>
      <c r="T118" t="str">
        <f>SUBSTITUTE(SUBSTITUTE(PROPER(SUBSTITUTE(us_core_reqs[[#This Row],[Page]], "-", " "))&amp;": "&amp;PROPER(SUBSTITUTE(us_core_reqs[[#This Row],[Section]], "-", " ")),"Us ","US "), "Uscdi", "USCDI")</f>
        <v>Scopes: Capability Sets</v>
      </c>
      <c r="U118" t="s">
        <v>35</v>
      </c>
      <c r="V118" t="s">
        <v>30</v>
      </c>
      <c r="W118" t="s">
        <v>151</v>
      </c>
      <c r="X118" t="s">
        <v>1171</v>
      </c>
      <c r="Y118" t="s">
        <v>1171</v>
      </c>
      <c r="Z118" t="s">
        <v>1171</v>
      </c>
      <c r="AA118" t="s">
        <v>1171</v>
      </c>
      <c r="AB118" t="s">
        <v>1171</v>
      </c>
      <c r="AC118" t="s">
        <v>1171</v>
      </c>
      <c r="AD118" t="s">
        <v>1171</v>
      </c>
    </row>
    <row r="119" spans="1:30" ht="136" x14ac:dyDescent="0.2">
      <c r="A119" t="s">
        <v>1171</v>
      </c>
      <c r="B119" t="s">
        <v>1291</v>
      </c>
      <c r="C119" t="str">
        <f>"CONF-"&amp;TEXT(us_core_reqs[[#This Row],[ID*]], "0000")</f>
        <v>CONF-0118</v>
      </c>
      <c r="D119" s="11" t="s">
        <v>826</v>
      </c>
      <c r="E119" t="str">
        <f>SUBSTITUTE(us_core_reqs[[#This Row],[URL*]], "https://hl7.org/fhir/us/core/STU8/","")</f>
        <v>scopes.html#capabilities-for-implementations-supporting-user-facing-applications</v>
      </c>
      <c r="F119" s="11" t="s">
        <v>1909</v>
      </c>
      <c r="G119" t="s">
        <v>32</v>
      </c>
      <c r="I119" t="s">
        <v>30</v>
      </c>
      <c r="J119" t="s">
        <v>1171</v>
      </c>
      <c r="K119" t="s">
        <v>1171</v>
      </c>
      <c r="L119" t="s">
        <v>1176</v>
      </c>
      <c r="M119" t="s">
        <v>153</v>
      </c>
      <c r="N119" t="s">
        <v>1171</v>
      </c>
      <c r="O119" t="s">
        <v>1171</v>
      </c>
      <c r="P119" t="s">
        <v>1171</v>
      </c>
      <c r="Q119" t="s">
        <v>1171</v>
      </c>
      <c r="R119" t="str">
        <f>_xlfn.TEXTBEFORE(_xlfn.TEXTAFTER(us_core_reqs[[#This Row],[URL*]],"/",-1),".")</f>
        <v>scopes</v>
      </c>
      <c r="S119" t="str">
        <f>_xlfn.TEXTAFTER(us_core_reqs[[#This Row],[URL*]],"#",-1)</f>
        <v>capabilities-for-implementations-supporting-user-facing-applications</v>
      </c>
      <c r="T119" t="str">
        <f>SUBSTITUTE(SUBSTITUTE(PROPER(SUBSTITUTE(us_core_reqs[[#This Row],[Page]], "-", " "))&amp;": "&amp;PROPER(SUBSTITUTE(us_core_reqs[[#This Row],[Section]], "-", " ")),"Us ","US "), "Uscdi", "USCDI")</f>
        <v>Scopes: Capabilities For Implementations Supporting User Facing Applications</v>
      </c>
      <c r="U119" t="s">
        <v>32</v>
      </c>
      <c r="V119" t="s">
        <v>30</v>
      </c>
      <c r="W119" t="s">
        <v>154</v>
      </c>
      <c r="X119" t="s">
        <v>1171</v>
      </c>
      <c r="Y119" t="s">
        <v>1171</v>
      </c>
      <c r="Z119" t="s">
        <v>1171</v>
      </c>
      <c r="AA119" t="s">
        <v>1171</v>
      </c>
      <c r="AB119" t="s">
        <v>1171</v>
      </c>
      <c r="AC119" t="s">
        <v>1171</v>
      </c>
      <c r="AD119" t="s">
        <v>1171</v>
      </c>
    </row>
    <row r="120" spans="1:30" ht="119" x14ac:dyDescent="0.2">
      <c r="A120" t="s">
        <v>1171</v>
      </c>
      <c r="B120" t="s">
        <v>1292</v>
      </c>
      <c r="C120" t="str">
        <f>"CONF-"&amp;TEXT(us_core_reqs[[#This Row],[ID*]], "0000")</f>
        <v>CONF-0119</v>
      </c>
      <c r="D120" s="11" t="s">
        <v>826</v>
      </c>
      <c r="E120" t="str">
        <f>SUBSTITUTE(us_core_reqs[[#This Row],[URL*]], "https://hl7.org/fhir/us/core/STU8/","")</f>
        <v>scopes.html#capabilities-for-implementations-supporting-user-facing-applications</v>
      </c>
      <c r="F120" s="11" t="s">
        <v>2050</v>
      </c>
      <c r="G120" t="s">
        <v>29</v>
      </c>
      <c r="I120" t="s">
        <v>30</v>
      </c>
      <c r="J120" t="s">
        <v>1171</v>
      </c>
      <c r="K120" t="s">
        <v>1171</v>
      </c>
      <c r="L120" t="s">
        <v>1176</v>
      </c>
      <c r="M120" t="s">
        <v>156</v>
      </c>
      <c r="N120" t="s">
        <v>1171</v>
      </c>
      <c r="O120" t="s">
        <v>1171</v>
      </c>
      <c r="P120" t="s">
        <v>1171</v>
      </c>
      <c r="Q120" t="s">
        <v>1171</v>
      </c>
      <c r="R120" t="str">
        <f>_xlfn.TEXTBEFORE(_xlfn.TEXTAFTER(us_core_reqs[[#This Row],[URL*]],"/",-1),".")</f>
        <v>scopes</v>
      </c>
      <c r="S120" t="str">
        <f>_xlfn.TEXTAFTER(us_core_reqs[[#This Row],[URL*]],"#",-1)</f>
        <v>capabilities-for-implementations-supporting-user-facing-applications</v>
      </c>
      <c r="T120" t="str">
        <f>SUBSTITUTE(SUBSTITUTE(PROPER(SUBSTITUTE(us_core_reqs[[#This Row],[Page]], "-", " "))&amp;": "&amp;PROPER(SUBSTITUTE(us_core_reqs[[#This Row],[Section]], "-", " ")),"Us ","US "), "Uscdi", "USCDI")</f>
        <v>Scopes: Capabilities For Implementations Supporting User Facing Applications</v>
      </c>
      <c r="U120" t="s">
        <v>29</v>
      </c>
      <c r="V120" t="s">
        <v>1171</v>
      </c>
      <c r="W120" t="s">
        <v>157</v>
      </c>
      <c r="X120" t="s">
        <v>1171</v>
      </c>
      <c r="Y120" t="s">
        <v>1171</v>
      </c>
      <c r="Z120" t="s">
        <v>1171</v>
      </c>
      <c r="AA120" t="s">
        <v>1171</v>
      </c>
      <c r="AB120" t="s">
        <v>1171</v>
      </c>
      <c r="AC120" t="s">
        <v>1140</v>
      </c>
      <c r="AD120" t="s">
        <v>1171</v>
      </c>
    </row>
    <row r="121" spans="1:30" ht="51" x14ac:dyDescent="0.2">
      <c r="A121" t="s">
        <v>1171</v>
      </c>
      <c r="B121" t="s">
        <v>1293</v>
      </c>
      <c r="C121" t="str">
        <f>"CONF-"&amp;TEXT(us_core_reqs[[#This Row],[ID*]], "0000")</f>
        <v>CONF-0120</v>
      </c>
      <c r="D121" s="11" t="s">
        <v>827</v>
      </c>
      <c r="E121" t="str">
        <f>SUBSTITUTE(us_core_reqs[[#This Row],[URL*]], "https://hl7.org/fhir/us/core/STU8/","")</f>
        <v>scopes.html#capabilities-for-implementations-supporting-backend-services</v>
      </c>
      <c r="F121" s="11" t="s">
        <v>2179</v>
      </c>
      <c r="G121" t="s">
        <v>29</v>
      </c>
      <c r="I121" t="s">
        <v>30</v>
      </c>
      <c r="J121" t="s">
        <v>1171</v>
      </c>
      <c r="K121" t="s">
        <v>1171</v>
      </c>
      <c r="L121" t="s">
        <v>1173</v>
      </c>
      <c r="M121" t="s">
        <v>1171</v>
      </c>
      <c r="N121" t="s">
        <v>1171</v>
      </c>
      <c r="O121" t="s">
        <v>1171</v>
      </c>
      <c r="P121" t="s">
        <v>1171</v>
      </c>
      <c r="Q121" t="s">
        <v>1171</v>
      </c>
      <c r="R121" t="str">
        <f>_xlfn.TEXTBEFORE(_xlfn.TEXTAFTER(us_core_reqs[[#This Row],[URL*]],"/",-1),".")</f>
        <v>scopes</v>
      </c>
      <c r="S121" t="str">
        <f>_xlfn.TEXTAFTER(us_core_reqs[[#This Row],[URL*]],"#",-1)</f>
        <v>capabilities-for-implementations-supporting-backend-services</v>
      </c>
      <c r="T121" t="str">
        <f>SUBSTITUTE(SUBSTITUTE(PROPER(SUBSTITUTE(us_core_reqs[[#This Row],[Page]], "-", " "))&amp;": "&amp;PROPER(SUBSTITUTE(us_core_reqs[[#This Row],[Section]], "-", " ")),"Us ","US "), "Uscdi", "USCDI")</f>
        <v>Scopes: Capabilities For Implementations Supporting Backend Services</v>
      </c>
      <c r="U121" t="s">
        <v>29</v>
      </c>
      <c r="V121" t="s">
        <v>58</v>
      </c>
      <c r="W121" t="s">
        <v>158</v>
      </c>
      <c r="X121" t="s">
        <v>1171</v>
      </c>
      <c r="Y121" t="s">
        <v>1171</v>
      </c>
      <c r="Z121" t="s">
        <v>1171</v>
      </c>
      <c r="AA121" t="s">
        <v>1171</v>
      </c>
      <c r="AB121" t="s">
        <v>1171</v>
      </c>
      <c r="AC121" t="s">
        <v>1142</v>
      </c>
      <c r="AD121" t="s">
        <v>1171</v>
      </c>
    </row>
    <row r="122" spans="1:30" ht="34" x14ac:dyDescent="0.2">
      <c r="A122" t="s">
        <v>1171</v>
      </c>
      <c r="B122" t="s">
        <v>1294</v>
      </c>
      <c r="C122" t="str">
        <f>"CONF-"&amp;TEXT(us_core_reqs[[#This Row],[ID*]], "0000")</f>
        <v>CONF-0121</v>
      </c>
      <c r="D122" s="11" t="s">
        <v>827</v>
      </c>
      <c r="E122" t="str">
        <f>SUBSTITUTE(us_core_reqs[[#This Row],[URL*]], "https://hl7.org/fhir/us/core/STU8/","")</f>
        <v>scopes.html#capabilities-for-implementations-supporting-backend-services</v>
      </c>
      <c r="F122" s="11" t="s">
        <v>2180</v>
      </c>
      <c r="G122" t="s">
        <v>29</v>
      </c>
      <c r="I122" t="s">
        <v>30</v>
      </c>
      <c r="J122" t="s">
        <v>1171</v>
      </c>
      <c r="K122" t="s">
        <v>1171</v>
      </c>
      <c r="L122" t="s">
        <v>1173</v>
      </c>
      <c r="M122" t="s">
        <v>1171</v>
      </c>
      <c r="N122" t="s">
        <v>1171</v>
      </c>
      <c r="O122" t="s">
        <v>1171</v>
      </c>
      <c r="P122" t="s">
        <v>1171</v>
      </c>
      <c r="Q122" t="s">
        <v>1171</v>
      </c>
      <c r="R122" t="str">
        <f>_xlfn.TEXTBEFORE(_xlfn.TEXTAFTER(us_core_reqs[[#This Row],[URL*]],"/",-1),".")</f>
        <v>scopes</v>
      </c>
      <c r="S122" t="str">
        <f>_xlfn.TEXTAFTER(us_core_reqs[[#This Row],[URL*]],"#",-1)</f>
        <v>capabilities-for-implementations-supporting-backend-services</v>
      </c>
      <c r="T122" t="str">
        <f>SUBSTITUTE(SUBSTITUTE(PROPER(SUBSTITUTE(us_core_reqs[[#This Row],[Page]], "-", " "))&amp;": "&amp;PROPER(SUBSTITUTE(us_core_reqs[[#This Row],[Section]], "-", " ")),"Us ","US "), "Uscdi", "USCDI")</f>
        <v>Scopes: Capabilities For Implementations Supporting Backend Services</v>
      </c>
      <c r="U122" t="s">
        <v>29</v>
      </c>
      <c r="V122" t="s">
        <v>30</v>
      </c>
      <c r="W122" t="s">
        <v>1171</v>
      </c>
      <c r="X122" t="s">
        <v>1171</v>
      </c>
      <c r="Y122" t="s">
        <v>1171</v>
      </c>
      <c r="Z122" t="s">
        <v>1171</v>
      </c>
      <c r="AA122" t="s">
        <v>1171</v>
      </c>
      <c r="AB122" t="s">
        <v>1171</v>
      </c>
      <c r="AC122" t="s">
        <v>1142</v>
      </c>
      <c r="AD122" t="s">
        <v>1171</v>
      </c>
    </row>
    <row r="123" spans="1:30" ht="68" x14ac:dyDescent="0.2">
      <c r="A123" t="s">
        <v>1171</v>
      </c>
      <c r="B123" t="s">
        <v>1295</v>
      </c>
      <c r="C123" t="str">
        <f>"CONF-"&amp;TEXT(us_core_reqs[[#This Row],[ID*]], "0000")</f>
        <v>CONF-0122</v>
      </c>
      <c r="D123" s="11" t="s">
        <v>827</v>
      </c>
      <c r="E123" t="str">
        <f>SUBSTITUTE(us_core_reqs[[#This Row],[URL*]], "https://hl7.org/fhir/us/core/STU8/","")</f>
        <v>scopes.html#capabilities-for-implementations-supporting-backend-services</v>
      </c>
      <c r="F123" s="11" t="s">
        <v>2181</v>
      </c>
      <c r="G123" t="s">
        <v>29</v>
      </c>
      <c r="H123" t="s">
        <v>1871</v>
      </c>
      <c r="I123" t="s">
        <v>58</v>
      </c>
      <c r="J123" t="s">
        <v>1171</v>
      </c>
      <c r="K123" t="s">
        <v>1171</v>
      </c>
      <c r="L123" t="s">
        <v>1173</v>
      </c>
      <c r="M123" t="s">
        <v>1171</v>
      </c>
      <c r="N123" t="s">
        <v>1171</v>
      </c>
      <c r="O123" t="s">
        <v>1171</v>
      </c>
      <c r="P123" t="s">
        <v>1171</v>
      </c>
      <c r="Q123" t="s">
        <v>1171</v>
      </c>
      <c r="R123" t="str">
        <f>_xlfn.TEXTBEFORE(_xlfn.TEXTAFTER(us_core_reqs[[#This Row],[URL*]],"/",-1),".")</f>
        <v>scopes</v>
      </c>
      <c r="S123" t="str">
        <f>_xlfn.TEXTAFTER(us_core_reqs[[#This Row],[URL*]],"#",-1)</f>
        <v>capabilities-for-implementations-supporting-backend-services</v>
      </c>
      <c r="T123" t="str">
        <f>SUBSTITUTE(SUBSTITUTE(PROPER(SUBSTITUTE(us_core_reqs[[#This Row],[Page]], "-", " "))&amp;": "&amp;PROPER(SUBSTITUTE(us_core_reqs[[#This Row],[Section]], "-", " ")),"Us ","US "), "Uscdi", "USCDI")</f>
        <v>Scopes: Capabilities For Implementations Supporting Backend Services</v>
      </c>
      <c r="U123" t="s">
        <v>29</v>
      </c>
      <c r="V123" t="s">
        <v>58</v>
      </c>
      <c r="W123" t="s">
        <v>1171</v>
      </c>
      <c r="X123" t="s">
        <v>1171</v>
      </c>
      <c r="Y123" t="s">
        <v>1171</v>
      </c>
      <c r="Z123" t="s">
        <v>1171</v>
      </c>
      <c r="AA123" t="s">
        <v>1171</v>
      </c>
      <c r="AB123" t="s">
        <v>1171</v>
      </c>
      <c r="AC123" t="s">
        <v>1142</v>
      </c>
      <c r="AD123" t="s">
        <v>1171</v>
      </c>
    </row>
    <row r="124" spans="1:30" ht="85" x14ac:dyDescent="0.2">
      <c r="A124" t="s">
        <v>1171</v>
      </c>
      <c r="B124" t="s">
        <v>1296</v>
      </c>
      <c r="C124" t="str">
        <f>"CONF-"&amp;TEXT(us_core_reqs[[#This Row],[ID*]], "0000")</f>
        <v>CONF-0123</v>
      </c>
      <c r="D124" s="11" t="s">
        <v>983</v>
      </c>
      <c r="E124" t="str">
        <f>SUBSTITUTE(us_core_reqs[[#This Row],[URL*]], "https://hl7.org/fhir/us/core/STU8/","")</f>
        <v>scopes.html#us-core-Servers-shall-support-token-introspection</v>
      </c>
      <c r="F124" s="11" t="s">
        <v>2079</v>
      </c>
      <c r="G124" t="s">
        <v>29</v>
      </c>
      <c r="I124" t="s">
        <v>30</v>
      </c>
      <c r="J124" t="s">
        <v>1171</v>
      </c>
      <c r="K124" t="s">
        <v>1171</v>
      </c>
      <c r="L124" t="s">
        <v>1173</v>
      </c>
      <c r="M124" t="s">
        <v>1171</v>
      </c>
      <c r="N124" t="s">
        <v>1171</v>
      </c>
      <c r="O124" t="s">
        <v>1171</v>
      </c>
      <c r="P124" t="s">
        <v>1171</v>
      </c>
      <c r="Q124" t="s">
        <v>1171</v>
      </c>
      <c r="R124" t="str">
        <f>_xlfn.TEXTBEFORE(_xlfn.TEXTAFTER(us_core_reqs[[#This Row],[URL*]],"/",-1),".")</f>
        <v>scopes</v>
      </c>
      <c r="S124" t="str">
        <f>_xlfn.TEXTAFTER(us_core_reqs[[#This Row],[URL*]],"#",-1)</f>
        <v>us-core-Servers-shall-support-token-introspection</v>
      </c>
      <c r="T124" t="str">
        <f>SUBSTITUTE(SUBSTITUTE(PROPER(SUBSTITUTE(us_core_reqs[[#This Row],[Page]], "-", " "))&amp;": "&amp;PROPER(SUBSTITUTE(us_core_reqs[[#This Row],[Section]], "-", " ")),"Us ","US "), "Uscdi", "USCDI")</f>
        <v>Scopes: US Core Servers Shall Support Token Introspection</v>
      </c>
      <c r="U124" t="s">
        <v>29</v>
      </c>
      <c r="V124" t="s">
        <v>30</v>
      </c>
      <c r="W124" t="s">
        <v>158</v>
      </c>
      <c r="X124" t="s">
        <v>1171</v>
      </c>
      <c r="Y124" t="s">
        <v>1171</v>
      </c>
      <c r="Z124" t="s">
        <v>1171</v>
      </c>
      <c r="AA124" t="s">
        <v>1171</v>
      </c>
      <c r="AB124" t="s">
        <v>1171</v>
      </c>
      <c r="AC124" t="s">
        <v>1142</v>
      </c>
      <c r="AD124" t="s">
        <v>1171</v>
      </c>
    </row>
    <row r="125" spans="1:30" ht="51" x14ac:dyDescent="0.2">
      <c r="A125" t="s">
        <v>1171</v>
      </c>
      <c r="B125" t="s">
        <v>1297</v>
      </c>
      <c r="C125" t="str">
        <f>"CONF-"&amp;TEXT(us_core_reqs[[#This Row],[ID*]], "0000")</f>
        <v>CONF-0124</v>
      </c>
      <c r="D125" s="11" t="s">
        <v>622</v>
      </c>
      <c r="E125" t="str">
        <f>SUBSTITUTE(us_core_reqs[[#This Row],[URL*]], "https://hl7.org/fhir/us/core/STU8/","")</f>
        <v>scopes.html#smart-scopes</v>
      </c>
      <c r="F125" s="11" t="s">
        <v>161</v>
      </c>
      <c r="G125" t="s">
        <v>29</v>
      </c>
      <c r="H125" t="s">
        <v>1873</v>
      </c>
      <c r="I125" t="s">
        <v>30</v>
      </c>
      <c r="J125" t="b">
        <v>1</v>
      </c>
      <c r="K125" t="s">
        <v>1171</v>
      </c>
      <c r="L125" t="s">
        <v>1176</v>
      </c>
      <c r="M125" t="s">
        <v>1171</v>
      </c>
      <c r="N125" t="s">
        <v>1171</v>
      </c>
      <c r="O125" t="s">
        <v>1171</v>
      </c>
      <c r="P125" t="s">
        <v>1171</v>
      </c>
      <c r="Q125" t="s">
        <v>1171</v>
      </c>
      <c r="R125" t="str">
        <f>_xlfn.TEXTBEFORE(_xlfn.TEXTAFTER(us_core_reqs[[#This Row],[URL*]],"/",-1),".")</f>
        <v>scopes</v>
      </c>
      <c r="S125" t="str">
        <f>_xlfn.TEXTAFTER(us_core_reqs[[#This Row],[URL*]],"#",-1)</f>
        <v>smart-scopes</v>
      </c>
      <c r="T125" t="str">
        <f>SUBSTITUTE(SUBSTITUTE(PROPER(SUBSTITUTE(us_core_reqs[[#This Row],[Page]], "-", " "))&amp;": "&amp;PROPER(SUBSTITUTE(us_core_reqs[[#This Row],[Section]], "-", " ")),"Us ","US "), "Uscdi", "USCDI")</f>
        <v>Scopes: Smart Scopes</v>
      </c>
      <c r="U125" t="s">
        <v>1171</v>
      </c>
      <c r="V125" t="s">
        <v>1171</v>
      </c>
      <c r="W125" t="s">
        <v>1171</v>
      </c>
      <c r="X125" t="s">
        <v>1171</v>
      </c>
      <c r="Y125" t="s">
        <v>1171</v>
      </c>
      <c r="Z125" t="s">
        <v>1171</v>
      </c>
      <c r="AA125" t="s">
        <v>1171</v>
      </c>
      <c r="AB125" t="s">
        <v>1171</v>
      </c>
      <c r="AC125" t="s">
        <v>1140</v>
      </c>
      <c r="AD125" t="s">
        <v>1171</v>
      </c>
    </row>
    <row r="126" spans="1:30" ht="34" x14ac:dyDescent="0.2">
      <c r="A126" t="s">
        <v>1171</v>
      </c>
      <c r="B126" t="s">
        <v>1298</v>
      </c>
      <c r="C126" t="str">
        <f>"CONF-"&amp;TEXT(us_core_reqs[[#This Row],[ID*]], "0000")</f>
        <v>CONF-0125</v>
      </c>
      <c r="D126" s="11" t="s">
        <v>622</v>
      </c>
      <c r="E126" t="str">
        <f>SUBSTITUTE(us_core_reqs[[#This Row],[URL*]], "https://hl7.org/fhir/us/core/STU8/","")</f>
        <v>scopes.html#smart-scopes</v>
      </c>
      <c r="F126" s="11" t="s">
        <v>162</v>
      </c>
      <c r="G126" t="s">
        <v>35</v>
      </c>
      <c r="H126" t="s">
        <v>1872</v>
      </c>
      <c r="I126" t="s">
        <v>30</v>
      </c>
      <c r="J126" t="s">
        <v>1171</v>
      </c>
      <c r="K126" t="s">
        <v>1171</v>
      </c>
      <c r="L126" t="s">
        <v>1173</v>
      </c>
      <c r="M126" t="s">
        <v>1171</v>
      </c>
      <c r="N126" t="s">
        <v>1171</v>
      </c>
      <c r="O126" t="s">
        <v>1171</v>
      </c>
      <c r="P126" t="s">
        <v>1171</v>
      </c>
      <c r="Q126" t="s">
        <v>1171</v>
      </c>
      <c r="R126" t="str">
        <f>_xlfn.TEXTBEFORE(_xlfn.TEXTAFTER(us_core_reqs[[#This Row],[URL*]],"/",-1),".")</f>
        <v>scopes</v>
      </c>
      <c r="S126" t="str">
        <f>_xlfn.TEXTAFTER(us_core_reqs[[#This Row],[URL*]],"#",-1)</f>
        <v>smart-scopes</v>
      </c>
      <c r="T126" t="str">
        <f>SUBSTITUTE(SUBSTITUTE(PROPER(SUBSTITUTE(us_core_reqs[[#This Row],[Page]], "-", " "))&amp;": "&amp;PROPER(SUBSTITUTE(us_core_reqs[[#This Row],[Section]], "-", " ")),"Us ","US "), "Uscdi", "USCDI")</f>
        <v>Scopes: Smart Scopes</v>
      </c>
      <c r="U126" t="s">
        <v>1171</v>
      </c>
      <c r="V126" t="s">
        <v>1171</v>
      </c>
      <c r="W126" t="s">
        <v>1171</v>
      </c>
      <c r="X126" t="s">
        <v>1171</v>
      </c>
      <c r="Y126" t="s">
        <v>1171</v>
      </c>
      <c r="Z126" t="s">
        <v>1171</v>
      </c>
      <c r="AA126" t="s">
        <v>1171</v>
      </c>
      <c r="AB126" t="s">
        <v>1171</v>
      </c>
      <c r="AC126" t="s">
        <v>1171</v>
      </c>
      <c r="AD126" t="s">
        <v>1171</v>
      </c>
    </row>
    <row r="127" spans="1:30" ht="34" x14ac:dyDescent="0.2">
      <c r="A127" t="s">
        <v>1171</v>
      </c>
      <c r="B127" t="s">
        <v>1299</v>
      </c>
      <c r="C127" t="str">
        <f>"CONF-"&amp;TEXT(us_core_reqs[[#This Row],[ID*]], "0000")</f>
        <v>CONF-0126</v>
      </c>
      <c r="D127" s="11" t="s">
        <v>622</v>
      </c>
      <c r="E127" t="str">
        <f>SUBSTITUTE(us_core_reqs[[#This Row],[URL*]], "https://hl7.org/fhir/us/core/STU8/","")</f>
        <v>scopes.html#smart-scopes</v>
      </c>
      <c r="F127" s="11" t="s">
        <v>2166</v>
      </c>
      <c r="G127" t="s">
        <v>35</v>
      </c>
      <c r="I127" t="s">
        <v>30</v>
      </c>
      <c r="J127" t="s">
        <v>1171</v>
      </c>
      <c r="K127" t="s">
        <v>1171</v>
      </c>
      <c r="L127" t="s">
        <v>1173</v>
      </c>
      <c r="M127" t="s">
        <v>1171</v>
      </c>
      <c r="N127" t="s">
        <v>1171</v>
      </c>
      <c r="O127" t="s">
        <v>1171</v>
      </c>
      <c r="P127" t="s">
        <v>1171</v>
      </c>
      <c r="Q127" t="s">
        <v>1171</v>
      </c>
      <c r="R127" t="str">
        <f>_xlfn.TEXTBEFORE(_xlfn.TEXTAFTER(us_core_reqs[[#This Row],[URL*]],"/",-1),".")</f>
        <v>scopes</v>
      </c>
      <c r="S127" t="str">
        <f>_xlfn.TEXTAFTER(us_core_reqs[[#This Row],[URL*]],"#",-1)</f>
        <v>smart-scopes</v>
      </c>
      <c r="T127" t="str">
        <f>SUBSTITUTE(SUBSTITUTE(PROPER(SUBSTITUTE(us_core_reqs[[#This Row],[Page]], "-", " "))&amp;": "&amp;PROPER(SUBSTITUTE(us_core_reqs[[#This Row],[Section]], "-", " ")),"Us ","US "), "Uscdi", "USCDI")</f>
        <v>Scopes: Smart Scopes</v>
      </c>
      <c r="U127" t="s">
        <v>35</v>
      </c>
      <c r="V127" t="s">
        <v>30</v>
      </c>
      <c r="W127" t="s">
        <v>1171</v>
      </c>
      <c r="X127" t="s">
        <v>1171</v>
      </c>
      <c r="Y127" t="s">
        <v>1171</v>
      </c>
      <c r="Z127" t="s">
        <v>1171</v>
      </c>
      <c r="AA127" t="s">
        <v>1171</v>
      </c>
      <c r="AB127" t="s">
        <v>1171</v>
      </c>
      <c r="AC127" t="s">
        <v>1171</v>
      </c>
      <c r="AD127" t="s">
        <v>1171</v>
      </c>
    </row>
    <row r="128" spans="1:30" ht="51" x14ac:dyDescent="0.2">
      <c r="A128" t="s">
        <v>1171</v>
      </c>
      <c r="B128" t="s">
        <v>1300</v>
      </c>
      <c r="C128" t="str">
        <f>"CONF-"&amp;TEXT(us_core_reqs[[#This Row],[ID*]], "0000")</f>
        <v>CONF-0127</v>
      </c>
      <c r="D128" s="11" t="s">
        <v>622</v>
      </c>
      <c r="E128" t="str">
        <f>SUBSTITUTE(us_core_reqs[[#This Row],[URL*]], "https://hl7.org/fhir/us/core/STU8/","")</f>
        <v>scopes.html#smart-scopes</v>
      </c>
      <c r="F128" s="11" t="s">
        <v>923</v>
      </c>
      <c r="G128" t="s">
        <v>32</v>
      </c>
      <c r="H128" t="s">
        <v>1874</v>
      </c>
      <c r="I128" t="s">
        <v>58</v>
      </c>
      <c r="J128" t="s">
        <v>1171</v>
      </c>
      <c r="K128" t="s">
        <v>1171</v>
      </c>
      <c r="L128" t="s">
        <v>1173</v>
      </c>
      <c r="M128" t="s">
        <v>1171</v>
      </c>
      <c r="N128" t="s">
        <v>1171</v>
      </c>
      <c r="O128" t="s">
        <v>1171</v>
      </c>
      <c r="P128" t="s">
        <v>1171</v>
      </c>
      <c r="Q128" t="s">
        <v>1171</v>
      </c>
      <c r="R128" t="str">
        <f>_xlfn.TEXTBEFORE(_xlfn.TEXTAFTER(us_core_reqs[[#This Row],[URL*]],"/",-1),".")</f>
        <v>scopes</v>
      </c>
      <c r="S128" t="str">
        <f>_xlfn.TEXTAFTER(us_core_reqs[[#This Row],[URL*]],"#",-1)</f>
        <v>smart-scopes</v>
      </c>
      <c r="T128" t="str">
        <f>SUBSTITUTE(SUBSTITUTE(PROPER(SUBSTITUTE(us_core_reqs[[#This Row],[Page]], "-", " "))&amp;": "&amp;PROPER(SUBSTITUTE(us_core_reqs[[#This Row],[Section]], "-", " ")),"Us ","US "), "Uscdi", "USCDI")</f>
        <v>Scopes: Smart Scopes</v>
      </c>
      <c r="U128" t="s">
        <v>32</v>
      </c>
      <c r="V128" t="s">
        <v>58</v>
      </c>
      <c r="W128" t="s">
        <v>1171</v>
      </c>
      <c r="X128" t="s">
        <v>1171</v>
      </c>
      <c r="Y128" t="s">
        <v>1171</v>
      </c>
      <c r="Z128" t="s">
        <v>1171</v>
      </c>
      <c r="AA128" t="s">
        <v>1171</v>
      </c>
      <c r="AB128" t="s">
        <v>1171</v>
      </c>
      <c r="AC128" t="s">
        <v>1171</v>
      </c>
      <c r="AD128" t="s">
        <v>1171</v>
      </c>
    </row>
    <row r="129" spans="1:30" ht="119" x14ac:dyDescent="0.2">
      <c r="A129" t="s">
        <v>1171</v>
      </c>
      <c r="B129" t="s">
        <v>1301</v>
      </c>
      <c r="C129" t="str">
        <f>"CONF-"&amp;TEXT(us_core_reqs[[#This Row],[ID*]], "0000")</f>
        <v>CONF-0128</v>
      </c>
      <c r="D129" s="11" t="s">
        <v>828</v>
      </c>
      <c r="E129" t="str">
        <f>SUBSTITUTE(us_core_reqs[[#This Row],[URL*]], "https://hl7.org/fhir/us/core/STU8/","")</f>
        <v>scopes.html#us-core-scopes</v>
      </c>
      <c r="F129" s="11" t="s">
        <v>2080</v>
      </c>
      <c r="G129" t="s">
        <v>29</v>
      </c>
      <c r="I129" t="s">
        <v>30</v>
      </c>
      <c r="J129" t="s">
        <v>1171</v>
      </c>
      <c r="K129" t="s">
        <v>1171</v>
      </c>
      <c r="L129" t="s">
        <v>1173</v>
      </c>
      <c r="M129" t="s">
        <v>1171</v>
      </c>
      <c r="N129" t="s">
        <v>1171</v>
      </c>
      <c r="O129" t="s">
        <v>1171</v>
      </c>
      <c r="P129" t="s">
        <v>1171</v>
      </c>
      <c r="Q129" t="s">
        <v>1171</v>
      </c>
      <c r="R129" t="str">
        <f>_xlfn.TEXTBEFORE(_xlfn.TEXTAFTER(us_core_reqs[[#This Row],[URL*]],"/",-1),".")</f>
        <v>scopes</v>
      </c>
      <c r="S129" t="str">
        <f>_xlfn.TEXTAFTER(us_core_reqs[[#This Row],[URL*]],"#",-1)</f>
        <v>us-core-scopes</v>
      </c>
      <c r="T129" t="str">
        <f>SUBSTITUTE(SUBSTITUTE(PROPER(SUBSTITUTE(us_core_reqs[[#This Row],[Page]], "-", " "))&amp;": "&amp;PROPER(SUBSTITUTE(us_core_reqs[[#This Row],[Section]], "-", " ")),"Us ","US "), "Uscdi", "USCDI")</f>
        <v>Scopes: US Core Scopes</v>
      </c>
      <c r="U129" t="s">
        <v>29</v>
      </c>
      <c r="V129" t="s">
        <v>30</v>
      </c>
      <c r="W129" t="s">
        <v>164</v>
      </c>
      <c r="X129" t="s">
        <v>1171</v>
      </c>
      <c r="Y129" t="s">
        <v>1171</v>
      </c>
      <c r="Z129" t="s">
        <v>1171</v>
      </c>
      <c r="AA129" t="s">
        <v>1171</v>
      </c>
      <c r="AB129" t="s">
        <v>1171</v>
      </c>
      <c r="AC129" t="s">
        <v>1140</v>
      </c>
      <c r="AD129" t="s">
        <v>1171</v>
      </c>
    </row>
    <row r="130" spans="1:30" ht="119" x14ac:dyDescent="0.2">
      <c r="A130" t="s">
        <v>1171</v>
      </c>
      <c r="B130" t="s">
        <v>1302</v>
      </c>
      <c r="C130" t="str">
        <f>"CONF-"&amp;TEXT(us_core_reqs[[#This Row],[ID*]], "0000")</f>
        <v>CONF-0129</v>
      </c>
      <c r="D130" s="11" t="s">
        <v>828</v>
      </c>
      <c r="E130" t="str">
        <f>SUBSTITUTE(us_core_reqs[[#This Row],[URL*]], "https://hl7.org/fhir/us/core/STU8/","")</f>
        <v>scopes.html#us-core-scopes</v>
      </c>
      <c r="F130" s="11" t="s">
        <v>1910</v>
      </c>
      <c r="G130" t="s">
        <v>32</v>
      </c>
      <c r="I130" t="s">
        <v>30</v>
      </c>
      <c r="J130" t="s">
        <v>1171</v>
      </c>
      <c r="K130" t="s">
        <v>1171</v>
      </c>
      <c r="L130" t="s">
        <v>1173</v>
      </c>
      <c r="M130" t="s">
        <v>1171</v>
      </c>
      <c r="N130" t="s">
        <v>1171</v>
      </c>
      <c r="O130" t="s">
        <v>1171</v>
      </c>
      <c r="P130" t="s">
        <v>1171</v>
      </c>
      <c r="Q130" t="s">
        <v>1171</v>
      </c>
      <c r="R130" t="str">
        <f>_xlfn.TEXTBEFORE(_xlfn.TEXTAFTER(us_core_reqs[[#This Row],[URL*]],"/",-1),".")</f>
        <v>scopes</v>
      </c>
      <c r="S130" t="str">
        <f>_xlfn.TEXTAFTER(us_core_reqs[[#This Row],[URL*]],"#",-1)</f>
        <v>us-core-scopes</v>
      </c>
      <c r="T130" t="str">
        <f>SUBSTITUTE(SUBSTITUTE(PROPER(SUBSTITUTE(us_core_reqs[[#This Row],[Page]], "-", " "))&amp;": "&amp;PROPER(SUBSTITUTE(us_core_reqs[[#This Row],[Section]], "-", " ")),"Us ","US "), "Uscdi", "USCDI")</f>
        <v>Scopes: US Core Scopes</v>
      </c>
      <c r="U130" t="s">
        <v>32</v>
      </c>
      <c r="V130" t="s">
        <v>30</v>
      </c>
      <c r="W130" t="s">
        <v>1171</v>
      </c>
      <c r="X130" t="s">
        <v>1171</v>
      </c>
      <c r="Y130" t="s">
        <v>1171</v>
      </c>
      <c r="Z130" t="s">
        <v>1171</v>
      </c>
      <c r="AA130" t="s">
        <v>1171</v>
      </c>
      <c r="AB130" t="s">
        <v>1171</v>
      </c>
      <c r="AC130" t="s">
        <v>1171</v>
      </c>
      <c r="AD130" t="s">
        <v>1171</v>
      </c>
    </row>
    <row r="131" spans="1:30" ht="68" x14ac:dyDescent="0.2">
      <c r="A131" t="s">
        <v>1171</v>
      </c>
      <c r="B131" t="s">
        <v>1303</v>
      </c>
      <c r="C131" t="str">
        <f>"CONF-"&amp;TEXT(us_core_reqs[[#This Row],[ID*]], "0000")</f>
        <v>CONF-0130</v>
      </c>
      <c r="D131" s="11" t="s">
        <v>828</v>
      </c>
      <c r="E131" t="str">
        <f>SUBSTITUTE(us_core_reqs[[#This Row],[URL*]], "https://hl7.org/fhir/us/core/STU8/","")</f>
        <v>scopes.html#us-core-scopes</v>
      </c>
      <c r="F131" s="11" t="s">
        <v>2081</v>
      </c>
      <c r="G131" t="s">
        <v>29</v>
      </c>
      <c r="I131" t="s">
        <v>30</v>
      </c>
      <c r="J131" t="s">
        <v>1171</v>
      </c>
      <c r="K131" t="s">
        <v>1171</v>
      </c>
      <c r="L131" t="s">
        <v>1173</v>
      </c>
      <c r="M131" t="s">
        <v>1171</v>
      </c>
      <c r="N131" t="s">
        <v>1171</v>
      </c>
      <c r="O131" t="s">
        <v>1171</v>
      </c>
      <c r="P131" t="s">
        <v>1171</v>
      </c>
      <c r="Q131" t="s">
        <v>1171</v>
      </c>
      <c r="R131" t="str">
        <f>_xlfn.TEXTBEFORE(_xlfn.TEXTAFTER(us_core_reqs[[#This Row],[URL*]],"/",-1),".")</f>
        <v>scopes</v>
      </c>
      <c r="S131" t="str">
        <f>_xlfn.TEXTAFTER(us_core_reqs[[#This Row],[URL*]],"#",-1)</f>
        <v>us-core-scopes</v>
      </c>
      <c r="T131" t="str">
        <f>SUBSTITUTE(SUBSTITUTE(PROPER(SUBSTITUTE(us_core_reqs[[#This Row],[Page]], "-", " "))&amp;": "&amp;PROPER(SUBSTITUTE(us_core_reqs[[#This Row],[Section]], "-", " ")),"Us ","US "), "Uscdi", "USCDI")</f>
        <v>Scopes: US Core Scopes</v>
      </c>
      <c r="U131" t="s">
        <v>29</v>
      </c>
      <c r="V131" t="s">
        <v>58</v>
      </c>
      <c r="W131" t="s">
        <v>165</v>
      </c>
      <c r="X131" t="s">
        <v>1171</v>
      </c>
      <c r="Y131" t="s">
        <v>1171</v>
      </c>
      <c r="Z131" t="s">
        <v>1171</v>
      </c>
      <c r="AA131" t="s">
        <v>1171</v>
      </c>
      <c r="AB131" t="s">
        <v>1171</v>
      </c>
      <c r="AC131" t="s">
        <v>1142</v>
      </c>
      <c r="AD131" t="s">
        <v>1171</v>
      </c>
    </row>
    <row r="132" spans="1:30" ht="68" x14ac:dyDescent="0.2">
      <c r="A132" t="s">
        <v>1171</v>
      </c>
      <c r="B132" t="s">
        <v>1304</v>
      </c>
      <c r="C132" t="str">
        <f>"CONF-"&amp;TEXT(us_core_reqs[[#This Row],[ID*]], "0000")</f>
        <v>CONF-0131</v>
      </c>
      <c r="D132" s="11" t="s">
        <v>828</v>
      </c>
      <c r="E132" t="str">
        <f>SUBSTITUTE(us_core_reqs[[#This Row],[URL*]], "https://hl7.org/fhir/us/core/STU8/","")</f>
        <v>scopes.html#us-core-scopes</v>
      </c>
      <c r="F132" s="11" t="s">
        <v>1911</v>
      </c>
      <c r="G132" t="s">
        <v>32</v>
      </c>
      <c r="I132" t="s">
        <v>30</v>
      </c>
      <c r="J132" t="s">
        <v>1171</v>
      </c>
      <c r="K132" t="s">
        <v>1171</v>
      </c>
      <c r="L132" t="s">
        <v>1173</v>
      </c>
      <c r="M132" t="s">
        <v>1171</v>
      </c>
      <c r="N132" t="s">
        <v>1171</v>
      </c>
      <c r="O132" t="s">
        <v>1171</v>
      </c>
      <c r="P132" t="s">
        <v>1171</v>
      </c>
      <c r="Q132" t="s">
        <v>1171</v>
      </c>
      <c r="R132" t="str">
        <f>_xlfn.TEXTBEFORE(_xlfn.TEXTAFTER(us_core_reqs[[#This Row],[URL*]],"/",-1),".")</f>
        <v>scopes</v>
      </c>
      <c r="S132" t="str">
        <f>_xlfn.TEXTAFTER(us_core_reqs[[#This Row],[URL*]],"#",-1)</f>
        <v>us-core-scopes</v>
      </c>
      <c r="T132" t="str">
        <f>SUBSTITUTE(SUBSTITUTE(PROPER(SUBSTITUTE(us_core_reqs[[#This Row],[Page]], "-", " "))&amp;": "&amp;PROPER(SUBSTITUTE(us_core_reqs[[#This Row],[Section]], "-", " ")),"Us ","US "), "Uscdi", "USCDI")</f>
        <v>Scopes: US Core Scopes</v>
      </c>
      <c r="U132" t="s">
        <v>32</v>
      </c>
      <c r="V132" t="s">
        <v>58</v>
      </c>
      <c r="W132" t="s">
        <v>1171</v>
      </c>
      <c r="X132" t="s">
        <v>1171</v>
      </c>
      <c r="Y132" t="s">
        <v>1171</v>
      </c>
      <c r="Z132" t="s">
        <v>1171</v>
      </c>
      <c r="AA132" t="s">
        <v>1171</v>
      </c>
      <c r="AB132" t="s">
        <v>1171</v>
      </c>
      <c r="AC132" t="s">
        <v>1171</v>
      </c>
      <c r="AD132" t="s">
        <v>1171</v>
      </c>
    </row>
    <row r="133" spans="1:30" ht="153" x14ac:dyDescent="0.2">
      <c r="A133" t="s">
        <v>1171</v>
      </c>
      <c r="B133" t="s">
        <v>1305</v>
      </c>
      <c r="C133" t="str">
        <f>"CONF-"&amp;TEXT(us_core_reqs[[#This Row],[ID*]], "0000")</f>
        <v>CONF-0132</v>
      </c>
      <c r="D133" s="11" t="s">
        <v>829</v>
      </c>
      <c r="E133" t="str">
        <f>SUBSTITUTE(us_core_reqs[[#This Row],[URL*]], "https://hl7.org/fhir/us/core/STU8/","")</f>
        <v>scopes.html#scopes-for-requesting-fhir-resources-by-type, StructureDefinition-us-core-allergyintolerance.html#us-core-scopes</v>
      </c>
      <c r="F133" s="11" t="s">
        <v>696</v>
      </c>
      <c r="G133" t="s">
        <v>29</v>
      </c>
      <c r="I133" t="s">
        <v>30</v>
      </c>
      <c r="J133" t="s">
        <v>1171</v>
      </c>
      <c r="K133" t="s">
        <v>1171</v>
      </c>
      <c r="L133" t="s">
        <v>1176</v>
      </c>
      <c r="M133" t="s">
        <v>166</v>
      </c>
      <c r="N133" t="s">
        <v>1171</v>
      </c>
      <c r="O133" t="s">
        <v>1171</v>
      </c>
      <c r="P133" t="s">
        <v>1171</v>
      </c>
      <c r="Q133" t="s">
        <v>1171</v>
      </c>
      <c r="R133" t="str">
        <f>_xlfn.TEXTBEFORE(_xlfn.TEXTAFTER(us_core_reqs[[#This Row],[URL*]],"/",-1),".")</f>
        <v>StructureDefinition-us-core-allergyintolerance</v>
      </c>
      <c r="S133" t="str">
        <f>_xlfn.TEXTAFTER(us_core_reqs[[#This Row],[URL*]],"#",-1)</f>
        <v>us-core-scopes</v>
      </c>
      <c r="T133" t="str">
        <f>SUBSTITUTE(SUBSTITUTE(PROPER(SUBSTITUTE(us_core_reqs[[#This Row],[Page]], "-", " "))&amp;": "&amp;PROPER(SUBSTITUTE(us_core_reqs[[#This Row],[Section]], "-", " ")),"Us ","US "), "Uscdi", "USCDI")</f>
        <v>Structuredefinition US Core Allergyintolerance: US Core Scopes</v>
      </c>
      <c r="U133" t="s">
        <v>29</v>
      </c>
      <c r="V133" t="s">
        <v>1171</v>
      </c>
      <c r="W133" t="s">
        <v>167</v>
      </c>
      <c r="X133" t="s">
        <v>1171</v>
      </c>
      <c r="Y133" t="s">
        <v>1171</v>
      </c>
      <c r="Z133" t="s">
        <v>1171</v>
      </c>
      <c r="AA133" t="s">
        <v>1171</v>
      </c>
      <c r="AB133" t="s">
        <v>697</v>
      </c>
      <c r="AC133" t="s">
        <v>1140</v>
      </c>
      <c r="AD133" t="s">
        <v>1171</v>
      </c>
    </row>
    <row r="134" spans="1:30" ht="136" x14ac:dyDescent="0.2">
      <c r="A134" t="s">
        <v>1171</v>
      </c>
      <c r="B134" t="s">
        <v>1306</v>
      </c>
      <c r="C134" t="str">
        <f>"CONF-"&amp;TEXT(us_core_reqs[[#This Row],[ID*]], "0000")</f>
        <v>CONF-0133</v>
      </c>
      <c r="D134" s="11" t="s">
        <v>623</v>
      </c>
      <c r="E134" t="str">
        <f>SUBSTITUTE(us_core_reqs[[#This Row],[URL*]], "https://hl7.org/fhir/us/core/STU8/","")</f>
        <v>scopes.html#scopes-for-requesting-fhir-resources-by-type</v>
      </c>
      <c r="F134" s="11" t="s">
        <v>673</v>
      </c>
      <c r="G134" t="s">
        <v>29</v>
      </c>
      <c r="I134" t="s">
        <v>30</v>
      </c>
      <c r="J134" t="s">
        <v>1171</v>
      </c>
      <c r="K134" t="s">
        <v>1171</v>
      </c>
      <c r="L134" t="s">
        <v>1176</v>
      </c>
      <c r="M134" t="s">
        <v>168</v>
      </c>
      <c r="N134" t="s">
        <v>1171</v>
      </c>
      <c r="O134" t="s">
        <v>1171</v>
      </c>
      <c r="P134" t="s">
        <v>1171</v>
      </c>
      <c r="Q134" t="s">
        <v>1171</v>
      </c>
      <c r="R134" t="str">
        <f>_xlfn.TEXTBEFORE(_xlfn.TEXTAFTER(us_core_reqs[[#This Row],[URL*]],"/",-1),".")</f>
        <v>scopes</v>
      </c>
      <c r="S134" t="str">
        <f>_xlfn.TEXTAFTER(us_core_reqs[[#This Row],[URL*]],"#",-1)</f>
        <v>scopes-for-requesting-fhir-resources-by-type</v>
      </c>
      <c r="T134" t="str">
        <f>SUBSTITUTE(SUBSTITUTE(PROPER(SUBSTITUTE(us_core_reqs[[#This Row],[Page]], "-", " "))&amp;": "&amp;PROPER(SUBSTITUTE(us_core_reqs[[#This Row],[Section]], "-", " ")),"Us ","US "), "Uscdi", "USCDI")</f>
        <v>Scopes: Scopes For Requesting Fhir Resources By Type</v>
      </c>
      <c r="U134" t="s">
        <v>29</v>
      </c>
      <c r="V134" t="s">
        <v>1171</v>
      </c>
      <c r="W134" t="s">
        <v>1171</v>
      </c>
      <c r="X134" t="s">
        <v>1171</v>
      </c>
      <c r="Y134" t="s">
        <v>1171</v>
      </c>
      <c r="Z134" t="s">
        <v>1171</v>
      </c>
      <c r="AA134" t="s">
        <v>1171</v>
      </c>
      <c r="AB134" t="s">
        <v>697</v>
      </c>
      <c r="AC134" t="s">
        <v>1140</v>
      </c>
      <c r="AD134" t="s">
        <v>1171</v>
      </c>
    </row>
    <row r="135" spans="1:30" ht="119" x14ac:dyDescent="0.2">
      <c r="A135" t="s">
        <v>1171</v>
      </c>
      <c r="B135" t="s">
        <v>1307</v>
      </c>
      <c r="C135" t="str">
        <f>"CONF-"&amp;TEXT(us_core_reqs[[#This Row],[ID*]], "0000")</f>
        <v>CONF-0134</v>
      </c>
      <c r="D135" s="11" t="s">
        <v>623</v>
      </c>
      <c r="E135" t="str">
        <f>SUBSTITUTE(us_core_reqs[[#This Row],[URL*]], "https://hl7.org/fhir/us/core/STU8/","")</f>
        <v>scopes.html#scopes-for-requesting-fhir-resources-by-type</v>
      </c>
      <c r="F135" s="11" t="s">
        <v>674</v>
      </c>
      <c r="G135" t="s">
        <v>29</v>
      </c>
      <c r="I135" t="s">
        <v>30</v>
      </c>
      <c r="J135" t="s">
        <v>1171</v>
      </c>
      <c r="K135" t="s">
        <v>1171</v>
      </c>
      <c r="L135" t="s">
        <v>1176</v>
      </c>
      <c r="M135" t="s">
        <v>169</v>
      </c>
      <c r="N135" t="s">
        <v>1171</v>
      </c>
      <c r="O135" t="s">
        <v>1171</v>
      </c>
      <c r="P135" t="s">
        <v>1171</v>
      </c>
      <c r="Q135" t="s">
        <v>1171</v>
      </c>
      <c r="R135" t="str">
        <f>_xlfn.TEXTBEFORE(_xlfn.TEXTAFTER(us_core_reqs[[#This Row],[URL*]],"/",-1),".")</f>
        <v>scopes</v>
      </c>
      <c r="S135" t="str">
        <f>_xlfn.TEXTAFTER(us_core_reqs[[#This Row],[URL*]],"#",-1)</f>
        <v>scopes-for-requesting-fhir-resources-by-type</v>
      </c>
      <c r="T135" t="str">
        <f>SUBSTITUTE(SUBSTITUTE(PROPER(SUBSTITUTE(us_core_reqs[[#This Row],[Page]], "-", " "))&amp;": "&amp;PROPER(SUBSTITUTE(us_core_reqs[[#This Row],[Section]], "-", " ")),"Us ","US "), "Uscdi", "USCDI")</f>
        <v>Scopes: Scopes For Requesting Fhir Resources By Type</v>
      </c>
      <c r="U135" t="s">
        <v>29</v>
      </c>
      <c r="V135" t="s">
        <v>1171</v>
      </c>
      <c r="W135" t="s">
        <v>1171</v>
      </c>
      <c r="X135" t="s">
        <v>1171</v>
      </c>
      <c r="Y135" t="s">
        <v>1171</v>
      </c>
      <c r="Z135" t="s">
        <v>1171</v>
      </c>
      <c r="AA135" t="s">
        <v>1171</v>
      </c>
      <c r="AB135" t="s">
        <v>697</v>
      </c>
      <c r="AC135" t="s">
        <v>1140</v>
      </c>
      <c r="AD135" t="s">
        <v>1171</v>
      </c>
    </row>
    <row r="136" spans="1:30" ht="119" x14ac:dyDescent="0.2">
      <c r="A136" t="s">
        <v>1171</v>
      </c>
      <c r="B136" t="s">
        <v>1308</v>
      </c>
      <c r="C136" t="str">
        <f>"CONF-"&amp;TEXT(us_core_reqs[[#This Row],[ID*]], "0000")</f>
        <v>CONF-0135</v>
      </c>
      <c r="D136" s="11" t="s">
        <v>623</v>
      </c>
      <c r="E136" t="str">
        <f>SUBSTITUTE(us_core_reqs[[#This Row],[URL*]], "https://hl7.org/fhir/us/core/STU8/","")</f>
        <v>scopes.html#scopes-for-requesting-fhir-resources-by-type</v>
      </c>
      <c r="F136" s="11" t="s">
        <v>675</v>
      </c>
      <c r="G136" t="s">
        <v>29</v>
      </c>
      <c r="I136" t="s">
        <v>30</v>
      </c>
      <c r="J136" t="s">
        <v>1171</v>
      </c>
      <c r="K136" t="s">
        <v>1171</v>
      </c>
      <c r="L136" t="s">
        <v>1176</v>
      </c>
      <c r="M136" t="s">
        <v>170</v>
      </c>
      <c r="N136" t="s">
        <v>1171</v>
      </c>
      <c r="O136" t="s">
        <v>1171</v>
      </c>
      <c r="P136" t="s">
        <v>1171</v>
      </c>
      <c r="Q136" t="s">
        <v>1171</v>
      </c>
      <c r="R136" t="str">
        <f>_xlfn.TEXTBEFORE(_xlfn.TEXTAFTER(us_core_reqs[[#This Row],[URL*]],"/",-1),".")</f>
        <v>scopes</v>
      </c>
      <c r="S136" t="str">
        <f>_xlfn.TEXTAFTER(us_core_reqs[[#This Row],[URL*]],"#",-1)</f>
        <v>scopes-for-requesting-fhir-resources-by-type</v>
      </c>
      <c r="T136" t="str">
        <f>SUBSTITUTE(SUBSTITUTE(PROPER(SUBSTITUTE(us_core_reqs[[#This Row],[Page]], "-", " "))&amp;": "&amp;PROPER(SUBSTITUTE(us_core_reqs[[#This Row],[Section]], "-", " ")),"Us ","US "), "Uscdi", "USCDI")</f>
        <v>Scopes: Scopes For Requesting Fhir Resources By Type</v>
      </c>
      <c r="U136" t="s">
        <v>29</v>
      </c>
      <c r="V136" t="s">
        <v>1171</v>
      </c>
      <c r="W136" t="s">
        <v>1171</v>
      </c>
      <c r="X136" t="s">
        <v>1171</v>
      </c>
      <c r="Y136" t="s">
        <v>1171</v>
      </c>
      <c r="Z136" t="s">
        <v>1171</v>
      </c>
      <c r="AA136" t="s">
        <v>1171</v>
      </c>
      <c r="AB136" t="s">
        <v>697</v>
      </c>
      <c r="AC136" t="s">
        <v>1140</v>
      </c>
      <c r="AD136" t="s">
        <v>1171</v>
      </c>
    </row>
    <row r="137" spans="1:30" ht="119" x14ac:dyDescent="0.2">
      <c r="A137" t="s">
        <v>1171</v>
      </c>
      <c r="B137" t="s">
        <v>1309</v>
      </c>
      <c r="C137" t="str">
        <f>"CONF-"&amp;TEXT(us_core_reqs[[#This Row],[ID*]], "0000")</f>
        <v>CONF-0136</v>
      </c>
      <c r="D137" s="11" t="s">
        <v>623</v>
      </c>
      <c r="E137" t="str">
        <f>SUBSTITUTE(us_core_reqs[[#This Row],[URL*]], "https://hl7.org/fhir/us/core/STU8/","")</f>
        <v>scopes.html#scopes-for-requesting-fhir-resources-by-type</v>
      </c>
      <c r="F137" s="11" t="s">
        <v>676</v>
      </c>
      <c r="G137" t="s">
        <v>29</v>
      </c>
      <c r="I137" t="s">
        <v>30</v>
      </c>
      <c r="J137" t="s">
        <v>1171</v>
      </c>
      <c r="K137" t="s">
        <v>1171</v>
      </c>
      <c r="L137" t="s">
        <v>1176</v>
      </c>
      <c r="M137" t="s">
        <v>171</v>
      </c>
      <c r="N137" t="s">
        <v>1171</v>
      </c>
      <c r="O137" t="s">
        <v>1171</v>
      </c>
      <c r="P137" t="s">
        <v>1171</v>
      </c>
      <c r="Q137" t="s">
        <v>1171</v>
      </c>
      <c r="R137" t="str">
        <f>_xlfn.TEXTBEFORE(_xlfn.TEXTAFTER(us_core_reqs[[#This Row],[URL*]],"/",-1),".")</f>
        <v>scopes</v>
      </c>
      <c r="S137" t="str">
        <f>_xlfn.TEXTAFTER(us_core_reqs[[#This Row],[URL*]],"#",-1)</f>
        <v>scopes-for-requesting-fhir-resources-by-type</v>
      </c>
      <c r="T137" t="str">
        <f>SUBSTITUTE(SUBSTITUTE(PROPER(SUBSTITUTE(us_core_reqs[[#This Row],[Page]], "-", " "))&amp;": "&amp;PROPER(SUBSTITUTE(us_core_reqs[[#This Row],[Section]], "-", " ")),"Us ","US "), "Uscdi", "USCDI")</f>
        <v>Scopes: Scopes For Requesting Fhir Resources By Type</v>
      </c>
      <c r="U137" t="s">
        <v>29</v>
      </c>
      <c r="V137" t="s">
        <v>1171</v>
      </c>
      <c r="W137" t="s">
        <v>1171</v>
      </c>
      <c r="X137" t="s">
        <v>1171</v>
      </c>
      <c r="Y137" t="s">
        <v>1171</v>
      </c>
      <c r="Z137" t="s">
        <v>1171</v>
      </c>
      <c r="AA137" t="s">
        <v>1171</v>
      </c>
      <c r="AB137" t="s">
        <v>697</v>
      </c>
      <c r="AC137" t="s">
        <v>1140</v>
      </c>
      <c r="AD137" t="s">
        <v>1171</v>
      </c>
    </row>
    <row r="138" spans="1:30" ht="119" x14ac:dyDescent="0.2">
      <c r="A138" t="s">
        <v>1171</v>
      </c>
      <c r="B138" t="s">
        <v>1310</v>
      </c>
      <c r="C138" t="str">
        <f>"CONF-"&amp;TEXT(us_core_reqs[[#This Row],[ID*]], "0000")</f>
        <v>CONF-0137</v>
      </c>
      <c r="D138" s="11" t="s">
        <v>623</v>
      </c>
      <c r="E138" t="str">
        <f>SUBSTITUTE(us_core_reqs[[#This Row],[URL*]], "https://hl7.org/fhir/us/core/STU8/","")</f>
        <v>scopes.html#scopes-for-requesting-fhir-resources-by-type</v>
      </c>
      <c r="F138" s="11" t="s">
        <v>677</v>
      </c>
      <c r="G138" t="s">
        <v>29</v>
      </c>
      <c r="I138" t="s">
        <v>30</v>
      </c>
      <c r="J138" t="s">
        <v>1171</v>
      </c>
      <c r="K138" t="s">
        <v>1171</v>
      </c>
      <c r="L138" t="s">
        <v>1176</v>
      </c>
      <c r="M138" t="s">
        <v>172</v>
      </c>
      <c r="N138" t="s">
        <v>1171</v>
      </c>
      <c r="O138" t="s">
        <v>1171</v>
      </c>
      <c r="P138" t="s">
        <v>1171</v>
      </c>
      <c r="Q138" t="s">
        <v>1171</v>
      </c>
      <c r="R138" t="str">
        <f>_xlfn.TEXTBEFORE(_xlfn.TEXTAFTER(us_core_reqs[[#This Row],[URL*]],"/",-1),".")</f>
        <v>scopes</v>
      </c>
      <c r="S138" t="str">
        <f>_xlfn.TEXTAFTER(us_core_reqs[[#This Row],[URL*]],"#",-1)</f>
        <v>scopes-for-requesting-fhir-resources-by-type</v>
      </c>
      <c r="T138" t="str">
        <f>SUBSTITUTE(SUBSTITUTE(PROPER(SUBSTITUTE(us_core_reqs[[#This Row],[Page]], "-", " "))&amp;": "&amp;PROPER(SUBSTITUTE(us_core_reqs[[#This Row],[Section]], "-", " ")),"Us ","US "), "Uscdi", "USCDI")</f>
        <v>Scopes: Scopes For Requesting Fhir Resources By Type</v>
      </c>
      <c r="U138" t="s">
        <v>29</v>
      </c>
      <c r="V138" t="s">
        <v>1171</v>
      </c>
      <c r="W138" t="s">
        <v>1171</v>
      </c>
      <c r="X138" t="s">
        <v>1171</v>
      </c>
      <c r="Y138" t="s">
        <v>1171</v>
      </c>
      <c r="Z138" t="s">
        <v>1171</v>
      </c>
      <c r="AA138" t="s">
        <v>1171</v>
      </c>
      <c r="AB138" t="s">
        <v>697</v>
      </c>
      <c r="AC138" t="s">
        <v>1140</v>
      </c>
      <c r="AD138" t="s">
        <v>1171</v>
      </c>
    </row>
    <row r="139" spans="1:30" ht="136" x14ac:dyDescent="0.2">
      <c r="A139" t="s">
        <v>1171</v>
      </c>
      <c r="B139" t="s">
        <v>1311</v>
      </c>
      <c r="C139" t="str">
        <f>"CONF-"&amp;TEXT(us_core_reqs[[#This Row],[ID*]], "0000")</f>
        <v>CONF-0138</v>
      </c>
      <c r="D139" s="11" t="s">
        <v>623</v>
      </c>
      <c r="E139" t="str">
        <f>SUBSTITUTE(us_core_reqs[[#This Row],[URL*]], "https://hl7.org/fhir/us/core/STU8/","")</f>
        <v>scopes.html#scopes-for-requesting-fhir-resources-by-type</v>
      </c>
      <c r="F139" s="11" t="s">
        <v>678</v>
      </c>
      <c r="G139" t="s">
        <v>29</v>
      </c>
      <c r="I139" t="s">
        <v>30</v>
      </c>
      <c r="J139" t="s">
        <v>1171</v>
      </c>
      <c r="K139" t="s">
        <v>1171</v>
      </c>
      <c r="L139" t="s">
        <v>1176</v>
      </c>
      <c r="M139" t="s">
        <v>173</v>
      </c>
      <c r="N139" t="s">
        <v>1171</v>
      </c>
      <c r="O139" t="s">
        <v>1171</v>
      </c>
      <c r="P139" t="s">
        <v>1171</v>
      </c>
      <c r="Q139" t="s">
        <v>1171</v>
      </c>
      <c r="R139" t="str">
        <f>_xlfn.TEXTBEFORE(_xlfn.TEXTAFTER(us_core_reqs[[#This Row],[URL*]],"/",-1),".")</f>
        <v>scopes</v>
      </c>
      <c r="S139" t="str">
        <f>_xlfn.TEXTAFTER(us_core_reqs[[#This Row],[URL*]],"#",-1)</f>
        <v>scopes-for-requesting-fhir-resources-by-type</v>
      </c>
      <c r="T139" t="str">
        <f>SUBSTITUTE(SUBSTITUTE(PROPER(SUBSTITUTE(us_core_reqs[[#This Row],[Page]], "-", " "))&amp;": "&amp;PROPER(SUBSTITUTE(us_core_reqs[[#This Row],[Section]], "-", " ")),"Us ","US "), "Uscdi", "USCDI")</f>
        <v>Scopes: Scopes For Requesting Fhir Resources By Type</v>
      </c>
      <c r="U139" t="s">
        <v>29</v>
      </c>
      <c r="V139" t="s">
        <v>1171</v>
      </c>
      <c r="W139" t="s">
        <v>1171</v>
      </c>
      <c r="X139" t="s">
        <v>1171</v>
      </c>
      <c r="Y139" t="s">
        <v>1171</v>
      </c>
      <c r="Z139" t="s">
        <v>1171</v>
      </c>
      <c r="AA139" t="s">
        <v>1171</v>
      </c>
      <c r="AB139" t="s">
        <v>697</v>
      </c>
      <c r="AC139" t="s">
        <v>1140</v>
      </c>
      <c r="AD139" t="s">
        <v>1171</v>
      </c>
    </row>
    <row r="140" spans="1:30" ht="136" x14ac:dyDescent="0.2">
      <c r="A140" t="s">
        <v>1171</v>
      </c>
      <c r="B140" t="s">
        <v>1312</v>
      </c>
      <c r="C140" t="str">
        <f>"CONF-"&amp;TEXT(us_core_reqs[[#This Row],[ID*]], "0000")</f>
        <v>CONF-0139</v>
      </c>
      <c r="D140" s="11" t="s">
        <v>623</v>
      </c>
      <c r="E140" t="str">
        <f>SUBSTITUTE(us_core_reqs[[#This Row],[URL*]], "https://hl7.org/fhir/us/core/STU8/","")</f>
        <v>scopes.html#scopes-for-requesting-fhir-resources-by-type</v>
      </c>
      <c r="F140" s="11" t="s">
        <v>679</v>
      </c>
      <c r="G140" t="s">
        <v>29</v>
      </c>
      <c r="I140" t="s">
        <v>30</v>
      </c>
      <c r="J140" t="s">
        <v>1171</v>
      </c>
      <c r="K140" t="s">
        <v>1171</v>
      </c>
      <c r="L140" t="s">
        <v>1176</v>
      </c>
      <c r="M140" t="s">
        <v>174</v>
      </c>
      <c r="N140" t="s">
        <v>1171</v>
      </c>
      <c r="O140" t="s">
        <v>1171</v>
      </c>
      <c r="P140" t="s">
        <v>1171</v>
      </c>
      <c r="Q140" t="s">
        <v>1171</v>
      </c>
      <c r="R140" t="str">
        <f>_xlfn.TEXTBEFORE(_xlfn.TEXTAFTER(us_core_reqs[[#This Row],[URL*]],"/",-1),".")</f>
        <v>scopes</v>
      </c>
      <c r="S140" t="str">
        <f>_xlfn.TEXTAFTER(us_core_reqs[[#This Row],[URL*]],"#",-1)</f>
        <v>scopes-for-requesting-fhir-resources-by-type</v>
      </c>
      <c r="T140" t="str">
        <f>SUBSTITUTE(SUBSTITUTE(PROPER(SUBSTITUTE(us_core_reqs[[#This Row],[Page]], "-", " "))&amp;": "&amp;PROPER(SUBSTITUTE(us_core_reqs[[#This Row],[Section]], "-", " ")),"Us ","US "), "Uscdi", "USCDI")</f>
        <v>Scopes: Scopes For Requesting Fhir Resources By Type</v>
      </c>
      <c r="U140" t="s">
        <v>29</v>
      </c>
      <c r="V140" t="s">
        <v>1171</v>
      </c>
      <c r="W140" t="s">
        <v>1171</v>
      </c>
      <c r="X140" t="s">
        <v>1171</v>
      </c>
      <c r="Y140" t="s">
        <v>1171</v>
      </c>
      <c r="Z140" t="s">
        <v>1171</v>
      </c>
      <c r="AA140" t="s">
        <v>1171</v>
      </c>
      <c r="AB140" t="s">
        <v>697</v>
      </c>
      <c r="AC140" t="s">
        <v>1140</v>
      </c>
      <c r="AD140" t="s">
        <v>1171</v>
      </c>
    </row>
    <row r="141" spans="1:30" ht="119" x14ac:dyDescent="0.2">
      <c r="A141" t="s">
        <v>1171</v>
      </c>
      <c r="B141" t="s">
        <v>1313</v>
      </c>
      <c r="C141" t="str">
        <f>"CONF-"&amp;TEXT(us_core_reqs[[#This Row],[ID*]], "0000")</f>
        <v>CONF-0140</v>
      </c>
      <c r="D141" s="11" t="s">
        <v>623</v>
      </c>
      <c r="E141" t="str">
        <f>SUBSTITUTE(us_core_reqs[[#This Row],[URL*]], "https://hl7.org/fhir/us/core/STU8/","")</f>
        <v>scopes.html#scopes-for-requesting-fhir-resources-by-type</v>
      </c>
      <c r="F141" s="11" t="s">
        <v>680</v>
      </c>
      <c r="G141" t="s">
        <v>29</v>
      </c>
      <c r="I141" t="s">
        <v>30</v>
      </c>
      <c r="J141" t="s">
        <v>1171</v>
      </c>
      <c r="K141" t="s">
        <v>1171</v>
      </c>
      <c r="L141" t="s">
        <v>1176</v>
      </c>
      <c r="M141" t="s">
        <v>175</v>
      </c>
      <c r="N141" t="s">
        <v>1171</v>
      </c>
      <c r="O141" t="s">
        <v>1171</v>
      </c>
      <c r="P141" t="s">
        <v>1171</v>
      </c>
      <c r="Q141" t="s">
        <v>1171</v>
      </c>
      <c r="R141" t="str">
        <f>_xlfn.TEXTBEFORE(_xlfn.TEXTAFTER(us_core_reqs[[#This Row],[URL*]],"/",-1),".")</f>
        <v>scopes</v>
      </c>
      <c r="S141" t="str">
        <f>_xlfn.TEXTAFTER(us_core_reqs[[#This Row],[URL*]],"#",-1)</f>
        <v>scopes-for-requesting-fhir-resources-by-type</v>
      </c>
      <c r="T141" t="str">
        <f>SUBSTITUTE(SUBSTITUTE(PROPER(SUBSTITUTE(us_core_reqs[[#This Row],[Page]], "-", " "))&amp;": "&amp;PROPER(SUBSTITUTE(us_core_reqs[[#This Row],[Section]], "-", " ")),"Us ","US "), "Uscdi", "USCDI")</f>
        <v>Scopes: Scopes For Requesting Fhir Resources By Type</v>
      </c>
      <c r="U141" t="s">
        <v>29</v>
      </c>
      <c r="V141" t="s">
        <v>1171</v>
      </c>
      <c r="W141" t="s">
        <v>1171</v>
      </c>
      <c r="X141" t="s">
        <v>1171</v>
      </c>
      <c r="Y141" t="s">
        <v>1171</v>
      </c>
      <c r="Z141" t="s">
        <v>1171</v>
      </c>
      <c r="AA141" t="s">
        <v>1171</v>
      </c>
      <c r="AB141" t="s">
        <v>697</v>
      </c>
      <c r="AC141" t="s">
        <v>1140</v>
      </c>
      <c r="AD141" t="s">
        <v>1171</v>
      </c>
    </row>
    <row r="142" spans="1:30" ht="119" x14ac:dyDescent="0.2">
      <c r="A142" t="s">
        <v>1171</v>
      </c>
      <c r="B142" t="s">
        <v>1314</v>
      </c>
      <c r="C142" t="str">
        <f>"CONF-"&amp;TEXT(us_core_reqs[[#This Row],[ID*]], "0000")</f>
        <v>CONF-0141</v>
      </c>
      <c r="D142" s="11" t="s">
        <v>623</v>
      </c>
      <c r="E142" t="str">
        <f>SUBSTITUTE(us_core_reqs[[#This Row],[URL*]], "https://hl7.org/fhir/us/core/STU8/","")</f>
        <v>scopes.html#scopes-for-requesting-fhir-resources-by-type</v>
      </c>
      <c r="F142" s="11" t="s">
        <v>681</v>
      </c>
      <c r="G142" t="s">
        <v>29</v>
      </c>
      <c r="I142" t="s">
        <v>30</v>
      </c>
      <c r="J142" t="s">
        <v>1171</v>
      </c>
      <c r="K142" t="s">
        <v>1171</v>
      </c>
      <c r="L142" t="s">
        <v>1176</v>
      </c>
      <c r="M142" t="s">
        <v>176</v>
      </c>
      <c r="N142" t="s">
        <v>1171</v>
      </c>
      <c r="O142" t="s">
        <v>1171</v>
      </c>
      <c r="P142" t="s">
        <v>1171</v>
      </c>
      <c r="Q142" t="s">
        <v>1171</v>
      </c>
      <c r="R142" t="str">
        <f>_xlfn.TEXTBEFORE(_xlfn.TEXTAFTER(us_core_reqs[[#This Row],[URL*]],"/",-1),".")</f>
        <v>scopes</v>
      </c>
      <c r="S142" t="str">
        <f>_xlfn.TEXTAFTER(us_core_reqs[[#This Row],[URL*]],"#",-1)</f>
        <v>scopes-for-requesting-fhir-resources-by-type</v>
      </c>
      <c r="T142" t="str">
        <f>SUBSTITUTE(SUBSTITUTE(PROPER(SUBSTITUTE(us_core_reqs[[#This Row],[Page]], "-", " "))&amp;": "&amp;PROPER(SUBSTITUTE(us_core_reqs[[#This Row],[Section]], "-", " ")),"Us ","US "), "Uscdi", "USCDI")</f>
        <v>Scopes: Scopes For Requesting Fhir Resources By Type</v>
      </c>
      <c r="U142" t="s">
        <v>29</v>
      </c>
      <c r="V142" t="s">
        <v>1171</v>
      </c>
      <c r="W142" t="s">
        <v>1171</v>
      </c>
      <c r="X142" t="s">
        <v>1171</v>
      </c>
      <c r="Y142" t="s">
        <v>1171</v>
      </c>
      <c r="Z142" t="s">
        <v>1171</v>
      </c>
      <c r="AA142" t="s">
        <v>1171</v>
      </c>
      <c r="AB142" t="s">
        <v>697</v>
      </c>
      <c r="AC142" t="s">
        <v>1140</v>
      </c>
      <c r="AD142" t="s">
        <v>1171</v>
      </c>
    </row>
    <row r="143" spans="1:30" ht="119" x14ac:dyDescent="0.2">
      <c r="A143" t="s">
        <v>1171</v>
      </c>
      <c r="B143" t="s">
        <v>1315</v>
      </c>
      <c r="C143" t="str">
        <f>"CONF-"&amp;TEXT(us_core_reqs[[#This Row],[ID*]], "0000")</f>
        <v>CONF-0142</v>
      </c>
      <c r="D143" s="11" t="s">
        <v>623</v>
      </c>
      <c r="E143" t="str">
        <f>SUBSTITUTE(us_core_reqs[[#This Row],[URL*]], "https://hl7.org/fhir/us/core/STU8/","")</f>
        <v>scopes.html#scopes-for-requesting-fhir-resources-by-type</v>
      </c>
      <c r="F143" s="11" t="s">
        <v>682</v>
      </c>
      <c r="G143" t="s">
        <v>29</v>
      </c>
      <c r="I143" t="s">
        <v>30</v>
      </c>
      <c r="J143" t="s">
        <v>1171</v>
      </c>
      <c r="K143" t="s">
        <v>1171</v>
      </c>
      <c r="L143" t="s">
        <v>1176</v>
      </c>
      <c r="M143" t="s">
        <v>177</v>
      </c>
      <c r="N143" t="s">
        <v>1171</v>
      </c>
      <c r="O143" t="s">
        <v>1171</v>
      </c>
      <c r="P143" t="s">
        <v>1171</v>
      </c>
      <c r="Q143" t="s">
        <v>1171</v>
      </c>
      <c r="R143" t="str">
        <f>_xlfn.TEXTBEFORE(_xlfn.TEXTAFTER(us_core_reqs[[#This Row],[URL*]],"/",-1),".")</f>
        <v>scopes</v>
      </c>
      <c r="S143" t="str">
        <f>_xlfn.TEXTAFTER(us_core_reqs[[#This Row],[URL*]],"#",-1)</f>
        <v>scopes-for-requesting-fhir-resources-by-type</v>
      </c>
      <c r="T143" t="str">
        <f>SUBSTITUTE(SUBSTITUTE(PROPER(SUBSTITUTE(us_core_reqs[[#This Row],[Page]], "-", " "))&amp;": "&amp;PROPER(SUBSTITUTE(us_core_reqs[[#This Row],[Section]], "-", " ")),"Us ","US "), "Uscdi", "USCDI")</f>
        <v>Scopes: Scopes For Requesting Fhir Resources By Type</v>
      </c>
      <c r="U143" t="s">
        <v>29</v>
      </c>
      <c r="V143" t="s">
        <v>1171</v>
      </c>
      <c r="W143" t="s">
        <v>1171</v>
      </c>
      <c r="X143" t="s">
        <v>1171</v>
      </c>
      <c r="Y143" t="s">
        <v>1171</v>
      </c>
      <c r="Z143" t="s">
        <v>1171</v>
      </c>
      <c r="AA143" t="s">
        <v>1171</v>
      </c>
      <c r="AB143" t="s">
        <v>697</v>
      </c>
      <c r="AC143" t="s">
        <v>1140</v>
      </c>
      <c r="AD143" t="s">
        <v>1171</v>
      </c>
    </row>
    <row r="144" spans="1:30" ht="136" x14ac:dyDescent="0.2">
      <c r="A144" t="s">
        <v>1171</v>
      </c>
      <c r="B144" t="s">
        <v>1316</v>
      </c>
      <c r="C144" t="str">
        <f>"CONF-"&amp;TEXT(us_core_reqs[[#This Row],[ID*]], "0000")</f>
        <v>CONF-0143</v>
      </c>
      <c r="D144" s="11" t="s">
        <v>623</v>
      </c>
      <c r="E144" t="str">
        <f>SUBSTITUTE(us_core_reqs[[#This Row],[URL*]], "https://hl7.org/fhir/us/core/STU8/","")</f>
        <v>scopes.html#scopes-for-requesting-fhir-resources-by-type</v>
      </c>
      <c r="F144" s="11" t="s">
        <v>683</v>
      </c>
      <c r="G144" t="s">
        <v>29</v>
      </c>
      <c r="I144" t="s">
        <v>30</v>
      </c>
      <c r="J144" t="s">
        <v>1171</v>
      </c>
      <c r="K144" t="s">
        <v>1171</v>
      </c>
      <c r="L144" t="s">
        <v>1176</v>
      </c>
      <c r="M144" t="s">
        <v>178</v>
      </c>
      <c r="N144" t="s">
        <v>1171</v>
      </c>
      <c r="O144" t="s">
        <v>1171</v>
      </c>
      <c r="P144" t="s">
        <v>1171</v>
      </c>
      <c r="Q144" t="s">
        <v>1171</v>
      </c>
      <c r="R144" t="str">
        <f>_xlfn.TEXTBEFORE(_xlfn.TEXTAFTER(us_core_reqs[[#This Row],[URL*]],"/",-1),".")</f>
        <v>scopes</v>
      </c>
      <c r="S144" t="str">
        <f>_xlfn.TEXTAFTER(us_core_reqs[[#This Row],[URL*]],"#",-1)</f>
        <v>scopes-for-requesting-fhir-resources-by-type</v>
      </c>
      <c r="T144" t="str">
        <f>SUBSTITUTE(SUBSTITUTE(PROPER(SUBSTITUTE(us_core_reqs[[#This Row],[Page]], "-", " "))&amp;": "&amp;PROPER(SUBSTITUTE(us_core_reqs[[#This Row],[Section]], "-", " ")),"Us ","US "), "Uscdi", "USCDI")</f>
        <v>Scopes: Scopes For Requesting Fhir Resources By Type</v>
      </c>
      <c r="U144" t="s">
        <v>29</v>
      </c>
      <c r="V144" t="s">
        <v>1171</v>
      </c>
      <c r="W144" t="s">
        <v>1171</v>
      </c>
      <c r="X144" t="s">
        <v>1171</v>
      </c>
      <c r="Y144" t="s">
        <v>1171</v>
      </c>
      <c r="Z144" t="s">
        <v>1171</v>
      </c>
      <c r="AA144" t="s">
        <v>1171</v>
      </c>
      <c r="AB144" t="s">
        <v>697</v>
      </c>
      <c r="AC144" t="s">
        <v>1140</v>
      </c>
      <c r="AD144" t="s">
        <v>1171</v>
      </c>
    </row>
    <row r="145" spans="1:30" ht="136" x14ac:dyDescent="0.2">
      <c r="A145" t="s">
        <v>1171</v>
      </c>
      <c r="B145" t="s">
        <v>1317</v>
      </c>
      <c r="C145" t="str">
        <f>"CONF-"&amp;TEXT(us_core_reqs[[#This Row],[ID*]], "0000")</f>
        <v>CONF-0144</v>
      </c>
      <c r="D145" s="11" t="s">
        <v>623</v>
      </c>
      <c r="E145" t="str">
        <f>SUBSTITUTE(us_core_reqs[[#This Row],[URL*]], "https://hl7.org/fhir/us/core/STU8/","")</f>
        <v>scopes.html#scopes-for-requesting-fhir-resources-by-type</v>
      </c>
      <c r="F145" s="11" t="s">
        <v>684</v>
      </c>
      <c r="G145" t="s">
        <v>29</v>
      </c>
      <c r="I145" t="s">
        <v>30</v>
      </c>
      <c r="J145" t="s">
        <v>1171</v>
      </c>
      <c r="K145" t="s">
        <v>1171</v>
      </c>
      <c r="L145" t="s">
        <v>1176</v>
      </c>
      <c r="M145" t="s">
        <v>179</v>
      </c>
      <c r="N145" t="s">
        <v>1171</v>
      </c>
      <c r="O145" t="s">
        <v>1171</v>
      </c>
      <c r="P145" t="s">
        <v>1171</v>
      </c>
      <c r="Q145" t="s">
        <v>1171</v>
      </c>
      <c r="R145" t="str">
        <f>_xlfn.TEXTBEFORE(_xlfn.TEXTAFTER(us_core_reqs[[#This Row],[URL*]],"/",-1),".")</f>
        <v>scopes</v>
      </c>
      <c r="S145" t="str">
        <f>_xlfn.TEXTAFTER(us_core_reqs[[#This Row],[URL*]],"#",-1)</f>
        <v>scopes-for-requesting-fhir-resources-by-type</v>
      </c>
      <c r="T145" t="str">
        <f>SUBSTITUTE(SUBSTITUTE(PROPER(SUBSTITUTE(us_core_reqs[[#This Row],[Page]], "-", " "))&amp;": "&amp;PROPER(SUBSTITUTE(us_core_reqs[[#This Row],[Section]], "-", " ")),"Us ","US "), "Uscdi", "USCDI")</f>
        <v>Scopes: Scopes For Requesting Fhir Resources By Type</v>
      </c>
      <c r="U145" t="s">
        <v>29</v>
      </c>
      <c r="V145" t="s">
        <v>1171</v>
      </c>
      <c r="W145" t="s">
        <v>1171</v>
      </c>
      <c r="X145" t="s">
        <v>1171</v>
      </c>
      <c r="Y145" t="s">
        <v>1171</v>
      </c>
      <c r="Z145" t="s">
        <v>1171</v>
      </c>
      <c r="AA145" t="s">
        <v>1171</v>
      </c>
      <c r="AB145" t="s">
        <v>697</v>
      </c>
      <c r="AC145" t="s">
        <v>1140</v>
      </c>
      <c r="AD145" t="s">
        <v>1171</v>
      </c>
    </row>
    <row r="146" spans="1:30" ht="119" x14ac:dyDescent="0.2">
      <c r="A146" t="s">
        <v>1171</v>
      </c>
      <c r="B146" t="s">
        <v>1318</v>
      </c>
      <c r="C146" t="str">
        <f>"CONF-"&amp;TEXT(us_core_reqs[[#This Row],[ID*]], "0000")</f>
        <v>CONF-0145</v>
      </c>
      <c r="D146" s="11" t="s">
        <v>623</v>
      </c>
      <c r="E146" t="str">
        <f>SUBSTITUTE(us_core_reqs[[#This Row],[URL*]], "https://hl7.org/fhir/us/core/STU8/","")</f>
        <v>scopes.html#scopes-for-requesting-fhir-resources-by-type</v>
      </c>
      <c r="F146" s="11" t="s">
        <v>685</v>
      </c>
      <c r="G146" t="s">
        <v>29</v>
      </c>
      <c r="I146" t="s">
        <v>30</v>
      </c>
      <c r="J146" t="s">
        <v>1171</v>
      </c>
      <c r="K146" t="s">
        <v>1171</v>
      </c>
      <c r="L146" t="s">
        <v>1176</v>
      </c>
      <c r="M146" t="s">
        <v>180</v>
      </c>
      <c r="N146" t="s">
        <v>1171</v>
      </c>
      <c r="O146" t="s">
        <v>1171</v>
      </c>
      <c r="P146" t="s">
        <v>1171</v>
      </c>
      <c r="Q146" t="s">
        <v>1171</v>
      </c>
      <c r="R146" t="str">
        <f>_xlfn.TEXTBEFORE(_xlfn.TEXTAFTER(us_core_reqs[[#This Row],[URL*]],"/",-1),".")</f>
        <v>scopes</v>
      </c>
      <c r="S146" t="str">
        <f>_xlfn.TEXTAFTER(us_core_reqs[[#This Row],[URL*]],"#",-1)</f>
        <v>scopes-for-requesting-fhir-resources-by-type</v>
      </c>
      <c r="T146" t="str">
        <f>SUBSTITUTE(SUBSTITUTE(PROPER(SUBSTITUTE(us_core_reqs[[#This Row],[Page]], "-", " "))&amp;": "&amp;PROPER(SUBSTITUTE(us_core_reqs[[#This Row],[Section]], "-", " ")),"Us ","US "), "Uscdi", "USCDI")</f>
        <v>Scopes: Scopes For Requesting Fhir Resources By Type</v>
      </c>
      <c r="U146" t="s">
        <v>29</v>
      </c>
      <c r="V146" t="s">
        <v>1171</v>
      </c>
      <c r="W146" t="s">
        <v>1171</v>
      </c>
      <c r="X146" t="s">
        <v>1171</v>
      </c>
      <c r="Y146" t="s">
        <v>1171</v>
      </c>
      <c r="Z146" t="s">
        <v>1171</v>
      </c>
      <c r="AA146" t="s">
        <v>1171</v>
      </c>
      <c r="AB146" t="s">
        <v>697</v>
      </c>
      <c r="AC146" t="s">
        <v>1140</v>
      </c>
      <c r="AD146" t="s">
        <v>1171</v>
      </c>
    </row>
    <row r="147" spans="1:30" ht="119" x14ac:dyDescent="0.2">
      <c r="A147" t="s">
        <v>1171</v>
      </c>
      <c r="B147" t="s">
        <v>1319</v>
      </c>
      <c r="C147" t="str">
        <f>"CONF-"&amp;TEXT(us_core_reqs[[#This Row],[ID*]], "0000")</f>
        <v>CONF-0146</v>
      </c>
      <c r="D147" s="11" t="s">
        <v>623</v>
      </c>
      <c r="E147" t="str">
        <f>SUBSTITUTE(us_core_reqs[[#This Row],[URL*]], "https://hl7.org/fhir/us/core/STU8/","")</f>
        <v>scopes.html#scopes-for-requesting-fhir-resources-by-type</v>
      </c>
      <c r="F147" s="11" t="s">
        <v>686</v>
      </c>
      <c r="G147" t="s">
        <v>29</v>
      </c>
      <c r="I147" t="s">
        <v>30</v>
      </c>
      <c r="J147" t="s">
        <v>1171</v>
      </c>
      <c r="K147" t="s">
        <v>1171</v>
      </c>
      <c r="L147" t="s">
        <v>1176</v>
      </c>
      <c r="M147" t="s">
        <v>181</v>
      </c>
      <c r="N147" t="s">
        <v>1171</v>
      </c>
      <c r="O147" t="s">
        <v>1171</v>
      </c>
      <c r="P147" t="s">
        <v>1171</v>
      </c>
      <c r="Q147" t="s">
        <v>1171</v>
      </c>
      <c r="R147" t="str">
        <f>_xlfn.TEXTBEFORE(_xlfn.TEXTAFTER(us_core_reqs[[#This Row],[URL*]],"/",-1),".")</f>
        <v>scopes</v>
      </c>
      <c r="S147" t="str">
        <f>_xlfn.TEXTAFTER(us_core_reqs[[#This Row],[URL*]],"#",-1)</f>
        <v>scopes-for-requesting-fhir-resources-by-type</v>
      </c>
      <c r="T147" t="str">
        <f>SUBSTITUTE(SUBSTITUTE(PROPER(SUBSTITUTE(us_core_reqs[[#This Row],[Page]], "-", " "))&amp;": "&amp;PROPER(SUBSTITUTE(us_core_reqs[[#This Row],[Section]], "-", " ")),"Us ","US "), "Uscdi", "USCDI")</f>
        <v>Scopes: Scopes For Requesting Fhir Resources By Type</v>
      </c>
      <c r="U147" t="s">
        <v>29</v>
      </c>
      <c r="V147" t="s">
        <v>1171</v>
      </c>
      <c r="W147" t="s">
        <v>1171</v>
      </c>
      <c r="X147" t="s">
        <v>1171</v>
      </c>
      <c r="Y147" t="s">
        <v>1171</v>
      </c>
      <c r="Z147" t="s">
        <v>1171</v>
      </c>
      <c r="AA147" t="s">
        <v>1171</v>
      </c>
      <c r="AB147" t="s">
        <v>697</v>
      </c>
      <c r="AC147" t="s">
        <v>1140</v>
      </c>
      <c r="AD147" t="s">
        <v>1171</v>
      </c>
    </row>
    <row r="148" spans="1:30" ht="119" x14ac:dyDescent="0.2">
      <c r="A148" t="s">
        <v>1171</v>
      </c>
      <c r="B148" t="s">
        <v>1320</v>
      </c>
      <c r="C148" t="str">
        <f>"CONF-"&amp;TEXT(us_core_reqs[[#This Row],[ID*]], "0000")</f>
        <v>CONF-0147</v>
      </c>
      <c r="D148" s="11" t="s">
        <v>623</v>
      </c>
      <c r="E148" t="str">
        <f>SUBSTITUTE(us_core_reqs[[#This Row],[URL*]], "https://hl7.org/fhir/us/core/STU8/","")</f>
        <v>scopes.html#scopes-for-requesting-fhir-resources-by-type</v>
      </c>
      <c r="F148" s="11" t="s">
        <v>687</v>
      </c>
      <c r="G148" t="s">
        <v>29</v>
      </c>
      <c r="I148" t="s">
        <v>30</v>
      </c>
      <c r="J148" t="s">
        <v>1171</v>
      </c>
      <c r="K148" t="s">
        <v>1171</v>
      </c>
      <c r="L148" t="s">
        <v>1176</v>
      </c>
      <c r="M148" t="s">
        <v>182</v>
      </c>
      <c r="N148" t="s">
        <v>1171</v>
      </c>
      <c r="O148" t="s">
        <v>1171</v>
      </c>
      <c r="P148" t="s">
        <v>1171</v>
      </c>
      <c r="Q148" t="s">
        <v>1171</v>
      </c>
      <c r="R148" t="str">
        <f>_xlfn.TEXTBEFORE(_xlfn.TEXTAFTER(us_core_reqs[[#This Row],[URL*]],"/",-1),".")</f>
        <v>scopes</v>
      </c>
      <c r="S148" t="str">
        <f>_xlfn.TEXTAFTER(us_core_reqs[[#This Row],[URL*]],"#",-1)</f>
        <v>scopes-for-requesting-fhir-resources-by-type</v>
      </c>
      <c r="T148" t="str">
        <f>SUBSTITUTE(SUBSTITUTE(PROPER(SUBSTITUTE(us_core_reqs[[#This Row],[Page]], "-", " "))&amp;": "&amp;PROPER(SUBSTITUTE(us_core_reqs[[#This Row],[Section]], "-", " ")),"Us ","US "), "Uscdi", "USCDI")</f>
        <v>Scopes: Scopes For Requesting Fhir Resources By Type</v>
      </c>
      <c r="U148" t="s">
        <v>29</v>
      </c>
      <c r="V148" t="s">
        <v>1171</v>
      </c>
      <c r="W148" t="s">
        <v>1171</v>
      </c>
      <c r="X148" t="s">
        <v>1171</v>
      </c>
      <c r="Y148" t="s">
        <v>1171</v>
      </c>
      <c r="Z148" t="s">
        <v>1171</v>
      </c>
      <c r="AA148" t="s">
        <v>1171</v>
      </c>
      <c r="AB148" t="s">
        <v>697</v>
      </c>
      <c r="AC148" t="s">
        <v>1140</v>
      </c>
      <c r="AD148" t="s">
        <v>1171</v>
      </c>
    </row>
    <row r="149" spans="1:30" ht="119" x14ac:dyDescent="0.2">
      <c r="A149" t="s">
        <v>1171</v>
      </c>
      <c r="B149" t="s">
        <v>1321</v>
      </c>
      <c r="C149" t="str">
        <f>"CONF-"&amp;TEXT(us_core_reqs[[#This Row],[ID*]], "0000")</f>
        <v>CONF-0148</v>
      </c>
      <c r="D149" s="11" t="s">
        <v>623</v>
      </c>
      <c r="E149" t="str">
        <f>SUBSTITUTE(us_core_reqs[[#This Row],[URL*]], "https://hl7.org/fhir/us/core/STU8/","")</f>
        <v>scopes.html#scopes-for-requesting-fhir-resources-by-type</v>
      </c>
      <c r="F149" s="11" t="s">
        <v>688</v>
      </c>
      <c r="G149" t="s">
        <v>29</v>
      </c>
      <c r="I149" t="s">
        <v>30</v>
      </c>
      <c r="J149" t="s">
        <v>1171</v>
      </c>
      <c r="K149" t="s">
        <v>1171</v>
      </c>
      <c r="L149" t="s">
        <v>1176</v>
      </c>
      <c r="M149" t="s">
        <v>183</v>
      </c>
      <c r="N149" t="s">
        <v>1171</v>
      </c>
      <c r="O149" t="s">
        <v>1171</v>
      </c>
      <c r="P149" t="s">
        <v>1171</v>
      </c>
      <c r="Q149" t="s">
        <v>1171</v>
      </c>
      <c r="R149" t="str">
        <f>_xlfn.TEXTBEFORE(_xlfn.TEXTAFTER(us_core_reqs[[#This Row],[URL*]],"/",-1),".")</f>
        <v>scopes</v>
      </c>
      <c r="S149" t="str">
        <f>_xlfn.TEXTAFTER(us_core_reqs[[#This Row],[URL*]],"#",-1)</f>
        <v>scopes-for-requesting-fhir-resources-by-type</v>
      </c>
      <c r="T149" t="str">
        <f>SUBSTITUTE(SUBSTITUTE(PROPER(SUBSTITUTE(us_core_reqs[[#This Row],[Page]], "-", " "))&amp;": "&amp;PROPER(SUBSTITUTE(us_core_reqs[[#This Row],[Section]], "-", " ")),"Us ","US "), "Uscdi", "USCDI")</f>
        <v>Scopes: Scopes For Requesting Fhir Resources By Type</v>
      </c>
      <c r="U149" t="s">
        <v>29</v>
      </c>
      <c r="V149" t="s">
        <v>1171</v>
      </c>
      <c r="W149" t="s">
        <v>1171</v>
      </c>
      <c r="X149" t="s">
        <v>1171</v>
      </c>
      <c r="Y149" t="s">
        <v>1171</v>
      </c>
      <c r="Z149" t="s">
        <v>1171</v>
      </c>
      <c r="AA149" t="s">
        <v>1171</v>
      </c>
      <c r="AB149" t="s">
        <v>697</v>
      </c>
      <c r="AC149" t="s">
        <v>1140</v>
      </c>
      <c r="AD149" t="s">
        <v>1171</v>
      </c>
    </row>
    <row r="150" spans="1:30" ht="136" x14ac:dyDescent="0.2">
      <c r="A150" t="s">
        <v>1171</v>
      </c>
      <c r="B150" t="s">
        <v>1322</v>
      </c>
      <c r="C150" t="str">
        <f>"CONF-"&amp;TEXT(us_core_reqs[[#This Row],[ID*]], "0000")</f>
        <v>CONF-0149</v>
      </c>
      <c r="D150" s="11" t="s">
        <v>623</v>
      </c>
      <c r="E150" t="str">
        <f>SUBSTITUTE(us_core_reqs[[#This Row],[URL*]], "https://hl7.org/fhir/us/core/STU8/","")</f>
        <v>scopes.html#scopes-for-requesting-fhir-resources-by-type</v>
      </c>
      <c r="F150" s="11" t="s">
        <v>689</v>
      </c>
      <c r="G150" t="s">
        <v>29</v>
      </c>
      <c r="I150" t="s">
        <v>30</v>
      </c>
      <c r="J150" t="s">
        <v>1171</v>
      </c>
      <c r="K150" t="s">
        <v>1171</v>
      </c>
      <c r="L150" t="s">
        <v>1176</v>
      </c>
      <c r="M150" t="s">
        <v>184</v>
      </c>
      <c r="N150" t="s">
        <v>1171</v>
      </c>
      <c r="O150" t="s">
        <v>1171</v>
      </c>
      <c r="P150" t="s">
        <v>1171</v>
      </c>
      <c r="Q150" t="s">
        <v>1171</v>
      </c>
      <c r="R150" t="str">
        <f>_xlfn.TEXTBEFORE(_xlfn.TEXTAFTER(us_core_reqs[[#This Row],[URL*]],"/",-1),".")</f>
        <v>scopes</v>
      </c>
      <c r="S150" t="str">
        <f>_xlfn.TEXTAFTER(us_core_reqs[[#This Row],[URL*]],"#",-1)</f>
        <v>scopes-for-requesting-fhir-resources-by-type</v>
      </c>
      <c r="T150" t="str">
        <f>SUBSTITUTE(SUBSTITUTE(PROPER(SUBSTITUTE(us_core_reqs[[#This Row],[Page]], "-", " "))&amp;": "&amp;PROPER(SUBSTITUTE(us_core_reqs[[#This Row],[Section]], "-", " ")),"Us ","US "), "Uscdi", "USCDI")</f>
        <v>Scopes: Scopes For Requesting Fhir Resources By Type</v>
      </c>
      <c r="U150" t="s">
        <v>29</v>
      </c>
      <c r="V150" t="s">
        <v>1171</v>
      </c>
      <c r="W150" t="s">
        <v>1171</v>
      </c>
      <c r="X150" t="s">
        <v>1171</v>
      </c>
      <c r="Y150" t="s">
        <v>1171</v>
      </c>
      <c r="Z150" t="s">
        <v>1171</v>
      </c>
      <c r="AA150" t="s">
        <v>1171</v>
      </c>
      <c r="AB150" t="s">
        <v>697</v>
      </c>
      <c r="AC150" t="s">
        <v>1140</v>
      </c>
      <c r="AD150" t="s">
        <v>1171</v>
      </c>
    </row>
    <row r="151" spans="1:30" ht="119" x14ac:dyDescent="0.2">
      <c r="A151" t="s">
        <v>1171</v>
      </c>
      <c r="B151" t="s">
        <v>1323</v>
      </c>
      <c r="C151" t="str">
        <f>"CONF-"&amp;TEXT(us_core_reqs[[#This Row],[ID*]], "0000")</f>
        <v>CONF-0150</v>
      </c>
      <c r="D151" s="11" t="s">
        <v>623</v>
      </c>
      <c r="E151" t="str">
        <f>SUBSTITUTE(us_core_reqs[[#This Row],[URL*]], "https://hl7.org/fhir/us/core/STU8/","")</f>
        <v>scopes.html#scopes-for-requesting-fhir-resources-by-type</v>
      </c>
      <c r="F151" s="11" t="s">
        <v>690</v>
      </c>
      <c r="G151" t="s">
        <v>29</v>
      </c>
      <c r="I151" t="s">
        <v>30</v>
      </c>
      <c r="J151" t="s">
        <v>1171</v>
      </c>
      <c r="K151" t="s">
        <v>1171</v>
      </c>
      <c r="L151" t="s">
        <v>1176</v>
      </c>
      <c r="M151" t="s">
        <v>185</v>
      </c>
      <c r="N151" t="s">
        <v>1171</v>
      </c>
      <c r="O151" t="s">
        <v>1171</v>
      </c>
      <c r="P151" t="s">
        <v>1171</v>
      </c>
      <c r="Q151" t="s">
        <v>1171</v>
      </c>
      <c r="R151" t="str">
        <f>_xlfn.TEXTBEFORE(_xlfn.TEXTAFTER(us_core_reqs[[#This Row],[URL*]],"/",-1),".")</f>
        <v>scopes</v>
      </c>
      <c r="S151" t="str">
        <f>_xlfn.TEXTAFTER(us_core_reqs[[#This Row],[URL*]],"#",-1)</f>
        <v>scopes-for-requesting-fhir-resources-by-type</v>
      </c>
      <c r="T151" t="str">
        <f>SUBSTITUTE(SUBSTITUTE(PROPER(SUBSTITUTE(us_core_reqs[[#This Row],[Page]], "-", " "))&amp;": "&amp;PROPER(SUBSTITUTE(us_core_reqs[[#This Row],[Section]], "-", " ")),"Us ","US "), "Uscdi", "USCDI")</f>
        <v>Scopes: Scopes For Requesting Fhir Resources By Type</v>
      </c>
      <c r="U151" t="s">
        <v>29</v>
      </c>
      <c r="V151" t="s">
        <v>1171</v>
      </c>
      <c r="W151" t="s">
        <v>1171</v>
      </c>
      <c r="X151" t="s">
        <v>1171</v>
      </c>
      <c r="Y151" t="s">
        <v>1171</v>
      </c>
      <c r="Z151" t="s">
        <v>1171</v>
      </c>
      <c r="AA151" t="s">
        <v>1171</v>
      </c>
      <c r="AB151" t="s">
        <v>697</v>
      </c>
      <c r="AC151" t="s">
        <v>1140</v>
      </c>
      <c r="AD151" t="s">
        <v>1171</v>
      </c>
    </row>
    <row r="152" spans="1:30" ht="119" x14ac:dyDescent="0.2">
      <c r="A152" t="s">
        <v>1171</v>
      </c>
      <c r="B152" t="s">
        <v>1324</v>
      </c>
      <c r="C152" t="str">
        <f>"CONF-"&amp;TEXT(us_core_reqs[[#This Row],[ID*]], "0000")</f>
        <v>CONF-0151</v>
      </c>
      <c r="D152" s="11" t="s">
        <v>623</v>
      </c>
      <c r="E152" t="str">
        <f>SUBSTITUTE(us_core_reqs[[#This Row],[URL*]], "https://hl7.org/fhir/us/core/STU8/","")</f>
        <v>scopes.html#scopes-for-requesting-fhir-resources-by-type</v>
      </c>
      <c r="F152" s="11" t="s">
        <v>691</v>
      </c>
      <c r="G152" t="s">
        <v>29</v>
      </c>
      <c r="I152" t="s">
        <v>30</v>
      </c>
      <c r="J152" t="s">
        <v>1171</v>
      </c>
      <c r="K152" t="s">
        <v>1171</v>
      </c>
      <c r="L152" t="s">
        <v>1176</v>
      </c>
      <c r="M152" t="s">
        <v>186</v>
      </c>
      <c r="N152" t="s">
        <v>1171</v>
      </c>
      <c r="O152" t="s">
        <v>1171</v>
      </c>
      <c r="P152" t="s">
        <v>1171</v>
      </c>
      <c r="Q152" t="s">
        <v>1171</v>
      </c>
      <c r="R152" t="str">
        <f>_xlfn.TEXTBEFORE(_xlfn.TEXTAFTER(us_core_reqs[[#This Row],[URL*]],"/",-1),".")</f>
        <v>scopes</v>
      </c>
      <c r="S152" t="str">
        <f>_xlfn.TEXTAFTER(us_core_reqs[[#This Row],[URL*]],"#",-1)</f>
        <v>scopes-for-requesting-fhir-resources-by-type</v>
      </c>
      <c r="T152" t="str">
        <f>SUBSTITUTE(SUBSTITUTE(PROPER(SUBSTITUTE(us_core_reqs[[#This Row],[Page]], "-", " "))&amp;": "&amp;PROPER(SUBSTITUTE(us_core_reqs[[#This Row],[Section]], "-", " ")),"Us ","US "), "Uscdi", "USCDI")</f>
        <v>Scopes: Scopes For Requesting Fhir Resources By Type</v>
      </c>
      <c r="U152" t="s">
        <v>29</v>
      </c>
      <c r="V152" t="s">
        <v>1171</v>
      </c>
      <c r="W152" t="s">
        <v>1171</v>
      </c>
      <c r="X152" t="s">
        <v>1171</v>
      </c>
      <c r="Y152" t="s">
        <v>1171</v>
      </c>
      <c r="Z152" t="s">
        <v>1171</v>
      </c>
      <c r="AA152" t="s">
        <v>1171</v>
      </c>
      <c r="AB152" t="s">
        <v>697</v>
      </c>
      <c r="AC152" t="s">
        <v>1140</v>
      </c>
      <c r="AD152" t="s">
        <v>1171</v>
      </c>
    </row>
    <row r="153" spans="1:30" ht="136" x14ac:dyDescent="0.2">
      <c r="A153" t="s">
        <v>1171</v>
      </c>
      <c r="B153" t="s">
        <v>1325</v>
      </c>
      <c r="C153" t="str">
        <f>"CONF-"&amp;TEXT(us_core_reqs[[#This Row],[ID*]], "0000")</f>
        <v>CONF-0152</v>
      </c>
      <c r="D153" s="11" t="s">
        <v>623</v>
      </c>
      <c r="E153" t="str">
        <f>SUBSTITUTE(us_core_reqs[[#This Row],[URL*]], "https://hl7.org/fhir/us/core/STU8/","")</f>
        <v>scopes.html#scopes-for-requesting-fhir-resources-by-type</v>
      </c>
      <c r="F153" s="11" t="s">
        <v>692</v>
      </c>
      <c r="G153" t="s">
        <v>29</v>
      </c>
      <c r="I153" t="s">
        <v>30</v>
      </c>
      <c r="J153" t="s">
        <v>1171</v>
      </c>
      <c r="K153" t="s">
        <v>1171</v>
      </c>
      <c r="L153" t="s">
        <v>1176</v>
      </c>
      <c r="M153" t="s">
        <v>187</v>
      </c>
      <c r="N153" t="s">
        <v>1171</v>
      </c>
      <c r="O153" t="s">
        <v>1171</v>
      </c>
      <c r="P153" t="s">
        <v>1171</v>
      </c>
      <c r="Q153" t="s">
        <v>1171</v>
      </c>
      <c r="R153" t="str">
        <f>_xlfn.TEXTBEFORE(_xlfn.TEXTAFTER(us_core_reqs[[#This Row],[URL*]],"/",-1),".")</f>
        <v>scopes</v>
      </c>
      <c r="S153" t="str">
        <f>_xlfn.TEXTAFTER(us_core_reqs[[#This Row],[URL*]],"#",-1)</f>
        <v>scopes-for-requesting-fhir-resources-by-type</v>
      </c>
      <c r="T153" t="str">
        <f>SUBSTITUTE(SUBSTITUTE(PROPER(SUBSTITUTE(us_core_reqs[[#This Row],[Page]], "-", " "))&amp;": "&amp;PROPER(SUBSTITUTE(us_core_reqs[[#This Row],[Section]], "-", " ")),"Us ","US "), "Uscdi", "USCDI")</f>
        <v>Scopes: Scopes For Requesting Fhir Resources By Type</v>
      </c>
      <c r="U153" t="s">
        <v>29</v>
      </c>
      <c r="V153" t="s">
        <v>1171</v>
      </c>
      <c r="W153" t="s">
        <v>1171</v>
      </c>
      <c r="X153" t="s">
        <v>1171</v>
      </c>
      <c r="Y153" t="s">
        <v>1171</v>
      </c>
      <c r="Z153" t="s">
        <v>1171</v>
      </c>
      <c r="AA153" t="s">
        <v>1171</v>
      </c>
      <c r="AB153" t="s">
        <v>697</v>
      </c>
      <c r="AC153" t="s">
        <v>1140</v>
      </c>
      <c r="AD153" t="s">
        <v>1171</v>
      </c>
    </row>
    <row r="154" spans="1:30" ht="119" x14ac:dyDescent="0.2">
      <c r="A154" t="s">
        <v>1171</v>
      </c>
      <c r="B154" t="s">
        <v>1326</v>
      </c>
      <c r="C154" t="str">
        <f>"CONF-"&amp;TEXT(us_core_reqs[[#This Row],[ID*]], "0000")</f>
        <v>CONF-0153</v>
      </c>
      <c r="D154" s="11" t="s">
        <v>623</v>
      </c>
      <c r="E154" t="str">
        <f>SUBSTITUTE(us_core_reqs[[#This Row],[URL*]], "https://hl7.org/fhir/us/core/STU8/","")</f>
        <v>scopes.html#scopes-for-requesting-fhir-resources-by-type</v>
      </c>
      <c r="F154" s="11" t="s">
        <v>693</v>
      </c>
      <c r="G154" t="s">
        <v>29</v>
      </c>
      <c r="I154" t="s">
        <v>30</v>
      </c>
      <c r="J154" t="s">
        <v>1171</v>
      </c>
      <c r="K154" t="s">
        <v>1171</v>
      </c>
      <c r="L154" t="s">
        <v>1176</v>
      </c>
      <c r="M154" t="s">
        <v>188</v>
      </c>
      <c r="N154" t="s">
        <v>1171</v>
      </c>
      <c r="O154" t="s">
        <v>1171</v>
      </c>
      <c r="P154" t="s">
        <v>1171</v>
      </c>
      <c r="Q154" t="s">
        <v>1171</v>
      </c>
      <c r="R154" t="str">
        <f>_xlfn.TEXTBEFORE(_xlfn.TEXTAFTER(us_core_reqs[[#This Row],[URL*]],"/",-1),".")</f>
        <v>scopes</v>
      </c>
      <c r="S154" t="str">
        <f>_xlfn.TEXTAFTER(us_core_reqs[[#This Row],[URL*]],"#",-1)</f>
        <v>scopes-for-requesting-fhir-resources-by-type</v>
      </c>
      <c r="T154" t="str">
        <f>SUBSTITUTE(SUBSTITUTE(PROPER(SUBSTITUTE(us_core_reqs[[#This Row],[Page]], "-", " "))&amp;": "&amp;PROPER(SUBSTITUTE(us_core_reqs[[#This Row],[Section]], "-", " ")),"Us ","US "), "Uscdi", "USCDI")</f>
        <v>Scopes: Scopes For Requesting Fhir Resources By Type</v>
      </c>
      <c r="U154" t="s">
        <v>29</v>
      </c>
      <c r="V154" t="s">
        <v>1171</v>
      </c>
      <c r="W154" t="s">
        <v>1171</v>
      </c>
      <c r="X154" t="s">
        <v>1171</v>
      </c>
      <c r="Y154" t="s">
        <v>1171</v>
      </c>
      <c r="Z154" t="s">
        <v>1171</v>
      </c>
      <c r="AA154" t="s">
        <v>1171</v>
      </c>
      <c r="AB154" t="s">
        <v>697</v>
      </c>
      <c r="AC154" t="s">
        <v>1140</v>
      </c>
      <c r="AD154" t="s">
        <v>1171</v>
      </c>
    </row>
    <row r="155" spans="1:30" ht="119" x14ac:dyDescent="0.2">
      <c r="A155" t="s">
        <v>1171</v>
      </c>
      <c r="B155" t="s">
        <v>1327</v>
      </c>
      <c r="C155" t="str">
        <f>"CONF-"&amp;TEXT(us_core_reqs[[#This Row],[ID*]], "0000")</f>
        <v>CONF-0154</v>
      </c>
      <c r="D155" s="11" t="s">
        <v>623</v>
      </c>
      <c r="E155" t="str">
        <f>SUBSTITUTE(us_core_reqs[[#This Row],[URL*]], "https://hl7.org/fhir/us/core/STU8/","")</f>
        <v>scopes.html#scopes-for-requesting-fhir-resources-by-type</v>
      </c>
      <c r="F155" s="11" t="s">
        <v>694</v>
      </c>
      <c r="G155" t="s">
        <v>29</v>
      </c>
      <c r="I155" t="s">
        <v>30</v>
      </c>
      <c r="J155" t="s">
        <v>1171</v>
      </c>
      <c r="K155" t="s">
        <v>1171</v>
      </c>
      <c r="L155" t="s">
        <v>1176</v>
      </c>
      <c r="M155" t="s">
        <v>189</v>
      </c>
      <c r="N155" t="s">
        <v>1171</v>
      </c>
      <c r="O155" t="s">
        <v>1171</v>
      </c>
      <c r="P155" t="s">
        <v>1171</v>
      </c>
      <c r="Q155" t="s">
        <v>1171</v>
      </c>
      <c r="R155" t="str">
        <f>_xlfn.TEXTBEFORE(_xlfn.TEXTAFTER(us_core_reqs[[#This Row],[URL*]],"/",-1),".")</f>
        <v>scopes</v>
      </c>
      <c r="S155" t="str">
        <f>_xlfn.TEXTAFTER(us_core_reqs[[#This Row],[URL*]],"#",-1)</f>
        <v>scopes-for-requesting-fhir-resources-by-type</v>
      </c>
      <c r="T155" t="str">
        <f>SUBSTITUTE(SUBSTITUTE(PROPER(SUBSTITUTE(us_core_reqs[[#This Row],[Page]], "-", " "))&amp;": "&amp;PROPER(SUBSTITUTE(us_core_reqs[[#This Row],[Section]], "-", " ")),"Us ","US "), "Uscdi", "USCDI")</f>
        <v>Scopes: Scopes For Requesting Fhir Resources By Type</v>
      </c>
      <c r="U155" t="s">
        <v>29</v>
      </c>
      <c r="V155" t="s">
        <v>1171</v>
      </c>
      <c r="W155" t="s">
        <v>1171</v>
      </c>
      <c r="X155" t="s">
        <v>1171</v>
      </c>
      <c r="Y155" t="s">
        <v>1171</v>
      </c>
      <c r="Z155" t="s">
        <v>1171</v>
      </c>
      <c r="AA155" t="s">
        <v>1171</v>
      </c>
      <c r="AB155" t="s">
        <v>697</v>
      </c>
      <c r="AC155" t="s">
        <v>1140</v>
      </c>
      <c r="AD155" t="s">
        <v>1171</v>
      </c>
    </row>
    <row r="156" spans="1:30" ht="119" x14ac:dyDescent="0.2">
      <c r="A156" t="s">
        <v>1171</v>
      </c>
      <c r="B156" t="s">
        <v>1328</v>
      </c>
      <c r="C156" t="str">
        <f>"CONF-"&amp;TEXT(us_core_reqs[[#This Row],[ID*]], "0000")</f>
        <v>CONF-0155</v>
      </c>
      <c r="D156" s="11" t="s">
        <v>623</v>
      </c>
      <c r="E156" t="str">
        <f>SUBSTITUTE(us_core_reqs[[#This Row],[URL*]], "https://hl7.org/fhir/us/core/STU8/","")</f>
        <v>scopes.html#scopes-for-requesting-fhir-resources-by-type</v>
      </c>
      <c r="F156" s="11" t="s">
        <v>695</v>
      </c>
      <c r="G156" t="s">
        <v>29</v>
      </c>
      <c r="I156" t="s">
        <v>30</v>
      </c>
      <c r="J156" t="s">
        <v>1171</v>
      </c>
      <c r="K156" t="s">
        <v>1171</v>
      </c>
      <c r="L156" t="s">
        <v>1176</v>
      </c>
      <c r="M156" t="s">
        <v>190</v>
      </c>
      <c r="N156" t="s">
        <v>1171</v>
      </c>
      <c r="O156" t="s">
        <v>1171</v>
      </c>
      <c r="P156" t="s">
        <v>1171</v>
      </c>
      <c r="Q156" t="s">
        <v>1171</v>
      </c>
      <c r="R156" t="str">
        <f>_xlfn.TEXTBEFORE(_xlfn.TEXTAFTER(us_core_reqs[[#This Row],[URL*]],"/",-1),".")</f>
        <v>scopes</v>
      </c>
      <c r="S156" t="str">
        <f>_xlfn.TEXTAFTER(us_core_reqs[[#This Row],[URL*]],"#",-1)</f>
        <v>scopes-for-requesting-fhir-resources-by-type</v>
      </c>
      <c r="T156" t="str">
        <f>SUBSTITUTE(SUBSTITUTE(PROPER(SUBSTITUTE(us_core_reqs[[#This Row],[Page]], "-", " "))&amp;": "&amp;PROPER(SUBSTITUTE(us_core_reqs[[#This Row],[Section]], "-", " ")),"Us ","US "), "Uscdi", "USCDI")</f>
        <v>Scopes: Scopes For Requesting Fhir Resources By Type</v>
      </c>
      <c r="U156" t="s">
        <v>29</v>
      </c>
      <c r="V156" t="s">
        <v>1171</v>
      </c>
      <c r="W156" t="s">
        <v>1171</v>
      </c>
      <c r="X156" t="s">
        <v>1171</v>
      </c>
      <c r="Y156" t="s">
        <v>1171</v>
      </c>
      <c r="Z156" t="s">
        <v>1171</v>
      </c>
      <c r="AA156" t="s">
        <v>1171</v>
      </c>
      <c r="AB156" t="s">
        <v>697</v>
      </c>
      <c r="AC156" t="s">
        <v>1140</v>
      </c>
      <c r="AD156" t="s">
        <v>1171</v>
      </c>
    </row>
    <row r="157" spans="1:30" ht="119" x14ac:dyDescent="0.2">
      <c r="A157" t="s">
        <v>1171</v>
      </c>
      <c r="B157" t="s">
        <v>1329</v>
      </c>
      <c r="C157" t="str">
        <f>"CONF-"&amp;TEXT(us_core_reqs[[#This Row],[ID*]], "0000")</f>
        <v>CONF-0156</v>
      </c>
      <c r="D157" s="11" t="s">
        <v>623</v>
      </c>
      <c r="E157" t="str">
        <f>SUBSTITUTE(us_core_reqs[[#This Row],[URL*]], "https://hl7.org/fhir/us/core/STU8/","")</f>
        <v>scopes.html#scopes-for-requesting-fhir-resources-by-type</v>
      </c>
      <c r="F157" s="11" t="s">
        <v>699</v>
      </c>
      <c r="G157" t="s">
        <v>35</v>
      </c>
      <c r="I157" t="s">
        <v>30</v>
      </c>
      <c r="J157" t="s">
        <v>1171</v>
      </c>
      <c r="K157" t="s">
        <v>1171</v>
      </c>
      <c r="L157" t="s">
        <v>1173</v>
      </c>
      <c r="M157" t="s">
        <v>1171</v>
      </c>
      <c r="N157" t="s">
        <v>1171</v>
      </c>
      <c r="O157" t="s">
        <v>1171</v>
      </c>
      <c r="P157" t="s">
        <v>1171</v>
      </c>
      <c r="Q157" t="s">
        <v>1171</v>
      </c>
      <c r="R157" t="str">
        <f>_xlfn.TEXTBEFORE(_xlfn.TEXTAFTER(us_core_reqs[[#This Row],[URL*]],"/",-1),".")</f>
        <v>scopes</v>
      </c>
      <c r="S157" t="str">
        <f>_xlfn.TEXTAFTER(us_core_reqs[[#This Row],[URL*]],"#",-1)</f>
        <v>scopes-for-requesting-fhir-resources-by-type</v>
      </c>
      <c r="T157" t="str">
        <f>SUBSTITUTE(SUBSTITUTE(PROPER(SUBSTITUTE(us_core_reqs[[#This Row],[Page]], "-", " "))&amp;": "&amp;PROPER(SUBSTITUTE(us_core_reqs[[#This Row],[Section]], "-", " ")),"Us ","US "), "Uscdi", "USCDI")</f>
        <v>Scopes: Scopes For Requesting Fhir Resources By Type</v>
      </c>
      <c r="U157" t="s">
        <v>35</v>
      </c>
      <c r="V157" t="s">
        <v>1171</v>
      </c>
      <c r="W157" t="s">
        <v>1171</v>
      </c>
      <c r="X157" t="s">
        <v>1171</v>
      </c>
      <c r="Y157" t="s">
        <v>1171</v>
      </c>
      <c r="Z157" t="s">
        <v>1171</v>
      </c>
      <c r="AA157" t="s">
        <v>1171</v>
      </c>
      <c r="AB157" t="s">
        <v>700</v>
      </c>
      <c r="AC157" t="s">
        <v>1171</v>
      </c>
      <c r="AD157" t="s">
        <v>1171</v>
      </c>
    </row>
    <row r="158" spans="1:30" ht="119" x14ac:dyDescent="0.2">
      <c r="A158" t="s">
        <v>1171</v>
      </c>
      <c r="B158" t="s">
        <v>1330</v>
      </c>
      <c r="C158" t="str">
        <f>"CONF-"&amp;TEXT(us_core_reqs[[#This Row],[ID*]], "0000")</f>
        <v>CONF-0157</v>
      </c>
      <c r="D158" s="11" t="s">
        <v>623</v>
      </c>
      <c r="E158" t="str">
        <f>SUBSTITUTE(us_core_reqs[[#This Row],[URL*]], "https://hl7.org/fhir/us/core/STU8/","")</f>
        <v>scopes.html#scopes-for-requesting-fhir-resources-by-type</v>
      </c>
      <c r="F158" s="11" t="s">
        <v>698</v>
      </c>
      <c r="G158" t="s">
        <v>35</v>
      </c>
      <c r="I158" t="s">
        <v>30</v>
      </c>
      <c r="J158" t="s">
        <v>1171</v>
      </c>
      <c r="K158" t="s">
        <v>1171</v>
      </c>
      <c r="L158" t="s">
        <v>1173</v>
      </c>
      <c r="M158" t="s">
        <v>1171</v>
      </c>
      <c r="N158" t="s">
        <v>1171</v>
      </c>
      <c r="O158" t="s">
        <v>1171</v>
      </c>
      <c r="P158" t="s">
        <v>1171</v>
      </c>
      <c r="Q158" t="s">
        <v>1171</v>
      </c>
      <c r="R158" t="str">
        <f>_xlfn.TEXTBEFORE(_xlfn.TEXTAFTER(us_core_reqs[[#This Row],[URL*]],"/",-1),".")</f>
        <v>scopes</v>
      </c>
      <c r="S158" t="str">
        <f>_xlfn.TEXTAFTER(us_core_reqs[[#This Row],[URL*]],"#",-1)</f>
        <v>scopes-for-requesting-fhir-resources-by-type</v>
      </c>
      <c r="T158" t="str">
        <f>SUBSTITUTE(SUBSTITUTE(PROPER(SUBSTITUTE(us_core_reqs[[#This Row],[Page]], "-", " "))&amp;": "&amp;PROPER(SUBSTITUTE(us_core_reqs[[#This Row],[Section]], "-", " ")),"Us ","US "), "Uscdi", "USCDI")</f>
        <v>Scopes: Scopes For Requesting Fhir Resources By Type</v>
      </c>
      <c r="U158" t="s">
        <v>35</v>
      </c>
      <c r="V158" t="s">
        <v>1171</v>
      </c>
      <c r="W158" t="s">
        <v>1171</v>
      </c>
      <c r="X158" t="s">
        <v>1171</v>
      </c>
      <c r="Y158" t="s">
        <v>1171</v>
      </c>
      <c r="Z158" t="s">
        <v>1171</v>
      </c>
      <c r="AA158" t="s">
        <v>1171</v>
      </c>
      <c r="AB158" t="s">
        <v>700</v>
      </c>
      <c r="AC158" t="s">
        <v>1171</v>
      </c>
      <c r="AD158" t="s">
        <v>1171</v>
      </c>
    </row>
    <row r="159" spans="1:30" ht="136" x14ac:dyDescent="0.2">
      <c r="A159" t="s">
        <v>1171</v>
      </c>
      <c r="B159" t="s">
        <v>1331</v>
      </c>
      <c r="C159" t="str">
        <f>"CONF-"&amp;TEXT(us_core_reqs[[#This Row],[ID*]], "0000")</f>
        <v>CONF-0158</v>
      </c>
      <c r="D159" s="11" t="s">
        <v>624</v>
      </c>
      <c r="E159" t="str">
        <f>SUBSTITUTE(us_core_reqs[[#This Row],[URL*]], "https://hl7.org/fhir/us/core/STU8/","")</f>
        <v>scopes.html#granular-scopes-for-requesting-fhir-resources</v>
      </c>
      <c r="F159" s="11" t="s">
        <v>702</v>
      </c>
      <c r="G159" t="s">
        <v>29</v>
      </c>
      <c r="I159" t="s">
        <v>30</v>
      </c>
      <c r="J159" t="s">
        <v>1171</v>
      </c>
      <c r="K159" t="s">
        <v>1171</v>
      </c>
      <c r="L159" t="s">
        <v>1173</v>
      </c>
      <c r="M159" t="s">
        <v>1171</v>
      </c>
      <c r="N159" t="s">
        <v>1171</v>
      </c>
      <c r="O159" t="s">
        <v>1171</v>
      </c>
      <c r="P159" t="s">
        <v>1171</v>
      </c>
      <c r="Q159" t="s">
        <v>1171</v>
      </c>
      <c r="R159" t="str">
        <f>_xlfn.TEXTBEFORE(_xlfn.TEXTAFTER(us_core_reqs[[#This Row],[URL*]],"/",-1),".")</f>
        <v>scopes</v>
      </c>
      <c r="S159" t="str">
        <f>_xlfn.TEXTAFTER(us_core_reqs[[#This Row],[URL*]],"#",-1)</f>
        <v>granular-scopes-for-requesting-fhir-resources</v>
      </c>
      <c r="T159" t="str">
        <f>SUBSTITUTE(SUBSTITUTE(PROPER(SUBSTITUTE(us_core_reqs[[#This Row],[Page]], "-", " "))&amp;": "&amp;PROPER(SUBSTITUTE(us_core_reqs[[#This Row],[Section]], "-", " ")),"Us ","US "), "Uscdi", "USCDI")</f>
        <v>Scopes: Granular Scopes For Requesting Fhir Resources</v>
      </c>
      <c r="U159" t="s">
        <v>29</v>
      </c>
      <c r="V159" t="s">
        <v>1171</v>
      </c>
      <c r="W159" t="s">
        <v>1171</v>
      </c>
      <c r="X159" t="s">
        <v>1171</v>
      </c>
      <c r="Y159" t="s">
        <v>1171</v>
      </c>
      <c r="Z159" t="s">
        <v>1171</v>
      </c>
      <c r="AA159" t="s">
        <v>1171</v>
      </c>
      <c r="AB159" t="s">
        <v>701</v>
      </c>
      <c r="AC159" t="s">
        <v>1140</v>
      </c>
      <c r="AD159" t="s">
        <v>1171</v>
      </c>
    </row>
    <row r="160" spans="1:30" ht="136" x14ac:dyDescent="0.2">
      <c r="A160" t="s">
        <v>1171</v>
      </c>
      <c r="B160" t="s">
        <v>1332</v>
      </c>
      <c r="C160" t="str">
        <f>"CONF-"&amp;TEXT(us_core_reqs[[#This Row],[ID*]], "0000")</f>
        <v>CONF-0159</v>
      </c>
      <c r="D160" s="11" t="s">
        <v>624</v>
      </c>
      <c r="E160" t="str">
        <f>SUBSTITUTE(us_core_reqs[[#This Row],[URL*]], "https://hl7.org/fhir/us/core/STU8/","")</f>
        <v>scopes.html#granular-scopes-for-requesting-fhir-resources</v>
      </c>
      <c r="F160" s="11" t="s">
        <v>703</v>
      </c>
      <c r="G160" t="s">
        <v>29</v>
      </c>
      <c r="I160" t="s">
        <v>30</v>
      </c>
      <c r="J160" t="s">
        <v>1171</v>
      </c>
      <c r="K160" t="s">
        <v>1171</v>
      </c>
      <c r="L160" t="s">
        <v>1173</v>
      </c>
      <c r="M160" t="s">
        <v>1171</v>
      </c>
      <c r="N160" t="s">
        <v>1171</v>
      </c>
      <c r="O160" t="s">
        <v>1171</v>
      </c>
      <c r="P160" t="s">
        <v>1171</v>
      </c>
      <c r="Q160" t="s">
        <v>1171</v>
      </c>
      <c r="R160" t="str">
        <f>_xlfn.TEXTBEFORE(_xlfn.TEXTAFTER(us_core_reqs[[#This Row],[URL*]],"/",-1),".")</f>
        <v>scopes</v>
      </c>
      <c r="S160" t="str">
        <f>_xlfn.TEXTAFTER(us_core_reqs[[#This Row],[URL*]],"#",-1)</f>
        <v>granular-scopes-for-requesting-fhir-resources</v>
      </c>
      <c r="T160" t="str">
        <f>SUBSTITUTE(SUBSTITUTE(PROPER(SUBSTITUTE(us_core_reqs[[#This Row],[Page]], "-", " "))&amp;": "&amp;PROPER(SUBSTITUTE(us_core_reqs[[#This Row],[Section]], "-", " ")),"Us ","US "), "Uscdi", "USCDI")</f>
        <v>Scopes: Granular Scopes For Requesting Fhir Resources</v>
      </c>
      <c r="U160" t="s">
        <v>29</v>
      </c>
      <c r="V160" t="s">
        <v>1171</v>
      </c>
      <c r="W160" t="s">
        <v>1171</v>
      </c>
      <c r="X160" t="s">
        <v>1171</v>
      </c>
      <c r="Y160" t="s">
        <v>1171</v>
      </c>
      <c r="Z160" t="s">
        <v>1171</v>
      </c>
      <c r="AA160" t="s">
        <v>1171</v>
      </c>
      <c r="AB160" t="s">
        <v>701</v>
      </c>
      <c r="AC160" t="s">
        <v>1140</v>
      </c>
      <c r="AD160" t="s">
        <v>1171</v>
      </c>
    </row>
    <row r="161" spans="1:30" ht="136" x14ac:dyDescent="0.2">
      <c r="A161" t="s">
        <v>1171</v>
      </c>
      <c r="B161" t="s">
        <v>1333</v>
      </c>
      <c r="C161" t="str">
        <f>"CONF-"&amp;TEXT(us_core_reqs[[#This Row],[ID*]], "0000")</f>
        <v>CONF-0160</v>
      </c>
      <c r="D161" s="11" t="s">
        <v>624</v>
      </c>
      <c r="E161" t="str">
        <f>SUBSTITUTE(us_core_reqs[[#This Row],[URL*]], "https://hl7.org/fhir/us/core/STU8/","")</f>
        <v>scopes.html#granular-scopes-for-requesting-fhir-resources</v>
      </c>
      <c r="F161" s="11" t="s">
        <v>704</v>
      </c>
      <c r="G161" t="s">
        <v>29</v>
      </c>
      <c r="I161" t="s">
        <v>30</v>
      </c>
      <c r="J161" t="s">
        <v>1171</v>
      </c>
      <c r="K161" t="s">
        <v>1171</v>
      </c>
      <c r="L161" t="s">
        <v>1173</v>
      </c>
      <c r="M161" t="s">
        <v>1171</v>
      </c>
      <c r="N161" t="s">
        <v>1171</v>
      </c>
      <c r="O161" t="s">
        <v>1171</v>
      </c>
      <c r="P161" t="s">
        <v>1171</v>
      </c>
      <c r="Q161" t="s">
        <v>1171</v>
      </c>
      <c r="R161" t="str">
        <f>_xlfn.TEXTBEFORE(_xlfn.TEXTAFTER(us_core_reqs[[#This Row],[URL*]],"/",-1),".")</f>
        <v>scopes</v>
      </c>
      <c r="S161" t="str">
        <f>_xlfn.TEXTAFTER(us_core_reqs[[#This Row],[URL*]],"#",-1)</f>
        <v>granular-scopes-for-requesting-fhir-resources</v>
      </c>
      <c r="T161" t="str">
        <f>SUBSTITUTE(SUBSTITUTE(PROPER(SUBSTITUTE(us_core_reqs[[#This Row],[Page]], "-", " "))&amp;": "&amp;PROPER(SUBSTITUTE(us_core_reqs[[#This Row],[Section]], "-", " ")),"Us ","US "), "Uscdi", "USCDI")</f>
        <v>Scopes: Granular Scopes For Requesting Fhir Resources</v>
      </c>
      <c r="U161" t="s">
        <v>29</v>
      </c>
      <c r="V161" t="s">
        <v>1171</v>
      </c>
      <c r="W161" t="s">
        <v>1171</v>
      </c>
      <c r="X161" t="s">
        <v>1171</v>
      </c>
      <c r="Y161" t="s">
        <v>1171</v>
      </c>
      <c r="Z161" t="s">
        <v>1171</v>
      </c>
      <c r="AA161" t="s">
        <v>1171</v>
      </c>
      <c r="AB161" t="s">
        <v>701</v>
      </c>
      <c r="AC161" t="s">
        <v>1140</v>
      </c>
      <c r="AD161" t="s">
        <v>1171</v>
      </c>
    </row>
    <row r="162" spans="1:30" ht="136" x14ac:dyDescent="0.2">
      <c r="A162" t="s">
        <v>1171</v>
      </c>
      <c r="B162" t="s">
        <v>1334</v>
      </c>
      <c r="C162" t="str">
        <f>"CONF-"&amp;TEXT(us_core_reqs[[#This Row],[ID*]], "0000")</f>
        <v>CONF-0161</v>
      </c>
      <c r="D162" s="11" t="s">
        <v>624</v>
      </c>
      <c r="E162" t="str">
        <f>SUBSTITUTE(us_core_reqs[[#This Row],[URL*]], "https://hl7.org/fhir/us/core/STU8/","")</f>
        <v>scopes.html#granular-scopes-for-requesting-fhir-resources</v>
      </c>
      <c r="F162" s="11" t="s">
        <v>705</v>
      </c>
      <c r="G162" t="s">
        <v>29</v>
      </c>
      <c r="I162" t="s">
        <v>30</v>
      </c>
      <c r="J162" t="s">
        <v>1171</v>
      </c>
      <c r="K162" t="s">
        <v>1171</v>
      </c>
      <c r="L162" t="s">
        <v>1173</v>
      </c>
      <c r="M162" t="s">
        <v>1171</v>
      </c>
      <c r="N162" t="s">
        <v>1171</v>
      </c>
      <c r="O162" t="s">
        <v>1171</v>
      </c>
      <c r="P162" t="s">
        <v>1171</v>
      </c>
      <c r="Q162" t="s">
        <v>1171</v>
      </c>
      <c r="R162" t="str">
        <f>_xlfn.TEXTBEFORE(_xlfn.TEXTAFTER(us_core_reqs[[#This Row],[URL*]],"/",-1),".")</f>
        <v>scopes</v>
      </c>
      <c r="S162" t="str">
        <f>_xlfn.TEXTAFTER(us_core_reqs[[#This Row],[URL*]],"#",-1)</f>
        <v>granular-scopes-for-requesting-fhir-resources</v>
      </c>
      <c r="T162" t="str">
        <f>SUBSTITUTE(SUBSTITUTE(PROPER(SUBSTITUTE(us_core_reqs[[#This Row],[Page]], "-", " "))&amp;": "&amp;PROPER(SUBSTITUTE(us_core_reqs[[#This Row],[Section]], "-", " ")),"Us ","US "), "Uscdi", "USCDI")</f>
        <v>Scopes: Granular Scopes For Requesting Fhir Resources</v>
      </c>
      <c r="U162" t="s">
        <v>29</v>
      </c>
      <c r="V162" t="s">
        <v>1171</v>
      </c>
      <c r="W162" t="s">
        <v>1171</v>
      </c>
      <c r="X162" t="s">
        <v>1171</v>
      </c>
      <c r="Y162" t="s">
        <v>1171</v>
      </c>
      <c r="Z162" t="s">
        <v>1171</v>
      </c>
      <c r="AA162" t="s">
        <v>1171</v>
      </c>
      <c r="AB162" t="s">
        <v>701</v>
      </c>
      <c r="AC162" t="s">
        <v>1140</v>
      </c>
      <c r="AD162" t="s">
        <v>1171</v>
      </c>
    </row>
    <row r="163" spans="1:30" ht="136" x14ac:dyDescent="0.2">
      <c r="A163" t="s">
        <v>1171</v>
      </c>
      <c r="B163" t="s">
        <v>1335</v>
      </c>
      <c r="C163" t="str">
        <f>"CONF-"&amp;TEXT(us_core_reqs[[#This Row],[ID*]], "0000")</f>
        <v>CONF-0162</v>
      </c>
      <c r="D163" s="11" t="s">
        <v>624</v>
      </c>
      <c r="E163" t="str">
        <f>SUBSTITUTE(us_core_reqs[[#This Row],[URL*]], "https://hl7.org/fhir/us/core/STU8/","")</f>
        <v>scopes.html#granular-scopes-for-requesting-fhir-resources</v>
      </c>
      <c r="F163" s="11" t="s">
        <v>706</v>
      </c>
      <c r="G163" t="s">
        <v>29</v>
      </c>
      <c r="I163" t="s">
        <v>30</v>
      </c>
      <c r="J163" t="s">
        <v>1171</v>
      </c>
      <c r="K163" t="s">
        <v>1171</v>
      </c>
      <c r="L163" t="s">
        <v>1173</v>
      </c>
      <c r="M163" t="s">
        <v>1171</v>
      </c>
      <c r="N163" t="s">
        <v>1171</v>
      </c>
      <c r="O163" t="s">
        <v>1171</v>
      </c>
      <c r="P163" t="s">
        <v>1171</v>
      </c>
      <c r="Q163" t="s">
        <v>1171</v>
      </c>
      <c r="R163" t="str">
        <f>_xlfn.TEXTBEFORE(_xlfn.TEXTAFTER(us_core_reqs[[#This Row],[URL*]],"/",-1),".")</f>
        <v>scopes</v>
      </c>
      <c r="S163" t="str">
        <f>_xlfn.TEXTAFTER(us_core_reqs[[#This Row],[URL*]],"#",-1)</f>
        <v>granular-scopes-for-requesting-fhir-resources</v>
      </c>
      <c r="T163" t="str">
        <f>SUBSTITUTE(SUBSTITUTE(PROPER(SUBSTITUTE(us_core_reqs[[#This Row],[Page]], "-", " "))&amp;": "&amp;PROPER(SUBSTITUTE(us_core_reqs[[#This Row],[Section]], "-", " ")),"Us ","US "), "Uscdi", "USCDI")</f>
        <v>Scopes: Granular Scopes For Requesting Fhir Resources</v>
      </c>
      <c r="U163" t="s">
        <v>29</v>
      </c>
      <c r="V163" t="s">
        <v>1171</v>
      </c>
      <c r="W163" t="s">
        <v>1171</v>
      </c>
      <c r="X163" t="s">
        <v>1171</v>
      </c>
      <c r="Y163" t="s">
        <v>1171</v>
      </c>
      <c r="Z163" t="s">
        <v>1171</v>
      </c>
      <c r="AA163" t="s">
        <v>1171</v>
      </c>
      <c r="AB163" t="s">
        <v>701</v>
      </c>
      <c r="AC163" t="s">
        <v>1140</v>
      </c>
      <c r="AD163" t="s">
        <v>1171</v>
      </c>
    </row>
    <row r="164" spans="1:30" ht="136" x14ac:dyDescent="0.2">
      <c r="A164" t="s">
        <v>1171</v>
      </c>
      <c r="B164" t="s">
        <v>1336</v>
      </c>
      <c r="C164" t="str">
        <f>"CONF-"&amp;TEXT(us_core_reqs[[#This Row],[ID*]], "0000")</f>
        <v>CONF-0163</v>
      </c>
      <c r="D164" s="11" t="s">
        <v>624</v>
      </c>
      <c r="E164" t="str">
        <f>SUBSTITUTE(us_core_reqs[[#This Row],[URL*]], "https://hl7.org/fhir/us/core/STU8/","")</f>
        <v>scopes.html#granular-scopes-for-requesting-fhir-resources</v>
      </c>
      <c r="F164" s="11" t="s">
        <v>707</v>
      </c>
      <c r="G164" t="s">
        <v>29</v>
      </c>
      <c r="I164" t="s">
        <v>30</v>
      </c>
      <c r="J164" t="s">
        <v>1171</v>
      </c>
      <c r="K164" t="s">
        <v>1171</v>
      </c>
      <c r="L164" t="s">
        <v>1173</v>
      </c>
      <c r="M164" t="s">
        <v>1171</v>
      </c>
      <c r="N164" t="s">
        <v>1171</v>
      </c>
      <c r="O164" t="s">
        <v>1171</v>
      </c>
      <c r="P164" t="s">
        <v>1171</v>
      </c>
      <c r="Q164" t="s">
        <v>1171</v>
      </c>
      <c r="R164" t="str">
        <f>_xlfn.TEXTBEFORE(_xlfn.TEXTAFTER(us_core_reqs[[#This Row],[URL*]],"/",-1),".")</f>
        <v>scopes</v>
      </c>
      <c r="S164" t="str">
        <f>_xlfn.TEXTAFTER(us_core_reqs[[#This Row],[URL*]],"#",-1)</f>
        <v>granular-scopes-for-requesting-fhir-resources</v>
      </c>
      <c r="T164" t="str">
        <f>SUBSTITUTE(SUBSTITUTE(PROPER(SUBSTITUTE(us_core_reqs[[#This Row],[Page]], "-", " "))&amp;": "&amp;PROPER(SUBSTITUTE(us_core_reqs[[#This Row],[Section]], "-", " ")),"Us ","US "), "Uscdi", "USCDI")</f>
        <v>Scopes: Granular Scopes For Requesting Fhir Resources</v>
      </c>
      <c r="U164" t="s">
        <v>29</v>
      </c>
      <c r="V164" t="s">
        <v>1171</v>
      </c>
      <c r="W164" t="s">
        <v>1171</v>
      </c>
      <c r="X164" t="s">
        <v>1171</v>
      </c>
      <c r="Y164" t="s">
        <v>1171</v>
      </c>
      <c r="Z164" t="s">
        <v>1171</v>
      </c>
      <c r="AA164" t="s">
        <v>1171</v>
      </c>
      <c r="AB164" t="s">
        <v>701</v>
      </c>
      <c r="AC164" t="s">
        <v>1140</v>
      </c>
      <c r="AD164" t="s">
        <v>1171</v>
      </c>
    </row>
    <row r="165" spans="1:30" ht="136" x14ac:dyDescent="0.2">
      <c r="A165" t="s">
        <v>1171</v>
      </c>
      <c r="B165" t="s">
        <v>1337</v>
      </c>
      <c r="C165" t="str">
        <f>"CONF-"&amp;TEXT(us_core_reqs[[#This Row],[ID*]], "0000")</f>
        <v>CONF-0164</v>
      </c>
      <c r="D165" s="11" t="s">
        <v>624</v>
      </c>
      <c r="E165" t="str">
        <f>SUBSTITUTE(us_core_reqs[[#This Row],[URL*]], "https://hl7.org/fhir/us/core/STU8/","")</f>
        <v>scopes.html#granular-scopes-for-requesting-fhir-resources</v>
      </c>
      <c r="F165" s="11" t="s">
        <v>708</v>
      </c>
      <c r="G165" t="s">
        <v>29</v>
      </c>
      <c r="I165" t="s">
        <v>30</v>
      </c>
      <c r="J165" t="s">
        <v>1171</v>
      </c>
      <c r="K165" t="s">
        <v>1171</v>
      </c>
      <c r="L165" t="s">
        <v>1173</v>
      </c>
      <c r="M165" t="s">
        <v>1171</v>
      </c>
      <c r="N165" t="s">
        <v>1171</v>
      </c>
      <c r="O165" t="s">
        <v>1171</v>
      </c>
      <c r="P165" t="s">
        <v>1171</v>
      </c>
      <c r="Q165" t="s">
        <v>1171</v>
      </c>
      <c r="R165" t="str">
        <f>_xlfn.TEXTBEFORE(_xlfn.TEXTAFTER(us_core_reqs[[#This Row],[URL*]],"/",-1),".")</f>
        <v>scopes</v>
      </c>
      <c r="S165" t="str">
        <f>_xlfn.TEXTAFTER(us_core_reqs[[#This Row],[URL*]],"#",-1)</f>
        <v>granular-scopes-for-requesting-fhir-resources</v>
      </c>
      <c r="T165" t="str">
        <f>SUBSTITUTE(SUBSTITUTE(PROPER(SUBSTITUTE(us_core_reqs[[#This Row],[Page]], "-", " "))&amp;": "&amp;PROPER(SUBSTITUTE(us_core_reqs[[#This Row],[Section]], "-", " ")),"Us ","US "), "Uscdi", "USCDI")</f>
        <v>Scopes: Granular Scopes For Requesting Fhir Resources</v>
      </c>
      <c r="U165" t="s">
        <v>29</v>
      </c>
      <c r="V165" t="s">
        <v>1171</v>
      </c>
      <c r="W165" t="s">
        <v>1171</v>
      </c>
      <c r="X165" t="s">
        <v>1171</v>
      </c>
      <c r="Y165" t="s">
        <v>1171</v>
      </c>
      <c r="Z165" t="s">
        <v>1171</v>
      </c>
      <c r="AA165" t="s">
        <v>1171</v>
      </c>
      <c r="AB165" t="s">
        <v>701</v>
      </c>
      <c r="AC165" t="s">
        <v>1140</v>
      </c>
      <c r="AD165" t="s">
        <v>1171</v>
      </c>
    </row>
    <row r="166" spans="1:30" ht="136" x14ac:dyDescent="0.2">
      <c r="A166" t="s">
        <v>1171</v>
      </c>
      <c r="B166" t="s">
        <v>1338</v>
      </c>
      <c r="C166" t="str">
        <f>"CONF-"&amp;TEXT(us_core_reqs[[#This Row],[ID*]], "0000")</f>
        <v>CONF-0165</v>
      </c>
      <c r="D166" s="11" t="s">
        <v>624</v>
      </c>
      <c r="E166" t="str">
        <f>SUBSTITUTE(us_core_reqs[[#This Row],[URL*]], "https://hl7.org/fhir/us/core/STU8/","")</f>
        <v>scopes.html#granular-scopes-for-requesting-fhir-resources</v>
      </c>
      <c r="F166" s="11" t="s">
        <v>709</v>
      </c>
      <c r="G166" t="s">
        <v>29</v>
      </c>
      <c r="I166" t="s">
        <v>30</v>
      </c>
      <c r="J166" t="s">
        <v>1171</v>
      </c>
      <c r="K166" t="s">
        <v>1171</v>
      </c>
      <c r="L166" t="s">
        <v>1173</v>
      </c>
      <c r="M166" t="s">
        <v>1171</v>
      </c>
      <c r="N166" t="s">
        <v>1171</v>
      </c>
      <c r="O166" t="s">
        <v>1171</v>
      </c>
      <c r="P166" t="s">
        <v>1171</v>
      </c>
      <c r="Q166" t="s">
        <v>1171</v>
      </c>
      <c r="R166" t="str">
        <f>_xlfn.TEXTBEFORE(_xlfn.TEXTAFTER(us_core_reqs[[#This Row],[URL*]],"/",-1),".")</f>
        <v>scopes</v>
      </c>
      <c r="S166" t="str">
        <f>_xlfn.TEXTAFTER(us_core_reqs[[#This Row],[URL*]],"#",-1)</f>
        <v>granular-scopes-for-requesting-fhir-resources</v>
      </c>
      <c r="T166" t="str">
        <f>SUBSTITUTE(SUBSTITUTE(PROPER(SUBSTITUTE(us_core_reqs[[#This Row],[Page]], "-", " "))&amp;": "&amp;PROPER(SUBSTITUTE(us_core_reqs[[#This Row],[Section]], "-", " ")),"Us ","US "), "Uscdi", "USCDI")</f>
        <v>Scopes: Granular Scopes For Requesting Fhir Resources</v>
      </c>
      <c r="U166" t="s">
        <v>29</v>
      </c>
      <c r="V166" t="s">
        <v>1171</v>
      </c>
      <c r="W166" t="s">
        <v>1171</v>
      </c>
      <c r="X166" t="s">
        <v>1171</v>
      </c>
      <c r="Y166" t="s">
        <v>1171</v>
      </c>
      <c r="Z166" t="s">
        <v>1171</v>
      </c>
      <c r="AA166" t="s">
        <v>1171</v>
      </c>
      <c r="AB166" t="s">
        <v>701</v>
      </c>
      <c r="AC166" t="s">
        <v>1140</v>
      </c>
      <c r="AD166" t="s">
        <v>1171</v>
      </c>
    </row>
    <row r="167" spans="1:30" ht="153" x14ac:dyDescent="0.2">
      <c r="A167" t="s">
        <v>1171</v>
      </c>
      <c r="B167" t="s">
        <v>1339</v>
      </c>
      <c r="C167" t="str">
        <f>"CONF-"&amp;TEXT(us_core_reqs[[#This Row],[ID*]], "0000")</f>
        <v>CONF-0166</v>
      </c>
      <c r="D167" s="11" t="s">
        <v>624</v>
      </c>
      <c r="E167" t="str">
        <f>SUBSTITUTE(us_core_reqs[[#This Row],[URL*]], "https://hl7.org/fhir/us/core/STU8/","")</f>
        <v>scopes.html#granular-scopes-for-requesting-fhir-resources</v>
      </c>
      <c r="F167" s="11" t="s">
        <v>710</v>
      </c>
      <c r="G167" t="s">
        <v>32</v>
      </c>
      <c r="I167" t="s">
        <v>30</v>
      </c>
      <c r="J167" t="s">
        <v>1171</v>
      </c>
      <c r="K167" t="s">
        <v>1171</v>
      </c>
      <c r="L167" t="s">
        <v>1173</v>
      </c>
      <c r="M167" t="s">
        <v>1171</v>
      </c>
      <c r="N167" t="s">
        <v>1171</v>
      </c>
      <c r="O167" t="s">
        <v>1171</v>
      </c>
      <c r="P167" t="s">
        <v>1171</v>
      </c>
      <c r="Q167" t="s">
        <v>1171</v>
      </c>
      <c r="R167" t="str">
        <f>_xlfn.TEXTBEFORE(_xlfn.TEXTAFTER(us_core_reqs[[#This Row],[URL*]],"/",-1),".")</f>
        <v>scopes</v>
      </c>
      <c r="S167" t="str">
        <f>_xlfn.TEXTAFTER(us_core_reqs[[#This Row],[URL*]],"#",-1)</f>
        <v>granular-scopes-for-requesting-fhir-resources</v>
      </c>
      <c r="T167" t="str">
        <f>SUBSTITUTE(SUBSTITUTE(PROPER(SUBSTITUTE(us_core_reqs[[#This Row],[Page]], "-", " "))&amp;": "&amp;PROPER(SUBSTITUTE(us_core_reqs[[#This Row],[Section]], "-", " ")),"Us ","US "), "Uscdi", "USCDI")</f>
        <v>Scopes: Granular Scopes For Requesting Fhir Resources</v>
      </c>
      <c r="U167" t="s">
        <v>32</v>
      </c>
      <c r="V167" t="s">
        <v>1171</v>
      </c>
      <c r="W167" t="s">
        <v>191</v>
      </c>
      <c r="X167" t="s">
        <v>1171</v>
      </c>
      <c r="Y167" t="s">
        <v>1171</v>
      </c>
      <c r="Z167" t="s">
        <v>1171</v>
      </c>
      <c r="AA167" t="s">
        <v>1171</v>
      </c>
      <c r="AB167" t="s">
        <v>701</v>
      </c>
      <c r="AC167" t="s">
        <v>1171</v>
      </c>
      <c r="AD167" t="s">
        <v>1171</v>
      </c>
    </row>
    <row r="168" spans="1:30" ht="85" x14ac:dyDescent="0.2">
      <c r="A168" t="s">
        <v>1171</v>
      </c>
      <c r="B168" t="s">
        <v>1340</v>
      </c>
      <c r="C168" t="str">
        <f>"CONF-"&amp;TEXT(us_core_reqs[[#This Row],[ID*]], "0000")</f>
        <v>CONF-0167</v>
      </c>
      <c r="D168" s="11" t="s">
        <v>986</v>
      </c>
      <c r="E168" t="str">
        <f>SUBSTITUTE(us_core_reqs[[#This Row],[URL*]], "https://hl7.org/fhir/us/core/STU8/","")</f>
        <v>scopes.html#Servers-shall-support-the-following-metadata-in-their-well-knownsmart-configuration</v>
      </c>
      <c r="F168" s="11" t="s">
        <v>2216</v>
      </c>
      <c r="G168" t="s">
        <v>29</v>
      </c>
      <c r="I168" t="s">
        <v>30</v>
      </c>
      <c r="J168" t="s">
        <v>1171</v>
      </c>
      <c r="K168" t="s">
        <v>192</v>
      </c>
      <c r="L168" t="s">
        <v>1173</v>
      </c>
      <c r="M168" t="s">
        <v>1171</v>
      </c>
      <c r="N168" t="s">
        <v>1171</v>
      </c>
      <c r="O168" t="s">
        <v>1171</v>
      </c>
      <c r="P168" t="s">
        <v>1171</v>
      </c>
      <c r="Q168" t="s">
        <v>1171</v>
      </c>
      <c r="R168" t="str">
        <f>_xlfn.TEXTBEFORE(_xlfn.TEXTAFTER(us_core_reqs[[#This Row],[URL*]],"/",-1),".")</f>
        <v>scopes</v>
      </c>
      <c r="S168" t="str">
        <f>_xlfn.TEXTAFTER(us_core_reqs[[#This Row],[URL*]],"#",-1)</f>
        <v>Servers-shall-support-the-following-metadata-in-their-well-knownsmart-configuration</v>
      </c>
      <c r="T168" t="str">
        <f>SUBSTITUTE(SUBSTITUTE(PROPER(SUBSTITUTE(us_core_reqs[[#This Row],[Page]], "-", " "))&amp;": "&amp;PROPER(SUBSTITUTE(us_core_reqs[[#This Row],[Section]], "-", " ")),"Us ","US "), "Uscdi", "USCDI")</f>
        <v>Scopes: Servers Shall Support The Following Metadata In Their Well Knownsmart Configuration</v>
      </c>
      <c r="U168" t="s">
        <v>29</v>
      </c>
      <c r="V168" t="s">
        <v>30</v>
      </c>
      <c r="W168" t="s">
        <v>193</v>
      </c>
      <c r="X168" t="s">
        <v>1171</v>
      </c>
      <c r="Y168" t="s">
        <v>1171</v>
      </c>
      <c r="Z168" t="s">
        <v>1171</v>
      </c>
      <c r="AA168" t="s">
        <v>1171</v>
      </c>
      <c r="AB168" t="s">
        <v>194</v>
      </c>
      <c r="AC168" t="s">
        <v>1140</v>
      </c>
      <c r="AD168" t="s">
        <v>1171</v>
      </c>
    </row>
    <row r="169" spans="1:30" ht="119" x14ac:dyDescent="0.2">
      <c r="A169" t="s">
        <v>1171</v>
      </c>
      <c r="B169" t="s">
        <v>1341</v>
      </c>
      <c r="C169" t="str">
        <f>"CONF-"&amp;TEXT(us_core_reqs[[#This Row],[ID*]], "0000")</f>
        <v>CONF-0168</v>
      </c>
      <c r="D169" s="11" t="s">
        <v>625</v>
      </c>
      <c r="E169" t="str">
        <f>SUBSTITUTE(us_core_reqs[[#This Row],[URL*]], "https://hl7.org/fhir/us/core/STU8/","")</f>
        <v>scopes.html#additional-us-core-requirements</v>
      </c>
      <c r="F169" s="11" t="s">
        <v>2225</v>
      </c>
      <c r="G169" t="s">
        <v>29</v>
      </c>
      <c r="I169" t="s">
        <v>30</v>
      </c>
      <c r="J169" t="s">
        <v>1171</v>
      </c>
      <c r="K169" t="s">
        <v>1171</v>
      </c>
      <c r="L169" t="s">
        <v>1173</v>
      </c>
      <c r="M169" t="s">
        <v>1171</v>
      </c>
      <c r="N169" t="s">
        <v>1171</v>
      </c>
      <c r="O169" t="s">
        <v>1171</v>
      </c>
      <c r="P169" t="s">
        <v>1171</v>
      </c>
      <c r="Q169" t="s">
        <v>1171</v>
      </c>
      <c r="R169" t="str">
        <f>_xlfn.TEXTBEFORE(_xlfn.TEXTAFTER(us_core_reqs[[#This Row],[URL*]],"/",-1),".")</f>
        <v>scopes</v>
      </c>
      <c r="S169" t="str">
        <f>_xlfn.TEXTAFTER(us_core_reqs[[#This Row],[URL*]],"#",-1)</f>
        <v>additional-us-core-requirements</v>
      </c>
      <c r="T169" t="str">
        <f>SUBSTITUTE(SUBSTITUTE(PROPER(SUBSTITUTE(us_core_reqs[[#This Row],[Page]], "-", " "))&amp;": "&amp;PROPER(SUBSTITUTE(us_core_reqs[[#This Row],[Section]], "-", " ")),"Us ","US "), "Uscdi", "USCDI")</f>
        <v>Scopes: Additional US Core Requirements</v>
      </c>
      <c r="U169" t="s">
        <v>35</v>
      </c>
      <c r="V169" t="s">
        <v>30</v>
      </c>
      <c r="W169" t="s">
        <v>195</v>
      </c>
      <c r="X169" t="s">
        <v>1171</v>
      </c>
      <c r="Y169" t="s">
        <v>1171</v>
      </c>
      <c r="Z169" t="s">
        <v>1171</v>
      </c>
      <c r="AA169" t="s">
        <v>1171</v>
      </c>
      <c r="AB169" t="s">
        <v>989</v>
      </c>
      <c r="AC169" t="s">
        <v>1140</v>
      </c>
      <c r="AD169" t="s">
        <v>1171</v>
      </c>
    </row>
    <row r="170" spans="1:30" ht="119" x14ac:dyDescent="0.2">
      <c r="A170" t="s">
        <v>1171</v>
      </c>
      <c r="B170" t="s">
        <v>1342</v>
      </c>
      <c r="C170" t="str">
        <f>"CONF-"&amp;TEXT(us_core_reqs[[#This Row],[ID*]], "0000")</f>
        <v>CONF-0169</v>
      </c>
      <c r="D170" s="11" t="s">
        <v>625</v>
      </c>
      <c r="E170" t="str">
        <f>SUBSTITUTE(us_core_reqs[[#This Row],[URL*]], "https://hl7.org/fhir/us/core/STU8/","")</f>
        <v>scopes.html#additional-us-core-requirements</v>
      </c>
      <c r="F170" s="11" t="s">
        <v>990</v>
      </c>
      <c r="G170" t="s">
        <v>35</v>
      </c>
      <c r="I170" t="s">
        <v>30</v>
      </c>
      <c r="J170" t="s">
        <v>1171</v>
      </c>
      <c r="K170" t="s">
        <v>1171</v>
      </c>
      <c r="L170" t="s">
        <v>1173</v>
      </c>
      <c r="M170" t="s">
        <v>1171</v>
      </c>
      <c r="N170" t="s">
        <v>1171</v>
      </c>
      <c r="O170" t="s">
        <v>1171</v>
      </c>
      <c r="P170" t="s">
        <v>1171</v>
      </c>
      <c r="Q170" t="s">
        <v>1171</v>
      </c>
      <c r="R170" t="str">
        <f>_xlfn.TEXTBEFORE(_xlfn.TEXTAFTER(us_core_reqs[[#This Row],[URL*]],"/",-1),".")</f>
        <v>scopes</v>
      </c>
      <c r="S170" t="str">
        <f>_xlfn.TEXTAFTER(us_core_reqs[[#This Row],[URL*]],"#",-1)</f>
        <v>additional-us-core-requirements</v>
      </c>
      <c r="T170" t="str">
        <f>SUBSTITUTE(SUBSTITUTE(PROPER(SUBSTITUTE(us_core_reqs[[#This Row],[Page]], "-", " "))&amp;": "&amp;PROPER(SUBSTITUTE(us_core_reqs[[#This Row],[Section]], "-", " ")),"Us ","US "), "Uscdi", "USCDI")</f>
        <v>Scopes: Additional US Core Requirements</v>
      </c>
      <c r="U170" t="s">
        <v>35</v>
      </c>
      <c r="V170" t="s">
        <v>30</v>
      </c>
      <c r="W170" t="s">
        <v>1171</v>
      </c>
      <c r="X170" t="s">
        <v>1171</v>
      </c>
      <c r="Y170" t="s">
        <v>1171</v>
      </c>
      <c r="Z170" t="s">
        <v>1171</v>
      </c>
      <c r="AA170" t="s">
        <v>1171</v>
      </c>
      <c r="AB170" t="s">
        <v>1171</v>
      </c>
      <c r="AC170" t="s">
        <v>1171</v>
      </c>
      <c r="AD170" t="s">
        <v>1171</v>
      </c>
    </row>
    <row r="171" spans="1:30" ht="119" x14ac:dyDescent="0.2">
      <c r="A171" t="s">
        <v>1171</v>
      </c>
      <c r="B171" t="s">
        <v>1343</v>
      </c>
      <c r="C171" t="str">
        <f>"CONF-"&amp;TEXT(us_core_reqs[[#This Row],[ID*]], "0000")</f>
        <v>CONF-0170</v>
      </c>
      <c r="D171" s="11" t="s">
        <v>625</v>
      </c>
      <c r="E171" t="str">
        <f>SUBSTITUTE(us_core_reqs[[#This Row],[URL*]], "https://hl7.org/fhir/us/core/STU8/","")</f>
        <v>scopes.html#additional-us-core-requirements</v>
      </c>
      <c r="F171" s="11" t="s">
        <v>2198</v>
      </c>
      <c r="G171" t="s">
        <v>35</v>
      </c>
      <c r="I171" t="s">
        <v>30</v>
      </c>
      <c r="J171" t="s">
        <v>1171</v>
      </c>
      <c r="K171" t="s">
        <v>1171</v>
      </c>
      <c r="L171" t="s">
        <v>1173</v>
      </c>
      <c r="M171" t="s">
        <v>1171</v>
      </c>
      <c r="N171" t="s">
        <v>1171</v>
      </c>
      <c r="O171" t="s">
        <v>1171</v>
      </c>
      <c r="P171" t="s">
        <v>1171</v>
      </c>
      <c r="Q171" t="s">
        <v>1171</v>
      </c>
      <c r="R171" t="str">
        <f>_xlfn.TEXTBEFORE(_xlfn.TEXTAFTER(us_core_reqs[[#This Row],[URL*]],"/",-1),".")</f>
        <v>scopes</v>
      </c>
      <c r="S171" t="str">
        <f>_xlfn.TEXTAFTER(us_core_reqs[[#This Row],[URL*]],"#",-1)</f>
        <v>additional-us-core-requirements</v>
      </c>
      <c r="T171" t="str">
        <f>SUBSTITUTE(SUBSTITUTE(PROPER(SUBSTITUTE(us_core_reqs[[#This Row],[Page]], "-", " "))&amp;": "&amp;PROPER(SUBSTITUTE(us_core_reqs[[#This Row],[Section]], "-", " ")),"Us ","US "), "Uscdi", "USCDI")</f>
        <v>Scopes: Additional US Core Requirements</v>
      </c>
      <c r="U171" t="s">
        <v>35</v>
      </c>
      <c r="V171" t="s">
        <v>30</v>
      </c>
      <c r="W171" t="s">
        <v>1171</v>
      </c>
      <c r="X171" t="s">
        <v>1171</v>
      </c>
      <c r="Y171" t="s">
        <v>1171</v>
      </c>
      <c r="Z171" t="s">
        <v>1171</v>
      </c>
      <c r="AA171" t="s">
        <v>1171</v>
      </c>
      <c r="AB171" t="s">
        <v>1171</v>
      </c>
      <c r="AC171" t="s">
        <v>1171</v>
      </c>
      <c r="AD171" t="s">
        <v>1171</v>
      </c>
    </row>
    <row r="172" spans="1:30" ht="119" x14ac:dyDescent="0.2">
      <c r="A172" t="s">
        <v>1171</v>
      </c>
      <c r="B172" t="s">
        <v>1344</v>
      </c>
      <c r="C172" t="str">
        <f>"CONF-"&amp;TEXT(us_core_reqs[[#This Row],[ID*]], "0000")</f>
        <v>CONF-0171</v>
      </c>
      <c r="D172" s="11" t="s">
        <v>625</v>
      </c>
      <c r="E172" t="str">
        <f>SUBSTITUTE(us_core_reqs[[#This Row],[URL*]], "https://hl7.org/fhir/us/core/STU8/","")</f>
        <v>scopes.html#additional-us-core-requirements</v>
      </c>
      <c r="F172" s="11" t="s">
        <v>2212</v>
      </c>
      <c r="G172" t="s">
        <v>29</v>
      </c>
      <c r="I172" t="s">
        <v>30</v>
      </c>
      <c r="J172" t="s">
        <v>1171</v>
      </c>
      <c r="K172" t="s">
        <v>1171</v>
      </c>
      <c r="L172" t="s">
        <v>1173</v>
      </c>
      <c r="M172" t="s">
        <v>1171</v>
      </c>
      <c r="N172" t="s">
        <v>1171</v>
      </c>
      <c r="O172" t="s">
        <v>1171</v>
      </c>
      <c r="P172" t="s">
        <v>1171</v>
      </c>
      <c r="Q172" t="s">
        <v>1171</v>
      </c>
      <c r="R172" t="str">
        <f>_xlfn.TEXTBEFORE(_xlfn.TEXTAFTER(us_core_reqs[[#This Row],[URL*]],"/",-1),".")</f>
        <v>scopes</v>
      </c>
      <c r="S172" t="str">
        <f>_xlfn.TEXTAFTER(us_core_reqs[[#This Row],[URL*]],"#",-1)</f>
        <v>additional-us-core-requirements</v>
      </c>
      <c r="T172" t="str">
        <f>SUBSTITUTE(SUBSTITUTE(PROPER(SUBSTITUTE(us_core_reqs[[#This Row],[Page]], "-", " "))&amp;": "&amp;PROPER(SUBSTITUTE(us_core_reqs[[#This Row],[Section]], "-", " ")),"Us ","US "), "Uscdi", "USCDI")</f>
        <v>Scopes: Additional US Core Requirements</v>
      </c>
      <c r="U172" t="s">
        <v>35</v>
      </c>
      <c r="V172" t="s">
        <v>30</v>
      </c>
      <c r="W172" t="s">
        <v>1171</v>
      </c>
      <c r="X172" t="s">
        <v>1171</v>
      </c>
      <c r="Y172" t="s">
        <v>1171</v>
      </c>
      <c r="Z172" t="s">
        <v>1171</v>
      </c>
      <c r="AA172" t="s">
        <v>1171</v>
      </c>
      <c r="AB172" t="s">
        <v>1171</v>
      </c>
      <c r="AC172" t="s">
        <v>1140</v>
      </c>
      <c r="AD172" t="s">
        <v>1171</v>
      </c>
    </row>
    <row r="173" spans="1:30" ht="119" x14ac:dyDescent="0.2">
      <c r="A173" t="s">
        <v>1171</v>
      </c>
      <c r="B173" t="s">
        <v>1345</v>
      </c>
      <c r="C173" t="str">
        <f>"CONF-"&amp;TEXT(us_core_reqs[[#This Row],[ID*]], "0000")</f>
        <v>CONF-0172</v>
      </c>
      <c r="D173" s="11" t="s">
        <v>625</v>
      </c>
      <c r="E173" t="str">
        <f>SUBSTITUTE(us_core_reqs[[#This Row],[URL*]], "https://hl7.org/fhir/us/core/STU8/","")</f>
        <v>scopes.html#additional-us-core-requirements</v>
      </c>
      <c r="F173" s="11" t="s">
        <v>1912</v>
      </c>
      <c r="G173" t="s">
        <v>32</v>
      </c>
      <c r="I173" t="s">
        <v>58</v>
      </c>
      <c r="J173" t="s">
        <v>1171</v>
      </c>
      <c r="K173" t="s">
        <v>1171</v>
      </c>
      <c r="L173" t="s">
        <v>1173</v>
      </c>
      <c r="M173" t="s">
        <v>1171</v>
      </c>
      <c r="N173" t="s">
        <v>1171</v>
      </c>
      <c r="O173" t="s">
        <v>1171</v>
      </c>
      <c r="P173" t="s">
        <v>1171</v>
      </c>
      <c r="Q173" t="s">
        <v>1171</v>
      </c>
      <c r="R173" t="str">
        <f>_xlfn.TEXTBEFORE(_xlfn.TEXTAFTER(us_core_reqs[[#This Row],[URL*]],"/",-1),".")</f>
        <v>scopes</v>
      </c>
      <c r="S173" t="str">
        <f>_xlfn.TEXTAFTER(us_core_reqs[[#This Row],[URL*]],"#",-1)</f>
        <v>additional-us-core-requirements</v>
      </c>
      <c r="T173" t="str">
        <f>SUBSTITUTE(SUBSTITUTE(PROPER(SUBSTITUTE(us_core_reqs[[#This Row],[Page]], "-", " "))&amp;": "&amp;PROPER(SUBSTITUTE(us_core_reqs[[#This Row],[Section]], "-", " ")),"Us ","US "), "Uscdi", "USCDI")</f>
        <v>Scopes: Additional US Core Requirements</v>
      </c>
      <c r="U173" t="s">
        <v>35</v>
      </c>
      <c r="V173" t="s">
        <v>30</v>
      </c>
      <c r="W173" t="s">
        <v>1171</v>
      </c>
      <c r="X173" t="s">
        <v>1171</v>
      </c>
      <c r="Y173" t="s">
        <v>1171</v>
      </c>
      <c r="Z173" t="s">
        <v>1171</v>
      </c>
      <c r="AA173" t="s">
        <v>1171</v>
      </c>
      <c r="AB173" t="s">
        <v>1171</v>
      </c>
      <c r="AC173" t="s">
        <v>1171</v>
      </c>
      <c r="AD173" t="s">
        <v>1171</v>
      </c>
    </row>
    <row r="174" spans="1:30" ht="102" x14ac:dyDescent="0.2">
      <c r="A174" t="s">
        <v>1171</v>
      </c>
      <c r="B174" t="s">
        <v>1346</v>
      </c>
      <c r="C174" t="str">
        <f>"CONF-"&amp;TEXT(us_core_reqs[[#This Row],[ID*]], "0000")</f>
        <v>CONF-0173</v>
      </c>
      <c r="D174" s="11" t="s">
        <v>625</v>
      </c>
      <c r="E174" t="str">
        <f>SUBSTITUTE(us_core_reqs[[#This Row],[URL*]], "https://hl7.org/fhir/us/core/STU8/","")</f>
        <v>scopes.html#additional-us-core-requirements</v>
      </c>
      <c r="F174" s="11" t="s">
        <v>2217</v>
      </c>
      <c r="G174" t="s">
        <v>29</v>
      </c>
      <c r="I174" t="s">
        <v>30</v>
      </c>
      <c r="J174" t="s">
        <v>1171</v>
      </c>
      <c r="K174" t="s">
        <v>1171</v>
      </c>
      <c r="L174" t="s">
        <v>1173</v>
      </c>
      <c r="M174" t="s">
        <v>1171</v>
      </c>
      <c r="N174" t="s">
        <v>1171</v>
      </c>
      <c r="O174" t="s">
        <v>1171</v>
      </c>
      <c r="P174" t="s">
        <v>1171</v>
      </c>
      <c r="Q174" t="s">
        <v>1171</v>
      </c>
      <c r="R174" t="str">
        <f>_xlfn.TEXTBEFORE(_xlfn.TEXTAFTER(us_core_reqs[[#This Row],[URL*]],"/",-1),".")</f>
        <v>scopes</v>
      </c>
      <c r="S174" t="str">
        <f>_xlfn.TEXTAFTER(us_core_reqs[[#This Row],[URL*]],"#",-1)</f>
        <v>additional-us-core-requirements</v>
      </c>
      <c r="T174" t="str">
        <f>SUBSTITUTE(SUBSTITUTE(PROPER(SUBSTITUTE(us_core_reqs[[#This Row],[Page]], "-", " "))&amp;": "&amp;PROPER(SUBSTITUTE(us_core_reqs[[#This Row],[Section]], "-", " ")),"Us ","US "), "Uscdi", "USCDI")</f>
        <v>Scopes: Additional US Core Requirements</v>
      </c>
      <c r="U174" t="s">
        <v>29</v>
      </c>
      <c r="V174" t="s">
        <v>30</v>
      </c>
      <c r="W174" t="s">
        <v>196</v>
      </c>
      <c r="X174" t="s">
        <v>1171</v>
      </c>
      <c r="Y174" t="s">
        <v>1171</v>
      </c>
      <c r="Z174" t="s">
        <v>1171</v>
      </c>
      <c r="AA174" t="s">
        <v>1171</v>
      </c>
      <c r="AB174" t="s">
        <v>1171</v>
      </c>
      <c r="AC174" t="s">
        <v>1140</v>
      </c>
      <c r="AD174" t="s">
        <v>1171</v>
      </c>
    </row>
    <row r="175" spans="1:30" ht="51" x14ac:dyDescent="0.2">
      <c r="A175" t="s">
        <v>1171</v>
      </c>
      <c r="B175" t="s">
        <v>1347</v>
      </c>
      <c r="C175" t="str">
        <f>"CONF-"&amp;TEXT(us_core_reqs[[#This Row],[ID*]], "0000")</f>
        <v>CONF-0174</v>
      </c>
      <c r="D175" s="11" t="s">
        <v>830</v>
      </c>
      <c r="E175" t="str">
        <f>SUBSTITUTE(us_core_reqs[[#This Row],[URL*]], "https://hl7.org/fhir/us/core/STU8/","")</f>
        <v>general-guidance.html#referencing-us-core-profiles</v>
      </c>
      <c r="F175" s="11" t="s">
        <v>1913</v>
      </c>
      <c r="G175" t="s">
        <v>32</v>
      </c>
      <c r="I175" t="s">
        <v>30</v>
      </c>
      <c r="J175" t="s">
        <v>1171</v>
      </c>
      <c r="K175" t="s">
        <v>1171</v>
      </c>
      <c r="L175" t="s">
        <v>1173</v>
      </c>
      <c r="M175" t="s">
        <v>1171</v>
      </c>
      <c r="N175" t="s">
        <v>1171</v>
      </c>
      <c r="O175" t="s">
        <v>1171</v>
      </c>
      <c r="P175" t="s">
        <v>1171</v>
      </c>
      <c r="Q175" t="s">
        <v>1171</v>
      </c>
      <c r="R175" t="str">
        <f>_xlfn.TEXTBEFORE(_xlfn.TEXTAFTER(us_core_reqs[[#This Row],[URL*]],"/",-1),".")</f>
        <v>general-guidance</v>
      </c>
      <c r="S175" t="str">
        <f>_xlfn.TEXTAFTER(us_core_reqs[[#This Row],[URL*]],"#",-1)</f>
        <v>referencing-us-core-profiles</v>
      </c>
      <c r="T175" t="str">
        <f>SUBSTITUTE(SUBSTITUTE(PROPER(SUBSTITUTE(us_core_reqs[[#This Row],[Page]], "-", " "))&amp;": "&amp;PROPER(SUBSTITUTE(us_core_reqs[[#This Row],[Section]], "-", " ")),"Us ","US "), "Uscdi", "USCDI")</f>
        <v>General Guidance: Referencing US Core Profiles</v>
      </c>
      <c r="U175" t="s">
        <v>32</v>
      </c>
      <c r="V175" t="s">
        <v>1171</v>
      </c>
      <c r="W175" t="s">
        <v>198</v>
      </c>
      <c r="X175" t="s">
        <v>1171</v>
      </c>
      <c r="Y175" t="s">
        <v>1171</v>
      </c>
      <c r="Z175" t="s">
        <v>1171</v>
      </c>
      <c r="AA175" t="s">
        <v>1171</v>
      </c>
      <c r="AB175" t="s">
        <v>1171</v>
      </c>
      <c r="AC175" t="s">
        <v>1171</v>
      </c>
      <c r="AD175" t="s">
        <v>1171</v>
      </c>
    </row>
    <row r="176" spans="1:30" ht="51" x14ac:dyDescent="0.2">
      <c r="A176" t="s">
        <v>1171</v>
      </c>
      <c r="B176" t="s">
        <v>1348</v>
      </c>
      <c r="C176" t="str">
        <f>"CONF-"&amp;TEXT(us_core_reqs[[#This Row],[ID*]], "0000")</f>
        <v>CONF-0175</v>
      </c>
      <c r="D176" s="11" t="s">
        <v>830</v>
      </c>
      <c r="E176" t="str">
        <f>SUBSTITUTE(us_core_reqs[[#This Row],[URL*]], "https://hl7.org/fhir/us/core/STU8/","")</f>
        <v>general-guidance.html#referencing-us-core-profiles</v>
      </c>
      <c r="F176" s="11" t="s">
        <v>1914</v>
      </c>
      <c r="G176" t="s">
        <v>32</v>
      </c>
      <c r="I176" t="s">
        <v>30</v>
      </c>
      <c r="J176" t="s">
        <v>1171</v>
      </c>
      <c r="K176" t="s">
        <v>1171</v>
      </c>
      <c r="L176" t="s">
        <v>1173</v>
      </c>
      <c r="M176" t="s">
        <v>1171</v>
      </c>
      <c r="N176" t="s">
        <v>1171</v>
      </c>
      <c r="O176" t="s">
        <v>1171</v>
      </c>
      <c r="P176" t="s">
        <v>1171</v>
      </c>
      <c r="Q176" t="s">
        <v>1171</v>
      </c>
      <c r="R176" t="str">
        <f>_xlfn.TEXTBEFORE(_xlfn.TEXTAFTER(us_core_reqs[[#This Row],[URL*]],"/",-1),".")</f>
        <v>general-guidance</v>
      </c>
      <c r="S176" t="str">
        <f>_xlfn.TEXTAFTER(us_core_reqs[[#This Row],[URL*]],"#",-1)</f>
        <v>referencing-us-core-profiles</v>
      </c>
      <c r="T176" t="str">
        <f>SUBSTITUTE(SUBSTITUTE(PROPER(SUBSTITUTE(us_core_reqs[[#This Row],[Page]], "-", " "))&amp;": "&amp;PROPER(SUBSTITUTE(us_core_reqs[[#This Row],[Section]], "-", " ")),"Us ","US "), "Uscdi", "USCDI")</f>
        <v>General Guidance: Referencing US Core Profiles</v>
      </c>
      <c r="U176" t="s">
        <v>32</v>
      </c>
      <c r="V176" t="s">
        <v>30</v>
      </c>
      <c r="W176" t="s">
        <v>198</v>
      </c>
      <c r="X176" t="s">
        <v>1171</v>
      </c>
      <c r="Y176" t="s">
        <v>1171</v>
      </c>
      <c r="Z176" t="s">
        <v>1171</v>
      </c>
      <c r="AA176" t="s">
        <v>1171</v>
      </c>
      <c r="AB176" t="s">
        <v>1171</v>
      </c>
      <c r="AC176" t="s">
        <v>1171</v>
      </c>
      <c r="AD176" t="s">
        <v>1171</v>
      </c>
    </row>
    <row r="177" spans="1:30" ht="51" x14ac:dyDescent="0.2">
      <c r="A177" t="s">
        <v>1171</v>
      </c>
      <c r="B177" t="s">
        <v>1349</v>
      </c>
      <c r="C177" t="str">
        <f>"CONF-"&amp;TEXT(us_core_reqs[[#This Row],[ID*]], "0000")</f>
        <v>CONF-0176</v>
      </c>
      <c r="D177" s="11" t="s">
        <v>831</v>
      </c>
      <c r="E177" t="str">
        <f>SUBSTITUTE(us_core_reqs[[#This Row],[URL*]], "https://hl7.org/fhir/us/core/STU8/","")</f>
        <v>general-guidance.html#contained-resources</v>
      </c>
      <c r="F177" s="11" t="s">
        <v>1915</v>
      </c>
      <c r="G177" t="s">
        <v>1834</v>
      </c>
      <c r="H177" s="71" t="s">
        <v>1875</v>
      </c>
      <c r="I177" t="s">
        <v>30</v>
      </c>
      <c r="J177" t="s">
        <v>1171</v>
      </c>
      <c r="K177" t="s">
        <v>1171</v>
      </c>
      <c r="L177" t="s">
        <v>1173</v>
      </c>
      <c r="M177" t="s">
        <v>1171</v>
      </c>
      <c r="N177" t="s">
        <v>1171</v>
      </c>
      <c r="O177" t="s">
        <v>1171</v>
      </c>
      <c r="P177" t="s">
        <v>1171</v>
      </c>
      <c r="Q177" t="s">
        <v>1171</v>
      </c>
      <c r="R177" t="str">
        <f>_xlfn.TEXTBEFORE(_xlfn.TEXTAFTER(us_core_reqs[[#This Row],[URL*]],"/",-1),".")</f>
        <v>general-guidance</v>
      </c>
      <c r="S177" t="str">
        <f>_xlfn.TEXTAFTER(us_core_reqs[[#This Row],[URL*]],"#",-1)</f>
        <v>contained-resources</v>
      </c>
      <c r="T177" t="str">
        <f>SUBSTITUTE(SUBSTITUTE(PROPER(SUBSTITUTE(us_core_reqs[[#This Row],[Page]], "-", " "))&amp;": "&amp;PROPER(SUBSTITUTE(us_core_reqs[[#This Row],[Section]], "-", " ")),"Us ","US "), "Uscdi", "USCDI")</f>
        <v>General Guidance: Contained Resources</v>
      </c>
      <c r="U177" t="s">
        <v>32</v>
      </c>
      <c r="V177" t="s">
        <v>30</v>
      </c>
      <c r="W177" t="s">
        <v>200</v>
      </c>
      <c r="X177" t="s">
        <v>1171</v>
      </c>
      <c r="Y177" t="s">
        <v>1171</v>
      </c>
      <c r="Z177" t="s">
        <v>1171</v>
      </c>
      <c r="AA177" t="s">
        <v>1171</v>
      </c>
      <c r="AB177" t="s">
        <v>1171</v>
      </c>
      <c r="AC177" t="s">
        <v>1171</v>
      </c>
      <c r="AD177" t="s">
        <v>1171</v>
      </c>
    </row>
    <row r="178" spans="1:30" ht="51" x14ac:dyDescent="0.2">
      <c r="A178" t="s">
        <v>1171</v>
      </c>
      <c r="B178" t="s">
        <v>1350</v>
      </c>
      <c r="C178" t="str">
        <f>"CONF-"&amp;TEXT(us_core_reqs[[#This Row],[ID*]], "0000")</f>
        <v>CONF-0177</v>
      </c>
      <c r="D178" s="11" t="s">
        <v>831</v>
      </c>
      <c r="E178" t="str">
        <f>SUBSTITUTE(us_core_reqs[[#This Row],[URL*]], "https://hl7.org/fhir/us/core/STU8/","")</f>
        <v>general-guidance.html#contained-resources</v>
      </c>
      <c r="F178" s="11" t="s">
        <v>1916</v>
      </c>
      <c r="G178" t="s">
        <v>32</v>
      </c>
      <c r="I178" t="s">
        <v>30</v>
      </c>
      <c r="J178" t="s">
        <v>1171</v>
      </c>
      <c r="K178" t="s">
        <v>1171</v>
      </c>
      <c r="L178" t="s">
        <v>1173</v>
      </c>
      <c r="M178" t="s">
        <v>1171</v>
      </c>
      <c r="N178" t="s">
        <v>1171</v>
      </c>
      <c r="O178" t="s">
        <v>1171</v>
      </c>
      <c r="P178" t="s">
        <v>1171</v>
      </c>
      <c r="Q178" t="s">
        <v>1171</v>
      </c>
      <c r="R178" t="str">
        <f>_xlfn.TEXTBEFORE(_xlfn.TEXTAFTER(us_core_reqs[[#This Row],[URL*]],"/",-1),".")</f>
        <v>general-guidance</v>
      </c>
      <c r="S178" t="str">
        <f>_xlfn.TEXTAFTER(us_core_reqs[[#This Row],[URL*]],"#",-1)</f>
        <v>contained-resources</v>
      </c>
      <c r="T178" t="str">
        <f>SUBSTITUTE(SUBSTITUTE(PROPER(SUBSTITUTE(us_core_reqs[[#This Row],[Page]], "-", " "))&amp;": "&amp;PROPER(SUBSTITUTE(us_core_reqs[[#This Row],[Section]], "-", " ")),"Us ","US "), "Uscdi", "USCDI")</f>
        <v>General Guidance: Contained Resources</v>
      </c>
      <c r="U178" t="s">
        <v>32</v>
      </c>
      <c r="V178" t="s">
        <v>1171</v>
      </c>
      <c r="W178" t="s">
        <v>202</v>
      </c>
      <c r="X178" t="s">
        <v>1171</v>
      </c>
      <c r="Y178" t="s">
        <v>1171</v>
      </c>
      <c r="Z178" t="s">
        <v>1171</v>
      </c>
      <c r="AA178" t="s">
        <v>1171</v>
      </c>
      <c r="AB178" t="s">
        <v>1171</v>
      </c>
      <c r="AC178" t="s">
        <v>1171</v>
      </c>
      <c r="AD178" t="s">
        <v>1171</v>
      </c>
    </row>
    <row r="179" spans="1:30" ht="51" x14ac:dyDescent="0.2">
      <c r="A179" t="s">
        <v>1171</v>
      </c>
      <c r="B179" t="s">
        <v>1351</v>
      </c>
      <c r="C179" t="str">
        <f>"CONF-"&amp;TEXT(us_core_reqs[[#This Row],[ID*]], "0000")</f>
        <v>CONF-0178</v>
      </c>
      <c r="D179" s="11" t="s">
        <v>831</v>
      </c>
      <c r="E179" t="str">
        <f>SUBSTITUTE(us_core_reqs[[#This Row],[URL*]], "https://hl7.org/fhir/us/core/STU8/","")</f>
        <v>general-guidance.html#contained-resources</v>
      </c>
      <c r="F179" s="11" t="s">
        <v>1917</v>
      </c>
      <c r="G179" t="s">
        <v>32</v>
      </c>
      <c r="I179" t="s">
        <v>30</v>
      </c>
      <c r="J179" t="s">
        <v>1171</v>
      </c>
      <c r="K179" t="s">
        <v>1171</v>
      </c>
      <c r="L179" t="s">
        <v>1173</v>
      </c>
      <c r="M179" t="s">
        <v>1171</v>
      </c>
      <c r="N179" t="s">
        <v>1171</v>
      </c>
      <c r="O179" t="s">
        <v>1171</v>
      </c>
      <c r="P179" t="s">
        <v>1171</v>
      </c>
      <c r="Q179" t="s">
        <v>1171</v>
      </c>
      <c r="R179" t="str">
        <f>_xlfn.TEXTBEFORE(_xlfn.TEXTAFTER(us_core_reqs[[#This Row],[URL*]],"/",-1),".")</f>
        <v>general-guidance</v>
      </c>
      <c r="S179" t="str">
        <f>_xlfn.TEXTAFTER(us_core_reqs[[#This Row],[URL*]],"#",-1)</f>
        <v>contained-resources</v>
      </c>
      <c r="T179" t="str">
        <f>SUBSTITUTE(SUBSTITUTE(PROPER(SUBSTITUTE(us_core_reqs[[#This Row],[Page]], "-", " "))&amp;": "&amp;PROPER(SUBSTITUTE(us_core_reqs[[#This Row],[Section]], "-", " ")),"Us ","US "), "Uscdi", "USCDI")</f>
        <v>General Guidance: Contained Resources</v>
      </c>
      <c r="U179" t="s">
        <v>32</v>
      </c>
      <c r="V179" t="s">
        <v>1171</v>
      </c>
      <c r="W179" t="s">
        <v>204</v>
      </c>
      <c r="X179" t="s">
        <v>1171</v>
      </c>
      <c r="Y179" t="s">
        <v>1171</v>
      </c>
      <c r="Z179" t="s">
        <v>1171</v>
      </c>
      <c r="AA179" t="s">
        <v>1171</v>
      </c>
      <c r="AB179" t="s">
        <v>1171</v>
      </c>
      <c r="AC179" t="s">
        <v>1171</v>
      </c>
      <c r="AD179" t="s">
        <v>1171</v>
      </c>
    </row>
    <row r="180" spans="1:30" ht="51" x14ac:dyDescent="0.2">
      <c r="A180" t="s">
        <v>1171</v>
      </c>
      <c r="B180" t="s">
        <v>1352</v>
      </c>
      <c r="C180" t="str">
        <f>"CONF-"&amp;TEXT(us_core_reqs[[#This Row],[ID*]], "0000")</f>
        <v>CONF-0179</v>
      </c>
      <c r="D180" s="11" t="s">
        <v>831</v>
      </c>
      <c r="E180" t="str">
        <f>SUBSTITUTE(us_core_reqs[[#This Row],[URL*]], "https://hl7.org/fhir/us/core/STU8/","")</f>
        <v>general-guidance.html#contained-resources</v>
      </c>
      <c r="F180" s="11" t="s">
        <v>1918</v>
      </c>
      <c r="G180" t="s">
        <v>32</v>
      </c>
      <c r="I180" t="s">
        <v>30</v>
      </c>
      <c r="J180" t="s">
        <v>1171</v>
      </c>
      <c r="K180" t="s">
        <v>1171</v>
      </c>
      <c r="L180" t="s">
        <v>1176</v>
      </c>
      <c r="M180" t="s">
        <v>206</v>
      </c>
      <c r="N180" t="s">
        <v>1171</v>
      </c>
      <c r="O180" t="s">
        <v>1171</v>
      </c>
      <c r="P180" t="s">
        <v>1171</v>
      </c>
      <c r="Q180" t="s">
        <v>1171</v>
      </c>
      <c r="R180" t="str">
        <f>_xlfn.TEXTBEFORE(_xlfn.TEXTAFTER(us_core_reqs[[#This Row],[URL*]],"/",-1),".")</f>
        <v>general-guidance</v>
      </c>
      <c r="S180" t="str">
        <f>_xlfn.TEXTAFTER(us_core_reqs[[#This Row],[URL*]],"#",-1)</f>
        <v>contained-resources</v>
      </c>
      <c r="T180" t="str">
        <f>SUBSTITUTE(SUBSTITUTE(PROPER(SUBSTITUTE(us_core_reqs[[#This Row],[Page]], "-", " "))&amp;": "&amp;PROPER(SUBSTITUTE(us_core_reqs[[#This Row],[Section]], "-", " ")),"Us ","US "), "Uscdi", "USCDI")</f>
        <v>General Guidance: Contained Resources</v>
      </c>
      <c r="U180" t="s">
        <v>32</v>
      </c>
      <c r="V180" t="s">
        <v>1171</v>
      </c>
      <c r="W180" t="s">
        <v>207</v>
      </c>
      <c r="X180" t="s">
        <v>1171</v>
      </c>
      <c r="Y180" t="s">
        <v>1171</v>
      </c>
      <c r="Z180" t="s">
        <v>1171</v>
      </c>
      <c r="AA180" t="s">
        <v>1171</v>
      </c>
      <c r="AB180" t="s">
        <v>1171</v>
      </c>
      <c r="AC180" t="s">
        <v>1171</v>
      </c>
      <c r="AD180" t="s">
        <v>1171</v>
      </c>
    </row>
    <row r="181" spans="1:30" ht="68" x14ac:dyDescent="0.2">
      <c r="A181" t="s">
        <v>1171</v>
      </c>
      <c r="B181" t="s">
        <v>1353</v>
      </c>
      <c r="C181" t="str">
        <f>"CONF-"&amp;TEXT(us_core_reqs[[#This Row],[ID*]], "0000")</f>
        <v>CONF-0180</v>
      </c>
      <c r="D181" s="11" t="s">
        <v>831</v>
      </c>
      <c r="E181" t="str">
        <f>SUBSTITUTE(us_core_reqs[[#This Row],[URL*]], "https://hl7.org/fhir/us/core/STU8/","")</f>
        <v>general-guidance.html#contained-resources</v>
      </c>
      <c r="F181" s="11" t="s">
        <v>208</v>
      </c>
      <c r="G181" t="s">
        <v>32</v>
      </c>
      <c r="I181" t="s">
        <v>30</v>
      </c>
      <c r="J181" t="s">
        <v>1171</v>
      </c>
      <c r="K181" t="s">
        <v>1171</v>
      </c>
      <c r="L181" t="s">
        <v>1176</v>
      </c>
      <c r="M181" t="s">
        <v>206</v>
      </c>
      <c r="N181" t="s">
        <v>1171</v>
      </c>
      <c r="O181" t="s">
        <v>1171</v>
      </c>
      <c r="P181" t="s">
        <v>1171</v>
      </c>
      <c r="Q181" t="s">
        <v>1171</v>
      </c>
      <c r="R181" t="str">
        <f>_xlfn.TEXTBEFORE(_xlfn.TEXTAFTER(us_core_reqs[[#This Row],[URL*]],"/",-1),".")</f>
        <v>general-guidance</v>
      </c>
      <c r="S181" t="str">
        <f>_xlfn.TEXTAFTER(us_core_reqs[[#This Row],[URL*]],"#",-1)</f>
        <v>contained-resources</v>
      </c>
      <c r="T181" t="str">
        <f>SUBSTITUTE(SUBSTITUTE(PROPER(SUBSTITUTE(us_core_reqs[[#This Row],[Page]], "-", " "))&amp;": "&amp;PROPER(SUBSTITUTE(us_core_reqs[[#This Row],[Section]], "-", " ")),"Us ","US "), "Uscdi", "USCDI")</f>
        <v>General Guidance: Contained Resources</v>
      </c>
      <c r="U181" t="s">
        <v>1171</v>
      </c>
      <c r="V181" t="s">
        <v>1171</v>
      </c>
      <c r="W181" t="s">
        <v>207</v>
      </c>
      <c r="X181" t="s">
        <v>1171</v>
      </c>
      <c r="Y181" t="s">
        <v>1171</v>
      </c>
      <c r="Z181" t="s">
        <v>1171</v>
      </c>
      <c r="AA181" t="s">
        <v>1171</v>
      </c>
      <c r="AB181" t="s">
        <v>209</v>
      </c>
      <c r="AC181" t="s">
        <v>1171</v>
      </c>
      <c r="AD181" t="s">
        <v>1171</v>
      </c>
    </row>
    <row r="182" spans="1:30" ht="51" x14ac:dyDescent="0.2">
      <c r="A182" t="s">
        <v>1171</v>
      </c>
      <c r="B182" t="s">
        <v>1354</v>
      </c>
      <c r="C182" t="str">
        <f>"CONF-"&amp;TEXT(us_core_reqs[[#This Row],[ID*]], "0000")</f>
        <v>CONF-0181</v>
      </c>
      <c r="D182" s="11" t="s">
        <v>832</v>
      </c>
      <c r="E182" t="str">
        <f>SUBSTITUTE(us_core_reqs[[#This Row],[URL*]], "https://hl7.org/fhir/us/core/STU8/","")</f>
        <v>general-guidance.html#snomed-ct-united-states-edition</v>
      </c>
      <c r="F182" s="11" t="s">
        <v>2201</v>
      </c>
      <c r="G182" t="s">
        <v>35</v>
      </c>
      <c r="I182" t="s">
        <v>30</v>
      </c>
      <c r="J182" t="s">
        <v>1171</v>
      </c>
      <c r="K182" t="s">
        <v>1171</v>
      </c>
      <c r="L182" t="s">
        <v>1176</v>
      </c>
      <c r="M182" t="s">
        <v>211</v>
      </c>
      <c r="N182" t="s">
        <v>1171</v>
      </c>
      <c r="O182" t="s">
        <v>1171</v>
      </c>
      <c r="P182" t="s">
        <v>1171</v>
      </c>
      <c r="Q182" t="s">
        <v>1171</v>
      </c>
      <c r="R182" t="str">
        <f>_xlfn.TEXTBEFORE(_xlfn.TEXTAFTER(us_core_reqs[[#This Row],[URL*]],"/",-1),".")</f>
        <v>general-guidance</v>
      </c>
      <c r="S182" t="str">
        <f>_xlfn.TEXTAFTER(us_core_reqs[[#This Row],[URL*]],"#",-1)</f>
        <v>snomed-ct-united-states-edition</v>
      </c>
      <c r="T182" t="str">
        <f>SUBSTITUTE(SUBSTITUTE(PROPER(SUBSTITUTE(us_core_reqs[[#This Row],[Page]], "-", " "))&amp;": "&amp;PROPER(SUBSTITUTE(us_core_reqs[[#This Row],[Section]], "-", " ")),"Us ","US "), "Uscdi", "USCDI")</f>
        <v>General Guidance: Snomed Ct United States Edition</v>
      </c>
      <c r="U182" t="s">
        <v>35</v>
      </c>
      <c r="V182" t="s">
        <v>1171</v>
      </c>
      <c r="W182" t="s">
        <v>212</v>
      </c>
      <c r="X182" t="s">
        <v>1171</v>
      </c>
      <c r="Y182" t="s">
        <v>1171</v>
      </c>
      <c r="Z182" t="s">
        <v>1171</v>
      </c>
      <c r="AA182" t="s">
        <v>1171</v>
      </c>
      <c r="AB182" t="s">
        <v>1171</v>
      </c>
      <c r="AC182" t="s">
        <v>1171</v>
      </c>
      <c r="AD182" t="s">
        <v>1171</v>
      </c>
    </row>
    <row r="183" spans="1:30" ht="102" x14ac:dyDescent="0.2">
      <c r="A183" t="s">
        <v>1171</v>
      </c>
      <c r="B183" t="s">
        <v>1355</v>
      </c>
      <c r="C183" t="str">
        <f>"CONF-"&amp;TEXT(us_core_reqs[[#This Row],[ID*]], "0000")</f>
        <v>CONF-0182</v>
      </c>
      <c r="D183" s="11" t="s">
        <v>832</v>
      </c>
      <c r="E183" t="str">
        <f>SUBSTITUTE(us_core_reqs[[#This Row],[URL*]], "https://hl7.org/fhir/us/core/STU8/","")</f>
        <v>general-guidance.html#snomed-ct-united-states-edition</v>
      </c>
      <c r="F183" s="11" t="s">
        <v>1919</v>
      </c>
      <c r="G183" t="s">
        <v>32</v>
      </c>
      <c r="I183" t="s">
        <v>30</v>
      </c>
      <c r="J183" t="s">
        <v>1171</v>
      </c>
      <c r="K183" t="s">
        <v>1171</v>
      </c>
      <c r="L183" t="s">
        <v>1173</v>
      </c>
      <c r="M183" t="s">
        <v>1171</v>
      </c>
      <c r="N183" t="s">
        <v>1171</v>
      </c>
      <c r="O183" t="s">
        <v>1171</v>
      </c>
      <c r="P183" t="s">
        <v>1171</v>
      </c>
      <c r="Q183" t="s">
        <v>1171</v>
      </c>
      <c r="R183" t="str">
        <f>_xlfn.TEXTBEFORE(_xlfn.TEXTAFTER(us_core_reqs[[#This Row],[URL*]],"/",-1),".")</f>
        <v>general-guidance</v>
      </c>
      <c r="S183" t="str">
        <f>_xlfn.TEXTAFTER(us_core_reqs[[#This Row],[URL*]],"#",-1)</f>
        <v>snomed-ct-united-states-edition</v>
      </c>
      <c r="T183" t="str">
        <f>SUBSTITUTE(SUBSTITUTE(PROPER(SUBSTITUTE(us_core_reqs[[#This Row],[Page]], "-", " "))&amp;": "&amp;PROPER(SUBSTITUTE(us_core_reqs[[#This Row],[Section]], "-", " ")),"Us ","US "), "Uscdi", "USCDI")</f>
        <v>General Guidance: Snomed Ct United States Edition</v>
      </c>
      <c r="U183" t="s">
        <v>32</v>
      </c>
      <c r="V183" t="s">
        <v>30</v>
      </c>
      <c r="W183" t="s">
        <v>213</v>
      </c>
      <c r="X183" t="s">
        <v>1171</v>
      </c>
      <c r="Y183" t="s">
        <v>1171</v>
      </c>
      <c r="Z183" t="s">
        <v>1171</v>
      </c>
      <c r="AA183" t="s">
        <v>1171</v>
      </c>
      <c r="AB183" t="s">
        <v>1171</v>
      </c>
      <c r="AC183" t="s">
        <v>1171</v>
      </c>
      <c r="AD183" t="s">
        <v>1171</v>
      </c>
    </row>
    <row r="184" spans="1:30" ht="85" x14ac:dyDescent="0.2">
      <c r="A184" t="s">
        <v>1171</v>
      </c>
      <c r="B184" t="s">
        <v>1356</v>
      </c>
      <c r="C184" t="str">
        <f>"CONF-"&amp;TEXT(us_core_reqs[[#This Row],[ID*]], "0000")</f>
        <v>CONF-0183</v>
      </c>
      <c r="D184" s="11" t="s">
        <v>833</v>
      </c>
      <c r="E184" t="str">
        <f>SUBSTITUTE(us_core_reqs[[#This Row],[URL*]], "https://hl7.org/fhir/us/core/STU8/","")</f>
        <v>general-guidance.html#using-ucum-codes-in-the-quantity-datatype</v>
      </c>
      <c r="F184" s="11" t="s">
        <v>214</v>
      </c>
      <c r="G184" t="s">
        <v>32</v>
      </c>
      <c r="H184" t="s">
        <v>1874</v>
      </c>
      <c r="I184" t="s">
        <v>30</v>
      </c>
      <c r="J184" t="s">
        <v>1171</v>
      </c>
      <c r="K184" t="s">
        <v>1171</v>
      </c>
      <c r="L184" t="s">
        <v>1176</v>
      </c>
      <c r="M184" t="s">
        <v>215</v>
      </c>
      <c r="N184" t="s">
        <v>1171</v>
      </c>
      <c r="O184" t="s">
        <v>1171</v>
      </c>
      <c r="P184" t="s">
        <v>1171</v>
      </c>
      <c r="Q184" t="s">
        <v>1171</v>
      </c>
      <c r="R184" t="str">
        <f>_xlfn.TEXTBEFORE(_xlfn.TEXTAFTER(us_core_reqs[[#This Row],[URL*]],"/",-1),".")</f>
        <v>general-guidance</v>
      </c>
      <c r="S184" t="str">
        <f>_xlfn.TEXTAFTER(us_core_reqs[[#This Row],[URL*]],"#",-1)</f>
        <v>using-ucum-codes-in-the-quantity-datatype</v>
      </c>
      <c r="T184" t="str">
        <f>SUBSTITUTE(SUBSTITUTE(PROPER(SUBSTITUTE(us_core_reqs[[#This Row],[Page]], "-", " "))&amp;": "&amp;PROPER(SUBSTITUTE(us_core_reqs[[#This Row],[Section]], "-", " ")),"Us ","US "), "Uscdi", "USCDI")</f>
        <v>General Guidance: Using Ucum Codes In The Quantity Datatype</v>
      </c>
      <c r="U184" t="s">
        <v>32</v>
      </c>
      <c r="V184" t="s">
        <v>1171</v>
      </c>
      <c r="W184" t="s">
        <v>216</v>
      </c>
      <c r="X184" t="s">
        <v>1171</v>
      </c>
      <c r="Y184" t="s">
        <v>1171</v>
      </c>
      <c r="Z184" t="s">
        <v>1171</v>
      </c>
      <c r="AA184" t="s">
        <v>1171</v>
      </c>
      <c r="AB184" t="s">
        <v>1171</v>
      </c>
      <c r="AC184" t="s">
        <v>1171</v>
      </c>
      <c r="AD184" t="s">
        <v>1171</v>
      </c>
    </row>
    <row r="185" spans="1:30" ht="85" x14ac:dyDescent="0.2">
      <c r="A185" t="s">
        <v>1171</v>
      </c>
      <c r="B185" t="s">
        <v>1357</v>
      </c>
      <c r="C185" t="str">
        <f>"CONF-"&amp;TEXT(us_core_reqs[[#This Row],[ID*]], "0000")</f>
        <v>CONF-0184</v>
      </c>
      <c r="D185" s="11" t="s">
        <v>833</v>
      </c>
      <c r="E185" t="str">
        <f>SUBSTITUTE(us_core_reqs[[#This Row],[URL*]], "https://hl7.org/fhir/us/core/STU8/","")</f>
        <v>general-guidance.html#using-ucum-codes-in-the-quantity-datatype</v>
      </c>
      <c r="F185" s="11" t="s">
        <v>1920</v>
      </c>
      <c r="G185" t="s">
        <v>32</v>
      </c>
      <c r="I185" t="s">
        <v>30</v>
      </c>
      <c r="J185" t="s">
        <v>1171</v>
      </c>
      <c r="K185" t="s">
        <v>1171</v>
      </c>
      <c r="L185" t="s">
        <v>1176</v>
      </c>
      <c r="M185" t="s">
        <v>215</v>
      </c>
      <c r="N185" t="s">
        <v>1171</v>
      </c>
      <c r="O185" t="s">
        <v>1171</v>
      </c>
      <c r="P185" t="s">
        <v>1171</v>
      </c>
      <c r="Q185" t="s">
        <v>1171</v>
      </c>
      <c r="R185" t="str">
        <f>_xlfn.TEXTBEFORE(_xlfn.TEXTAFTER(us_core_reqs[[#This Row],[URL*]],"/",-1),".")</f>
        <v>general-guidance</v>
      </c>
      <c r="S185" t="str">
        <f>_xlfn.TEXTAFTER(us_core_reqs[[#This Row],[URL*]],"#",-1)</f>
        <v>using-ucum-codes-in-the-quantity-datatype</v>
      </c>
      <c r="T185" t="str">
        <f>SUBSTITUTE(SUBSTITUTE(PROPER(SUBSTITUTE(us_core_reqs[[#This Row],[Page]], "-", " "))&amp;": "&amp;PROPER(SUBSTITUTE(us_core_reqs[[#This Row],[Section]], "-", " ")),"Us ","US "), "Uscdi", "USCDI")</f>
        <v>General Guidance: Using Ucum Codes In The Quantity Datatype</v>
      </c>
      <c r="U185" t="s">
        <v>32</v>
      </c>
      <c r="V185" t="s">
        <v>1171</v>
      </c>
      <c r="W185" t="s">
        <v>218</v>
      </c>
      <c r="X185" t="s">
        <v>1171</v>
      </c>
      <c r="Y185" t="s">
        <v>1171</v>
      </c>
      <c r="Z185" t="s">
        <v>1171</v>
      </c>
      <c r="AA185" t="s">
        <v>1171</v>
      </c>
      <c r="AB185" t="s">
        <v>209</v>
      </c>
      <c r="AC185" t="s">
        <v>1171</v>
      </c>
      <c r="AD185" t="s">
        <v>1171</v>
      </c>
    </row>
    <row r="186" spans="1:30" ht="68" x14ac:dyDescent="0.2">
      <c r="A186" t="s">
        <v>1171</v>
      </c>
      <c r="B186" t="s">
        <v>1358</v>
      </c>
      <c r="C186" t="str">
        <f>"CONF-"&amp;TEXT(us_core_reqs[[#This Row],[ID*]], "0000")</f>
        <v>CONF-0185</v>
      </c>
      <c r="D186" s="11" t="s">
        <v>833</v>
      </c>
      <c r="E186" t="str">
        <f>SUBSTITUTE(us_core_reqs[[#This Row],[URL*]], "https://hl7.org/fhir/us/core/STU8/","")</f>
        <v>general-guidance.html#using-ucum-codes-in-the-quantity-datatype</v>
      </c>
      <c r="F186" s="11" t="s">
        <v>219</v>
      </c>
      <c r="G186" t="s">
        <v>32</v>
      </c>
      <c r="I186" t="s">
        <v>30</v>
      </c>
      <c r="J186" t="s">
        <v>1171</v>
      </c>
      <c r="K186" t="s">
        <v>1171</v>
      </c>
      <c r="L186" t="s">
        <v>1176</v>
      </c>
      <c r="M186" t="s">
        <v>220</v>
      </c>
      <c r="N186" t="s">
        <v>1171</v>
      </c>
      <c r="O186" t="s">
        <v>1171</v>
      </c>
      <c r="P186" t="s">
        <v>1171</v>
      </c>
      <c r="Q186" t="s">
        <v>1171</v>
      </c>
      <c r="R186" t="str">
        <f>_xlfn.TEXTBEFORE(_xlfn.TEXTAFTER(us_core_reqs[[#This Row],[URL*]],"/",-1),".")</f>
        <v>general-guidance</v>
      </c>
      <c r="S186" t="str">
        <f>_xlfn.TEXTAFTER(us_core_reqs[[#This Row],[URL*]],"#",-1)</f>
        <v>using-ucum-codes-in-the-quantity-datatype</v>
      </c>
      <c r="T186" t="str">
        <f>SUBSTITUTE(SUBSTITUTE(PROPER(SUBSTITUTE(us_core_reqs[[#This Row],[Page]], "-", " "))&amp;": "&amp;PROPER(SUBSTITUTE(us_core_reqs[[#This Row],[Section]], "-", " ")),"Us ","US "), "Uscdi", "USCDI")</f>
        <v>General Guidance: Using Ucum Codes In The Quantity Datatype</v>
      </c>
      <c r="U186" t="s">
        <v>1171</v>
      </c>
      <c r="V186" t="s">
        <v>1171</v>
      </c>
      <c r="W186" t="s">
        <v>218</v>
      </c>
      <c r="X186" t="s">
        <v>1171</v>
      </c>
      <c r="Y186" t="s">
        <v>1171</v>
      </c>
      <c r="Z186" t="s">
        <v>1171</v>
      </c>
      <c r="AA186" t="s">
        <v>1171</v>
      </c>
      <c r="AB186" t="s">
        <v>209</v>
      </c>
      <c r="AC186" t="s">
        <v>1171</v>
      </c>
      <c r="AD186" t="s">
        <v>1171</v>
      </c>
    </row>
    <row r="187" spans="1:30" ht="68" x14ac:dyDescent="0.2">
      <c r="A187" t="s">
        <v>1171</v>
      </c>
      <c r="B187" t="s">
        <v>1359</v>
      </c>
      <c r="C187" t="str">
        <f>"CONF-"&amp;TEXT(us_core_reqs[[#This Row],[ID*]], "0000")</f>
        <v>CONF-0186</v>
      </c>
      <c r="D187" s="11" t="s">
        <v>833</v>
      </c>
      <c r="E187" t="str">
        <f>SUBSTITUTE(us_core_reqs[[#This Row],[URL*]], "https://hl7.org/fhir/us/core/STU8/","")</f>
        <v>general-guidance.html#using-ucum-codes-in-the-quantity-datatype</v>
      </c>
      <c r="F187" s="11" t="s">
        <v>2027</v>
      </c>
      <c r="G187" t="s">
        <v>1834</v>
      </c>
      <c r="I187" t="s">
        <v>30</v>
      </c>
      <c r="J187" t="s">
        <v>1171</v>
      </c>
      <c r="K187" t="s">
        <v>1171</v>
      </c>
      <c r="L187" t="s">
        <v>1176</v>
      </c>
      <c r="M187" t="s">
        <v>222</v>
      </c>
      <c r="N187" t="s">
        <v>1171</v>
      </c>
      <c r="O187" t="s">
        <v>1171</v>
      </c>
      <c r="P187" t="s">
        <v>1171</v>
      </c>
      <c r="Q187" t="s">
        <v>1171</v>
      </c>
      <c r="R187" t="str">
        <f>_xlfn.TEXTBEFORE(_xlfn.TEXTAFTER(us_core_reqs[[#This Row],[URL*]],"/",-1),".")</f>
        <v>general-guidance</v>
      </c>
      <c r="S187" t="str">
        <f>_xlfn.TEXTAFTER(us_core_reqs[[#This Row],[URL*]],"#",-1)</f>
        <v>using-ucum-codes-in-the-quantity-datatype</v>
      </c>
      <c r="T187" t="str">
        <f>SUBSTITUTE(SUBSTITUTE(PROPER(SUBSTITUTE(us_core_reqs[[#This Row],[Page]], "-", " "))&amp;": "&amp;PROPER(SUBSTITUTE(us_core_reqs[[#This Row],[Section]], "-", " ")),"Us ","US "), "Uscdi", "USCDI")</f>
        <v>General Guidance: Using Ucum Codes In The Quantity Datatype</v>
      </c>
      <c r="U187" t="s">
        <v>32</v>
      </c>
      <c r="V187" t="s">
        <v>1171</v>
      </c>
      <c r="W187" t="s">
        <v>218</v>
      </c>
      <c r="X187" t="s">
        <v>1171</v>
      </c>
      <c r="Y187" t="s">
        <v>1171</v>
      </c>
      <c r="Z187" t="s">
        <v>1171</v>
      </c>
      <c r="AA187" t="s">
        <v>1171</v>
      </c>
      <c r="AB187" t="s">
        <v>209</v>
      </c>
      <c r="AC187" t="s">
        <v>1171</v>
      </c>
      <c r="AD187" t="s">
        <v>1171</v>
      </c>
    </row>
    <row r="188" spans="1:30" ht="68" x14ac:dyDescent="0.2">
      <c r="A188" t="s">
        <v>1171</v>
      </c>
      <c r="B188" t="s">
        <v>1360</v>
      </c>
      <c r="C188" t="str">
        <f>"CONF-"&amp;TEXT(us_core_reqs[[#This Row],[ID*]], "0000")</f>
        <v>CONF-0187</v>
      </c>
      <c r="D188" s="11" t="s">
        <v>834</v>
      </c>
      <c r="E188" t="str">
        <f>SUBSTITUTE(us_core_reqs[[#This Row],[URL*]], "https://hl7.org/fhir/us/core/STU8/","")</f>
        <v>general-guidance.html#representing-deleted-information, general-guidance.html#representing-entered-in-error-information</v>
      </c>
      <c r="F188" s="11" t="s">
        <v>1921</v>
      </c>
      <c r="G188" t="s">
        <v>1834</v>
      </c>
      <c r="H188" s="71" t="s">
        <v>1876</v>
      </c>
      <c r="I188" t="s">
        <v>30</v>
      </c>
      <c r="J188" t="s">
        <v>1171</v>
      </c>
      <c r="K188" t="s">
        <v>1171</v>
      </c>
      <c r="L188" t="s">
        <v>1173</v>
      </c>
      <c r="M188" t="s">
        <v>1171</v>
      </c>
      <c r="N188" t="s">
        <v>1171</v>
      </c>
      <c r="O188" t="s">
        <v>1171</v>
      </c>
      <c r="P188" t="s">
        <v>1171</v>
      </c>
      <c r="Q188" t="s">
        <v>1171</v>
      </c>
      <c r="R188" t="str">
        <f>_xlfn.TEXTBEFORE(_xlfn.TEXTAFTER(us_core_reqs[[#This Row],[URL*]],"/",-1),".")</f>
        <v>general-guidance</v>
      </c>
      <c r="S188" t="str">
        <f>_xlfn.TEXTAFTER(us_core_reqs[[#This Row],[URL*]],"#",-1)</f>
        <v>representing-entered-in-error-information</v>
      </c>
      <c r="T188" t="str">
        <f>SUBSTITUTE(SUBSTITUTE(PROPER(SUBSTITUTE(us_core_reqs[[#This Row],[Page]], "-", " "))&amp;": "&amp;PROPER(SUBSTITUTE(us_core_reqs[[#This Row],[Section]], "-", " ")),"Us ","US "), "Uscdi", "USCDI")</f>
        <v>General Guidance: Representing Entered In Error Information</v>
      </c>
      <c r="U188" t="s">
        <v>32</v>
      </c>
      <c r="V188" t="s">
        <v>30</v>
      </c>
      <c r="W188" t="s">
        <v>218</v>
      </c>
      <c r="X188" t="s">
        <v>1171</v>
      </c>
      <c r="Y188" t="s">
        <v>1171</v>
      </c>
      <c r="Z188" t="s">
        <v>1171</v>
      </c>
      <c r="AA188" t="s">
        <v>1171</v>
      </c>
      <c r="AB188" t="s">
        <v>1171</v>
      </c>
      <c r="AC188" t="s">
        <v>1171</v>
      </c>
      <c r="AD188" t="s">
        <v>1171</v>
      </c>
    </row>
    <row r="189" spans="1:30" ht="34" x14ac:dyDescent="0.2">
      <c r="A189" t="s">
        <v>1171</v>
      </c>
      <c r="B189" t="s">
        <v>1361</v>
      </c>
      <c r="C189" t="str">
        <f>"CONF-"&amp;TEXT(us_core_reqs[[#This Row],[ID*]], "0000")</f>
        <v>CONF-0188</v>
      </c>
      <c r="D189" s="11" t="s">
        <v>835</v>
      </c>
      <c r="E189" t="str">
        <f>SUBSTITUTE(us_core_reqs[[#This Row],[URL*]], "https://hl7.org/fhir/us/core/STU8/","")</f>
        <v>general-guidance.html#representing-deleted-information</v>
      </c>
      <c r="F189" s="11" t="s">
        <v>1922</v>
      </c>
      <c r="G189" t="s">
        <v>32</v>
      </c>
      <c r="I189" t="s">
        <v>30</v>
      </c>
      <c r="J189" t="s">
        <v>1171</v>
      </c>
      <c r="K189" t="s">
        <v>1171</v>
      </c>
      <c r="L189" t="s">
        <v>1173</v>
      </c>
      <c r="M189" t="s">
        <v>1171</v>
      </c>
      <c r="N189" t="s">
        <v>1171</v>
      </c>
      <c r="O189" t="s">
        <v>1171</v>
      </c>
      <c r="P189" t="s">
        <v>1171</v>
      </c>
      <c r="Q189" t="s">
        <v>1171</v>
      </c>
      <c r="R189" t="str">
        <f>_xlfn.TEXTBEFORE(_xlfn.TEXTAFTER(us_core_reqs[[#This Row],[URL*]],"/",-1),".")</f>
        <v>general-guidance</v>
      </c>
      <c r="S189" t="str">
        <f>_xlfn.TEXTAFTER(us_core_reqs[[#This Row],[URL*]],"#",-1)</f>
        <v>representing-deleted-information</v>
      </c>
      <c r="T189" t="str">
        <f>SUBSTITUTE(SUBSTITUTE(PROPER(SUBSTITUTE(us_core_reqs[[#This Row],[Page]], "-", " "))&amp;": "&amp;PROPER(SUBSTITUTE(us_core_reqs[[#This Row],[Section]], "-", " ")),"Us ","US "), "Uscdi", "USCDI")</f>
        <v>General Guidance: Representing Deleted Information</v>
      </c>
      <c r="U189" t="s">
        <v>32</v>
      </c>
      <c r="V189" t="s">
        <v>30</v>
      </c>
      <c r="W189" t="s">
        <v>218</v>
      </c>
      <c r="X189" t="s">
        <v>1171</v>
      </c>
      <c r="Y189" t="s">
        <v>1171</v>
      </c>
      <c r="Z189" t="s">
        <v>1171</v>
      </c>
      <c r="AA189" t="s">
        <v>1171</v>
      </c>
      <c r="AB189" t="s">
        <v>1171</v>
      </c>
      <c r="AC189" t="s">
        <v>1171</v>
      </c>
      <c r="AD189" t="s">
        <v>1171</v>
      </c>
    </row>
    <row r="190" spans="1:30" ht="68" x14ac:dyDescent="0.2">
      <c r="A190" t="s">
        <v>1171</v>
      </c>
      <c r="B190" t="s">
        <v>1362</v>
      </c>
      <c r="C190" t="str">
        <f>"CONF-"&amp;TEXT(us_core_reqs[[#This Row],[ID*]], "0000")</f>
        <v>CONF-0189</v>
      </c>
      <c r="D190" s="11" t="s">
        <v>834</v>
      </c>
      <c r="E190" t="str">
        <f>SUBSTITUTE(us_core_reqs[[#This Row],[URL*]], "https://hl7.org/fhir/us/core/STU8/","")</f>
        <v>general-guidance.html#representing-deleted-information, general-guidance.html#representing-entered-in-error-information</v>
      </c>
      <c r="F190" s="11" t="s">
        <v>1923</v>
      </c>
      <c r="G190" t="s">
        <v>32</v>
      </c>
      <c r="I190" t="s">
        <v>30</v>
      </c>
      <c r="J190" t="s">
        <v>1171</v>
      </c>
      <c r="K190" t="s">
        <v>1171</v>
      </c>
      <c r="L190" t="s">
        <v>1176</v>
      </c>
      <c r="M190" t="s">
        <v>225</v>
      </c>
      <c r="N190" t="s">
        <v>1171</v>
      </c>
      <c r="O190" t="s">
        <v>1171</v>
      </c>
      <c r="P190" t="s">
        <v>1171</v>
      </c>
      <c r="Q190" t="s">
        <v>1171</v>
      </c>
      <c r="R190" t="str">
        <f>_xlfn.TEXTBEFORE(_xlfn.TEXTAFTER(us_core_reqs[[#This Row],[URL*]],"/",-1),".")</f>
        <v>general-guidance</v>
      </c>
      <c r="S190" t="str">
        <f>_xlfn.TEXTAFTER(us_core_reqs[[#This Row],[URL*]],"#",-1)</f>
        <v>representing-entered-in-error-information</v>
      </c>
      <c r="T190" t="str">
        <f>SUBSTITUTE(SUBSTITUTE(PROPER(SUBSTITUTE(us_core_reqs[[#This Row],[Page]], "-", " "))&amp;": "&amp;PROPER(SUBSTITUTE(us_core_reqs[[#This Row],[Section]], "-", " ")),"Us ","US "), "Uscdi", "USCDI")</f>
        <v>General Guidance: Representing Entered In Error Information</v>
      </c>
      <c r="U190" t="s">
        <v>32</v>
      </c>
      <c r="V190" t="s">
        <v>1171</v>
      </c>
      <c r="W190" t="s">
        <v>226</v>
      </c>
      <c r="X190" t="s">
        <v>1171</v>
      </c>
      <c r="Y190" t="s">
        <v>1171</v>
      </c>
      <c r="Z190" t="s">
        <v>1171</v>
      </c>
      <c r="AA190" t="s">
        <v>1171</v>
      </c>
      <c r="AB190" t="s">
        <v>1171</v>
      </c>
      <c r="AC190" t="s">
        <v>1171</v>
      </c>
      <c r="AD190" t="s">
        <v>1171</v>
      </c>
    </row>
    <row r="191" spans="1:30" ht="34" x14ac:dyDescent="0.2">
      <c r="A191" t="s">
        <v>1171</v>
      </c>
      <c r="B191" t="s">
        <v>1363</v>
      </c>
      <c r="C191" t="str">
        <f>"CONF-"&amp;TEXT(us_core_reqs[[#This Row],[ID*]], "0000")</f>
        <v>CONF-0190</v>
      </c>
      <c r="D191" s="11" t="s">
        <v>836</v>
      </c>
      <c r="E191" t="str">
        <f>SUBSTITUTE(us_core_reqs[[#This Row],[URL*]], "https://hl7.org/fhir/us/core/STU8/","")</f>
        <v>general-guidance.html#representing-entered-in-error-information</v>
      </c>
      <c r="F191" s="11" t="s">
        <v>1924</v>
      </c>
      <c r="G191" t="s">
        <v>32</v>
      </c>
      <c r="I191" t="s">
        <v>30</v>
      </c>
      <c r="J191" t="s">
        <v>1171</v>
      </c>
      <c r="K191" t="s">
        <v>1171</v>
      </c>
      <c r="L191" t="s">
        <v>1176</v>
      </c>
      <c r="M191" t="s">
        <v>227</v>
      </c>
      <c r="N191" t="s">
        <v>1171</v>
      </c>
      <c r="O191" t="s">
        <v>1171</v>
      </c>
      <c r="P191" t="s">
        <v>1171</v>
      </c>
      <c r="Q191" t="s">
        <v>1171</v>
      </c>
      <c r="R191" t="str">
        <f>_xlfn.TEXTBEFORE(_xlfn.TEXTAFTER(us_core_reqs[[#This Row],[URL*]],"/",-1),".")</f>
        <v>general-guidance</v>
      </c>
      <c r="S191" t="str">
        <f>_xlfn.TEXTAFTER(us_core_reqs[[#This Row],[URL*]],"#",-1)</f>
        <v>representing-entered-in-error-information</v>
      </c>
      <c r="T191" t="str">
        <f>SUBSTITUTE(SUBSTITUTE(PROPER(SUBSTITUTE(us_core_reqs[[#This Row],[Page]], "-", " "))&amp;": "&amp;PROPER(SUBSTITUTE(us_core_reqs[[#This Row],[Section]], "-", " ")),"Us ","US "), "Uscdi", "USCDI")</f>
        <v>General Guidance: Representing Entered In Error Information</v>
      </c>
      <c r="U191" t="s">
        <v>32</v>
      </c>
      <c r="V191" t="s">
        <v>30</v>
      </c>
      <c r="W191" t="s">
        <v>226</v>
      </c>
      <c r="X191" t="s">
        <v>1171</v>
      </c>
      <c r="Y191" t="s">
        <v>1171</v>
      </c>
      <c r="Z191" t="s">
        <v>1171</v>
      </c>
      <c r="AA191" t="s">
        <v>1171</v>
      </c>
      <c r="AB191" t="s">
        <v>1171</v>
      </c>
      <c r="AC191" t="s">
        <v>1171</v>
      </c>
      <c r="AD191" t="s">
        <v>1171</v>
      </c>
    </row>
    <row r="192" spans="1:30" ht="85" x14ac:dyDescent="0.2">
      <c r="A192" t="s">
        <v>1171</v>
      </c>
      <c r="B192" t="s">
        <v>1364</v>
      </c>
      <c r="C192" t="str">
        <f>"CONF-"&amp;TEXT(us_core_reqs[[#This Row],[ID*]], "0000")</f>
        <v>CONF-0191</v>
      </c>
      <c r="D192" s="11" t="s">
        <v>836</v>
      </c>
      <c r="E192" t="str">
        <f>SUBSTITUTE(us_core_reqs[[#This Row],[URL*]], "https://hl7.org/fhir/us/core/STU8/","")</f>
        <v>general-guidance.html#representing-entered-in-error-information</v>
      </c>
      <c r="F192" s="11" t="s">
        <v>1925</v>
      </c>
      <c r="G192" t="s">
        <v>32</v>
      </c>
      <c r="I192" t="s">
        <v>30</v>
      </c>
      <c r="J192" t="s">
        <v>1171</v>
      </c>
      <c r="K192" t="s">
        <v>1171</v>
      </c>
      <c r="L192" t="s">
        <v>1176</v>
      </c>
      <c r="M192" t="s">
        <v>227</v>
      </c>
      <c r="N192" t="s">
        <v>1171</v>
      </c>
      <c r="O192" t="s">
        <v>1171</v>
      </c>
      <c r="P192" t="s">
        <v>1171</v>
      </c>
      <c r="Q192" t="s">
        <v>1171</v>
      </c>
      <c r="R192" t="str">
        <f>_xlfn.TEXTBEFORE(_xlfn.TEXTAFTER(us_core_reqs[[#This Row],[URL*]],"/",-1),".")</f>
        <v>general-guidance</v>
      </c>
      <c r="S192" t="str">
        <f>_xlfn.TEXTAFTER(us_core_reqs[[#This Row],[URL*]],"#",-1)</f>
        <v>representing-entered-in-error-information</v>
      </c>
      <c r="T192" t="str">
        <f>SUBSTITUTE(SUBSTITUTE(PROPER(SUBSTITUTE(us_core_reqs[[#This Row],[Page]], "-", " "))&amp;": "&amp;PROPER(SUBSTITUTE(us_core_reqs[[#This Row],[Section]], "-", " ")),"Us ","US "), "Uscdi", "USCDI")</f>
        <v>General Guidance: Representing Entered In Error Information</v>
      </c>
      <c r="U192" t="s">
        <v>32</v>
      </c>
      <c r="V192" t="s">
        <v>30</v>
      </c>
      <c r="W192" t="s">
        <v>228</v>
      </c>
      <c r="X192" t="s">
        <v>1171</v>
      </c>
      <c r="Y192" t="s">
        <v>1171</v>
      </c>
      <c r="Z192" t="s">
        <v>1171</v>
      </c>
      <c r="AA192" t="s">
        <v>1171</v>
      </c>
      <c r="AB192" t="s">
        <v>1171</v>
      </c>
      <c r="AC192" t="s">
        <v>1171</v>
      </c>
      <c r="AD192" t="s">
        <v>1171</v>
      </c>
    </row>
    <row r="193" spans="1:30" ht="119" x14ac:dyDescent="0.2">
      <c r="A193" t="s">
        <v>1171</v>
      </c>
      <c r="B193" t="s">
        <v>1365</v>
      </c>
      <c r="C193" t="str">
        <f>"CONF-"&amp;TEXT(us_core_reqs[[#This Row],[ID*]], "0000")</f>
        <v>CONF-0192</v>
      </c>
      <c r="D193" s="11" t="s">
        <v>836</v>
      </c>
      <c r="E193" t="str">
        <f>SUBSTITUTE(us_core_reqs[[#This Row],[URL*]], "https://hl7.org/fhir/us/core/STU8/","")</f>
        <v>general-guidance.html#representing-entered-in-error-information</v>
      </c>
      <c r="F193" s="11" t="s">
        <v>999</v>
      </c>
      <c r="G193" t="s">
        <v>35</v>
      </c>
      <c r="I193" t="s">
        <v>30</v>
      </c>
      <c r="J193" t="s">
        <v>1171</v>
      </c>
      <c r="K193" t="s">
        <v>1171</v>
      </c>
      <c r="L193" t="s">
        <v>1176</v>
      </c>
      <c r="M193" t="s">
        <v>227</v>
      </c>
      <c r="N193" t="s">
        <v>1171</v>
      </c>
      <c r="O193" t="s">
        <v>1171</v>
      </c>
      <c r="P193" t="s">
        <v>1171</v>
      </c>
      <c r="Q193" t="s">
        <v>1171</v>
      </c>
      <c r="R193" t="str">
        <f>_xlfn.TEXTBEFORE(_xlfn.TEXTAFTER(us_core_reqs[[#This Row],[URL*]],"/",-1),".")</f>
        <v>general-guidance</v>
      </c>
      <c r="S193" t="str">
        <f>_xlfn.TEXTAFTER(us_core_reqs[[#This Row],[URL*]],"#",-1)</f>
        <v>representing-entered-in-error-information</v>
      </c>
      <c r="T193" t="str">
        <f>SUBSTITUTE(SUBSTITUTE(PROPER(SUBSTITUTE(us_core_reqs[[#This Row],[Page]], "-", " "))&amp;": "&amp;PROPER(SUBSTITUTE(us_core_reqs[[#This Row],[Section]], "-", " ")),"Us ","US "), "Uscdi", "USCDI")</f>
        <v>General Guidance: Representing Entered In Error Information</v>
      </c>
      <c r="U193" t="s">
        <v>35</v>
      </c>
      <c r="V193" t="s">
        <v>30</v>
      </c>
      <c r="W193" t="s">
        <v>229</v>
      </c>
      <c r="X193" t="s">
        <v>1171</v>
      </c>
      <c r="Y193" t="s">
        <v>1171</v>
      </c>
      <c r="Z193" t="s">
        <v>1171</v>
      </c>
      <c r="AA193" t="s">
        <v>1171</v>
      </c>
      <c r="AB193" t="s">
        <v>1171</v>
      </c>
      <c r="AC193" t="s">
        <v>1171</v>
      </c>
      <c r="AD193" t="s">
        <v>1171</v>
      </c>
    </row>
    <row r="194" spans="1:30" ht="51" x14ac:dyDescent="0.2">
      <c r="A194" t="s">
        <v>1171</v>
      </c>
      <c r="B194" t="s">
        <v>1366</v>
      </c>
      <c r="C194" t="str">
        <f>"CONF-"&amp;TEXT(us_core_reqs[[#This Row],[ID*]], "0000")</f>
        <v>CONF-0193</v>
      </c>
      <c r="D194" s="11" t="s">
        <v>837</v>
      </c>
      <c r="E194" t="str">
        <f>SUBSTITUTE(us_core_reqs[[#This Row],[URL*]], "https://hl7.org/fhir/us/core/STU8/","")</f>
        <v>general-guidance.html#language-support</v>
      </c>
      <c r="F194" s="11" t="s">
        <v>1926</v>
      </c>
      <c r="G194" t="s">
        <v>32</v>
      </c>
      <c r="I194" t="s">
        <v>30</v>
      </c>
      <c r="J194" t="s">
        <v>1171</v>
      </c>
      <c r="K194" t="s">
        <v>1171</v>
      </c>
      <c r="L194" t="s">
        <v>1173</v>
      </c>
      <c r="M194" t="s">
        <v>1171</v>
      </c>
      <c r="N194" t="s">
        <v>1171</v>
      </c>
      <c r="O194" t="s">
        <v>1171</v>
      </c>
      <c r="P194" t="s">
        <v>1171</v>
      </c>
      <c r="Q194" t="s">
        <v>1171</v>
      </c>
      <c r="R194" t="str">
        <f>_xlfn.TEXTBEFORE(_xlfn.TEXTAFTER(us_core_reqs[[#This Row],[URL*]],"/",-1),".")</f>
        <v>general-guidance</v>
      </c>
      <c r="S194" t="str">
        <f>_xlfn.TEXTAFTER(us_core_reqs[[#This Row],[URL*]],"#",-1)</f>
        <v>language-support</v>
      </c>
      <c r="T194" t="str">
        <f>SUBSTITUTE(SUBSTITUTE(PROPER(SUBSTITUTE(us_core_reqs[[#This Row],[Page]], "-", " "))&amp;": "&amp;PROPER(SUBSTITUTE(us_core_reqs[[#This Row],[Section]], "-", " ")),"Us ","US "), "Uscdi", "USCDI")</f>
        <v>General Guidance: Language Support</v>
      </c>
      <c r="U194" t="s">
        <v>32</v>
      </c>
      <c r="V194" t="s">
        <v>1171</v>
      </c>
      <c r="W194" t="s">
        <v>229</v>
      </c>
      <c r="X194" t="s">
        <v>1171</v>
      </c>
      <c r="Y194" t="s">
        <v>1171</v>
      </c>
      <c r="Z194" t="s">
        <v>1171</v>
      </c>
      <c r="AA194" t="s">
        <v>1171</v>
      </c>
      <c r="AB194" t="s">
        <v>1171</v>
      </c>
      <c r="AC194" t="s">
        <v>1171</v>
      </c>
      <c r="AD194" t="s">
        <v>1171</v>
      </c>
    </row>
    <row r="195" spans="1:30" ht="51" x14ac:dyDescent="0.2">
      <c r="A195" t="s">
        <v>1171</v>
      </c>
      <c r="B195" t="s">
        <v>1367</v>
      </c>
      <c r="C195" t="str">
        <f>"CONF-"&amp;TEXT(us_core_reqs[[#This Row],[ID*]], "0000")</f>
        <v>CONF-0194</v>
      </c>
      <c r="D195" s="11" t="s">
        <v>837</v>
      </c>
      <c r="E195" t="str">
        <f>SUBSTITUTE(us_core_reqs[[#This Row],[URL*]], "https://hl7.org/fhir/us/core/STU8/","")</f>
        <v>general-guidance.html#language-support</v>
      </c>
      <c r="F195" s="11" t="s">
        <v>2200</v>
      </c>
      <c r="G195" t="s">
        <v>35</v>
      </c>
      <c r="H195" t="s">
        <v>1877</v>
      </c>
      <c r="I195" t="s">
        <v>58</v>
      </c>
      <c r="J195" t="s">
        <v>1171</v>
      </c>
      <c r="K195" t="s">
        <v>1171</v>
      </c>
      <c r="L195" t="s">
        <v>1176</v>
      </c>
      <c r="M195" t="s">
        <v>231</v>
      </c>
      <c r="N195" t="s">
        <v>1171</v>
      </c>
      <c r="O195" t="s">
        <v>1171</v>
      </c>
      <c r="P195" t="s">
        <v>1171</v>
      </c>
      <c r="Q195" t="s">
        <v>1171</v>
      </c>
      <c r="R195" t="str">
        <f>_xlfn.TEXTBEFORE(_xlfn.TEXTAFTER(us_core_reqs[[#This Row],[URL*]],"/",-1),".")</f>
        <v>general-guidance</v>
      </c>
      <c r="S195" t="str">
        <f>_xlfn.TEXTAFTER(us_core_reqs[[#This Row],[URL*]],"#",-1)</f>
        <v>language-support</v>
      </c>
      <c r="T195" t="str">
        <f>SUBSTITUTE(SUBSTITUTE(PROPER(SUBSTITUTE(us_core_reqs[[#This Row],[Page]], "-", " "))&amp;": "&amp;PROPER(SUBSTITUTE(us_core_reqs[[#This Row],[Section]], "-", " ")),"Us ","US "), "Uscdi", "USCDI")</f>
        <v>General Guidance: Language Support</v>
      </c>
      <c r="U195" t="s">
        <v>35</v>
      </c>
      <c r="V195" t="s">
        <v>58</v>
      </c>
      <c r="W195" t="s">
        <v>232</v>
      </c>
      <c r="X195" t="s">
        <v>1171</v>
      </c>
      <c r="Y195" t="s">
        <v>1171</v>
      </c>
      <c r="Z195" t="s">
        <v>1171</v>
      </c>
      <c r="AA195" t="s">
        <v>1171</v>
      </c>
      <c r="AB195" t="s">
        <v>1171</v>
      </c>
      <c r="AC195" t="s">
        <v>1171</v>
      </c>
      <c r="AD195" t="s">
        <v>1171</v>
      </c>
    </row>
    <row r="196" spans="1:30" ht="51" x14ac:dyDescent="0.2">
      <c r="A196" t="s">
        <v>1171</v>
      </c>
      <c r="B196" t="s">
        <v>1368</v>
      </c>
      <c r="C196" t="str">
        <f>"CONF-"&amp;TEXT(us_core_reqs[[#This Row],[ID*]], "0000")</f>
        <v>CONF-0195</v>
      </c>
      <c r="D196" s="11" t="s">
        <v>837</v>
      </c>
      <c r="E196" t="str">
        <f>SUBSTITUTE(us_core_reqs[[#This Row],[URL*]], "https://hl7.org/fhir/us/core/STU8/","")</f>
        <v>general-guidance.html#language-support</v>
      </c>
      <c r="F196" s="11" t="s">
        <v>1927</v>
      </c>
      <c r="G196" t="s">
        <v>32</v>
      </c>
      <c r="I196" t="s">
        <v>30</v>
      </c>
      <c r="J196" t="s">
        <v>1171</v>
      </c>
      <c r="K196" t="s">
        <v>1171</v>
      </c>
      <c r="L196" t="s">
        <v>1176</v>
      </c>
      <c r="M196" t="s">
        <v>231</v>
      </c>
      <c r="N196" t="s">
        <v>1171</v>
      </c>
      <c r="O196" t="s">
        <v>1171</v>
      </c>
      <c r="P196" t="s">
        <v>1171</v>
      </c>
      <c r="Q196" t="s">
        <v>1171</v>
      </c>
      <c r="R196" t="str">
        <f>_xlfn.TEXTBEFORE(_xlfn.TEXTAFTER(us_core_reqs[[#This Row],[URL*]],"/",-1),".")</f>
        <v>general-guidance</v>
      </c>
      <c r="S196" t="str">
        <f>_xlfn.TEXTAFTER(us_core_reqs[[#This Row],[URL*]],"#",-1)</f>
        <v>language-support</v>
      </c>
      <c r="T196" t="str">
        <f>SUBSTITUTE(SUBSTITUTE(PROPER(SUBSTITUTE(us_core_reqs[[#This Row],[Page]], "-", " "))&amp;": "&amp;PROPER(SUBSTITUTE(us_core_reqs[[#This Row],[Section]], "-", " ")),"Us ","US "), "Uscdi", "USCDI")</f>
        <v>General Guidance: Language Support</v>
      </c>
      <c r="U196" t="s">
        <v>32</v>
      </c>
      <c r="V196" t="s">
        <v>30</v>
      </c>
      <c r="W196" t="s">
        <v>232</v>
      </c>
      <c r="X196" t="s">
        <v>1171</v>
      </c>
      <c r="Y196" t="s">
        <v>1171</v>
      </c>
      <c r="Z196" t="s">
        <v>1171</v>
      </c>
      <c r="AA196" t="s">
        <v>1171</v>
      </c>
      <c r="AB196" t="s">
        <v>1171</v>
      </c>
      <c r="AC196" t="s">
        <v>1171</v>
      </c>
      <c r="AD196" t="s">
        <v>1171</v>
      </c>
    </row>
    <row r="197" spans="1:30" ht="85" x14ac:dyDescent="0.2">
      <c r="A197" t="s">
        <v>1171</v>
      </c>
      <c r="B197" t="s">
        <v>1369</v>
      </c>
      <c r="C197" t="str">
        <f>"CONF-"&amp;TEXT(us_core_reqs[[#This Row],[ID*]], "0000")</f>
        <v>CONF-0196</v>
      </c>
      <c r="D197" s="11" t="s">
        <v>837</v>
      </c>
      <c r="E197" t="str">
        <f>SUBSTITUTE(us_core_reqs[[#This Row],[URL*]], "https://hl7.org/fhir/us/core/STU8/","")</f>
        <v>general-guidance.html#language-support</v>
      </c>
      <c r="F197" s="11" t="s">
        <v>1928</v>
      </c>
      <c r="G197" t="s">
        <v>32</v>
      </c>
      <c r="I197" t="s">
        <v>30</v>
      </c>
      <c r="J197" t="s">
        <v>1171</v>
      </c>
      <c r="K197" t="s">
        <v>1171</v>
      </c>
      <c r="L197" t="s">
        <v>1176</v>
      </c>
      <c r="M197" t="s">
        <v>231</v>
      </c>
      <c r="N197" t="s">
        <v>1171</v>
      </c>
      <c r="O197" t="s">
        <v>1171</v>
      </c>
      <c r="P197" t="s">
        <v>1171</v>
      </c>
      <c r="Q197" t="s">
        <v>1171</v>
      </c>
      <c r="R197" t="str">
        <f>_xlfn.TEXTBEFORE(_xlfn.TEXTAFTER(us_core_reqs[[#This Row],[URL*]],"/",-1),".")</f>
        <v>general-guidance</v>
      </c>
      <c r="S197" t="str">
        <f>_xlfn.TEXTAFTER(us_core_reqs[[#This Row],[URL*]],"#",-1)</f>
        <v>language-support</v>
      </c>
      <c r="T197" t="str">
        <f>SUBSTITUTE(SUBSTITUTE(PROPER(SUBSTITUTE(us_core_reqs[[#This Row],[Page]], "-", " "))&amp;": "&amp;PROPER(SUBSTITUTE(us_core_reqs[[#This Row],[Section]], "-", " ")),"Us ","US "), "Uscdi", "USCDI")</f>
        <v>General Guidance: Language Support</v>
      </c>
      <c r="U197" t="s">
        <v>32</v>
      </c>
      <c r="V197" t="s">
        <v>30</v>
      </c>
      <c r="W197" t="s">
        <v>232</v>
      </c>
      <c r="X197" t="s">
        <v>1171</v>
      </c>
      <c r="Y197" t="s">
        <v>1171</v>
      </c>
      <c r="Z197" t="s">
        <v>1171</v>
      </c>
      <c r="AA197" t="s">
        <v>1171</v>
      </c>
      <c r="AB197" t="s">
        <v>1171</v>
      </c>
      <c r="AC197" t="s">
        <v>1171</v>
      </c>
      <c r="AD197" t="s">
        <v>1171</v>
      </c>
    </row>
    <row r="198" spans="1:30" ht="85" x14ac:dyDescent="0.2">
      <c r="A198" t="s">
        <v>1171</v>
      </c>
      <c r="B198" t="s">
        <v>1370</v>
      </c>
      <c r="C198" t="str">
        <f>"CONF-"&amp;TEXT(us_core_reqs[[#This Row],[ID*]], "0000")</f>
        <v>CONF-0197</v>
      </c>
      <c r="D198" s="11" t="s">
        <v>837</v>
      </c>
      <c r="E198" t="str">
        <f>SUBSTITUTE(us_core_reqs[[#This Row],[URL*]], "https://hl7.org/fhir/us/core/STU8/","")</f>
        <v>general-guidance.html#language-support</v>
      </c>
      <c r="F198" s="11" t="s">
        <v>1929</v>
      </c>
      <c r="G198" t="s">
        <v>32</v>
      </c>
      <c r="I198" t="s">
        <v>30</v>
      </c>
      <c r="J198" t="s">
        <v>1171</v>
      </c>
      <c r="K198" t="s">
        <v>1171</v>
      </c>
      <c r="L198" t="s">
        <v>1176</v>
      </c>
      <c r="M198" t="s">
        <v>231</v>
      </c>
      <c r="N198" t="s">
        <v>1171</v>
      </c>
      <c r="O198" t="s">
        <v>1171</v>
      </c>
      <c r="P198" t="s">
        <v>1171</v>
      </c>
      <c r="Q198" t="s">
        <v>1171</v>
      </c>
      <c r="R198" t="str">
        <f>_xlfn.TEXTBEFORE(_xlfn.TEXTAFTER(us_core_reqs[[#This Row],[URL*]],"/",-1),".")</f>
        <v>general-guidance</v>
      </c>
      <c r="S198" t="str">
        <f>_xlfn.TEXTAFTER(us_core_reqs[[#This Row],[URL*]],"#",-1)</f>
        <v>language-support</v>
      </c>
      <c r="T198" t="str">
        <f>SUBSTITUTE(SUBSTITUTE(PROPER(SUBSTITUTE(us_core_reqs[[#This Row],[Page]], "-", " "))&amp;": "&amp;PROPER(SUBSTITUTE(us_core_reqs[[#This Row],[Section]], "-", " ")),"Us ","US "), "Uscdi", "USCDI")</f>
        <v>General Guidance: Language Support</v>
      </c>
      <c r="U198" t="s">
        <v>32</v>
      </c>
      <c r="V198" t="s">
        <v>30</v>
      </c>
      <c r="W198" t="s">
        <v>232</v>
      </c>
      <c r="X198" t="s">
        <v>1171</v>
      </c>
      <c r="Y198" t="s">
        <v>1171</v>
      </c>
      <c r="Z198" t="s">
        <v>1171</v>
      </c>
      <c r="AA198" t="s">
        <v>1171</v>
      </c>
      <c r="AB198" t="s">
        <v>1171</v>
      </c>
      <c r="AC198" t="s">
        <v>1171</v>
      </c>
      <c r="AD198" t="s">
        <v>1171</v>
      </c>
    </row>
    <row r="199" spans="1:30" ht="85" x14ac:dyDescent="0.2">
      <c r="A199" t="s">
        <v>1171</v>
      </c>
      <c r="B199" t="s">
        <v>1371</v>
      </c>
      <c r="C199" t="str">
        <f>"CONF-"&amp;TEXT(us_core_reqs[[#This Row],[ID*]], "0000")</f>
        <v>CONF-0198</v>
      </c>
      <c r="D199" s="11" t="s">
        <v>837</v>
      </c>
      <c r="E199" t="str">
        <f>SUBSTITUTE(us_core_reqs[[#This Row],[URL*]], "https://hl7.org/fhir/us/core/STU8/","")</f>
        <v>general-guidance.html#language-support</v>
      </c>
      <c r="F199" s="11" t="s">
        <v>1930</v>
      </c>
      <c r="G199" t="s">
        <v>32</v>
      </c>
      <c r="I199" t="s">
        <v>30</v>
      </c>
      <c r="J199" t="s">
        <v>1171</v>
      </c>
      <c r="K199" t="s">
        <v>1171</v>
      </c>
      <c r="L199" t="s">
        <v>1176</v>
      </c>
      <c r="M199" t="s">
        <v>231</v>
      </c>
      <c r="N199" t="s">
        <v>1171</v>
      </c>
      <c r="O199" t="s">
        <v>1171</v>
      </c>
      <c r="P199" t="s">
        <v>1171</v>
      </c>
      <c r="Q199" t="s">
        <v>1171</v>
      </c>
      <c r="R199" t="str">
        <f>_xlfn.TEXTBEFORE(_xlfn.TEXTAFTER(us_core_reqs[[#This Row],[URL*]],"/",-1),".")</f>
        <v>general-guidance</v>
      </c>
      <c r="S199" t="str">
        <f>_xlfn.TEXTAFTER(us_core_reqs[[#This Row],[URL*]],"#",-1)</f>
        <v>language-support</v>
      </c>
      <c r="T199" t="str">
        <f>SUBSTITUTE(SUBSTITUTE(PROPER(SUBSTITUTE(us_core_reqs[[#This Row],[Page]], "-", " "))&amp;": "&amp;PROPER(SUBSTITUTE(us_core_reqs[[#This Row],[Section]], "-", " ")),"Us ","US "), "Uscdi", "USCDI")</f>
        <v>General Guidance: Language Support</v>
      </c>
      <c r="U199" t="s">
        <v>32</v>
      </c>
      <c r="V199" t="s">
        <v>30</v>
      </c>
      <c r="W199" t="s">
        <v>232</v>
      </c>
      <c r="X199" t="s">
        <v>1171</v>
      </c>
      <c r="Y199" t="s">
        <v>1171</v>
      </c>
      <c r="Z199" t="s">
        <v>1171</v>
      </c>
      <c r="AA199" t="s">
        <v>1171</v>
      </c>
      <c r="AB199" t="s">
        <v>1171</v>
      </c>
      <c r="AC199" t="s">
        <v>1171</v>
      </c>
      <c r="AD199" t="s">
        <v>1171</v>
      </c>
    </row>
    <row r="200" spans="1:30" ht="119" x14ac:dyDescent="0.2">
      <c r="A200" t="s">
        <v>1171</v>
      </c>
      <c r="B200" t="s">
        <v>1372</v>
      </c>
      <c r="C200" t="str">
        <f>"CONF-"&amp;TEXT(us_core_reqs[[#This Row],[ID*]], "0000")</f>
        <v>CONF-0199</v>
      </c>
      <c r="D200" s="11" t="s">
        <v>837</v>
      </c>
      <c r="E200" t="str">
        <f>SUBSTITUTE(us_core_reqs[[#This Row],[URL*]], "https://hl7.org/fhir/us/core/STU8/","")</f>
        <v>general-guidance.html#language-support</v>
      </c>
      <c r="F200" s="11" t="s">
        <v>1931</v>
      </c>
      <c r="G200" t="s">
        <v>32</v>
      </c>
      <c r="I200" t="s">
        <v>30</v>
      </c>
      <c r="J200" t="s">
        <v>1171</v>
      </c>
      <c r="K200" t="s">
        <v>1171</v>
      </c>
      <c r="L200" t="s">
        <v>1176</v>
      </c>
      <c r="M200" t="s">
        <v>231</v>
      </c>
      <c r="N200" t="s">
        <v>1171</v>
      </c>
      <c r="O200" t="s">
        <v>1171</v>
      </c>
      <c r="P200" t="s">
        <v>1171</v>
      </c>
      <c r="Q200" t="s">
        <v>1171</v>
      </c>
      <c r="R200" t="str">
        <f>_xlfn.TEXTBEFORE(_xlfn.TEXTAFTER(us_core_reqs[[#This Row],[URL*]],"/",-1),".")</f>
        <v>general-guidance</v>
      </c>
      <c r="S200" t="str">
        <f>_xlfn.TEXTAFTER(us_core_reqs[[#This Row],[URL*]],"#",-1)</f>
        <v>language-support</v>
      </c>
      <c r="T200" t="str">
        <f>SUBSTITUTE(SUBSTITUTE(PROPER(SUBSTITUTE(us_core_reqs[[#This Row],[Page]], "-", " "))&amp;": "&amp;PROPER(SUBSTITUTE(us_core_reqs[[#This Row],[Section]], "-", " ")),"Us ","US "), "Uscdi", "USCDI")</f>
        <v>General Guidance: Language Support</v>
      </c>
      <c r="U200" t="s">
        <v>32</v>
      </c>
      <c r="V200" t="s">
        <v>30</v>
      </c>
      <c r="W200" t="s">
        <v>232</v>
      </c>
      <c r="X200" t="s">
        <v>1171</v>
      </c>
      <c r="Y200" t="s">
        <v>1171</v>
      </c>
      <c r="Z200" t="s">
        <v>1171</v>
      </c>
      <c r="AA200" t="s">
        <v>1171</v>
      </c>
      <c r="AB200" t="s">
        <v>1171</v>
      </c>
      <c r="AC200" t="s">
        <v>1171</v>
      </c>
      <c r="AD200" t="s">
        <v>1171</v>
      </c>
    </row>
    <row r="201" spans="1:30" ht="51" x14ac:dyDescent="0.2">
      <c r="A201" t="s">
        <v>1171</v>
      </c>
      <c r="B201" t="s">
        <v>1373</v>
      </c>
      <c r="C201" t="str">
        <f>"CONF-"&amp;TEXT(us_core_reqs[[#This Row],[ID*]], "0000")</f>
        <v>CONF-0200</v>
      </c>
      <c r="D201" s="11" t="s">
        <v>626</v>
      </c>
      <c r="E201" t="str">
        <f>SUBSTITUTE(us_core_reqs[[#This Row],[URL*]], "https://hl7.org/fhir/us/core/STU8/","")</f>
        <v>general-guidance.html#searching-using-lastupdated</v>
      </c>
      <c r="F201" s="11" t="s">
        <v>1932</v>
      </c>
      <c r="G201" t="s">
        <v>32</v>
      </c>
      <c r="I201" t="s">
        <v>30</v>
      </c>
      <c r="J201" t="s">
        <v>1171</v>
      </c>
      <c r="K201" t="s">
        <v>1171</v>
      </c>
      <c r="L201" t="s">
        <v>1173</v>
      </c>
      <c r="M201" t="s">
        <v>1171</v>
      </c>
      <c r="N201" t="s">
        <v>1171</v>
      </c>
      <c r="O201" t="s">
        <v>1171</v>
      </c>
      <c r="P201" t="s">
        <v>1171</v>
      </c>
      <c r="Q201" t="s">
        <v>1171</v>
      </c>
      <c r="R201" t="str">
        <f>_xlfn.TEXTBEFORE(_xlfn.TEXTAFTER(us_core_reqs[[#This Row],[URL*]],"/",-1),".")</f>
        <v>general-guidance</v>
      </c>
      <c r="S201" t="str">
        <f>_xlfn.TEXTAFTER(us_core_reqs[[#This Row],[URL*]],"#",-1)</f>
        <v>searching-using-lastupdated</v>
      </c>
      <c r="T201" t="str">
        <f>SUBSTITUTE(SUBSTITUTE(PROPER(SUBSTITUTE(us_core_reqs[[#This Row],[Page]], "-", " "))&amp;": "&amp;PROPER(SUBSTITUTE(us_core_reqs[[#This Row],[Section]], "-", " ")),"Us ","US "), "Uscdi", "USCDI")</f>
        <v>General Guidance: Searching Using Lastupdated</v>
      </c>
      <c r="U201" t="s">
        <v>32</v>
      </c>
      <c r="V201" t="s">
        <v>30</v>
      </c>
      <c r="W201" t="s">
        <v>234</v>
      </c>
      <c r="X201" t="s">
        <v>1171</v>
      </c>
      <c r="Y201" t="s">
        <v>1171</v>
      </c>
      <c r="Z201" t="s">
        <v>1171</v>
      </c>
      <c r="AA201" t="s">
        <v>1171</v>
      </c>
      <c r="AB201" t="s">
        <v>1171</v>
      </c>
      <c r="AC201" t="s">
        <v>1171</v>
      </c>
      <c r="AD201" t="s">
        <v>1171</v>
      </c>
    </row>
    <row r="202" spans="1:30" ht="51" x14ac:dyDescent="0.2">
      <c r="A202" t="s">
        <v>1171</v>
      </c>
      <c r="B202" t="s">
        <v>1374</v>
      </c>
      <c r="C202" t="str">
        <f>"CONF-"&amp;TEXT(us_core_reqs[[#This Row],[ID*]], "0000")</f>
        <v>CONF-0201</v>
      </c>
      <c r="D202" s="11" t="s">
        <v>626</v>
      </c>
      <c r="E202" t="str">
        <f>SUBSTITUTE(us_core_reqs[[#This Row],[URL*]], "https://hl7.org/fhir/us/core/STU8/","")</f>
        <v>general-guidance.html#searching-using-lastupdated</v>
      </c>
      <c r="F202" s="11" t="s">
        <v>1933</v>
      </c>
      <c r="G202" t="s">
        <v>32</v>
      </c>
      <c r="I202" t="s">
        <v>30</v>
      </c>
      <c r="J202" t="s">
        <v>1171</v>
      </c>
      <c r="K202" t="s">
        <v>1171</v>
      </c>
      <c r="L202" t="s">
        <v>1173</v>
      </c>
      <c r="M202" t="s">
        <v>1171</v>
      </c>
      <c r="N202" t="s">
        <v>1171</v>
      </c>
      <c r="O202" t="s">
        <v>1171</v>
      </c>
      <c r="P202" t="s">
        <v>1171</v>
      </c>
      <c r="Q202" t="s">
        <v>1171</v>
      </c>
      <c r="R202" t="str">
        <f>_xlfn.TEXTBEFORE(_xlfn.TEXTAFTER(us_core_reqs[[#This Row],[URL*]],"/",-1),".")</f>
        <v>general-guidance</v>
      </c>
      <c r="S202" t="str">
        <f>_xlfn.TEXTAFTER(us_core_reqs[[#This Row],[URL*]],"#",-1)</f>
        <v>searching-using-lastupdated</v>
      </c>
      <c r="T202" t="str">
        <f>SUBSTITUTE(SUBSTITUTE(PROPER(SUBSTITUTE(us_core_reqs[[#This Row],[Page]], "-", " "))&amp;": "&amp;PROPER(SUBSTITUTE(us_core_reqs[[#This Row],[Section]], "-", " ")),"Us ","US "), "Uscdi", "USCDI")</f>
        <v>General Guidance: Searching Using Lastupdated</v>
      </c>
      <c r="U202" t="s">
        <v>32</v>
      </c>
      <c r="V202" t="s">
        <v>30</v>
      </c>
      <c r="W202" t="s">
        <v>235</v>
      </c>
      <c r="X202" t="s">
        <v>1171</v>
      </c>
      <c r="Y202" t="s">
        <v>1171</v>
      </c>
      <c r="Z202" t="s">
        <v>1171</v>
      </c>
      <c r="AA202" t="s">
        <v>1171</v>
      </c>
      <c r="AB202" t="s">
        <v>712</v>
      </c>
      <c r="AC202" t="s">
        <v>1171</v>
      </c>
      <c r="AD202" t="s">
        <v>1171</v>
      </c>
    </row>
    <row r="203" spans="1:30" ht="68" x14ac:dyDescent="0.2">
      <c r="A203" t="s">
        <v>1171</v>
      </c>
      <c r="B203" t="s">
        <v>1375</v>
      </c>
      <c r="C203" t="str">
        <f>"CONF-"&amp;TEXT(us_core_reqs[[#This Row],[ID*]], "0000")</f>
        <v>CONF-0202</v>
      </c>
      <c r="D203" s="11" t="s">
        <v>626</v>
      </c>
      <c r="E203" t="str">
        <f>SUBSTITUTE(us_core_reqs[[#This Row],[URL*]], "https://hl7.org/fhir/us/core/STU8/","")</f>
        <v>general-guidance.html#searching-using-lastupdated</v>
      </c>
      <c r="F203" s="11" t="s">
        <v>2218</v>
      </c>
      <c r="G203" t="s">
        <v>29</v>
      </c>
      <c r="I203" t="s">
        <v>30</v>
      </c>
      <c r="J203" t="s">
        <v>1171</v>
      </c>
      <c r="K203" t="s">
        <v>1171</v>
      </c>
      <c r="L203" t="s">
        <v>1173</v>
      </c>
      <c r="M203" t="s">
        <v>1171</v>
      </c>
      <c r="N203" t="s">
        <v>1171</v>
      </c>
      <c r="O203" t="s">
        <v>1171</v>
      </c>
      <c r="P203" t="s">
        <v>1171</v>
      </c>
      <c r="Q203" t="s">
        <v>1171</v>
      </c>
      <c r="R203" t="str">
        <f>_xlfn.TEXTBEFORE(_xlfn.TEXTAFTER(us_core_reqs[[#This Row],[URL*]],"/",-1),".")</f>
        <v>general-guidance</v>
      </c>
      <c r="S203" t="str">
        <f>_xlfn.TEXTAFTER(us_core_reqs[[#This Row],[URL*]],"#",-1)</f>
        <v>searching-using-lastupdated</v>
      </c>
      <c r="T203" t="str">
        <f>SUBSTITUTE(SUBSTITUTE(PROPER(SUBSTITUTE(us_core_reqs[[#This Row],[Page]], "-", " "))&amp;": "&amp;PROPER(SUBSTITUTE(us_core_reqs[[#This Row],[Section]], "-", " ")),"Us ","US "), "Uscdi", "USCDI")</f>
        <v>General Guidance: Searching Using Lastupdated</v>
      </c>
      <c r="U203" t="s">
        <v>29</v>
      </c>
      <c r="V203" t="s">
        <v>30</v>
      </c>
      <c r="W203" t="s">
        <v>235</v>
      </c>
      <c r="X203" t="s">
        <v>1171</v>
      </c>
      <c r="Y203" t="s">
        <v>1171</v>
      </c>
      <c r="Z203" t="s">
        <v>1171</v>
      </c>
      <c r="AA203" t="s">
        <v>1171</v>
      </c>
      <c r="AB203" t="s">
        <v>1171</v>
      </c>
      <c r="AC203" t="s">
        <v>1141</v>
      </c>
      <c r="AD203" t="s">
        <v>1171</v>
      </c>
    </row>
    <row r="204" spans="1:30" ht="68" x14ac:dyDescent="0.2">
      <c r="A204" t="s">
        <v>1171</v>
      </c>
      <c r="B204" t="s">
        <v>1376</v>
      </c>
      <c r="C204" t="str">
        <f>"CONF-"&amp;TEXT(us_core_reqs[[#This Row],[ID*]], "0000")</f>
        <v>CONF-0203</v>
      </c>
      <c r="D204" s="11" t="s">
        <v>838</v>
      </c>
      <c r="E204" t="str">
        <f>SUBSTITUTE(us_core_reqs[[#This Row],[URL*]], "https://hl7.org/fhir/us/core/STU8/","")</f>
        <v>general-guidance.html#compartment-based-search</v>
      </c>
      <c r="F204" s="11" t="s">
        <v>1004</v>
      </c>
      <c r="G204" t="s">
        <v>35</v>
      </c>
      <c r="I204" t="s">
        <v>30</v>
      </c>
      <c r="J204" t="s">
        <v>1171</v>
      </c>
      <c r="K204" t="s">
        <v>1171</v>
      </c>
      <c r="L204" t="s">
        <v>1173</v>
      </c>
      <c r="M204" t="s">
        <v>1171</v>
      </c>
      <c r="N204" t="s">
        <v>1171</v>
      </c>
      <c r="O204" t="s">
        <v>1171</v>
      </c>
      <c r="P204" t="s">
        <v>1171</v>
      </c>
      <c r="Q204" t="s">
        <v>1171</v>
      </c>
      <c r="R204" t="str">
        <f>_xlfn.TEXTBEFORE(_xlfn.TEXTAFTER(us_core_reqs[[#This Row],[URL*]],"/",-1),".")</f>
        <v>general-guidance</v>
      </c>
      <c r="S204" t="str">
        <f>_xlfn.TEXTAFTER(us_core_reqs[[#This Row],[URL*]],"#",-1)</f>
        <v>compartment-based-search</v>
      </c>
      <c r="T204" t="str">
        <f>SUBSTITUTE(SUBSTITUTE(PROPER(SUBSTITUTE(us_core_reqs[[#This Row],[Page]], "-", " "))&amp;": "&amp;PROPER(SUBSTITUTE(us_core_reqs[[#This Row],[Section]], "-", " ")),"Us ","US "), "Uscdi", "USCDI")</f>
        <v>General Guidance: Compartment Based Search</v>
      </c>
      <c r="U204" t="s">
        <v>35</v>
      </c>
      <c r="V204" t="s">
        <v>30</v>
      </c>
      <c r="W204" t="s">
        <v>237</v>
      </c>
      <c r="X204" t="s">
        <v>1171</v>
      </c>
      <c r="Y204" t="s">
        <v>1171</v>
      </c>
      <c r="Z204" t="s">
        <v>1171</v>
      </c>
      <c r="AA204" t="s">
        <v>1171</v>
      </c>
      <c r="AB204" t="s">
        <v>1171</v>
      </c>
      <c r="AC204" t="s">
        <v>1171</v>
      </c>
      <c r="AD204" t="s">
        <v>1171</v>
      </c>
    </row>
    <row r="205" spans="1:30" ht="34" x14ac:dyDescent="0.2">
      <c r="A205" t="s">
        <v>1171</v>
      </c>
      <c r="B205" t="s">
        <v>1377</v>
      </c>
      <c r="C205" t="str">
        <f>"CONF-"&amp;TEXT(us_core_reqs[[#This Row],[ID*]], "0000")</f>
        <v>CONF-0204</v>
      </c>
      <c r="D205" s="11" t="s">
        <v>839</v>
      </c>
      <c r="E205" t="str">
        <f>SUBSTITUTE(us_core_reqs[[#This Row],[URL*]], "https://hl7.org/fhir/us/core/STU8/","")</f>
        <v>general-guidance.html#across-platform-searches</v>
      </c>
      <c r="F205" s="11" t="s">
        <v>1005</v>
      </c>
      <c r="G205" t="s">
        <v>35</v>
      </c>
      <c r="I205" t="s">
        <v>30</v>
      </c>
      <c r="J205" t="s">
        <v>1171</v>
      </c>
      <c r="K205" t="s">
        <v>1171</v>
      </c>
      <c r="L205" t="s">
        <v>1173</v>
      </c>
      <c r="M205" t="s">
        <v>1171</v>
      </c>
      <c r="N205" t="s">
        <v>1171</v>
      </c>
      <c r="O205" t="s">
        <v>1171</v>
      </c>
      <c r="P205" t="s">
        <v>1171</v>
      </c>
      <c r="Q205" t="s">
        <v>1171</v>
      </c>
      <c r="R205" t="str">
        <f>_xlfn.TEXTBEFORE(_xlfn.TEXTAFTER(us_core_reqs[[#This Row],[URL*]],"/",-1),".")</f>
        <v>general-guidance</v>
      </c>
      <c r="S205" t="str">
        <f>_xlfn.TEXTAFTER(us_core_reqs[[#This Row],[URL*]],"#",-1)</f>
        <v>across-platform-searches</v>
      </c>
      <c r="T205" t="str">
        <f>SUBSTITUTE(SUBSTITUTE(PROPER(SUBSTITUTE(us_core_reqs[[#This Row],[Page]], "-", " "))&amp;": "&amp;PROPER(SUBSTITUTE(us_core_reqs[[#This Row],[Section]], "-", " ")),"Us ","US "), "Uscdi", "USCDI")</f>
        <v>General Guidance: Across Platform Searches</v>
      </c>
      <c r="U205" t="s">
        <v>35</v>
      </c>
      <c r="V205" t="s">
        <v>30</v>
      </c>
      <c r="W205" t="s">
        <v>237</v>
      </c>
      <c r="X205" t="s">
        <v>1171</v>
      </c>
      <c r="Y205" t="s">
        <v>1171</v>
      </c>
      <c r="Z205" t="s">
        <v>1171</v>
      </c>
      <c r="AA205" t="s">
        <v>1171</v>
      </c>
      <c r="AB205" t="s">
        <v>1171</v>
      </c>
      <c r="AC205" t="s">
        <v>1171</v>
      </c>
      <c r="AD205" t="s">
        <v>1171</v>
      </c>
    </row>
    <row r="206" spans="1:30" ht="34" x14ac:dyDescent="0.2">
      <c r="A206" t="s">
        <v>1171</v>
      </c>
      <c r="B206" t="s">
        <v>1378</v>
      </c>
      <c r="C206" t="str">
        <f>"CONF-"&amp;TEXT(us_core_reqs[[#This Row],[ID*]], "0000")</f>
        <v>CONF-0205</v>
      </c>
      <c r="D206" s="11" t="s">
        <v>840</v>
      </c>
      <c r="E206" t="str">
        <f>SUBSTITUTE(us_core_reqs[[#This Row],[URL*]], "https://hl7.org/fhir/us/core/STU8/","")</f>
        <v>general-guidance.html#limiting-the-number-of-search-results</v>
      </c>
      <c r="F206" s="11" t="s">
        <v>238</v>
      </c>
      <c r="G206" t="s">
        <v>35</v>
      </c>
      <c r="I206" t="s">
        <v>30</v>
      </c>
      <c r="J206" t="s">
        <v>1171</v>
      </c>
      <c r="K206" t="s">
        <v>1171</v>
      </c>
      <c r="L206" t="s">
        <v>1173</v>
      </c>
      <c r="M206" t="s">
        <v>1171</v>
      </c>
      <c r="N206" t="s">
        <v>1171</v>
      </c>
      <c r="O206" t="s">
        <v>1171</v>
      </c>
      <c r="P206" t="s">
        <v>1171</v>
      </c>
      <c r="Q206" t="s">
        <v>1171</v>
      </c>
      <c r="R206" t="str">
        <f>_xlfn.TEXTBEFORE(_xlfn.TEXTAFTER(us_core_reqs[[#This Row],[URL*]],"/",-1),".")</f>
        <v>general-guidance</v>
      </c>
      <c r="S206" t="str">
        <f>_xlfn.TEXTAFTER(us_core_reqs[[#This Row],[URL*]],"#",-1)</f>
        <v>limiting-the-number-of-search-results</v>
      </c>
      <c r="T206" t="str">
        <f>SUBSTITUTE(SUBSTITUTE(PROPER(SUBSTITUTE(us_core_reqs[[#This Row],[Page]], "-", " "))&amp;": "&amp;PROPER(SUBSTITUTE(us_core_reqs[[#This Row],[Section]], "-", " ")),"Us ","US "), "Uscdi", "USCDI")</f>
        <v>General Guidance: Limiting The Number Of Search Results</v>
      </c>
      <c r="U206" t="s">
        <v>35</v>
      </c>
      <c r="V206" t="s">
        <v>30</v>
      </c>
      <c r="W206" t="s">
        <v>237</v>
      </c>
      <c r="X206" t="s">
        <v>1171</v>
      </c>
      <c r="Y206" t="s">
        <v>1171</v>
      </c>
      <c r="Z206" t="s">
        <v>1171</v>
      </c>
      <c r="AA206" t="s">
        <v>1171</v>
      </c>
      <c r="AB206" t="s">
        <v>1171</v>
      </c>
      <c r="AC206" t="s">
        <v>1171</v>
      </c>
      <c r="AD206" t="s">
        <v>1171</v>
      </c>
    </row>
    <row r="207" spans="1:30" ht="51" x14ac:dyDescent="0.2">
      <c r="A207" t="s">
        <v>1171</v>
      </c>
      <c r="B207" t="s">
        <v>1379</v>
      </c>
      <c r="C207" t="str">
        <f>"CONF-"&amp;TEXT(us_core_reqs[[#This Row],[ID*]], "0000")</f>
        <v>CONF-0206</v>
      </c>
      <c r="D207" s="11" t="s">
        <v>841</v>
      </c>
      <c r="E207" t="str">
        <f>SUBSTITUTE(us_core_reqs[[#This Row],[URL*]], "https://hl7.org/fhir/us/core/STU8/","")</f>
        <v>clinical-notes.html#clinical-notes, clinical-notes.html#support-requirements</v>
      </c>
      <c r="F207" s="11" t="s">
        <v>2082</v>
      </c>
      <c r="G207" t="s">
        <v>29</v>
      </c>
      <c r="I207" t="s">
        <v>30</v>
      </c>
      <c r="J207" t="s">
        <v>1171</v>
      </c>
      <c r="K207" t="s">
        <v>1171</v>
      </c>
      <c r="L207" t="s">
        <v>1173</v>
      </c>
      <c r="M207" t="s">
        <v>1171</v>
      </c>
      <c r="N207" t="s">
        <v>1171</v>
      </c>
      <c r="O207" t="s">
        <v>1171</v>
      </c>
      <c r="P207" t="s">
        <v>1171</v>
      </c>
      <c r="Q207" t="s">
        <v>1171</v>
      </c>
      <c r="R207" t="str">
        <f>_xlfn.TEXTBEFORE(_xlfn.TEXTAFTER(us_core_reqs[[#This Row],[URL*]],"/",-1),".")</f>
        <v>clinical-notes</v>
      </c>
      <c r="S207" t="str">
        <f>_xlfn.TEXTAFTER(us_core_reqs[[#This Row],[URL*]],"#",-1)</f>
        <v>support-requirements</v>
      </c>
      <c r="T207" t="str">
        <f>SUBSTITUTE(SUBSTITUTE(PROPER(SUBSTITUTE(us_core_reqs[[#This Row],[Page]], "-", " "))&amp;": "&amp;PROPER(SUBSTITUTE(us_core_reqs[[#This Row],[Section]], "-", " ")),"Us ","US "), "Uscdi", "USCDI")</f>
        <v>Clinical Notes: Support Requirements</v>
      </c>
      <c r="U207" t="s">
        <v>29</v>
      </c>
      <c r="V207" t="s">
        <v>30</v>
      </c>
      <c r="W207" t="s">
        <v>240</v>
      </c>
      <c r="X207" t="s">
        <v>1171</v>
      </c>
      <c r="Y207" t="s">
        <v>1171</v>
      </c>
      <c r="Z207" t="s">
        <v>1171</v>
      </c>
      <c r="AA207" t="s">
        <v>1171</v>
      </c>
      <c r="AB207" t="s">
        <v>1171</v>
      </c>
      <c r="AC207" t="s">
        <v>1140</v>
      </c>
      <c r="AD207" t="s">
        <v>1171</v>
      </c>
    </row>
    <row r="208" spans="1:30" ht="51" x14ac:dyDescent="0.2">
      <c r="A208" t="s">
        <v>1171</v>
      </c>
      <c r="B208" t="s">
        <v>1380</v>
      </c>
      <c r="C208" t="str">
        <f>"CONF-"&amp;TEXT(us_core_reqs[[#This Row],[ID*]], "0000")</f>
        <v>CONF-0207</v>
      </c>
      <c r="D208" s="11" t="s">
        <v>841</v>
      </c>
      <c r="E208" t="str">
        <f>SUBSTITUTE(us_core_reqs[[#This Row],[URL*]], "https://hl7.org/fhir/us/core/STU8/","")</f>
        <v>clinical-notes.html#clinical-notes, clinical-notes.html#support-requirements</v>
      </c>
      <c r="F208" s="11" t="s">
        <v>2083</v>
      </c>
      <c r="G208" t="s">
        <v>29</v>
      </c>
      <c r="I208" t="s">
        <v>30</v>
      </c>
      <c r="J208" t="s">
        <v>1171</v>
      </c>
      <c r="K208" t="s">
        <v>1171</v>
      </c>
      <c r="L208" t="s">
        <v>1173</v>
      </c>
      <c r="M208" t="s">
        <v>1171</v>
      </c>
      <c r="N208" t="s">
        <v>1171</v>
      </c>
      <c r="O208" t="s">
        <v>1171</v>
      </c>
      <c r="P208" t="s">
        <v>1171</v>
      </c>
      <c r="Q208" t="s">
        <v>1171</v>
      </c>
      <c r="R208" t="str">
        <f>_xlfn.TEXTBEFORE(_xlfn.TEXTAFTER(us_core_reqs[[#This Row],[URL*]],"/",-1),".")</f>
        <v>clinical-notes</v>
      </c>
      <c r="S208" t="str">
        <f>_xlfn.TEXTAFTER(us_core_reqs[[#This Row],[URL*]],"#",-1)</f>
        <v>support-requirements</v>
      </c>
      <c r="T208" t="str">
        <f>SUBSTITUTE(SUBSTITUTE(PROPER(SUBSTITUTE(us_core_reqs[[#This Row],[Page]], "-", " "))&amp;": "&amp;PROPER(SUBSTITUTE(us_core_reqs[[#This Row],[Section]], "-", " ")),"Us ","US "), "Uscdi", "USCDI")</f>
        <v>Clinical Notes: Support Requirements</v>
      </c>
      <c r="U208" t="s">
        <v>29</v>
      </c>
      <c r="V208" t="s">
        <v>30</v>
      </c>
      <c r="W208" t="s">
        <v>240</v>
      </c>
      <c r="X208" t="s">
        <v>1171</v>
      </c>
      <c r="Y208" t="s">
        <v>1171</v>
      </c>
      <c r="Z208" t="s">
        <v>1171</v>
      </c>
      <c r="AA208" t="s">
        <v>1171</v>
      </c>
      <c r="AB208" t="s">
        <v>1171</v>
      </c>
      <c r="AC208" t="s">
        <v>1140</v>
      </c>
      <c r="AD208" t="s">
        <v>1171</v>
      </c>
    </row>
    <row r="209" spans="1:30" ht="51" x14ac:dyDescent="0.2">
      <c r="A209" t="s">
        <v>1171</v>
      </c>
      <c r="B209" t="s">
        <v>1381</v>
      </c>
      <c r="C209" t="str">
        <f>"CONF-"&amp;TEXT(us_core_reqs[[#This Row],[ID*]], "0000")</f>
        <v>CONF-0208</v>
      </c>
      <c r="D209" s="11" t="s">
        <v>841</v>
      </c>
      <c r="E209" t="str">
        <f>SUBSTITUTE(us_core_reqs[[#This Row],[URL*]], "https://hl7.org/fhir/us/core/STU8/","")</f>
        <v>clinical-notes.html#clinical-notes, clinical-notes.html#support-requirements</v>
      </c>
      <c r="F209" s="11" t="s">
        <v>2084</v>
      </c>
      <c r="G209" t="s">
        <v>29</v>
      </c>
      <c r="I209" t="s">
        <v>30</v>
      </c>
      <c r="J209" t="s">
        <v>1171</v>
      </c>
      <c r="K209" t="s">
        <v>1171</v>
      </c>
      <c r="L209" t="s">
        <v>1173</v>
      </c>
      <c r="M209" t="s">
        <v>1171</v>
      </c>
      <c r="N209" t="s">
        <v>1171</v>
      </c>
      <c r="O209" t="s">
        <v>1171</v>
      </c>
      <c r="P209" t="s">
        <v>1171</v>
      </c>
      <c r="Q209" t="s">
        <v>1171</v>
      </c>
      <c r="R209" t="str">
        <f>_xlfn.TEXTBEFORE(_xlfn.TEXTAFTER(us_core_reqs[[#This Row],[URL*]],"/",-1),".")</f>
        <v>clinical-notes</v>
      </c>
      <c r="S209" t="str">
        <f>_xlfn.TEXTAFTER(us_core_reqs[[#This Row],[URL*]],"#",-1)</f>
        <v>support-requirements</v>
      </c>
      <c r="T209" t="str">
        <f>SUBSTITUTE(SUBSTITUTE(PROPER(SUBSTITUTE(us_core_reqs[[#This Row],[Page]], "-", " "))&amp;": "&amp;PROPER(SUBSTITUTE(us_core_reqs[[#This Row],[Section]], "-", " ")),"Us ","US "), "Uscdi", "USCDI")</f>
        <v>Clinical Notes: Support Requirements</v>
      </c>
      <c r="U209" t="s">
        <v>29</v>
      </c>
      <c r="V209" t="s">
        <v>30</v>
      </c>
      <c r="W209" t="s">
        <v>240</v>
      </c>
      <c r="X209" t="s">
        <v>1171</v>
      </c>
      <c r="Y209" t="s">
        <v>1171</v>
      </c>
      <c r="Z209" t="s">
        <v>1171</v>
      </c>
      <c r="AA209" t="s">
        <v>1171</v>
      </c>
      <c r="AB209" t="s">
        <v>1171</v>
      </c>
      <c r="AC209" t="s">
        <v>1140</v>
      </c>
      <c r="AD209" t="s">
        <v>1171</v>
      </c>
    </row>
    <row r="210" spans="1:30" ht="51" x14ac:dyDescent="0.2">
      <c r="A210" t="s">
        <v>1171</v>
      </c>
      <c r="B210" t="s">
        <v>1382</v>
      </c>
      <c r="C210" t="str">
        <f>"CONF-"&amp;TEXT(us_core_reqs[[#This Row],[ID*]], "0000")</f>
        <v>CONF-0209</v>
      </c>
      <c r="D210" s="11" t="s">
        <v>841</v>
      </c>
      <c r="E210" t="str">
        <f>SUBSTITUTE(us_core_reqs[[#This Row],[URL*]], "https://hl7.org/fhir/us/core/STU8/","")</f>
        <v>clinical-notes.html#clinical-notes, clinical-notes.html#support-requirements</v>
      </c>
      <c r="F210" s="11" t="s">
        <v>2085</v>
      </c>
      <c r="G210" t="s">
        <v>29</v>
      </c>
      <c r="I210" t="s">
        <v>30</v>
      </c>
      <c r="J210" t="s">
        <v>1171</v>
      </c>
      <c r="K210" t="s">
        <v>1171</v>
      </c>
      <c r="L210" t="s">
        <v>1173</v>
      </c>
      <c r="M210" t="s">
        <v>1171</v>
      </c>
      <c r="N210" t="s">
        <v>1171</v>
      </c>
      <c r="O210" t="s">
        <v>1171</v>
      </c>
      <c r="P210" t="s">
        <v>1171</v>
      </c>
      <c r="Q210" t="s">
        <v>1171</v>
      </c>
      <c r="R210" t="str">
        <f>_xlfn.TEXTBEFORE(_xlfn.TEXTAFTER(us_core_reqs[[#This Row],[URL*]],"/",-1),".")</f>
        <v>clinical-notes</v>
      </c>
      <c r="S210" t="str">
        <f>_xlfn.TEXTAFTER(us_core_reqs[[#This Row],[URL*]],"#",-1)</f>
        <v>support-requirements</v>
      </c>
      <c r="T210" t="str">
        <f>SUBSTITUTE(SUBSTITUTE(PROPER(SUBSTITUTE(us_core_reqs[[#This Row],[Page]], "-", " "))&amp;": "&amp;PROPER(SUBSTITUTE(us_core_reqs[[#This Row],[Section]], "-", " ")),"Us ","US "), "Uscdi", "USCDI")</f>
        <v>Clinical Notes: Support Requirements</v>
      </c>
      <c r="U210" t="s">
        <v>29</v>
      </c>
      <c r="V210" t="s">
        <v>30</v>
      </c>
      <c r="W210" t="s">
        <v>244</v>
      </c>
      <c r="X210" t="s">
        <v>1171</v>
      </c>
      <c r="Y210" t="s">
        <v>1171</v>
      </c>
      <c r="Z210" t="s">
        <v>1171</v>
      </c>
      <c r="AA210" t="s">
        <v>1171</v>
      </c>
      <c r="AB210" t="s">
        <v>1171</v>
      </c>
      <c r="AC210" t="s">
        <v>1140</v>
      </c>
      <c r="AD210" t="s">
        <v>1171</v>
      </c>
    </row>
    <row r="211" spans="1:30" ht="51" x14ac:dyDescent="0.2">
      <c r="A211" t="s">
        <v>1171</v>
      </c>
      <c r="B211" t="s">
        <v>1383</v>
      </c>
      <c r="C211" t="str">
        <f>"CONF-"&amp;TEXT(us_core_reqs[[#This Row],[ID*]], "0000")</f>
        <v>CONF-0210</v>
      </c>
      <c r="D211" s="11" t="s">
        <v>841</v>
      </c>
      <c r="E211" t="str">
        <f>SUBSTITUTE(us_core_reqs[[#This Row],[URL*]], "https://hl7.org/fhir/us/core/STU8/","")</f>
        <v>clinical-notes.html#clinical-notes, clinical-notes.html#support-requirements</v>
      </c>
      <c r="F211" s="11" t="s">
        <v>2086</v>
      </c>
      <c r="G211" t="s">
        <v>29</v>
      </c>
      <c r="I211" t="s">
        <v>30</v>
      </c>
      <c r="J211" t="s">
        <v>1171</v>
      </c>
      <c r="K211" t="s">
        <v>1171</v>
      </c>
      <c r="L211" t="s">
        <v>1173</v>
      </c>
      <c r="M211" t="s">
        <v>1171</v>
      </c>
      <c r="N211" t="s">
        <v>1171</v>
      </c>
      <c r="O211" t="s">
        <v>1171</v>
      </c>
      <c r="P211" t="s">
        <v>1171</v>
      </c>
      <c r="Q211" t="s">
        <v>1171</v>
      </c>
      <c r="R211" t="str">
        <f>_xlfn.TEXTBEFORE(_xlfn.TEXTAFTER(us_core_reqs[[#This Row],[URL*]],"/",-1),".")</f>
        <v>clinical-notes</v>
      </c>
      <c r="S211" t="str">
        <f>_xlfn.TEXTAFTER(us_core_reqs[[#This Row],[URL*]],"#",-1)</f>
        <v>support-requirements</v>
      </c>
      <c r="T211" t="str">
        <f>SUBSTITUTE(SUBSTITUTE(PROPER(SUBSTITUTE(us_core_reqs[[#This Row],[Page]], "-", " "))&amp;": "&amp;PROPER(SUBSTITUTE(us_core_reqs[[#This Row],[Section]], "-", " ")),"Us ","US "), "Uscdi", "USCDI")</f>
        <v>Clinical Notes: Support Requirements</v>
      </c>
      <c r="U211" t="s">
        <v>29</v>
      </c>
      <c r="V211" t="s">
        <v>30</v>
      </c>
      <c r="W211" t="s">
        <v>246</v>
      </c>
      <c r="X211" t="s">
        <v>1171</v>
      </c>
      <c r="Y211" t="s">
        <v>1171</v>
      </c>
      <c r="Z211" t="s">
        <v>1171</v>
      </c>
      <c r="AA211" t="s">
        <v>1171</v>
      </c>
      <c r="AB211" t="s">
        <v>1171</v>
      </c>
      <c r="AC211" t="s">
        <v>1140</v>
      </c>
      <c r="AD211" t="s">
        <v>1171</v>
      </c>
    </row>
    <row r="212" spans="1:30" ht="51" x14ac:dyDescent="0.2">
      <c r="A212" t="s">
        <v>1171</v>
      </c>
      <c r="B212" t="s">
        <v>1384</v>
      </c>
      <c r="C212" t="str">
        <f>"CONF-"&amp;TEXT(us_core_reqs[[#This Row],[ID*]], "0000")</f>
        <v>CONF-0211</v>
      </c>
      <c r="D212" s="11" t="s">
        <v>841</v>
      </c>
      <c r="E212" t="str">
        <f>SUBSTITUTE(us_core_reqs[[#This Row],[URL*]], "https://hl7.org/fhir/us/core/STU8/","")</f>
        <v>clinical-notes.html#clinical-notes, clinical-notes.html#support-requirements</v>
      </c>
      <c r="F212" s="11" t="s">
        <v>2087</v>
      </c>
      <c r="G212" t="s">
        <v>29</v>
      </c>
      <c r="I212" t="s">
        <v>30</v>
      </c>
      <c r="J212" t="s">
        <v>1171</v>
      </c>
      <c r="K212" t="s">
        <v>1171</v>
      </c>
      <c r="L212" t="s">
        <v>1173</v>
      </c>
      <c r="M212" t="s">
        <v>1171</v>
      </c>
      <c r="N212" t="s">
        <v>1171</v>
      </c>
      <c r="O212" t="s">
        <v>1171</v>
      </c>
      <c r="P212" t="s">
        <v>1171</v>
      </c>
      <c r="Q212" t="s">
        <v>1171</v>
      </c>
      <c r="R212" t="str">
        <f>_xlfn.TEXTBEFORE(_xlfn.TEXTAFTER(us_core_reqs[[#This Row],[URL*]],"/",-1),".")</f>
        <v>clinical-notes</v>
      </c>
      <c r="S212" t="str">
        <f>_xlfn.TEXTAFTER(us_core_reqs[[#This Row],[URL*]],"#",-1)</f>
        <v>support-requirements</v>
      </c>
      <c r="T212" t="str">
        <f>SUBSTITUTE(SUBSTITUTE(PROPER(SUBSTITUTE(us_core_reqs[[#This Row],[Page]], "-", " "))&amp;": "&amp;PROPER(SUBSTITUTE(us_core_reqs[[#This Row],[Section]], "-", " ")),"Us ","US "), "Uscdi", "USCDI")</f>
        <v>Clinical Notes: Support Requirements</v>
      </c>
      <c r="U212" t="s">
        <v>29</v>
      </c>
      <c r="V212" t="s">
        <v>30</v>
      </c>
      <c r="W212" t="s">
        <v>246</v>
      </c>
      <c r="X212" t="s">
        <v>1171</v>
      </c>
      <c r="Y212" t="s">
        <v>1171</v>
      </c>
      <c r="Z212" t="s">
        <v>1171</v>
      </c>
      <c r="AA212" t="s">
        <v>1171</v>
      </c>
      <c r="AB212" t="s">
        <v>1171</v>
      </c>
      <c r="AC212" t="s">
        <v>1140</v>
      </c>
      <c r="AD212" t="s">
        <v>1171</v>
      </c>
    </row>
    <row r="213" spans="1:30" ht="68" x14ac:dyDescent="0.2">
      <c r="A213" t="s">
        <v>1171</v>
      </c>
      <c r="B213" t="s">
        <v>1385</v>
      </c>
      <c r="C213" t="str">
        <f>"CONF-"&amp;TEXT(us_core_reqs[[#This Row],[ID*]], "0000")</f>
        <v>CONF-0212</v>
      </c>
      <c r="D213" s="11" t="s">
        <v>841</v>
      </c>
      <c r="E213" t="str">
        <f>SUBSTITUTE(us_core_reqs[[#This Row],[URL*]], "https://hl7.org/fhir/us/core/STU8/","")</f>
        <v>clinical-notes.html#clinical-notes, clinical-notes.html#support-requirements</v>
      </c>
      <c r="F213" s="11" t="s">
        <v>2088</v>
      </c>
      <c r="G213" t="s">
        <v>29</v>
      </c>
      <c r="I213" t="s">
        <v>30</v>
      </c>
      <c r="J213" t="s">
        <v>1171</v>
      </c>
      <c r="K213" t="s">
        <v>1171</v>
      </c>
      <c r="L213" t="s">
        <v>1173</v>
      </c>
      <c r="M213" t="s">
        <v>1171</v>
      </c>
      <c r="N213" t="s">
        <v>1171</v>
      </c>
      <c r="O213" t="s">
        <v>1171</v>
      </c>
      <c r="P213" t="s">
        <v>1171</v>
      </c>
      <c r="Q213" t="s">
        <v>1171</v>
      </c>
      <c r="R213" t="str">
        <f>_xlfn.TEXTBEFORE(_xlfn.TEXTAFTER(us_core_reqs[[#This Row],[URL*]],"/",-1),".")</f>
        <v>clinical-notes</v>
      </c>
      <c r="S213" t="str">
        <f>_xlfn.TEXTAFTER(us_core_reqs[[#This Row],[URL*]],"#",-1)</f>
        <v>support-requirements</v>
      </c>
      <c r="T213" t="str">
        <f>SUBSTITUTE(SUBSTITUTE(PROPER(SUBSTITUTE(us_core_reqs[[#This Row],[Page]], "-", " "))&amp;": "&amp;PROPER(SUBSTITUTE(us_core_reqs[[#This Row],[Section]], "-", " ")),"Us ","US "), "Uscdi", "USCDI")</f>
        <v>Clinical Notes: Support Requirements</v>
      </c>
      <c r="U213" t="s">
        <v>29</v>
      </c>
      <c r="V213" t="s">
        <v>30</v>
      </c>
      <c r="W213" t="s">
        <v>249</v>
      </c>
      <c r="X213" t="s">
        <v>1171</v>
      </c>
      <c r="Y213" t="s">
        <v>1171</v>
      </c>
      <c r="Z213" t="s">
        <v>1171</v>
      </c>
      <c r="AA213" t="s">
        <v>1171</v>
      </c>
      <c r="AB213" t="s">
        <v>1171</v>
      </c>
      <c r="AC213" t="s">
        <v>1140</v>
      </c>
      <c r="AD213" t="s">
        <v>1171</v>
      </c>
    </row>
    <row r="214" spans="1:30" ht="68" x14ac:dyDescent="0.2">
      <c r="A214" t="s">
        <v>1171</v>
      </c>
      <c r="B214" t="s">
        <v>1386</v>
      </c>
      <c r="C214" t="str">
        <f>"CONF-"&amp;TEXT(us_core_reqs[[#This Row],[ID*]], "0000")</f>
        <v>CONF-0213</v>
      </c>
      <c r="D214" s="11" t="s">
        <v>841</v>
      </c>
      <c r="E214" t="str">
        <f>SUBSTITUTE(us_core_reqs[[#This Row],[URL*]], "https://hl7.org/fhir/us/core/STU8/","")</f>
        <v>clinical-notes.html#clinical-notes, clinical-notes.html#support-requirements</v>
      </c>
      <c r="F214" s="11" t="s">
        <v>2089</v>
      </c>
      <c r="G214" t="s">
        <v>29</v>
      </c>
      <c r="I214" t="s">
        <v>30</v>
      </c>
      <c r="J214" t="s">
        <v>1171</v>
      </c>
      <c r="K214" t="s">
        <v>1171</v>
      </c>
      <c r="L214" t="s">
        <v>1173</v>
      </c>
      <c r="M214" t="s">
        <v>1171</v>
      </c>
      <c r="N214" t="s">
        <v>1171</v>
      </c>
      <c r="O214" t="s">
        <v>1171</v>
      </c>
      <c r="P214" t="s">
        <v>1171</v>
      </c>
      <c r="Q214" t="s">
        <v>1171</v>
      </c>
      <c r="R214" t="str">
        <f>_xlfn.TEXTBEFORE(_xlfn.TEXTAFTER(us_core_reqs[[#This Row],[URL*]],"/",-1),".")</f>
        <v>clinical-notes</v>
      </c>
      <c r="S214" t="str">
        <f>_xlfn.TEXTAFTER(us_core_reqs[[#This Row],[URL*]],"#",-1)</f>
        <v>support-requirements</v>
      </c>
      <c r="T214" t="str">
        <f>SUBSTITUTE(SUBSTITUTE(PROPER(SUBSTITUTE(us_core_reqs[[#This Row],[Page]], "-", " "))&amp;": "&amp;PROPER(SUBSTITUTE(us_core_reqs[[#This Row],[Section]], "-", " ")),"Us ","US "), "Uscdi", "USCDI")</f>
        <v>Clinical Notes: Support Requirements</v>
      </c>
      <c r="U214" t="s">
        <v>29</v>
      </c>
      <c r="V214" t="s">
        <v>30</v>
      </c>
      <c r="W214" t="s">
        <v>249</v>
      </c>
      <c r="X214" t="s">
        <v>1171</v>
      </c>
      <c r="Y214" t="s">
        <v>1171</v>
      </c>
      <c r="Z214" t="s">
        <v>1171</v>
      </c>
      <c r="AA214" t="s">
        <v>1171</v>
      </c>
      <c r="AB214" t="s">
        <v>1171</v>
      </c>
      <c r="AC214" t="s">
        <v>1140</v>
      </c>
      <c r="AD214" t="s">
        <v>1171</v>
      </c>
    </row>
    <row r="215" spans="1:30" ht="51" x14ac:dyDescent="0.2">
      <c r="A215" t="s">
        <v>1171</v>
      </c>
      <c r="B215" t="s">
        <v>1387</v>
      </c>
      <c r="C215" t="str">
        <f>"CONF-"&amp;TEXT(us_core_reqs[[#This Row],[ID*]], "0000")</f>
        <v>CONF-0214</v>
      </c>
      <c r="D215" s="11" t="s">
        <v>841</v>
      </c>
      <c r="E215" t="str">
        <f>SUBSTITUTE(us_core_reqs[[#This Row],[URL*]], "https://hl7.org/fhir/us/core/STU8/","")</f>
        <v>clinical-notes.html#clinical-notes, clinical-notes.html#support-requirements</v>
      </c>
      <c r="F215" s="11" t="s">
        <v>2090</v>
      </c>
      <c r="G215" t="s">
        <v>29</v>
      </c>
      <c r="I215" t="s">
        <v>30</v>
      </c>
      <c r="J215" t="s">
        <v>1171</v>
      </c>
      <c r="K215" t="s">
        <v>1171</v>
      </c>
      <c r="L215" t="s">
        <v>1173</v>
      </c>
      <c r="M215" t="s">
        <v>1171</v>
      </c>
      <c r="N215" t="s">
        <v>1171</v>
      </c>
      <c r="O215" t="s">
        <v>1171</v>
      </c>
      <c r="P215" t="s">
        <v>1171</v>
      </c>
      <c r="Q215" t="s">
        <v>1171</v>
      </c>
      <c r="R215" t="str">
        <f>_xlfn.TEXTBEFORE(_xlfn.TEXTAFTER(us_core_reqs[[#This Row],[URL*]],"/",-1),".")</f>
        <v>clinical-notes</v>
      </c>
      <c r="S215" t="str">
        <f>_xlfn.TEXTAFTER(us_core_reqs[[#This Row],[URL*]],"#",-1)</f>
        <v>support-requirements</v>
      </c>
      <c r="T215" t="str">
        <f>SUBSTITUTE(SUBSTITUTE(PROPER(SUBSTITUTE(us_core_reqs[[#This Row],[Page]], "-", " "))&amp;": "&amp;PROPER(SUBSTITUTE(us_core_reqs[[#This Row],[Section]], "-", " ")),"Us ","US "), "Uscdi", "USCDI")</f>
        <v>Clinical Notes: Support Requirements</v>
      </c>
      <c r="U215" t="s">
        <v>29</v>
      </c>
      <c r="V215" t="s">
        <v>30</v>
      </c>
      <c r="W215" t="s">
        <v>252</v>
      </c>
      <c r="X215" t="s">
        <v>1171</v>
      </c>
      <c r="Y215" t="s">
        <v>1171</v>
      </c>
      <c r="Z215" t="s">
        <v>1171</v>
      </c>
      <c r="AA215" t="s">
        <v>1171</v>
      </c>
      <c r="AB215" t="s">
        <v>1171</v>
      </c>
      <c r="AC215" t="s">
        <v>1140</v>
      </c>
      <c r="AD215" t="s">
        <v>1171</v>
      </c>
    </row>
    <row r="216" spans="1:30" ht="51" x14ac:dyDescent="0.2">
      <c r="A216" t="s">
        <v>1171</v>
      </c>
      <c r="B216" t="s">
        <v>1388</v>
      </c>
      <c r="C216" t="str">
        <f>"CONF-"&amp;TEXT(us_core_reqs[[#This Row],[ID*]], "0000")</f>
        <v>CONF-0215</v>
      </c>
      <c r="D216" s="11" t="s">
        <v>841</v>
      </c>
      <c r="E216" t="str">
        <f>SUBSTITUTE(us_core_reqs[[#This Row],[URL*]], "https://hl7.org/fhir/us/core/STU8/","")</f>
        <v>clinical-notes.html#clinical-notes, clinical-notes.html#support-requirements</v>
      </c>
      <c r="F216" s="11" t="s">
        <v>2091</v>
      </c>
      <c r="G216" t="s">
        <v>29</v>
      </c>
      <c r="I216" t="s">
        <v>30</v>
      </c>
      <c r="J216" t="s">
        <v>1171</v>
      </c>
      <c r="K216" t="s">
        <v>1171</v>
      </c>
      <c r="L216" t="s">
        <v>1173</v>
      </c>
      <c r="M216" t="s">
        <v>1171</v>
      </c>
      <c r="N216" t="s">
        <v>1171</v>
      </c>
      <c r="O216" t="s">
        <v>1171</v>
      </c>
      <c r="P216" t="s">
        <v>1171</v>
      </c>
      <c r="Q216" t="s">
        <v>1171</v>
      </c>
      <c r="R216" t="str">
        <f>_xlfn.TEXTBEFORE(_xlfn.TEXTAFTER(us_core_reqs[[#This Row],[URL*]],"/",-1),".")</f>
        <v>clinical-notes</v>
      </c>
      <c r="S216" t="str">
        <f>_xlfn.TEXTAFTER(us_core_reqs[[#This Row],[URL*]],"#",-1)</f>
        <v>support-requirements</v>
      </c>
      <c r="T216" t="str">
        <f>SUBSTITUTE(SUBSTITUTE(PROPER(SUBSTITUTE(us_core_reqs[[#This Row],[Page]], "-", " "))&amp;": "&amp;PROPER(SUBSTITUTE(us_core_reqs[[#This Row],[Section]], "-", " ")),"Us ","US "), "Uscdi", "USCDI")</f>
        <v>Clinical Notes: Support Requirements</v>
      </c>
      <c r="U216" t="s">
        <v>29</v>
      </c>
      <c r="V216" t="s">
        <v>30</v>
      </c>
      <c r="W216" t="s">
        <v>252</v>
      </c>
      <c r="X216" t="s">
        <v>1171</v>
      </c>
      <c r="Y216" t="s">
        <v>1171</v>
      </c>
      <c r="Z216" t="s">
        <v>1171</v>
      </c>
      <c r="AA216" t="s">
        <v>1171</v>
      </c>
      <c r="AB216" t="s">
        <v>1171</v>
      </c>
      <c r="AC216" t="s">
        <v>1140</v>
      </c>
      <c r="AD216" t="s">
        <v>1171</v>
      </c>
    </row>
    <row r="217" spans="1:30" ht="51" x14ac:dyDescent="0.2">
      <c r="A217" t="s">
        <v>1171</v>
      </c>
      <c r="B217" t="s">
        <v>1389</v>
      </c>
      <c r="C217" t="str">
        <f>"CONF-"&amp;TEXT(us_core_reqs[[#This Row],[ID*]], "0000")</f>
        <v>CONF-0216</v>
      </c>
      <c r="D217" s="11" t="s">
        <v>841</v>
      </c>
      <c r="E217" t="str">
        <f>SUBSTITUTE(us_core_reqs[[#This Row],[URL*]], "https://hl7.org/fhir/us/core/STU8/","")</f>
        <v>clinical-notes.html#clinical-notes, clinical-notes.html#support-requirements</v>
      </c>
      <c r="F217" s="11" t="s">
        <v>2092</v>
      </c>
      <c r="G217" t="s">
        <v>29</v>
      </c>
      <c r="I217" t="s">
        <v>30</v>
      </c>
      <c r="J217" t="s">
        <v>1171</v>
      </c>
      <c r="K217" t="s">
        <v>1171</v>
      </c>
      <c r="L217" t="s">
        <v>1173</v>
      </c>
      <c r="M217" t="s">
        <v>1171</v>
      </c>
      <c r="N217" t="s">
        <v>1171</v>
      </c>
      <c r="O217" t="s">
        <v>1171</v>
      </c>
      <c r="P217" t="s">
        <v>1171</v>
      </c>
      <c r="Q217" t="s">
        <v>1171</v>
      </c>
      <c r="R217" t="str">
        <f>_xlfn.TEXTBEFORE(_xlfn.TEXTAFTER(us_core_reqs[[#This Row],[URL*]],"/",-1),".")</f>
        <v>clinical-notes</v>
      </c>
      <c r="S217" t="str">
        <f>_xlfn.TEXTAFTER(us_core_reqs[[#This Row],[URL*]],"#",-1)</f>
        <v>support-requirements</v>
      </c>
      <c r="T217" t="str">
        <f>SUBSTITUTE(SUBSTITUTE(PROPER(SUBSTITUTE(us_core_reqs[[#This Row],[Page]], "-", " "))&amp;": "&amp;PROPER(SUBSTITUTE(us_core_reqs[[#This Row],[Section]], "-", " ")),"Us ","US "), "Uscdi", "USCDI")</f>
        <v>Clinical Notes: Support Requirements</v>
      </c>
      <c r="U217" t="s">
        <v>29</v>
      </c>
      <c r="V217" t="s">
        <v>30</v>
      </c>
      <c r="W217" t="s">
        <v>255</v>
      </c>
      <c r="X217" t="s">
        <v>1171</v>
      </c>
      <c r="Y217" t="s">
        <v>1171</v>
      </c>
      <c r="Z217" t="s">
        <v>1171</v>
      </c>
      <c r="AA217" t="s">
        <v>1171</v>
      </c>
      <c r="AB217" t="s">
        <v>1171</v>
      </c>
      <c r="AC217" t="s">
        <v>1140</v>
      </c>
      <c r="AD217" t="s">
        <v>1171</v>
      </c>
    </row>
    <row r="218" spans="1:30" ht="51" x14ac:dyDescent="0.2">
      <c r="A218" t="s">
        <v>1171</v>
      </c>
      <c r="B218" t="s">
        <v>1390</v>
      </c>
      <c r="C218" t="str">
        <f>"CONF-"&amp;TEXT(us_core_reqs[[#This Row],[ID*]], "0000")</f>
        <v>CONF-0217</v>
      </c>
      <c r="D218" s="11" t="s">
        <v>627</v>
      </c>
      <c r="E218" t="str">
        <f>SUBSTITUTE(us_core_reqs[[#This Row],[URL*]], "https://hl7.org/fhir/us/core/STU8/","")</f>
        <v>clinical-notes.html#clinical-notes</v>
      </c>
      <c r="F218" s="11" t="s">
        <v>256</v>
      </c>
      <c r="G218" t="s">
        <v>32</v>
      </c>
      <c r="I218" t="s">
        <v>30</v>
      </c>
      <c r="J218" t="s">
        <v>1171</v>
      </c>
      <c r="K218" t="s">
        <v>1171</v>
      </c>
      <c r="L218" t="s">
        <v>1173</v>
      </c>
      <c r="M218" t="s">
        <v>1171</v>
      </c>
      <c r="N218" t="s">
        <v>1171</v>
      </c>
      <c r="O218" t="s">
        <v>1171</v>
      </c>
      <c r="P218" t="s">
        <v>1171</v>
      </c>
      <c r="Q218" t="s">
        <v>1171</v>
      </c>
      <c r="R218" t="str">
        <f>_xlfn.TEXTBEFORE(_xlfn.TEXTAFTER(us_core_reqs[[#This Row],[URL*]],"/",-1),".")</f>
        <v>clinical-notes</v>
      </c>
      <c r="S218" t="str">
        <f>_xlfn.TEXTAFTER(us_core_reqs[[#This Row],[URL*]],"#",-1)</f>
        <v>clinical-notes</v>
      </c>
      <c r="T218" t="str">
        <f>SUBSTITUTE(SUBSTITUTE(PROPER(SUBSTITUTE(us_core_reqs[[#This Row],[Page]], "-", " "))&amp;": "&amp;PROPER(SUBSTITUTE(us_core_reqs[[#This Row],[Section]], "-", " ")),"Us ","US "), "Uscdi", "USCDI")</f>
        <v>Clinical Notes: Clinical Notes</v>
      </c>
      <c r="U218" t="s">
        <v>1171</v>
      </c>
      <c r="V218" t="s">
        <v>1171</v>
      </c>
      <c r="W218" t="s">
        <v>257</v>
      </c>
      <c r="X218" t="s">
        <v>1171</v>
      </c>
      <c r="Y218" t="s">
        <v>1171</v>
      </c>
      <c r="Z218" t="s">
        <v>1171</v>
      </c>
      <c r="AA218" t="s">
        <v>1171</v>
      </c>
      <c r="AB218" t="s">
        <v>1171</v>
      </c>
      <c r="AC218" t="s">
        <v>1171</v>
      </c>
      <c r="AD218" t="s">
        <v>1171</v>
      </c>
    </row>
    <row r="219" spans="1:30" ht="51" x14ac:dyDescent="0.2">
      <c r="A219" t="s">
        <v>1171</v>
      </c>
      <c r="B219" t="s">
        <v>1391</v>
      </c>
      <c r="C219" t="str">
        <f>"CONF-"&amp;TEXT(us_core_reqs[[#This Row],[ID*]], "0000")</f>
        <v>CONF-0218</v>
      </c>
      <c r="D219" s="11" t="s">
        <v>627</v>
      </c>
      <c r="E219" t="str">
        <f>SUBSTITUTE(us_core_reqs[[#This Row],[URL*]], "https://hl7.org/fhir/us/core/STU8/","")</f>
        <v>clinical-notes.html#clinical-notes</v>
      </c>
      <c r="F219" s="11" t="s">
        <v>258</v>
      </c>
      <c r="G219" t="s">
        <v>64</v>
      </c>
      <c r="I219" t="s">
        <v>30</v>
      </c>
      <c r="J219" t="s">
        <v>1171</v>
      </c>
      <c r="K219" t="s">
        <v>1171</v>
      </c>
      <c r="L219" t="s">
        <v>1173</v>
      </c>
      <c r="M219" t="s">
        <v>1171</v>
      </c>
      <c r="N219" t="s">
        <v>1171</v>
      </c>
      <c r="O219" t="s">
        <v>1171</v>
      </c>
      <c r="P219" t="s">
        <v>1171</v>
      </c>
      <c r="Q219" t="s">
        <v>1171</v>
      </c>
      <c r="R219" t="str">
        <f>_xlfn.TEXTBEFORE(_xlfn.TEXTAFTER(us_core_reqs[[#This Row],[URL*]],"/",-1),".")</f>
        <v>clinical-notes</v>
      </c>
      <c r="S219" t="str">
        <f>_xlfn.TEXTAFTER(us_core_reqs[[#This Row],[URL*]],"#",-1)</f>
        <v>clinical-notes</v>
      </c>
      <c r="T219" t="str">
        <f>SUBSTITUTE(SUBSTITUTE(PROPER(SUBSTITUTE(us_core_reqs[[#This Row],[Page]], "-", " "))&amp;": "&amp;PROPER(SUBSTITUTE(us_core_reqs[[#This Row],[Section]], "-", " ")),"Us ","US "), "Uscdi", "USCDI")</f>
        <v>Clinical Notes: Clinical Notes</v>
      </c>
      <c r="U219" t="s">
        <v>1171</v>
      </c>
      <c r="V219" t="s">
        <v>1171</v>
      </c>
      <c r="W219" t="s">
        <v>257</v>
      </c>
      <c r="X219" t="s">
        <v>1171</v>
      </c>
      <c r="Y219" t="s">
        <v>1171</v>
      </c>
      <c r="Z219" t="s">
        <v>1171</v>
      </c>
      <c r="AA219" t="s">
        <v>1171</v>
      </c>
      <c r="AB219" t="s">
        <v>1171</v>
      </c>
      <c r="AC219" t="s">
        <v>1171</v>
      </c>
      <c r="AD219" t="s">
        <v>1171</v>
      </c>
    </row>
    <row r="220" spans="1:30" ht="51" x14ac:dyDescent="0.2">
      <c r="A220" t="s">
        <v>1171</v>
      </c>
      <c r="B220" t="s">
        <v>1392</v>
      </c>
      <c r="C220" t="str">
        <f>"CONF-"&amp;TEXT(us_core_reqs[[#This Row],[ID*]], "0000")</f>
        <v>CONF-0219</v>
      </c>
      <c r="D220" s="11" t="s">
        <v>627</v>
      </c>
      <c r="E220" t="str">
        <f>SUBSTITUTE(us_core_reqs[[#This Row],[URL*]], "https://hl7.org/fhir/us/core/STU8/","")</f>
        <v>clinical-notes.html#clinical-notes</v>
      </c>
      <c r="F220" s="11" t="s">
        <v>259</v>
      </c>
      <c r="G220" t="s">
        <v>32</v>
      </c>
      <c r="I220" t="s">
        <v>30</v>
      </c>
      <c r="J220" t="s">
        <v>1171</v>
      </c>
      <c r="K220" t="s">
        <v>1171</v>
      </c>
      <c r="L220" t="s">
        <v>1173</v>
      </c>
      <c r="M220" t="s">
        <v>1171</v>
      </c>
      <c r="N220" t="s">
        <v>1171</v>
      </c>
      <c r="O220" t="s">
        <v>1171</v>
      </c>
      <c r="P220" t="s">
        <v>1171</v>
      </c>
      <c r="Q220" t="s">
        <v>1171</v>
      </c>
      <c r="R220" t="str">
        <f>_xlfn.TEXTBEFORE(_xlfn.TEXTAFTER(us_core_reqs[[#This Row],[URL*]],"/",-1),".")</f>
        <v>clinical-notes</v>
      </c>
      <c r="S220" t="str">
        <f>_xlfn.TEXTAFTER(us_core_reqs[[#This Row],[URL*]],"#",-1)</f>
        <v>clinical-notes</v>
      </c>
      <c r="T220" t="str">
        <f>SUBSTITUTE(SUBSTITUTE(PROPER(SUBSTITUTE(us_core_reqs[[#This Row],[Page]], "-", " "))&amp;": "&amp;PROPER(SUBSTITUTE(us_core_reqs[[#This Row],[Section]], "-", " ")),"Us ","US "), "Uscdi", "USCDI")</f>
        <v>Clinical Notes: Clinical Notes</v>
      </c>
      <c r="U220" t="s">
        <v>1171</v>
      </c>
      <c r="V220" t="s">
        <v>1171</v>
      </c>
      <c r="W220" t="s">
        <v>260</v>
      </c>
      <c r="X220" t="s">
        <v>1171</v>
      </c>
      <c r="Y220" t="s">
        <v>1171</v>
      </c>
      <c r="Z220" t="s">
        <v>1171</v>
      </c>
      <c r="AA220" t="s">
        <v>1171</v>
      </c>
      <c r="AB220" t="s">
        <v>1171</v>
      </c>
      <c r="AC220" t="s">
        <v>1171</v>
      </c>
      <c r="AD220" t="s">
        <v>1171</v>
      </c>
    </row>
    <row r="221" spans="1:30" ht="102" x14ac:dyDescent="0.2">
      <c r="A221" t="s">
        <v>1171</v>
      </c>
      <c r="B221" t="s">
        <v>1393</v>
      </c>
      <c r="C221" t="str">
        <f>"CONF-"&amp;TEXT(us_core_reqs[[#This Row],[ID*]], "0000")</f>
        <v>CONF-0220</v>
      </c>
      <c r="D221" s="11" t="s">
        <v>842</v>
      </c>
      <c r="E221" t="str">
        <f>SUBSTITUTE(us_core_reqs[[#This Row],[URL*]], "https://hl7.org/fhir/us/core/STU8/","")</f>
        <v>clinical-notes.html#fhir-resources-to-exchange-clinical-notes</v>
      </c>
      <c r="F221" s="11" t="s">
        <v>2219</v>
      </c>
      <c r="G221" t="s">
        <v>29</v>
      </c>
      <c r="I221" t="s">
        <v>30</v>
      </c>
      <c r="J221" t="s">
        <v>1171</v>
      </c>
      <c r="K221" t="s">
        <v>1171</v>
      </c>
      <c r="L221" t="s">
        <v>1173</v>
      </c>
      <c r="M221" t="s">
        <v>1171</v>
      </c>
      <c r="N221" t="s">
        <v>1171</v>
      </c>
      <c r="O221" t="s">
        <v>1171</v>
      </c>
      <c r="P221" t="s">
        <v>1171</v>
      </c>
      <c r="Q221" t="s">
        <v>1171</v>
      </c>
      <c r="R221" t="str">
        <f>_xlfn.TEXTBEFORE(_xlfn.TEXTAFTER(us_core_reqs[[#This Row],[URL*]],"/",-1),".")</f>
        <v>clinical-notes</v>
      </c>
      <c r="S221" t="str">
        <f>_xlfn.TEXTAFTER(us_core_reqs[[#This Row],[URL*]],"#",-1)</f>
        <v>fhir-resources-to-exchange-clinical-notes</v>
      </c>
      <c r="T221" t="str">
        <f>SUBSTITUTE(SUBSTITUTE(PROPER(SUBSTITUTE(us_core_reqs[[#This Row],[Page]], "-", " "))&amp;": "&amp;PROPER(SUBSTITUTE(us_core_reqs[[#This Row],[Section]], "-", " ")),"Us ","US "), "Uscdi", "USCDI")</f>
        <v>Clinical Notes: Fhir Resources To Exchange Clinical Notes</v>
      </c>
      <c r="U221" t="s">
        <v>29</v>
      </c>
      <c r="V221" t="s">
        <v>30</v>
      </c>
      <c r="W221" t="s">
        <v>260</v>
      </c>
      <c r="X221" t="s">
        <v>1171</v>
      </c>
      <c r="Y221" t="s">
        <v>1171</v>
      </c>
      <c r="Z221" t="s">
        <v>1171</v>
      </c>
      <c r="AA221" t="s">
        <v>1171</v>
      </c>
      <c r="AB221" t="s">
        <v>1171</v>
      </c>
      <c r="AC221" t="s">
        <v>1140</v>
      </c>
      <c r="AD221" t="s">
        <v>1171</v>
      </c>
    </row>
    <row r="222" spans="1:30" ht="51" x14ac:dyDescent="0.2">
      <c r="A222" t="s">
        <v>1171</v>
      </c>
      <c r="B222" t="s">
        <v>1394</v>
      </c>
      <c r="C222" t="str">
        <f>"CONF-"&amp;TEXT(us_core_reqs[[#This Row],[ID*]], "0000")</f>
        <v>CONF-0221</v>
      </c>
      <c r="D222" s="11" t="s">
        <v>842</v>
      </c>
      <c r="E222" t="str">
        <f>SUBSTITUTE(us_core_reqs[[#This Row],[URL*]], "https://hl7.org/fhir/us/core/STU8/","")</f>
        <v>clinical-notes.html#fhir-resources-to-exchange-clinical-notes</v>
      </c>
      <c r="F222" s="11" t="s">
        <v>2213</v>
      </c>
      <c r="G222" t="s">
        <v>29</v>
      </c>
      <c r="I222" t="s">
        <v>30</v>
      </c>
      <c r="J222" t="s">
        <v>1171</v>
      </c>
      <c r="K222" t="s">
        <v>1171</v>
      </c>
      <c r="L222" t="s">
        <v>1173</v>
      </c>
      <c r="M222" t="s">
        <v>1171</v>
      </c>
      <c r="N222" t="s">
        <v>1171</v>
      </c>
      <c r="O222" t="s">
        <v>1171</v>
      </c>
      <c r="P222" t="s">
        <v>1171</v>
      </c>
      <c r="Q222" t="s">
        <v>1171</v>
      </c>
      <c r="R222" t="str">
        <f>_xlfn.TEXTBEFORE(_xlfn.TEXTAFTER(us_core_reqs[[#This Row],[URL*]],"/",-1),".")</f>
        <v>clinical-notes</v>
      </c>
      <c r="S222" t="str">
        <f>_xlfn.TEXTAFTER(us_core_reqs[[#This Row],[URL*]],"#",-1)</f>
        <v>fhir-resources-to-exchange-clinical-notes</v>
      </c>
      <c r="T222" t="str">
        <f>SUBSTITUTE(SUBSTITUTE(PROPER(SUBSTITUTE(us_core_reqs[[#This Row],[Page]], "-", " "))&amp;": "&amp;PROPER(SUBSTITUTE(us_core_reqs[[#This Row],[Section]], "-", " ")),"Us ","US "), "Uscdi", "USCDI")</f>
        <v>Clinical Notes: Fhir Resources To Exchange Clinical Notes</v>
      </c>
      <c r="U222" t="s">
        <v>29</v>
      </c>
      <c r="V222" t="s">
        <v>1171</v>
      </c>
      <c r="W222" t="s">
        <v>263</v>
      </c>
      <c r="X222" t="s">
        <v>1171</v>
      </c>
      <c r="Y222" t="s">
        <v>1171</v>
      </c>
      <c r="Z222" t="s">
        <v>1171</v>
      </c>
      <c r="AA222" t="s">
        <v>1171</v>
      </c>
      <c r="AB222" t="s">
        <v>1171</v>
      </c>
      <c r="AC222" t="s">
        <v>1140</v>
      </c>
      <c r="AD222" t="s">
        <v>1171</v>
      </c>
    </row>
    <row r="223" spans="1:30" ht="51" x14ac:dyDescent="0.2">
      <c r="A223" t="s">
        <v>1171</v>
      </c>
      <c r="B223" t="s">
        <v>1395</v>
      </c>
      <c r="C223" t="str">
        <f>"CONF-"&amp;TEXT(us_core_reqs[[#This Row],[ID*]], "0000")</f>
        <v>CONF-0222</v>
      </c>
      <c r="D223" s="11" t="s">
        <v>628</v>
      </c>
      <c r="E223" t="str">
        <f>SUBSTITUTE(us_core_reqs[[#This Row],[URL*]], "https://hl7.org/fhir/us/core/STU8/","")</f>
        <v>clinical-notes.html#support-requirements</v>
      </c>
      <c r="F223" s="11" t="s">
        <v>1006</v>
      </c>
      <c r="G223" t="s">
        <v>35</v>
      </c>
      <c r="H223" t="s">
        <v>1879</v>
      </c>
      <c r="I223" t="s">
        <v>30</v>
      </c>
      <c r="J223" t="s">
        <v>1171</v>
      </c>
      <c r="K223" t="s">
        <v>1171</v>
      </c>
      <c r="L223" t="s">
        <v>1173</v>
      </c>
      <c r="M223" t="s">
        <v>1171</v>
      </c>
      <c r="N223" t="s">
        <v>1171</v>
      </c>
      <c r="O223" t="s">
        <v>1171</v>
      </c>
      <c r="P223" t="s">
        <v>1171</v>
      </c>
      <c r="Q223" t="s">
        <v>1171</v>
      </c>
      <c r="R223" t="str">
        <f>_xlfn.TEXTBEFORE(_xlfn.TEXTAFTER(us_core_reqs[[#This Row],[URL*]],"/",-1),".")</f>
        <v>clinical-notes</v>
      </c>
      <c r="S223" t="str">
        <f>_xlfn.TEXTAFTER(us_core_reqs[[#This Row],[URL*]],"#",-1)</f>
        <v>support-requirements</v>
      </c>
      <c r="T223" t="str">
        <f>SUBSTITUTE(SUBSTITUTE(PROPER(SUBSTITUTE(us_core_reqs[[#This Row],[Page]], "-", " "))&amp;": "&amp;PROPER(SUBSTITUTE(us_core_reqs[[#This Row],[Section]], "-", " ")),"Us ","US "), "Uscdi", "USCDI")</f>
        <v>Clinical Notes: Support Requirements</v>
      </c>
      <c r="U223" t="s">
        <v>35</v>
      </c>
      <c r="V223" t="s">
        <v>30</v>
      </c>
      <c r="W223" t="s">
        <v>263</v>
      </c>
      <c r="X223" t="s">
        <v>1171</v>
      </c>
      <c r="Y223" t="s">
        <v>1171</v>
      </c>
      <c r="Z223" t="s">
        <v>1171</v>
      </c>
      <c r="AA223" t="s">
        <v>1171</v>
      </c>
      <c r="AB223" t="s">
        <v>1171</v>
      </c>
      <c r="AC223" t="s">
        <v>1171</v>
      </c>
      <c r="AD223" t="s">
        <v>1171</v>
      </c>
    </row>
    <row r="224" spans="1:30" ht="48" customHeight="1" x14ac:dyDescent="0.2">
      <c r="A224" t="s">
        <v>1171</v>
      </c>
      <c r="B224" t="s">
        <v>1396</v>
      </c>
      <c r="C224" t="str">
        <f>"CONF-"&amp;TEXT(us_core_reqs[[#This Row],[ID*]], "0000")</f>
        <v>CONF-0223</v>
      </c>
      <c r="D224" s="11" t="s">
        <v>628</v>
      </c>
      <c r="E224" t="str">
        <f>SUBSTITUTE(us_core_reqs[[#This Row],[URL*]], "https://hl7.org/fhir/us/core/STU8/","")</f>
        <v>clinical-notes.html#support-requirements</v>
      </c>
      <c r="F224" s="11" t="s">
        <v>1007</v>
      </c>
      <c r="G224" t="s">
        <v>29</v>
      </c>
      <c r="H224" t="s">
        <v>1880</v>
      </c>
      <c r="I224" t="s">
        <v>30</v>
      </c>
      <c r="J224" t="s">
        <v>1171</v>
      </c>
      <c r="K224" t="s">
        <v>1171</v>
      </c>
      <c r="L224" t="s">
        <v>1173</v>
      </c>
      <c r="M224" t="s">
        <v>1171</v>
      </c>
      <c r="N224" t="s">
        <v>1171</v>
      </c>
      <c r="O224" t="s">
        <v>1171</v>
      </c>
      <c r="P224" t="s">
        <v>1171</v>
      </c>
      <c r="Q224" t="s">
        <v>1171</v>
      </c>
      <c r="R224" t="str">
        <f>_xlfn.TEXTBEFORE(_xlfn.TEXTAFTER(us_core_reqs[[#This Row],[URL*]],"/",-1),".")</f>
        <v>clinical-notes</v>
      </c>
      <c r="S224" t="str">
        <f>_xlfn.TEXTAFTER(us_core_reqs[[#This Row],[URL*]],"#",-1)</f>
        <v>support-requirements</v>
      </c>
      <c r="T224" t="str">
        <f>SUBSTITUTE(SUBSTITUTE(PROPER(SUBSTITUTE(us_core_reqs[[#This Row],[Page]], "-", " "))&amp;": "&amp;PROPER(SUBSTITUTE(us_core_reqs[[#This Row],[Section]], "-", " ")),"Us ","US "), "Uscdi", "USCDI")</f>
        <v>Clinical Notes: Support Requirements</v>
      </c>
      <c r="U224" t="s">
        <v>1171</v>
      </c>
      <c r="V224" t="s">
        <v>30</v>
      </c>
      <c r="W224" t="s">
        <v>264</v>
      </c>
      <c r="X224" t="s">
        <v>1171</v>
      </c>
      <c r="Y224" t="s">
        <v>1171</v>
      </c>
      <c r="Z224" t="s">
        <v>1171</v>
      </c>
      <c r="AA224" t="s">
        <v>1171</v>
      </c>
      <c r="AB224" t="s">
        <v>1171</v>
      </c>
      <c r="AC224" t="s">
        <v>1140</v>
      </c>
      <c r="AD224" t="s">
        <v>1171</v>
      </c>
    </row>
    <row r="225" spans="1:30" ht="68" x14ac:dyDescent="0.2">
      <c r="A225" t="s">
        <v>1171</v>
      </c>
      <c r="B225" t="s">
        <v>1397</v>
      </c>
      <c r="C225" t="str">
        <f>"CONF-"&amp;TEXT(us_core_reqs[[#This Row],[ID*]], "0000")</f>
        <v>CONF-0224</v>
      </c>
      <c r="D225" s="11" t="s">
        <v>628</v>
      </c>
      <c r="E225" t="str">
        <f>SUBSTITUTE(us_core_reqs[[#This Row],[URL*]], "https://hl7.org/fhir/us/core/STU8/","")</f>
        <v>clinical-notes.html#support-requirements</v>
      </c>
      <c r="F225" s="11" t="s">
        <v>1008</v>
      </c>
      <c r="G225" t="s">
        <v>29</v>
      </c>
      <c r="H225" t="s">
        <v>1880</v>
      </c>
      <c r="I225" t="s">
        <v>30</v>
      </c>
      <c r="J225" t="s">
        <v>1171</v>
      </c>
      <c r="K225" t="s">
        <v>1171</v>
      </c>
      <c r="L225" t="s">
        <v>1173</v>
      </c>
      <c r="M225" t="s">
        <v>1171</v>
      </c>
      <c r="N225" t="s">
        <v>1171</v>
      </c>
      <c r="O225" t="s">
        <v>1171</v>
      </c>
      <c r="P225" t="s">
        <v>1171</v>
      </c>
      <c r="Q225" t="s">
        <v>1171</v>
      </c>
      <c r="R225" t="str">
        <f>_xlfn.TEXTBEFORE(_xlfn.TEXTAFTER(us_core_reqs[[#This Row],[URL*]],"/",-1),".")</f>
        <v>clinical-notes</v>
      </c>
      <c r="S225" t="str">
        <f>_xlfn.TEXTAFTER(us_core_reqs[[#This Row],[URL*]],"#",-1)</f>
        <v>support-requirements</v>
      </c>
      <c r="T225" t="str">
        <f>SUBSTITUTE(SUBSTITUTE(PROPER(SUBSTITUTE(us_core_reqs[[#This Row],[Page]], "-", " "))&amp;": "&amp;PROPER(SUBSTITUTE(us_core_reqs[[#This Row],[Section]], "-", " ")),"Us ","US "), "Uscdi", "USCDI")</f>
        <v>Clinical Notes: Support Requirements</v>
      </c>
      <c r="U225" t="s">
        <v>1171</v>
      </c>
      <c r="V225" t="s">
        <v>30</v>
      </c>
      <c r="W225" t="s">
        <v>265</v>
      </c>
      <c r="X225" t="s">
        <v>1171</v>
      </c>
      <c r="Y225" t="s">
        <v>1171</v>
      </c>
      <c r="Z225" t="s">
        <v>1171</v>
      </c>
      <c r="AA225" t="s">
        <v>1171</v>
      </c>
      <c r="AB225" t="s">
        <v>1171</v>
      </c>
      <c r="AC225" t="s">
        <v>1140</v>
      </c>
      <c r="AD225" t="s">
        <v>1171</v>
      </c>
    </row>
    <row r="226" spans="1:30" ht="34" x14ac:dyDescent="0.2">
      <c r="A226" t="s">
        <v>1171</v>
      </c>
      <c r="B226" t="s">
        <v>1398</v>
      </c>
      <c r="C226" t="str">
        <f>"CONF-"&amp;TEXT(us_core_reqs[[#This Row],[ID*]], "0000")</f>
        <v>CONF-0225</v>
      </c>
      <c r="D226" s="11" t="s">
        <v>628</v>
      </c>
      <c r="E226" t="str">
        <f>SUBSTITUTE(us_core_reqs[[#This Row],[URL*]], "https://hl7.org/fhir/us/core/STU8/","")</f>
        <v>clinical-notes.html#support-requirements</v>
      </c>
      <c r="F226" s="11" t="s">
        <v>1009</v>
      </c>
      <c r="G226" t="s">
        <v>35</v>
      </c>
      <c r="H226" t="s">
        <v>1879</v>
      </c>
      <c r="I226" t="s">
        <v>30</v>
      </c>
      <c r="J226" t="s">
        <v>1171</v>
      </c>
      <c r="K226" t="s">
        <v>1171</v>
      </c>
      <c r="L226" t="s">
        <v>1173</v>
      </c>
      <c r="M226" t="s">
        <v>1171</v>
      </c>
      <c r="N226" t="s">
        <v>1171</v>
      </c>
      <c r="O226" t="s">
        <v>1171</v>
      </c>
      <c r="P226" t="s">
        <v>1171</v>
      </c>
      <c r="Q226" t="s">
        <v>1171</v>
      </c>
      <c r="R226" t="str">
        <f>_xlfn.TEXTBEFORE(_xlfn.TEXTAFTER(us_core_reqs[[#This Row],[URL*]],"/",-1),".")</f>
        <v>clinical-notes</v>
      </c>
      <c r="S226" t="str">
        <f>_xlfn.TEXTAFTER(us_core_reqs[[#This Row],[URL*]],"#",-1)</f>
        <v>support-requirements</v>
      </c>
      <c r="T226" t="str">
        <f>SUBSTITUTE(SUBSTITUTE(PROPER(SUBSTITUTE(us_core_reqs[[#This Row],[Page]], "-", " "))&amp;": "&amp;PROPER(SUBSTITUTE(us_core_reqs[[#This Row],[Section]], "-", " ")),"Us ","US "), "Uscdi", "USCDI")</f>
        <v>Clinical Notes: Support Requirements</v>
      </c>
      <c r="U226" t="s">
        <v>35</v>
      </c>
      <c r="V226" t="s">
        <v>30</v>
      </c>
      <c r="W226" t="s">
        <v>266</v>
      </c>
      <c r="X226" t="s">
        <v>1171</v>
      </c>
      <c r="Y226" t="s">
        <v>1171</v>
      </c>
      <c r="Z226" t="s">
        <v>1171</v>
      </c>
      <c r="AA226" t="s">
        <v>1171</v>
      </c>
      <c r="AB226" t="s">
        <v>1171</v>
      </c>
      <c r="AC226" t="s">
        <v>1171</v>
      </c>
      <c r="AD226" t="s">
        <v>1171</v>
      </c>
    </row>
    <row r="227" spans="1:30" ht="34" x14ac:dyDescent="0.2">
      <c r="A227" t="s">
        <v>1171</v>
      </c>
      <c r="B227" t="s">
        <v>1399</v>
      </c>
      <c r="C227" t="str">
        <f>"CONF-"&amp;TEXT(us_core_reqs[[#This Row],[ID*]], "0000")</f>
        <v>CONF-0226</v>
      </c>
      <c r="D227" s="11" t="s">
        <v>628</v>
      </c>
      <c r="E227" t="str">
        <f>SUBSTITUTE(us_core_reqs[[#This Row],[URL*]], "https://hl7.org/fhir/us/core/STU8/","")</f>
        <v>clinical-notes.html#support-requirements</v>
      </c>
      <c r="F227" s="11" t="s">
        <v>929</v>
      </c>
      <c r="G227" t="s">
        <v>35</v>
      </c>
      <c r="H227" t="s">
        <v>1879</v>
      </c>
      <c r="I227" t="s">
        <v>58</v>
      </c>
      <c r="J227" t="s">
        <v>1171</v>
      </c>
      <c r="K227" t="s">
        <v>1171</v>
      </c>
      <c r="L227" t="s">
        <v>1173</v>
      </c>
      <c r="M227" t="s">
        <v>1171</v>
      </c>
      <c r="N227" t="s">
        <v>1171</v>
      </c>
      <c r="O227" t="s">
        <v>1171</v>
      </c>
      <c r="P227" t="s">
        <v>1171</v>
      </c>
      <c r="Q227" t="s">
        <v>1171</v>
      </c>
      <c r="R227" t="str">
        <f>_xlfn.TEXTBEFORE(_xlfn.TEXTAFTER(us_core_reqs[[#This Row],[URL*]],"/",-1),".")</f>
        <v>clinical-notes</v>
      </c>
      <c r="S227" t="str">
        <f>_xlfn.TEXTAFTER(us_core_reqs[[#This Row],[URL*]],"#",-1)</f>
        <v>support-requirements</v>
      </c>
      <c r="T227" t="str">
        <f>SUBSTITUTE(SUBSTITUTE(PROPER(SUBSTITUTE(us_core_reqs[[#This Row],[Page]], "-", " "))&amp;": "&amp;PROPER(SUBSTITUTE(us_core_reqs[[#This Row],[Section]], "-", " ")),"Us ","US "), "Uscdi", "USCDI")</f>
        <v>Clinical Notes: Support Requirements</v>
      </c>
      <c r="U227" t="s">
        <v>35</v>
      </c>
      <c r="V227" t="s">
        <v>58</v>
      </c>
      <c r="W227" t="s">
        <v>266</v>
      </c>
      <c r="X227" t="s">
        <v>1171</v>
      </c>
      <c r="Y227" t="s">
        <v>1171</v>
      </c>
      <c r="Z227" t="s">
        <v>1171</v>
      </c>
      <c r="AA227" t="s">
        <v>1171</v>
      </c>
      <c r="AB227" t="s">
        <v>1171</v>
      </c>
      <c r="AC227" t="s">
        <v>1171</v>
      </c>
      <c r="AD227" t="s">
        <v>1171</v>
      </c>
    </row>
    <row r="228" spans="1:30" ht="51" x14ac:dyDescent="0.2">
      <c r="A228" t="s">
        <v>1171</v>
      </c>
      <c r="B228" t="s">
        <v>1400</v>
      </c>
      <c r="C228" t="str">
        <f>"CONF-"&amp;TEXT(us_core_reqs[[#This Row],[ID*]], "0000")</f>
        <v>CONF-0227</v>
      </c>
      <c r="D228" s="11" t="s">
        <v>628</v>
      </c>
      <c r="E228" t="str">
        <f>SUBSTITUTE(us_core_reqs[[#This Row],[URL*]], "https://hl7.org/fhir/us/core/STU8/","")</f>
        <v>clinical-notes.html#support-requirements</v>
      </c>
      <c r="F228" s="11" t="s">
        <v>1934</v>
      </c>
      <c r="G228" t="s">
        <v>32</v>
      </c>
      <c r="I228" t="s">
        <v>30</v>
      </c>
      <c r="J228" t="s">
        <v>1171</v>
      </c>
      <c r="K228" t="s">
        <v>1171</v>
      </c>
      <c r="L228" t="s">
        <v>1173</v>
      </c>
      <c r="M228" t="s">
        <v>1171</v>
      </c>
      <c r="N228" t="s">
        <v>1171</v>
      </c>
      <c r="O228" t="s">
        <v>1171</v>
      </c>
      <c r="P228" t="s">
        <v>1171</v>
      </c>
      <c r="Q228" t="s">
        <v>1171</v>
      </c>
      <c r="R228" t="str">
        <f>_xlfn.TEXTBEFORE(_xlfn.TEXTAFTER(us_core_reqs[[#This Row],[URL*]],"/",-1),".")</f>
        <v>clinical-notes</v>
      </c>
      <c r="S228" t="str">
        <f>_xlfn.TEXTAFTER(us_core_reqs[[#This Row],[URL*]],"#",-1)</f>
        <v>support-requirements</v>
      </c>
      <c r="T228" t="str">
        <f>SUBSTITUTE(SUBSTITUTE(PROPER(SUBSTITUTE(us_core_reqs[[#This Row],[Page]], "-", " "))&amp;": "&amp;PROPER(SUBSTITUTE(us_core_reqs[[#This Row],[Section]], "-", " ")),"Us ","US "), "Uscdi", "USCDI")</f>
        <v>Clinical Notes: Support Requirements</v>
      </c>
      <c r="U228" t="s">
        <v>32</v>
      </c>
      <c r="V228" t="s">
        <v>1171</v>
      </c>
      <c r="W228" t="s">
        <v>268</v>
      </c>
      <c r="X228" t="s">
        <v>1171</v>
      </c>
      <c r="Y228" t="s">
        <v>1171</v>
      </c>
      <c r="Z228" t="s">
        <v>1171</v>
      </c>
      <c r="AA228" t="s">
        <v>1171</v>
      </c>
      <c r="AB228" t="s">
        <v>1171</v>
      </c>
      <c r="AC228" t="s">
        <v>1171</v>
      </c>
      <c r="AD228" t="s">
        <v>1171</v>
      </c>
    </row>
    <row r="229" spans="1:30" ht="51" x14ac:dyDescent="0.2">
      <c r="A229" t="s">
        <v>1171</v>
      </c>
      <c r="B229" t="s">
        <v>1401</v>
      </c>
      <c r="C229" t="str">
        <f>"CONF-"&amp;TEXT(us_core_reqs[[#This Row],[ID*]], "0000")</f>
        <v>CONF-0228</v>
      </c>
      <c r="D229" s="11" t="s">
        <v>628</v>
      </c>
      <c r="E229" t="str">
        <f>SUBSTITUTE(us_core_reqs[[#This Row],[URL*]], "https://hl7.org/fhir/us/core/STU8/","")</f>
        <v>clinical-notes.html#support-requirements</v>
      </c>
      <c r="F229" s="11" t="s">
        <v>1935</v>
      </c>
      <c r="G229" t="s">
        <v>32</v>
      </c>
      <c r="I229" t="s">
        <v>30</v>
      </c>
      <c r="J229" t="s">
        <v>1171</v>
      </c>
      <c r="K229" t="s">
        <v>1171</v>
      </c>
      <c r="L229" t="s">
        <v>1173</v>
      </c>
      <c r="M229" t="s">
        <v>1171</v>
      </c>
      <c r="N229" t="s">
        <v>1171</v>
      </c>
      <c r="O229" t="s">
        <v>1171</v>
      </c>
      <c r="P229" t="s">
        <v>1171</v>
      </c>
      <c r="Q229" t="s">
        <v>1171</v>
      </c>
      <c r="R229" t="str">
        <f>_xlfn.TEXTBEFORE(_xlfn.TEXTAFTER(us_core_reqs[[#This Row],[URL*]],"/",-1),".")</f>
        <v>clinical-notes</v>
      </c>
      <c r="S229" t="str">
        <f>_xlfn.TEXTAFTER(us_core_reqs[[#This Row],[URL*]],"#",-1)</f>
        <v>support-requirements</v>
      </c>
      <c r="T229" t="str">
        <f>SUBSTITUTE(SUBSTITUTE(PROPER(SUBSTITUTE(us_core_reqs[[#This Row],[Page]], "-", " "))&amp;": "&amp;PROPER(SUBSTITUTE(us_core_reqs[[#This Row],[Section]], "-", " ")),"Us ","US "), "Uscdi", "USCDI")</f>
        <v>Clinical Notes: Support Requirements</v>
      </c>
      <c r="U229" t="s">
        <v>1171</v>
      </c>
      <c r="V229" t="s">
        <v>1171</v>
      </c>
      <c r="W229" t="s">
        <v>1171</v>
      </c>
      <c r="X229" t="s">
        <v>1171</v>
      </c>
      <c r="Y229" t="s">
        <v>1171</v>
      </c>
      <c r="Z229" t="s">
        <v>1171</v>
      </c>
      <c r="AA229" t="s">
        <v>1171</v>
      </c>
      <c r="AB229" t="s">
        <v>1171</v>
      </c>
      <c r="AC229" t="s">
        <v>1171</v>
      </c>
      <c r="AD229" t="s">
        <v>1171</v>
      </c>
    </row>
    <row r="230" spans="1:30" ht="51" x14ac:dyDescent="0.2">
      <c r="A230" t="s">
        <v>1171</v>
      </c>
      <c r="B230" t="s">
        <v>1402</v>
      </c>
      <c r="C230" t="str">
        <f>"CONF-"&amp;TEXT(us_core_reqs[[#This Row],[ID*]], "0000")</f>
        <v>CONF-0229</v>
      </c>
      <c r="D230" s="11" t="s">
        <v>628</v>
      </c>
      <c r="E230" t="str">
        <f>SUBSTITUTE(us_core_reqs[[#This Row],[URL*]], "https://hl7.org/fhir/us/core/STU8/","")</f>
        <v>clinical-notes.html#support-requirements</v>
      </c>
      <c r="F230" s="11" t="s">
        <v>1936</v>
      </c>
      <c r="G230" t="s">
        <v>32</v>
      </c>
      <c r="I230" t="s">
        <v>30</v>
      </c>
      <c r="J230" t="s">
        <v>1171</v>
      </c>
      <c r="K230" t="s">
        <v>1171</v>
      </c>
      <c r="L230" t="s">
        <v>1173</v>
      </c>
      <c r="M230" t="s">
        <v>1171</v>
      </c>
      <c r="N230" t="s">
        <v>1171</v>
      </c>
      <c r="O230" t="s">
        <v>1171</v>
      </c>
      <c r="P230" t="s">
        <v>1171</v>
      </c>
      <c r="Q230" t="s">
        <v>1171</v>
      </c>
      <c r="R230" t="str">
        <f>_xlfn.TEXTBEFORE(_xlfn.TEXTAFTER(us_core_reqs[[#This Row],[URL*]],"/",-1),".")</f>
        <v>clinical-notes</v>
      </c>
      <c r="S230" t="str">
        <f>_xlfn.TEXTAFTER(us_core_reqs[[#This Row],[URL*]],"#",-1)</f>
        <v>support-requirements</v>
      </c>
      <c r="T230" t="str">
        <f>SUBSTITUTE(SUBSTITUTE(PROPER(SUBSTITUTE(us_core_reqs[[#This Row],[Page]], "-", " "))&amp;": "&amp;PROPER(SUBSTITUTE(us_core_reqs[[#This Row],[Section]], "-", " ")),"Us ","US "), "Uscdi", "USCDI")</f>
        <v>Clinical Notes: Support Requirements</v>
      </c>
      <c r="U230" t="s">
        <v>1171</v>
      </c>
      <c r="V230" t="s">
        <v>1171</v>
      </c>
      <c r="W230" t="s">
        <v>1171</v>
      </c>
      <c r="X230" t="s">
        <v>1171</v>
      </c>
      <c r="Y230" t="s">
        <v>1171</v>
      </c>
      <c r="Z230" t="s">
        <v>1171</v>
      </c>
      <c r="AA230" t="s">
        <v>1171</v>
      </c>
      <c r="AB230" t="s">
        <v>1171</v>
      </c>
      <c r="AC230" t="s">
        <v>1171</v>
      </c>
      <c r="AD230" t="s">
        <v>1171</v>
      </c>
    </row>
    <row r="231" spans="1:30" ht="34" x14ac:dyDescent="0.2">
      <c r="A231" t="s">
        <v>1171</v>
      </c>
      <c r="B231" t="s">
        <v>1403</v>
      </c>
      <c r="C231" t="str">
        <f>"CONF-"&amp;TEXT(us_core_reqs[[#This Row],[ID*]], "0000")</f>
        <v>CONF-0230</v>
      </c>
      <c r="D231" s="11" t="s">
        <v>628</v>
      </c>
      <c r="E231" t="str">
        <f>SUBSTITUTE(us_core_reqs[[#This Row],[URL*]], "https://hl7.org/fhir/us/core/STU8/","")</f>
        <v>clinical-notes.html#support-requirements</v>
      </c>
      <c r="F231" s="11" t="s">
        <v>1937</v>
      </c>
      <c r="G231" t="s">
        <v>32</v>
      </c>
      <c r="I231" t="s">
        <v>30</v>
      </c>
      <c r="J231" t="s">
        <v>1171</v>
      </c>
      <c r="K231" t="s">
        <v>1171</v>
      </c>
      <c r="L231" t="s">
        <v>1173</v>
      </c>
      <c r="M231" t="s">
        <v>1171</v>
      </c>
      <c r="N231" t="s">
        <v>1171</v>
      </c>
      <c r="O231" t="s">
        <v>1171</v>
      </c>
      <c r="P231" t="s">
        <v>1171</v>
      </c>
      <c r="Q231" t="s">
        <v>1171</v>
      </c>
      <c r="R231" t="str">
        <f>_xlfn.TEXTBEFORE(_xlfn.TEXTAFTER(us_core_reqs[[#This Row],[URL*]],"/",-1),".")</f>
        <v>clinical-notes</v>
      </c>
      <c r="S231" t="str">
        <f>_xlfn.TEXTAFTER(us_core_reqs[[#This Row],[URL*]],"#",-1)</f>
        <v>support-requirements</v>
      </c>
      <c r="T231" t="str">
        <f>SUBSTITUTE(SUBSTITUTE(PROPER(SUBSTITUTE(us_core_reqs[[#This Row],[Page]], "-", " "))&amp;": "&amp;PROPER(SUBSTITUTE(us_core_reqs[[#This Row],[Section]], "-", " ")),"Us ","US "), "Uscdi", "USCDI")</f>
        <v>Clinical Notes: Support Requirements</v>
      </c>
      <c r="U231" t="s">
        <v>1171</v>
      </c>
      <c r="V231" t="s">
        <v>1171</v>
      </c>
      <c r="W231" t="s">
        <v>1171</v>
      </c>
      <c r="X231" t="s">
        <v>1171</v>
      </c>
      <c r="Y231" t="s">
        <v>1171</v>
      </c>
      <c r="Z231" t="s">
        <v>1171</v>
      </c>
      <c r="AA231" t="s">
        <v>1171</v>
      </c>
      <c r="AB231" t="s">
        <v>1171</v>
      </c>
      <c r="AC231" t="s">
        <v>1171</v>
      </c>
      <c r="AD231" t="s">
        <v>1171</v>
      </c>
    </row>
    <row r="232" spans="1:30" ht="34" x14ac:dyDescent="0.2">
      <c r="A232" t="s">
        <v>1171</v>
      </c>
      <c r="B232" t="s">
        <v>1404</v>
      </c>
      <c r="C232" t="str">
        <f>"CONF-"&amp;TEXT(us_core_reqs[[#This Row],[ID*]], "0000")</f>
        <v>CONF-0231</v>
      </c>
      <c r="D232" s="11" t="s">
        <v>628</v>
      </c>
      <c r="E232" t="str">
        <f>SUBSTITUTE(us_core_reqs[[#This Row],[URL*]], "https://hl7.org/fhir/us/core/STU8/","")</f>
        <v>clinical-notes.html#support-requirements</v>
      </c>
      <c r="F232" s="11" t="s">
        <v>1882</v>
      </c>
      <c r="G232" t="s">
        <v>29</v>
      </c>
      <c r="H232" t="s">
        <v>1881</v>
      </c>
      <c r="I232" t="s">
        <v>30</v>
      </c>
      <c r="J232" t="s">
        <v>1171</v>
      </c>
      <c r="K232" t="s">
        <v>1171</v>
      </c>
      <c r="L232" t="s">
        <v>1173</v>
      </c>
      <c r="M232" t="s">
        <v>1171</v>
      </c>
      <c r="N232" t="s">
        <v>1171</v>
      </c>
      <c r="O232" t="s">
        <v>1171</v>
      </c>
      <c r="P232" t="s">
        <v>1171</v>
      </c>
      <c r="Q232" t="s">
        <v>1171</v>
      </c>
      <c r="R232" t="str">
        <f>_xlfn.TEXTBEFORE(_xlfn.TEXTAFTER(us_core_reqs[[#This Row],[URL*]],"/",-1),".")</f>
        <v>clinical-notes</v>
      </c>
      <c r="S232" t="str">
        <f>_xlfn.TEXTAFTER(us_core_reqs[[#This Row],[URL*]],"#",-1)</f>
        <v>support-requirements</v>
      </c>
      <c r="T232" t="str">
        <f>SUBSTITUTE(SUBSTITUTE(PROPER(SUBSTITUTE(us_core_reqs[[#This Row],[Page]], "-", " "))&amp;": "&amp;PROPER(SUBSTITUTE(us_core_reqs[[#This Row],[Section]], "-", " ")),"Us ","US "), "Uscdi", "USCDI")</f>
        <v>Clinical Notes: Support Requirements</v>
      </c>
      <c r="U232" t="s">
        <v>1171</v>
      </c>
      <c r="V232" t="s">
        <v>30</v>
      </c>
      <c r="W232" t="s">
        <v>268</v>
      </c>
      <c r="X232" t="s">
        <v>1171</v>
      </c>
      <c r="Y232" t="s">
        <v>1171</v>
      </c>
      <c r="Z232" t="s">
        <v>1171</v>
      </c>
      <c r="AA232" t="s">
        <v>1171</v>
      </c>
      <c r="AB232" t="s">
        <v>1171</v>
      </c>
      <c r="AC232" t="s">
        <v>1140</v>
      </c>
      <c r="AD232" t="s">
        <v>1171</v>
      </c>
    </row>
    <row r="233" spans="1:30" ht="68" x14ac:dyDescent="0.2">
      <c r="A233" t="s">
        <v>1171</v>
      </c>
      <c r="B233" t="s">
        <v>1405</v>
      </c>
      <c r="C233" t="str">
        <f>"CONF-"&amp;TEXT(us_core_reqs[[#This Row],[ID*]], "0000")</f>
        <v>CONF-0232</v>
      </c>
      <c r="D233" s="11" t="s">
        <v>628</v>
      </c>
      <c r="E233" t="str">
        <f>SUBSTITUTE(us_core_reqs[[#This Row],[URL*]], "https://hl7.org/fhir/us/core/STU8/","")</f>
        <v>clinical-notes.html#support-requirements</v>
      </c>
      <c r="F233" s="11" t="s">
        <v>1010</v>
      </c>
      <c r="G233" t="s">
        <v>35</v>
      </c>
      <c r="H233" t="s">
        <v>1883</v>
      </c>
      <c r="I233" t="s">
        <v>58</v>
      </c>
      <c r="J233" t="s">
        <v>1171</v>
      </c>
      <c r="K233" t="s">
        <v>1171</v>
      </c>
      <c r="L233" t="s">
        <v>1173</v>
      </c>
      <c r="M233" t="s">
        <v>1171</v>
      </c>
      <c r="N233" t="s">
        <v>1171</v>
      </c>
      <c r="O233" t="s">
        <v>1171</v>
      </c>
      <c r="P233" t="s">
        <v>1171</v>
      </c>
      <c r="Q233" t="s">
        <v>1171</v>
      </c>
      <c r="R233" t="str">
        <f>_xlfn.TEXTBEFORE(_xlfn.TEXTAFTER(us_core_reqs[[#This Row],[URL*]],"/",-1),".")</f>
        <v>clinical-notes</v>
      </c>
      <c r="S233" t="str">
        <f>_xlfn.TEXTAFTER(us_core_reqs[[#This Row],[URL*]],"#",-1)</f>
        <v>support-requirements</v>
      </c>
      <c r="T233" t="str">
        <f>SUBSTITUTE(SUBSTITUTE(PROPER(SUBSTITUTE(us_core_reqs[[#This Row],[Page]], "-", " "))&amp;": "&amp;PROPER(SUBSTITUTE(us_core_reqs[[#This Row],[Section]], "-", " ")),"Us ","US "), "Uscdi", "USCDI")</f>
        <v>Clinical Notes: Support Requirements</v>
      </c>
      <c r="U233" t="s">
        <v>1171</v>
      </c>
      <c r="V233" t="s">
        <v>30</v>
      </c>
      <c r="W233" t="s">
        <v>273</v>
      </c>
      <c r="X233" t="s">
        <v>1171</v>
      </c>
      <c r="Y233" t="s">
        <v>1171</v>
      </c>
      <c r="Z233" t="s">
        <v>1171</v>
      </c>
      <c r="AA233" t="s">
        <v>1171</v>
      </c>
      <c r="AB233" t="s">
        <v>1171</v>
      </c>
      <c r="AC233" t="s">
        <v>1171</v>
      </c>
      <c r="AD233" t="s">
        <v>1171</v>
      </c>
    </row>
    <row r="234" spans="1:30" ht="68" x14ac:dyDescent="0.2">
      <c r="A234" t="s">
        <v>1171</v>
      </c>
      <c r="B234" t="s">
        <v>1406</v>
      </c>
      <c r="C234" t="str">
        <f>"CONF-"&amp;TEXT(us_core_reqs[[#This Row],[ID*]], "0000")</f>
        <v>CONF-0233</v>
      </c>
      <c r="D234" s="11" t="s">
        <v>1884</v>
      </c>
      <c r="E234" t="str">
        <f>SUBSTITUTE(us_core_reqs[[#This Row],[URL*]], "https://hl7.org/fhir/us/core/STU8/","")</f>
        <v>clinical-notes.html#using-expand</v>
      </c>
      <c r="F234" s="11" t="s">
        <v>1938</v>
      </c>
      <c r="G234" t="s">
        <v>32</v>
      </c>
      <c r="I234" t="s">
        <v>30</v>
      </c>
      <c r="J234" t="s">
        <v>1171</v>
      </c>
      <c r="K234" t="s">
        <v>1171</v>
      </c>
      <c r="L234" t="s">
        <v>1173</v>
      </c>
      <c r="M234" t="s">
        <v>1171</v>
      </c>
      <c r="N234" t="s">
        <v>1171</v>
      </c>
      <c r="O234" t="s">
        <v>1171</v>
      </c>
      <c r="P234" t="s">
        <v>1171</v>
      </c>
      <c r="Q234" t="s">
        <v>1171</v>
      </c>
      <c r="R234" t="str">
        <f>_xlfn.TEXTBEFORE(_xlfn.TEXTAFTER(us_core_reqs[[#This Row],[URL*]],"/",-1),".")</f>
        <v>clinical-notes</v>
      </c>
      <c r="S234" t="str">
        <f>_xlfn.TEXTAFTER(us_core_reqs[[#This Row],[URL*]],"#",-1)</f>
        <v>using-expand</v>
      </c>
      <c r="T234" t="str">
        <f>SUBSTITUTE(SUBSTITUTE(PROPER(SUBSTITUTE(us_core_reqs[[#This Row],[Page]], "-", " "))&amp;": "&amp;PROPER(SUBSTITUTE(us_core_reqs[[#This Row],[Section]], "-", " ")),"Us ","US "), "Uscdi", "USCDI")</f>
        <v>Clinical Notes: Using Expand</v>
      </c>
      <c r="U234" t="s">
        <v>32</v>
      </c>
      <c r="V234" t="s">
        <v>30</v>
      </c>
      <c r="W234" t="s">
        <v>274</v>
      </c>
      <c r="X234" t="s">
        <v>1171</v>
      </c>
      <c r="Y234" t="s">
        <v>1171</v>
      </c>
      <c r="Z234" t="s">
        <v>1171</v>
      </c>
      <c r="AA234" t="s">
        <v>1171</v>
      </c>
      <c r="AB234" t="s">
        <v>1171</v>
      </c>
      <c r="AC234" t="s">
        <v>1171</v>
      </c>
      <c r="AD234" t="s">
        <v>1171</v>
      </c>
    </row>
    <row r="235" spans="1:30" ht="140" customHeight="1" x14ac:dyDescent="0.2">
      <c r="A235" t="s">
        <v>1171</v>
      </c>
      <c r="B235" t="s">
        <v>1407</v>
      </c>
      <c r="C235" t="str">
        <f>"CONF-"&amp;TEXT(us_core_reqs[[#This Row],[ID*]], "0000")</f>
        <v>CONF-0234</v>
      </c>
      <c r="D235" s="11" t="s">
        <v>1884</v>
      </c>
      <c r="E235" t="str">
        <f>SUBSTITUTE(us_core_reqs[[#This Row],[URL*]], "https://hl7.org/fhir/us/core/STU8/","")</f>
        <v>clinical-notes.html#using-expand</v>
      </c>
      <c r="F235" s="11" t="s">
        <v>2093</v>
      </c>
      <c r="G235" t="s">
        <v>32</v>
      </c>
      <c r="I235" t="s">
        <v>30</v>
      </c>
      <c r="J235" t="s">
        <v>1171</v>
      </c>
      <c r="K235" t="s">
        <v>1171</v>
      </c>
      <c r="L235" t="s">
        <v>1176</v>
      </c>
      <c r="M235" t="s">
        <v>1013</v>
      </c>
      <c r="N235" t="s">
        <v>1171</v>
      </c>
      <c r="O235" t="s">
        <v>1171</v>
      </c>
      <c r="P235" t="s">
        <v>1171</v>
      </c>
      <c r="Q235" t="s">
        <v>1171</v>
      </c>
      <c r="R235" t="str">
        <f>_xlfn.TEXTBEFORE(_xlfn.TEXTAFTER(us_core_reqs[[#This Row],[URL*]],"/",-1),".")</f>
        <v>clinical-notes</v>
      </c>
      <c r="S235" t="str">
        <f>_xlfn.TEXTAFTER(us_core_reqs[[#This Row],[URL*]],"#",-1)</f>
        <v>using-expand</v>
      </c>
      <c r="T235" t="str">
        <f>SUBSTITUTE(SUBSTITUTE(PROPER(SUBSTITUTE(us_core_reqs[[#This Row],[Page]], "-", " "))&amp;": "&amp;PROPER(SUBSTITUTE(us_core_reqs[[#This Row],[Section]], "-", " ")),"Us ","US "), "Uscdi", "USCDI")</f>
        <v>Clinical Notes: Using Expand</v>
      </c>
      <c r="U235" t="s">
        <v>29</v>
      </c>
      <c r="V235" t="s">
        <v>30</v>
      </c>
      <c r="W235" t="s">
        <v>275</v>
      </c>
      <c r="X235" t="s">
        <v>1171</v>
      </c>
      <c r="Y235" t="s">
        <v>1171</v>
      </c>
      <c r="Z235" t="s">
        <v>1171</v>
      </c>
      <c r="AA235" t="s">
        <v>1171</v>
      </c>
      <c r="AB235" t="s">
        <v>276</v>
      </c>
      <c r="AC235" t="s">
        <v>1141</v>
      </c>
      <c r="AD235" t="s">
        <v>1171</v>
      </c>
    </row>
    <row r="236" spans="1:30" ht="158" customHeight="1" x14ac:dyDescent="0.2">
      <c r="A236" t="s">
        <v>1171</v>
      </c>
      <c r="B236" t="s">
        <v>1408</v>
      </c>
      <c r="C236" t="str">
        <f>"CONF-"&amp;TEXT(us_core_reqs[[#This Row],[ID*]], "0000")</f>
        <v>CONF-0235</v>
      </c>
      <c r="D236" s="11" t="s">
        <v>1884</v>
      </c>
      <c r="E236" t="str">
        <f>SUBSTITUTE(us_core_reqs[[#This Row],[URL*]], "https://hl7.org/fhir/us/core/STU8/","")</f>
        <v>clinical-notes.html#using-expand</v>
      </c>
      <c r="F236" s="11" t="s">
        <v>2094</v>
      </c>
      <c r="G236" t="s">
        <v>32</v>
      </c>
      <c r="I236" t="s">
        <v>30</v>
      </c>
      <c r="J236" t="s">
        <v>1171</v>
      </c>
      <c r="K236" t="s">
        <v>1171</v>
      </c>
      <c r="L236" t="s">
        <v>1176</v>
      </c>
      <c r="M236" t="s">
        <v>1015</v>
      </c>
      <c r="N236" t="s">
        <v>1171</v>
      </c>
      <c r="O236" t="s">
        <v>1171</v>
      </c>
      <c r="P236" t="s">
        <v>1171</v>
      </c>
      <c r="Q236" t="s">
        <v>1171</v>
      </c>
      <c r="R236" t="str">
        <f>_xlfn.TEXTBEFORE(_xlfn.TEXTAFTER(us_core_reqs[[#This Row],[URL*]],"/",-1),".")</f>
        <v>clinical-notes</v>
      </c>
      <c r="S236" t="str">
        <f>_xlfn.TEXTAFTER(us_core_reqs[[#This Row],[URL*]],"#",-1)</f>
        <v>using-expand</v>
      </c>
      <c r="T236" t="str">
        <f>SUBSTITUTE(SUBSTITUTE(PROPER(SUBSTITUTE(us_core_reqs[[#This Row],[Page]], "-", " "))&amp;": "&amp;PROPER(SUBSTITUTE(us_core_reqs[[#This Row],[Section]], "-", " ")),"Us ","US "), "Uscdi", "USCDI")</f>
        <v>Clinical Notes: Using Expand</v>
      </c>
      <c r="U236" t="s">
        <v>29</v>
      </c>
      <c r="V236" t="s">
        <v>30</v>
      </c>
      <c r="W236" t="s">
        <v>277</v>
      </c>
      <c r="X236" t="s">
        <v>1171</v>
      </c>
      <c r="Y236" t="s">
        <v>1171</v>
      </c>
      <c r="Z236" t="s">
        <v>1171</v>
      </c>
      <c r="AA236" t="s">
        <v>1171</v>
      </c>
      <c r="AB236" t="s">
        <v>1171</v>
      </c>
      <c r="AC236" t="s">
        <v>1141</v>
      </c>
      <c r="AD236" t="s">
        <v>1171</v>
      </c>
    </row>
    <row r="237" spans="1:30" ht="140" customHeight="1" x14ac:dyDescent="0.2">
      <c r="A237" t="s">
        <v>1171</v>
      </c>
      <c r="B237" t="s">
        <v>1409</v>
      </c>
      <c r="C237" t="str">
        <f>"CONF-"&amp;TEXT(us_core_reqs[[#This Row],[ID*]], "0000")</f>
        <v>CONF-0236</v>
      </c>
      <c r="D237" s="11" t="s">
        <v>1884</v>
      </c>
      <c r="E237" t="str">
        <f>SUBSTITUTE(us_core_reqs[[#This Row],[URL*]], "https://hl7.org/fhir/us/core/STU8/","")</f>
        <v>clinical-notes.html#using-expand</v>
      </c>
      <c r="F237" s="11" t="s">
        <v>2095</v>
      </c>
      <c r="G237" t="s">
        <v>32</v>
      </c>
      <c r="I237" t="s">
        <v>30</v>
      </c>
      <c r="J237" t="s">
        <v>1171</v>
      </c>
      <c r="K237" t="s">
        <v>1171</v>
      </c>
      <c r="L237" t="s">
        <v>1176</v>
      </c>
      <c r="M237" t="s">
        <v>1013</v>
      </c>
      <c r="N237" t="s">
        <v>1171</v>
      </c>
      <c r="O237" t="s">
        <v>1171</v>
      </c>
      <c r="P237" t="s">
        <v>1171</v>
      </c>
      <c r="Q237" t="s">
        <v>1171</v>
      </c>
      <c r="R237" t="str">
        <f>_xlfn.TEXTBEFORE(_xlfn.TEXTAFTER(us_core_reqs[[#This Row],[URL*]],"/",-1),".")</f>
        <v>clinical-notes</v>
      </c>
      <c r="S237" t="str">
        <f>_xlfn.TEXTAFTER(us_core_reqs[[#This Row],[URL*]],"#",-1)</f>
        <v>using-expand</v>
      </c>
      <c r="T237" t="str">
        <f>SUBSTITUTE(SUBSTITUTE(PROPER(SUBSTITUTE(us_core_reqs[[#This Row],[Page]], "-", " "))&amp;": "&amp;PROPER(SUBSTITUTE(us_core_reqs[[#This Row],[Section]], "-", " ")),"Us ","US "), "Uscdi", "USCDI")</f>
        <v>Clinical Notes: Using Expand</v>
      </c>
      <c r="U237" t="s">
        <v>29</v>
      </c>
      <c r="V237" t="s">
        <v>30</v>
      </c>
      <c r="W237" t="s">
        <v>1171</v>
      </c>
      <c r="X237" t="s">
        <v>1171</v>
      </c>
      <c r="Y237" t="s">
        <v>1171</v>
      </c>
      <c r="Z237" t="s">
        <v>1171</v>
      </c>
      <c r="AA237" t="s">
        <v>1171</v>
      </c>
      <c r="AB237" t="s">
        <v>1171</v>
      </c>
      <c r="AC237" t="s">
        <v>1141</v>
      </c>
      <c r="AD237" t="s">
        <v>1171</v>
      </c>
    </row>
    <row r="238" spans="1:30" ht="137" customHeight="1" x14ac:dyDescent="0.2">
      <c r="A238" t="s">
        <v>1171</v>
      </c>
      <c r="B238" t="s">
        <v>1410</v>
      </c>
      <c r="C238" t="str">
        <f>"CONF-"&amp;TEXT(us_core_reqs[[#This Row],[ID*]], "0000")</f>
        <v>CONF-0237</v>
      </c>
      <c r="D238" s="11" t="s">
        <v>1884</v>
      </c>
      <c r="E238" t="str">
        <f>SUBSTITUTE(us_core_reqs[[#This Row],[URL*]], "https://hl7.org/fhir/us/core/STU8/","")</f>
        <v>clinical-notes.html#using-expand</v>
      </c>
      <c r="F238" s="11" t="s">
        <v>2096</v>
      </c>
      <c r="G238" t="s">
        <v>32</v>
      </c>
      <c r="I238" t="s">
        <v>30</v>
      </c>
      <c r="J238" t="s">
        <v>1171</v>
      </c>
      <c r="K238" t="s">
        <v>1171</v>
      </c>
      <c r="L238" t="s">
        <v>1176</v>
      </c>
      <c r="M238" t="s">
        <v>1015</v>
      </c>
      <c r="N238" t="s">
        <v>1171</v>
      </c>
      <c r="O238" t="s">
        <v>1171</v>
      </c>
      <c r="P238" t="s">
        <v>1171</v>
      </c>
      <c r="Q238" t="s">
        <v>1171</v>
      </c>
      <c r="R238" t="str">
        <f>_xlfn.TEXTBEFORE(_xlfn.TEXTAFTER(us_core_reqs[[#This Row],[URL*]],"/",-1),".")</f>
        <v>clinical-notes</v>
      </c>
      <c r="S238" t="str">
        <f>_xlfn.TEXTAFTER(us_core_reqs[[#This Row],[URL*]],"#",-1)</f>
        <v>using-expand</v>
      </c>
      <c r="T238" t="str">
        <f>SUBSTITUTE(SUBSTITUTE(PROPER(SUBSTITUTE(us_core_reqs[[#This Row],[Page]], "-", " "))&amp;": "&amp;PROPER(SUBSTITUTE(us_core_reqs[[#This Row],[Section]], "-", " ")),"Us ","US "), "Uscdi", "USCDI")</f>
        <v>Clinical Notes: Using Expand</v>
      </c>
      <c r="U238" t="s">
        <v>29</v>
      </c>
      <c r="V238" t="s">
        <v>30</v>
      </c>
      <c r="W238" t="s">
        <v>1171</v>
      </c>
      <c r="X238" t="s">
        <v>1171</v>
      </c>
      <c r="Y238" t="s">
        <v>1171</v>
      </c>
      <c r="Z238" t="s">
        <v>1171</v>
      </c>
      <c r="AA238" t="s">
        <v>1171</v>
      </c>
      <c r="AB238" t="s">
        <v>1171</v>
      </c>
      <c r="AC238" t="s">
        <v>1141</v>
      </c>
      <c r="AD238" t="s">
        <v>1171</v>
      </c>
    </row>
    <row r="239" spans="1:30" ht="153" x14ac:dyDescent="0.2">
      <c r="A239" t="s">
        <v>1171</v>
      </c>
      <c r="B239" t="s">
        <v>1411</v>
      </c>
      <c r="C239" t="str">
        <f>"CONF-"&amp;TEXT(us_core_reqs[[#This Row],[ID*]], "0000")</f>
        <v>CONF-0238</v>
      </c>
      <c r="D239" s="11" t="s">
        <v>1884</v>
      </c>
      <c r="E239" t="str">
        <f>SUBSTITUTE(us_core_reqs[[#This Row],[URL*]], "https://hl7.org/fhir/us/core/STU8/","")</f>
        <v>clinical-notes.html#using-expand</v>
      </c>
      <c r="F239" s="11" t="s">
        <v>2097</v>
      </c>
      <c r="G239" t="s">
        <v>32</v>
      </c>
      <c r="I239" t="s">
        <v>30</v>
      </c>
      <c r="J239" t="s">
        <v>1171</v>
      </c>
      <c r="K239" t="s">
        <v>1171</v>
      </c>
      <c r="L239" t="s">
        <v>1176</v>
      </c>
      <c r="M239" t="s">
        <v>1013</v>
      </c>
      <c r="N239" t="s">
        <v>1171</v>
      </c>
      <c r="O239" t="s">
        <v>1171</v>
      </c>
      <c r="P239" t="s">
        <v>1171</v>
      </c>
      <c r="Q239" t="s">
        <v>1171</v>
      </c>
      <c r="R239" t="str">
        <f>_xlfn.TEXTBEFORE(_xlfn.TEXTAFTER(us_core_reqs[[#This Row],[URL*]],"/",-1),".")</f>
        <v>clinical-notes</v>
      </c>
      <c r="S239" t="str">
        <f>_xlfn.TEXTAFTER(us_core_reqs[[#This Row],[URL*]],"#",-1)</f>
        <v>using-expand</v>
      </c>
      <c r="T239" t="str">
        <f>SUBSTITUTE(SUBSTITUTE(PROPER(SUBSTITUTE(us_core_reqs[[#This Row],[Page]], "-", " "))&amp;": "&amp;PROPER(SUBSTITUTE(us_core_reqs[[#This Row],[Section]], "-", " ")),"Us ","US "), "Uscdi", "USCDI")</f>
        <v>Clinical Notes: Using Expand</v>
      </c>
      <c r="U239" t="s">
        <v>1171</v>
      </c>
      <c r="V239" t="s">
        <v>1171</v>
      </c>
      <c r="W239" t="s">
        <v>1171</v>
      </c>
      <c r="X239" t="s">
        <v>1171</v>
      </c>
      <c r="Y239" t="s">
        <v>1171</v>
      </c>
      <c r="Z239" t="s">
        <v>1171</v>
      </c>
      <c r="AA239" t="s">
        <v>1171</v>
      </c>
      <c r="AB239" t="s">
        <v>1171</v>
      </c>
      <c r="AC239" t="s">
        <v>1141</v>
      </c>
      <c r="AD239" t="s">
        <v>1171</v>
      </c>
    </row>
    <row r="240" spans="1:30" ht="153" x14ac:dyDescent="0.2">
      <c r="A240" t="s">
        <v>1171</v>
      </c>
      <c r="B240" t="s">
        <v>1412</v>
      </c>
      <c r="C240" t="str">
        <f>"CONF-"&amp;TEXT(us_core_reqs[[#This Row],[ID*]], "0000")</f>
        <v>CONF-0239</v>
      </c>
      <c r="D240" s="11" t="s">
        <v>1884</v>
      </c>
      <c r="E240" t="str">
        <f>SUBSTITUTE(us_core_reqs[[#This Row],[URL*]], "https://hl7.org/fhir/us/core/STU8/","")</f>
        <v>clinical-notes.html#using-expand</v>
      </c>
      <c r="F240" s="11" t="s">
        <v>2098</v>
      </c>
      <c r="G240" t="s">
        <v>32</v>
      </c>
      <c r="I240" t="s">
        <v>30</v>
      </c>
      <c r="J240" t="s">
        <v>1171</v>
      </c>
      <c r="K240" t="s">
        <v>1171</v>
      </c>
      <c r="L240" t="s">
        <v>1176</v>
      </c>
      <c r="M240" t="s">
        <v>1015</v>
      </c>
      <c r="N240" t="s">
        <v>1171</v>
      </c>
      <c r="O240" t="s">
        <v>1171</v>
      </c>
      <c r="P240" t="s">
        <v>1171</v>
      </c>
      <c r="Q240" t="s">
        <v>1171</v>
      </c>
      <c r="R240" t="str">
        <f>_xlfn.TEXTBEFORE(_xlfn.TEXTAFTER(us_core_reqs[[#This Row],[URL*]],"/",-1),".")</f>
        <v>clinical-notes</v>
      </c>
      <c r="S240" t="str">
        <f>_xlfn.TEXTAFTER(us_core_reqs[[#This Row],[URL*]],"#",-1)</f>
        <v>using-expand</v>
      </c>
      <c r="T240" t="str">
        <f>SUBSTITUTE(SUBSTITUTE(PROPER(SUBSTITUTE(us_core_reqs[[#This Row],[Page]], "-", " "))&amp;": "&amp;PROPER(SUBSTITUTE(us_core_reqs[[#This Row],[Section]], "-", " ")),"Us ","US "), "Uscdi", "USCDI")</f>
        <v>Clinical Notes: Using Expand</v>
      </c>
      <c r="U240" t="s">
        <v>1171</v>
      </c>
      <c r="V240" t="s">
        <v>1171</v>
      </c>
      <c r="W240" t="s">
        <v>1171</v>
      </c>
      <c r="X240" t="s">
        <v>1171</v>
      </c>
      <c r="Y240" t="s">
        <v>1171</v>
      </c>
      <c r="Z240" t="s">
        <v>1171</v>
      </c>
      <c r="AA240" t="s">
        <v>1171</v>
      </c>
      <c r="AB240" t="s">
        <v>1171</v>
      </c>
      <c r="AC240" t="s">
        <v>1141</v>
      </c>
      <c r="AD240" t="s">
        <v>1171</v>
      </c>
    </row>
    <row r="241" spans="1:30" ht="153" x14ac:dyDescent="0.2">
      <c r="A241" t="s">
        <v>1171</v>
      </c>
      <c r="B241" t="s">
        <v>1413</v>
      </c>
      <c r="C241" t="str">
        <f>"CONF-"&amp;TEXT(us_core_reqs[[#This Row],[ID*]], "0000")</f>
        <v>CONF-0240</v>
      </c>
      <c r="D241" s="11" t="s">
        <v>1884</v>
      </c>
      <c r="E241" t="str">
        <f>SUBSTITUTE(us_core_reqs[[#This Row],[URL*]], "https://hl7.org/fhir/us/core/STU8/","")</f>
        <v>clinical-notes.html#using-expand</v>
      </c>
      <c r="F241" s="11" t="s">
        <v>2099</v>
      </c>
      <c r="G241" t="s">
        <v>32</v>
      </c>
      <c r="I241" t="s">
        <v>30</v>
      </c>
      <c r="J241" t="s">
        <v>1171</v>
      </c>
      <c r="K241" t="s">
        <v>1171</v>
      </c>
      <c r="L241" t="s">
        <v>1176</v>
      </c>
      <c r="M241" t="s">
        <v>1013</v>
      </c>
      <c r="N241" t="s">
        <v>1171</v>
      </c>
      <c r="O241" t="s">
        <v>1171</v>
      </c>
      <c r="P241" t="s">
        <v>1171</v>
      </c>
      <c r="Q241" t="s">
        <v>1171</v>
      </c>
      <c r="R241" t="str">
        <f>_xlfn.TEXTBEFORE(_xlfn.TEXTAFTER(us_core_reqs[[#This Row],[URL*]],"/",-1),".")</f>
        <v>clinical-notes</v>
      </c>
      <c r="S241" t="str">
        <f>_xlfn.TEXTAFTER(us_core_reqs[[#This Row],[URL*]],"#",-1)</f>
        <v>using-expand</v>
      </c>
      <c r="T241" t="str">
        <f>SUBSTITUTE(SUBSTITUTE(PROPER(SUBSTITUTE(us_core_reqs[[#This Row],[Page]], "-", " "))&amp;": "&amp;PROPER(SUBSTITUTE(us_core_reqs[[#This Row],[Section]], "-", " ")),"Us ","US "), "Uscdi", "USCDI")</f>
        <v>Clinical Notes: Using Expand</v>
      </c>
      <c r="U241" t="s">
        <v>1171</v>
      </c>
      <c r="V241" t="s">
        <v>1171</v>
      </c>
      <c r="W241" t="s">
        <v>1171</v>
      </c>
      <c r="X241" t="s">
        <v>1171</v>
      </c>
      <c r="Y241" t="s">
        <v>1171</v>
      </c>
      <c r="Z241" t="s">
        <v>1171</v>
      </c>
      <c r="AA241" t="s">
        <v>1171</v>
      </c>
      <c r="AB241" t="s">
        <v>1171</v>
      </c>
      <c r="AC241" t="s">
        <v>1141</v>
      </c>
      <c r="AD241" t="s">
        <v>1171</v>
      </c>
    </row>
    <row r="242" spans="1:30" ht="139" customHeight="1" x14ac:dyDescent="0.2">
      <c r="A242" t="s">
        <v>1171</v>
      </c>
      <c r="B242" t="s">
        <v>1414</v>
      </c>
      <c r="C242" t="str">
        <f>"CONF-"&amp;TEXT(us_core_reqs[[#This Row],[ID*]], "0000")</f>
        <v>CONF-0241</v>
      </c>
      <c r="D242" s="11" t="s">
        <v>1884</v>
      </c>
      <c r="E242" t="str">
        <f>SUBSTITUTE(us_core_reqs[[#This Row],[URL*]], "https://hl7.org/fhir/us/core/STU8/","")</f>
        <v>clinical-notes.html#using-expand</v>
      </c>
      <c r="F242" s="11" t="s">
        <v>2100</v>
      </c>
      <c r="G242" t="s">
        <v>32</v>
      </c>
      <c r="I242" t="s">
        <v>30</v>
      </c>
      <c r="J242" t="s">
        <v>1171</v>
      </c>
      <c r="K242" t="s">
        <v>1171</v>
      </c>
      <c r="L242" t="s">
        <v>1176</v>
      </c>
      <c r="M242" t="s">
        <v>1015</v>
      </c>
      <c r="N242" t="s">
        <v>1171</v>
      </c>
      <c r="O242" t="s">
        <v>1171</v>
      </c>
      <c r="P242" t="s">
        <v>1171</v>
      </c>
      <c r="Q242" t="s">
        <v>1171</v>
      </c>
      <c r="R242" t="str">
        <f>_xlfn.TEXTBEFORE(_xlfn.TEXTAFTER(us_core_reqs[[#This Row],[URL*]],"/",-1),".")</f>
        <v>clinical-notes</v>
      </c>
      <c r="S242" t="str">
        <f>_xlfn.TEXTAFTER(us_core_reqs[[#This Row],[URL*]],"#",-1)</f>
        <v>using-expand</v>
      </c>
      <c r="T242" t="str">
        <f>SUBSTITUTE(SUBSTITUTE(PROPER(SUBSTITUTE(us_core_reqs[[#This Row],[Page]], "-", " "))&amp;": "&amp;PROPER(SUBSTITUTE(us_core_reqs[[#This Row],[Section]], "-", " ")),"Us ","US "), "Uscdi", "USCDI")</f>
        <v>Clinical Notes: Using Expand</v>
      </c>
      <c r="U242" t="s">
        <v>1171</v>
      </c>
      <c r="V242" t="s">
        <v>1171</v>
      </c>
      <c r="W242" t="s">
        <v>1171</v>
      </c>
      <c r="X242" t="s">
        <v>1171</v>
      </c>
      <c r="Y242" t="s">
        <v>1171</v>
      </c>
      <c r="Z242" t="s">
        <v>1171</v>
      </c>
      <c r="AA242" t="s">
        <v>1171</v>
      </c>
      <c r="AB242" t="s">
        <v>1171</v>
      </c>
      <c r="AC242" t="s">
        <v>1141</v>
      </c>
      <c r="AD242" t="s">
        <v>1171</v>
      </c>
    </row>
    <row r="243" spans="1:30" ht="164" customHeight="1" x14ac:dyDescent="0.2">
      <c r="A243" t="s">
        <v>1171</v>
      </c>
      <c r="B243" t="s">
        <v>1415</v>
      </c>
      <c r="C243" t="str">
        <f>"CONF-"&amp;TEXT(us_core_reqs[[#This Row],[ID*]], "0000")</f>
        <v>CONF-0242</v>
      </c>
      <c r="D243" s="11" t="s">
        <v>1022</v>
      </c>
      <c r="E243" t="str">
        <f>SUBSTITUTE(us_core_reqs[[#This Row],[URL*]], "https://hl7.org/fhir/us/core/STU8/","")</f>
        <v>clinical-notes.html#discovering-Server-read-and-write-formats</v>
      </c>
      <c r="F243" s="11" t="s">
        <v>1023</v>
      </c>
      <c r="G243" t="s">
        <v>32</v>
      </c>
      <c r="I243" t="s">
        <v>30</v>
      </c>
      <c r="J243" t="s">
        <v>1171</v>
      </c>
      <c r="K243" t="s">
        <v>1171</v>
      </c>
      <c r="L243" t="s">
        <v>1176</v>
      </c>
      <c r="M243" t="s">
        <v>1024</v>
      </c>
      <c r="N243" t="s">
        <v>1171</v>
      </c>
      <c r="O243" t="s">
        <v>1171</v>
      </c>
      <c r="P243" t="s">
        <v>1171</v>
      </c>
      <c r="Q243" t="s">
        <v>1171</v>
      </c>
      <c r="R243" t="str">
        <f>_xlfn.TEXTBEFORE(_xlfn.TEXTAFTER(us_core_reqs[[#This Row],[URL*]],"/",-1),".")</f>
        <v>clinical-notes</v>
      </c>
      <c r="S243" t="str">
        <f>_xlfn.TEXTAFTER(us_core_reqs[[#This Row],[URL*]],"#",-1)</f>
        <v>discovering-Server-read-and-write-formats</v>
      </c>
      <c r="T243" t="str">
        <f>SUBSTITUTE(SUBSTITUTE(PROPER(SUBSTITUTE(us_core_reqs[[#This Row],[Page]], "-", " "))&amp;": "&amp;PROPER(SUBSTITUTE(us_core_reqs[[#This Row],[Section]], "-", " ")),"Us ","US "), "Uscdi", "USCDI")</f>
        <v>Clinical Notes: Discovering Server Read And Write Formats</v>
      </c>
      <c r="U243" t="s">
        <v>1171</v>
      </c>
      <c r="V243" t="s">
        <v>1171</v>
      </c>
      <c r="W243" t="s">
        <v>1171</v>
      </c>
      <c r="X243" t="s">
        <v>1171</v>
      </c>
      <c r="Y243" t="s">
        <v>1171</v>
      </c>
      <c r="Z243" t="s">
        <v>1171</v>
      </c>
      <c r="AA243" t="s">
        <v>1171</v>
      </c>
      <c r="AB243" t="s">
        <v>1171</v>
      </c>
      <c r="AC243" t="s">
        <v>1171</v>
      </c>
      <c r="AD243" t="s">
        <v>1171</v>
      </c>
    </row>
    <row r="244" spans="1:30" ht="165" customHeight="1" x14ac:dyDescent="0.2">
      <c r="A244" t="s">
        <v>1171</v>
      </c>
      <c r="B244" t="s">
        <v>1416</v>
      </c>
      <c r="C244" t="str">
        <f>"CONF-"&amp;TEXT(us_core_reqs[[#This Row],[ID*]], "0000")</f>
        <v>CONF-0243</v>
      </c>
      <c r="D244" s="11" t="s">
        <v>1022</v>
      </c>
      <c r="E244" t="str">
        <f>SUBSTITUTE(us_core_reqs[[#This Row],[URL*]], "https://hl7.org/fhir/us/core/STU8/","")</f>
        <v>clinical-notes.html#discovering-Server-read-and-write-formats</v>
      </c>
      <c r="F244" s="11" t="s">
        <v>1025</v>
      </c>
      <c r="G244" t="s">
        <v>32</v>
      </c>
      <c r="I244" t="s">
        <v>30</v>
      </c>
      <c r="J244" t="s">
        <v>1171</v>
      </c>
      <c r="K244" t="s">
        <v>1171</v>
      </c>
      <c r="L244" t="s">
        <v>1176</v>
      </c>
      <c r="M244" t="s">
        <v>1026</v>
      </c>
      <c r="N244" t="s">
        <v>1171</v>
      </c>
      <c r="O244" t="s">
        <v>1171</v>
      </c>
      <c r="P244" t="s">
        <v>1171</v>
      </c>
      <c r="Q244" t="s">
        <v>1171</v>
      </c>
      <c r="R244" t="str">
        <f>_xlfn.TEXTBEFORE(_xlfn.TEXTAFTER(us_core_reqs[[#This Row],[URL*]],"/",-1),".")</f>
        <v>clinical-notes</v>
      </c>
      <c r="S244" t="str">
        <f>_xlfn.TEXTAFTER(us_core_reqs[[#This Row],[URL*]],"#",-1)</f>
        <v>discovering-Server-read-and-write-formats</v>
      </c>
      <c r="T244" t="str">
        <f>SUBSTITUTE(SUBSTITUTE(PROPER(SUBSTITUTE(us_core_reqs[[#This Row],[Page]], "-", " "))&amp;": "&amp;PROPER(SUBSTITUTE(us_core_reqs[[#This Row],[Section]], "-", " ")),"Us ","US "), "Uscdi", "USCDI")</f>
        <v>Clinical Notes: Discovering Server Read And Write Formats</v>
      </c>
      <c r="U244" t="s">
        <v>1171</v>
      </c>
      <c r="V244" t="s">
        <v>1171</v>
      </c>
      <c r="W244" t="s">
        <v>1171</v>
      </c>
      <c r="X244" t="s">
        <v>1171</v>
      </c>
      <c r="Y244" t="s">
        <v>1171</v>
      </c>
      <c r="Z244" t="s">
        <v>1171</v>
      </c>
      <c r="AA244" t="s">
        <v>1171</v>
      </c>
      <c r="AB244" t="s">
        <v>1171</v>
      </c>
      <c r="AC244" t="s">
        <v>1171</v>
      </c>
      <c r="AD244" t="s">
        <v>1171</v>
      </c>
    </row>
    <row r="245" spans="1:30" ht="170" x14ac:dyDescent="0.2">
      <c r="A245" t="s">
        <v>1171</v>
      </c>
      <c r="B245" t="s">
        <v>1417</v>
      </c>
      <c r="C245" t="str">
        <f>"CONF-"&amp;TEXT(us_core_reqs[[#This Row],[ID*]], "0000")</f>
        <v>CONF-0244</v>
      </c>
      <c r="D245" s="11" t="s">
        <v>1022</v>
      </c>
      <c r="E245" t="str">
        <f>SUBSTITUTE(us_core_reqs[[#This Row],[URL*]], "https://hl7.org/fhir/us/core/STU8/","")</f>
        <v>clinical-notes.html#discovering-Server-read-and-write-formats</v>
      </c>
      <c r="F245" s="11" t="s">
        <v>1027</v>
      </c>
      <c r="G245" t="s">
        <v>32</v>
      </c>
      <c r="I245" t="s">
        <v>30</v>
      </c>
      <c r="J245" t="s">
        <v>1171</v>
      </c>
      <c r="K245" t="s">
        <v>1171</v>
      </c>
      <c r="L245" t="s">
        <v>1176</v>
      </c>
      <c r="M245" t="s">
        <v>1024</v>
      </c>
      <c r="N245" t="s">
        <v>1171</v>
      </c>
      <c r="O245" t="s">
        <v>1171</v>
      </c>
      <c r="P245" t="s">
        <v>1171</v>
      </c>
      <c r="Q245" t="s">
        <v>1171</v>
      </c>
      <c r="R245" t="str">
        <f>_xlfn.TEXTBEFORE(_xlfn.TEXTAFTER(us_core_reqs[[#This Row],[URL*]],"/",-1),".")</f>
        <v>clinical-notes</v>
      </c>
      <c r="S245" t="str">
        <f>_xlfn.TEXTAFTER(us_core_reqs[[#This Row],[URL*]],"#",-1)</f>
        <v>discovering-Server-read-and-write-formats</v>
      </c>
      <c r="T245" t="str">
        <f>SUBSTITUTE(SUBSTITUTE(PROPER(SUBSTITUTE(us_core_reqs[[#This Row],[Page]], "-", " "))&amp;": "&amp;PROPER(SUBSTITUTE(us_core_reqs[[#This Row],[Section]], "-", " ")),"Us ","US "), "Uscdi", "USCDI")</f>
        <v>Clinical Notes: Discovering Server Read And Write Formats</v>
      </c>
      <c r="U245" t="s">
        <v>1171</v>
      </c>
      <c r="V245" t="s">
        <v>1171</v>
      </c>
      <c r="W245" t="s">
        <v>1171</v>
      </c>
      <c r="X245" t="s">
        <v>1171</v>
      </c>
      <c r="Y245" t="s">
        <v>1171</v>
      </c>
      <c r="Z245" t="s">
        <v>1171</v>
      </c>
      <c r="AA245" t="s">
        <v>1171</v>
      </c>
      <c r="AB245" t="s">
        <v>1171</v>
      </c>
      <c r="AC245" t="s">
        <v>1171</v>
      </c>
      <c r="AD245" t="s">
        <v>1171</v>
      </c>
    </row>
    <row r="246" spans="1:30" ht="170" x14ac:dyDescent="0.2">
      <c r="A246" t="s">
        <v>1171</v>
      </c>
      <c r="B246" t="s">
        <v>1418</v>
      </c>
      <c r="C246" t="str">
        <f>"CONF-"&amp;TEXT(us_core_reqs[[#This Row],[ID*]], "0000")</f>
        <v>CONF-0245</v>
      </c>
      <c r="D246" s="11" t="s">
        <v>1022</v>
      </c>
      <c r="E246" t="str">
        <f>SUBSTITUTE(us_core_reqs[[#This Row],[URL*]], "https://hl7.org/fhir/us/core/STU8/","")</f>
        <v>clinical-notes.html#discovering-Server-read-and-write-formats</v>
      </c>
      <c r="F246" s="11" t="s">
        <v>1028</v>
      </c>
      <c r="G246" t="s">
        <v>32</v>
      </c>
      <c r="I246" t="s">
        <v>30</v>
      </c>
      <c r="J246" t="s">
        <v>1171</v>
      </c>
      <c r="K246" t="s">
        <v>1171</v>
      </c>
      <c r="L246" t="s">
        <v>1176</v>
      </c>
      <c r="M246" t="s">
        <v>1026</v>
      </c>
      <c r="N246" t="s">
        <v>1171</v>
      </c>
      <c r="O246" t="s">
        <v>1171</v>
      </c>
      <c r="P246" t="s">
        <v>1171</v>
      </c>
      <c r="Q246" t="s">
        <v>1171</v>
      </c>
      <c r="R246" t="str">
        <f>_xlfn.TEXTBEFORE(_xlfn.TEXTAFTER(us_core_reqs[[#This Row],[URL*]],"/",-1),".")</f>
        <v>clinical-notes</v>
      </c>
      <c r="S246" t="str">
        <f>_xlfn.TEXTAFTER(us_core_reqs[[#This Row],[URL*]],"#",-1)</f>
        <v>discovering-Server-read-and-write-formats</v>
      </c>
      <c r="T246" t="str">
        <f>SUBSTITUTE(SUBSTITUTE(PROPER(SUBSTITUTE(us_core_reqs[[#This Row],[Page]], "-", " "))&amp;": "&amp;PROPER(SUBSTITUTE(us_core_reqs[[#This Row],[Section]], "-", " ")),"Us ","US "), "Uscdi", "USCDI")</f>
        <v>Clinical Notes: Discovering Server Read And Write Formats</v>
      </c>
      <c r="U246" t="s">
        <v>1171</v>
      </c>
      <c r="V246" t="s">
        <v>1171</v>
      </c>
      <c r="W246" t="s">
        <v>1171</v>
      </c>
      <c r="X246" t="s">
        <v>1171</v>
      </c>
      <c r="Y246" t="s">
        <v>1171</v>
      </c>
      <c r="Z246" t="s">
        <v>1171</v>
      </c>
      <c r="AA246" t="s">
        <v>1171</v>
      </c>
      <c r="AB246" t="s">
        <v>1171</v>
      </c>
      <c r="AC246" t="s">
        <v>1171</v>
      </c>
      <c r="AD246" t="s">
        <v>1171</v>
      </c>
    </row>
    <row r="247" spans="1:30" ht="102" x14ac:dyDescent="0.2">
      <c r="A247" t="s">
        <v>1171</v>
      </c>
      <c r="B247" t="s">
        <v>1419</v>
      </c>
      <c r="C247" t="str">
        <f>"CONF-"&amp;TEXT(us_core_reqs[[#This Row],[ID*]], "0000")</f>
        <v>CONF-0246</v>
      </c>
      <c r="D247" s="11" t="s">
        <v>843</v>
      </c>
      <c r="E247" t="str">
        <f>SUBSTITUTE(us_core_reqs[[#This Row],[URL*]], "https://hl7.org/fhir/us/core/STU8/","")</f>
        <v>medication-list.html#background-on-the-fhir-medications-resources</v>
      </c>
      <c r="F247" s="11" t="s">
        <v>278</v>
      </c>
      <c r="G247" t="s">
        <v>35</v>
      </c>
      <c r="H247" t="s">
        <v>1886</v>
      </c>
      <c r="I247" t="s">
        <v>30</v>
      </c>
      <c r="J247" t="s">
        <v>1171</v>
      </c>
      <c r="K247" t="s">
        <v>1171</v>
      </c>
      <c r="L247" t="s">
        <v>1173</v>
      </c>
      <c r="M247" t="s">
        <v>1171</v>
      </c>
      <c r="N247" t="s">
        <v>1171</v>
      </c>
      <c r="O247" t="s">
        <v>1171</v>
      </c>
      <c r="P247" t="s">
        <v>1171</v>
      </c>
      <c r="Q247" t="s">
        <v>1171</v>
      </c>
      <c r="R247" t="str">
        <f>_xlfn.TEXTBEFORE(_xlfn.TEXTAFTER(us_core_reqs[[#This Row],[URL*]],"/",-1),".")</f>
        <v>medication-list</v>
      </c>
      <c r="S247" t="str">
        <f>_xlfn.TEXTAFTER(us_core_reqs[[#This Row],[URL*]],"#",-1)</f>
        <v>background-on-the-fhir-medications-resources</v>
      </c>
      <c r="T247" t="str">
        <f>SUBSTITUTE(SUBSTITUTE(PROPER(SUBSTITUTE(us_core_reqs[[#This Row],[Page]], "-", " "))&amp;": "&amp;PROPER(SUBSTITUTE(us_core_reqs[[#This Row],[Section]], "-", " ")),"Us ","US "), "Uscdi", "USCDI")</f>
        <v>Medication List: Background On The Fhir Medications Resources</v>
      </c>
      <c r="U247" t="s">
        <v>1171</v>
      </c>
      <c r="V247" t="s">
        <v>1171</v>
      </c>
      <c r="W247" t="s">
        <v>274</v>
      </c>
      <c r="X247" t="s">
        <v>1171</v>
      </c>
      <c r="Y247" t="s">
        <v>1171</v>
      </c>
      <c r="Z247" t="s">
        <v>1171</v>
      </c>
      <c r="AA247" t="s">
        <v>1171</v>
      </c>
      <c r="AB247" t="s">
        <v>1171</v>
      </c>
      <c r="AC247" t="s">
        <v>1171</v>
      </c>
      <c r="AD247" t="s">
        <v>1171</v>
      </c>
    </row>
    <row r="248" spans="1:30" ht="119" x14ac:dyDescent="0.2">
      <c r="A248" t="s">
        <v>1171</v>
      </c>
      <c r="B248" t="s">
        <v>1420</v>
      </c>
      <c r="C248" t="str">
        <f>"CONF-"&amp;TEXT(us_core_reqs[[#This Row],[ID*]], "0000")</f>
        <v>CONF-0247</v>
      </c>
      <c r="D248" s="11" t="s">
        <v>844</v>
      </c>
      <c r="E248" t="str">
        <f>SUBSTITUTE(us_core_reqs[[#This Row],[URL*]], "https://hl7.org/fhir/us/core/STU8/","")</f>
        <v>medication-list.html#options-for-representing-medication</v>
      </c>
      <c r="F248" s="11" t="s">
        <v>2221</v>
      </c>
      <c r="G248" t="s">
        <v>29</v>
      </c>
      <c r="I248" t="s">
        <v>30</v>
      </c>
      <c r="J248" t="s">
        <v>1171</v>
      </c>
      <c r="K248" t="s">
        <v>1171</v>
      </c>
      <c r="L248" t="s">
        <v>1176</v>
      </c>
      <c r="M248" t="s">
        <v>280</v>
      </c>
      <c r="N248" t="s">
        <v>1171</v>
      </c>
      <c r="O248" t="s">
        <v>1171</v>
      </c>
      <c r="P248" t="s">
        <v>1171</v>
      </c>
      <c r="Q248" t="s">
        <v>1171</v>
      </c>
      <c r="R248" t="str">
        <f>_xlfn.TEXTBEFORE(_xlfn.TEXTAFTER(us_core_reqs[[#This Row],[URL*]],"/",-1),".")</f>
        <v>medication-list</v>
      </c>
      <c r="S248" t="str">
        <f>_xlfn.TEXTAFTER(us_core_reqs[[#This Row],[URL*]],"#",-1)</f>
        <v>options-for-representing-medication</v>
      </c>
      <c r="T248" t="str">
        <f>SUBSTITUTE(SUBSTITUTE(PROPER(SUBSTITUTE(us_core_reqs[[#This Row],[Page]], "-", " "))&amp;": "&amp;PROPER(SUBSTITUTE(us_core_reqs[[#This Row],[Section]], "-", " ")),"Us ","US "), "Uscdi", "USCDI")</f>
        <v>Medication List: Options For Representing Medication</v>
      </c>
      <c r="U248" t="s">
        <v>29</v>
      </c>
      <c r="V248" t="s">
        <v>1171</v>
      </c>
      <c r="W248" t="s">
        <v>281</v>
      </c>
      <c r="X248" t="s">
        <v>1171</v>
      </c>
      <c r="Y248" t="s">
        <v>1171</v>
      </c>
      <c r="Z248" t="s">
        <v>1171</v>
      </c>
      <c r="AA248" t="s">
        <v>1171</v>
      </c>
      <c r="AB248" t="s">
        <v>1171</v>
      </c>
      <c r="AC248" t="s">
        <v>1171</v>
      </c>
      <c r="AD248" t="s">
        <v>1171</v>
      </c>
    </row>
    <row r="249" spans="1:30" ht="85" x14ac:dyDescent="0.2">
      <c r="A249" t="s">
        <v>1171</v>
      </c>
      <c r="B249" t="s">
        <v>1421</v>
      </c>
      <c r="C249" t="str">
        <f>"CONF-"&amp;TEXT(us_core_reqs[[#This Row],[ID*]], "0000")</f>
        <v>CONF-0248</v>
      </c>
      <c r="D249" s="11" t="s">
        <v>844</v>
      </c>
      <c r="E249" t="str">
        <f>SUBSTITUTE(us_core_reqs[[#This Row],[URL*]], "https://hl7.org/fhir/us/core/STU8/","")</f>
        <v>medication-list.html#options-for-representing-medication</v>
      </c>
      <c r="F249" s="11" t="s">
        <v>282</v>
      </c>
      <c r="G249" t="s">
        <v>35</v>
      </c>
      <c r="I249" t="s">
        <v>30</v>
      </c>
      <c r="J249" t="s">
        <v>1171</v>
      </c>
      <c r="K249" t="s">
        <v>1171</v>
      </c>
      <c r="L249" t="s">
        <v>1173</v>
      </c>
      <c r="M249" t="s">
        <v>1171</v>
      </c>
      <c r="N249" t="s">
        <v>1171</v>
      </c>
      <c r="O249" t="s">
        <v>1171</v>
      </c>
      <c r="P249" t="s">
        <v>1171</v>
      </c>
      <c r="Q249" t="s">
        <v>1171</v>
      </c>
      <c r="R249" t="str">
        <f>_xlfn.TEXTBEFORE(_xlfn.TEXTAFTER(us_core_reqs[[#This Row],[URL*]],"/",-1),".")</f>
        <v>medication-list</v>
      </c>
      <c r="S249" t="str">
        <f>_xlfn.TEXTAFTER(us_core_reqs[[#This Row],[URL*]],"#",-1)</f>
        <v>options-for-representing-medication</v>
      </c>
      <c r="T249" t="str">
        <f>SUBSTITUTE(SUBSTITUTE(PROPER(SUBSTITUTE(us_core_reqs[[#This Row],[Page]], "-", " "))&amp;": "&amp;PROPER(SUBSTITUTE(us_core_reqs[[#This Row],[Section]], "-", " ")),"Us ","US "), "Uscdi", "USCDI")</f>
        <v>Medication List: Options For Representing Medication</v>
      </c>
      <c r="U249" t="s">
        <v>1171</v>
      </c>
      <c r="V249" t="s">
        <v>1171</v>
      </c>
      <c r="W249" t="s">
        <v>283</v>
      </c>
      <c r="X249" t="s">
        <v>1171</v>
      </c>
      <c r="Y249" t="s">
        <v>1171</v>
      </c>
      <c r="Z249" t="s">
        <v>1171</v>
      </c>
      <c r="AA249" t="s">
        <v>1171</v>
      </c>
      <c r="AB249" t="s">
        <v>1171</v>
      </c>
      <c r="AC249" t="s">
        <v>1171</v>
      </c>
      <c r="AD249" t="s">
        <v>1171</v>
      </c>
    </row>
    <row r="250" spans="1:30" ht="85" x14ac:dyDescent="0.2">
      <c r="A250" t="s">
        <v>1171</v>
      </c>
      <c r="B250" t="s">
        <v>1422</v>
      </c>
      <c r="C250" t="str">
        <f>"CONF-"&amp;TEXT(us_core_reqs[[#This Row],[ID*]], "0000")</f>
        <v>CONF-0249</v>
      </c>
      <c r="D250" s="11" t="s">
        <v>844</v>
      </c>
      <c r="E250" t="str">
        <f>SUBSTITUTE(us_core_reqs[[#This Row],[URL*]], "https://hl7.org/fhir/us/core/STU8/","")</f>
        <v>medication-list.html#options-for-representing-medication</v>
      </c>
      <c r="F250" s="11" t="s">
        <v>2208</v>
      </c>
      <c r="G250" t="s">
        <v>35</v>
      </c>
      <c r="I250" t="s">
        <v>30</v>
      </c>
      <c r="J250" t="s">
        <v>1171</v>
      </c>
      <c r="K250" t="s">
        <v>1171</v>
      </c>
      <c r="L250" t="s">
        <v>1176</v>
      </c>
      <c r="M250" t="s">
        <v>284</v>
      </c>
      <c r="N250" t="s">
        <v>1171</v>
      </c>
      <c r="O250" t="s">
        <v>1171</v>
      </c>
      <c r="P250" t="s">
        <v>1171</v>
      </c>
      <c r="Q250" t="s">
        <v>1171</v>
      </c>
      <c r="R250" t="str">
        <f>_xlfn.TEXTBEFORE(_xlfn.TEXTAFTER(us_core_reqs[[#This Row],[URL*]],"/",-1),".")</f>
        <v>medication-list</v>
      </c>
      <c r="S250" t="str">
        <f>_xlfn.TEXTAFTER(us_core_reqs[[#This Row],[URL*]],"#",-1)</f>
        <v>options-for-representing-medication</v>
      </c>
      <c r="T250" t="str">
        <f>SUBSTITUTE(SUBSTITUTE(PROPER(SUBSTITUTE(us_core_reqs[[#This Row],[Page]], "-", " "))&amp;": "&amp;PROPER(SUBSTITUTE(us_core_reqs[[#This Row],[Section]], "-", " ")),"Us ","US "), "Uscdi", "USCDI")</f>
        <v>Medication List: Options For Representing Medication</v>
      </c>
      <c r="U250" t="s">
        <v>35</v>
      </c>
      <c r="V250" t="s">
        <v>30</v>
      </c>
      <c r="W250" t="s">
        <v>283</v>
      </c>
      <c r="X250" t="s">
        <v>1171</v>
      </c>
      <c r="Y250" t="s">
        <v>1171</v>
      </c>
      <c r="Z250" t="s">
        <v>1171</v>
      </c>
      <c r="AA250" t="s">
        <v>1171</v>
      </c>
      <c r="AB250" t="s">
        <v>1171</v>
      </c>
      <c r="AC250" t="s">
        <v>1171</v>
      </c>
      <c r="AD250" t="s">
        <v>1171</v>
      </c>
    </row>
    <row r="251" spans="1:30" ht="51" x14ac:dyDescent="0.2">
      <c r="A251" t="s">
        <v>1171</v>
      </c>
      <c r="B251" t="s">
        <v>1423</v>
      </c>
      <c r="C251" t="str">
        <f>"CONF-"&amp;TEXT(us_core_reqs[[#This Row],[ID*]], "0000")</f>
        <v>CONF-0250</v>
      </c>
      <c r="D251" s="11" t="s">
        <v>844</v>
      </c>
      <c r="E251" t="str">
        <f>SUBSTITUTE(us_core_reqs[[#This Row],[URL*]], "https://hl7.org/fhir/us/core/STU8/","")</f>
        <v>medication-list.html#options-for-representing-medication</v>
      </c>
      <c r="F251" s="11" t="s">
        <v>2101</v>
      </c>
      <c r="G251" t="s">
        <v>29</v>
      </c>
      <c r="I251" t="s">
        <v>30</v>
      </c>
      <c r="J251" t="s">
        <v>1171</v>
      </c>
      <c r="K251" t="s">
        <v>1171</v>
      </c>
      <c r="L251" t="s">
        <v>1176</v>
      </c>
      <c r="M251" t="s">
        <v>285</v>
      </c>
      <c r="N251" t="s">
        <v>1171</v>
      </c>
      <c r="O251" t="s">
        <v>1171</v>
      </c>
      <c r="P251" t="s">
        <v>1171</v>
      </c>
      <c r="Q251" t="s">
        <v>1171</v>
      </c>
      <c r="R251" t="str">
        <f>_xlfn.TEXTBEFORE(_xlfn.TEXTAFTER(us_core_reqs[[#This Row],[URL*]],"/",-1),".")</f>
        <v>medication-list</v>
      </c>
      <c r="S251" t="str">
        <f>_xlfn.TEXTAFTER(us_core_reqs[[#This Row],[URL*]],"#",-1)</f>
        <v>options-for-representing-medication</v>
      </c>
      <c r="T251" t="str">
        <f>SUBSTITUTE(SUBSTITUTE(PROPER(SUBSTITUTE(us_core_reqs[[#This Row],[Page]], "-", " "))&amp;": "&amp;PROPER(SUBSTITUTE(us_core_reqs[[#This Row],[Section]], "-", " ")),"Us ","US "), "Uscdi", "USCDI")</f>
        <v>Medication List: Options For Representing Medication</v>
      </c>
      <c r="U251" t="s">
        <v>29</v>
      </c>
      <c r="V251" t="s">
        <v>30</v>
      </c>
      <c r="W251" t="s">
        <v>283</v>
      </c>
      <c r="X251" t="s">
        <v>1171</v>
      </c>
      <c r="Y251" t="s">
        <v>1171</v>
      </c>
      <c r="Z251" t="s">
        <v>1171</v>
      </c>
      <c r="AA251" t="s">
        <v>1171</v>
      </c>
      <c r="AB251" t="s">
        <v>1171</v>
      </c>
      <c r="AC251" t="s">
        <v>1171</v>
      </c>
      <c r="AD251" t="s">
        <v>1171</v>
      </c>
    </row>
    <row r="252" spans="1:30" ht="68" x14ac:dyDescent="0.2">
      <c r="A252" t="s">
        <v>1171</v>
      </c>
      <c r="B252" t="s">
        <v>1424</v>
      </c>
      <c r="C252" t="str">
        <f>"CONF-"&amp;TEXT(us_core_reqs[[#This Row],[ID*]], "0000")</f>
        <v>CONF-0251</v>
      </c>
      <c r="D252" s="11" t="s">
        <v>844</v>
      </c>
      <c r="E252" t="str">
        <f>SUBSTITUTE(us_core_reqs[[#This Row],[URL*]], "https://hl7.org/fhir/us/core/STU8/","")</f>
        <v>medication-list.html#options-for-representing-medication</v>
      </c>
      <c r="F252" s="11" t="s">
        <v>930</v>
      </c>
      <c r="G252" t="s">
        <v>29</v>
      </c>
      <c r="H252" t="s">
        <v>1887</v>
      </c>
      <c r="I252" t="s">
        <v>58</v>
      </c>
      <c r="J252" t="s">
        <v>1171</v>
      </c>
      <c r="K252" t="s">
        <v>1171</v>
      </c>
      <c r="L252" t="s">
        <v>1176</v>
      </c>
      <c r="M252" t="s">
        <v>286</v>
      </c>
      <c r="N252" t="s">
        <v>1171</v>
      </c>
      <c r="O252" t="s">
        <v>1171</v>
      </c>
      <c r="P252" t="s">
        <v>1171</v>
      </c>
      <c r="Q252" t="s">
        <v>1171</v>
      </c>
      <c r="R252" t="str">
        <f>_xlfn.TEXTBEFORE(_xlfn.TEXTAFTER(us_core_reqs[[#This Row],[URL*]],"/",-1),".")</f>
        <v>medication-list</v>
      </c>
      <c r="S252" t="str">
        <f>_xlfn.TEXTAFTER(us_core_reqs[[#This Row],[URL*]],"#",-1)</f>
        <v>options-for-representing-medication</v>
      </c>
      <c r="T252" t="str">
        <f>SUBSTITUTE(SUBSTITUTE(PROPER(SUBSTITUTE(us_core_reqs[[#This Row],[Page]], "-", " "))&amp;": "&amp;PROPER(SUBSTITUTE(us_core_reqs[[#This Row],[Section]], "-", " ")),"Us ","US "), "Uscdi", "USCDI")</f>
        <v>Medication List: Options For Representing Medication</v>
      </c>
      <c r="U252" t="s">
        <v>1171</v>
      </c>
      <c r="V252" t="s">
        <v>58</v>
      </c>
      <c r="W252" t="s">
        <v>283</v>
      </c>
      <c r="X252" t="s">
        <v>1171</v>
      </c>
      <c r="Y252" t="s">
        <v>1171</v>
      </c>
      <c r="Z252" t="s">
        <v>1171</v>
      </c>
      <c r="AA252" t="s">
        <v>1171</v>
      </c>
      <c r="AB252" t="s">
        <v>1171</v>
      </c>
      <c r="AC252" t="s">
        <v>1171</v>
      </c>
      <c r="AD252" t="s">
        <v>1171</v>
      </c>
    </row>
    <row r="253" spans="1:30" ht="170" x14ac:dyDescent="0.2">
      <c r="A253" t="s">
        <v>1171</v>
      </c>
      <c r="B253" t="s">
        <v>1425</v>
      </c>
      <c r="C253" t="str">
        <f>"CONF-"&amp;TEXT(us_core_reqs[[#This Row],[ID*]], "0000")</f>
        <v>CONF-0252</v>
      </c>
      <c r="D253" s="11" t="s">
        <v>629</v>
      </c>
      <c r="E253" t="str">
        <f>SUBSTITUTE(us_core_reqs[[#This Row],[URL*]], "https://hl7.org/fhir/us/core/STU8/","")</f>
        <v>medication-list.html#fetching-all-medications-active-medications-and-all-medications-for-an-encounter</v>
      </c>
      <c r="F253" s="11" t="s">
        <v>720</v>
      </c>
      <c r="G253" t="s">
        <v>29</v>
      </c>
      <c r="I253" t="s">
        <v>30</v>
      </c>
      <c r="J253" t="s">
        <v>1171</v>
      </c>
      <c r="K253" t="s">
        <v>1171</v>
      </c>
      <c r="L253" t="s">
        <v>1173</v>
      </c>
      <c r="M253" t="s">
        <v>1171</v>
      </c>
      <c r="N253" t="s">
        <v>1171</v>
      </c>
      <c r="O253" t="s">
        <v>1171</v>
      </c>
      <c r="P253" t="s">
        <v>1171</v>
      </c>
      <c r="Q253" t="s">
        <v>1171</v>
      </c>
      <c r="R253" t="str">
        <f>_xlfn.TEXTBEFORE(_xlfn.TEXTAFTER(us_core_reqs[[#This Row],[URL*]],"/",-1),".")</f>
        <v>medication-list</v>
      </c>
      <c r="S253" t="str">
        <f>_xlfn.TEXTAFTER(us_core_reqs[[#This Row],[URL*]],"#",-1)</f>
        <v>fetching-all-medications-active-medications-and-all-medications-for-an-encounter</v>
      </c>
      <c r="T253" t="str">
        <f>SUBSTITUTE(SUBSTITUTE(PROPER(SUBSTITUTE(us_core_reqs[[#This Row],[Page]], "-", " "))&amp;": "&amp;PROPER(SUBSTITUTE(us_core_reqs[[#This Row],[Section]], "-", " ")),"Us ","US "), "Uscdi", "USCDI")</f>
        <v>Medication List: Fetching All Medications Active Medications And All Medications For An Encounter</v>
      </c>
      <c r="U253" t="s">
        <v>29</v>
      </c>
      <c r="V253" t="s">
        <v>1171</v>
      </c>
      <c r="W253" t="s">
        <v>283</v>
      </c>
      <c r="X253" t="s">
        <v>1171</v>
      </c>
      <c r="Y253" t="s">
        <v>1171</v>
      </c>
      <c r="Z253" t="s">
        <v>1171</v>
      </c>
      <c r="AA253" t="s">
        <v>1171</v>
      </c>
      <c r="AB253" t="s">
        <v>717</v>
      </c>
      <c r="AC253" t="s">
        <v>1140</v>
      </c>
      <c r="AD253" t="s">
        <v>1171</v>
      </c>
    </row>
    <row r="254" spans="1:30" ht="170" x14ac:dyDescent="0.2">
      <c r="A254" t="s">
        <v>1171</v>
      </c>
      <c r="B254" t="s">
        <v>1426</v>
      </c>
      <c r="C254" t="str">
        <f>"CONF-"&amp;TEXT(us_core_reqs[[#This Row],[ID*]], "0000")</f>
        <v>CONF-0253</v>
      </c>
      <c r="D254" s="11" t="s">
        <v>629</v>
      </c>
      <c r="E254" t="str">
        <f>SUBSTITUTE(us_core_reqs[[#This Row],[URL*]], "https://hl7.org/fhir/us/core/STU8/","")</f>
        <v>medication-list.html#fetching-all-medications-active-medications-and-all-medications-for-an-encounter</v>
      </c>
      <c r="F254" s="11" t="s">
        <v>721</v>
      </c>
      <c r="G254" t="s">
        <v>29</v>
      </c>
      <c r="I254" t="s">
        <v>30</v>
      </c>
      <c r="J254" t="s">
        <v>1171</v>
      </c>
      <c r="K254" t="s">
        <v>1171</v>
      </c>
      <c r="L254" t="s">
        <v>1173</v>
      </c>
      <c r="M254" t="s">
        <v>1171</v>
      </c>
      <c r="N254" t="s">
        <v>1171</v>
      </c>
      <c r="O254" t="s">
        <v>1171</v>
      </c>
      <c r="P254" t="s">
        <v>1171</v>
      </c>
      <c r="Q254" t="s">
        <v>1171</v>
      </c>
      <c r="R254" t="str">
        <f>_xlfn.TEXTBEFORE(_xlfn.TEXTAFTER(us_core_reqs[[#This Row],[URL*]],"/",-1),".")</f>
        <v>medication-list</v>
      </c>
      <c r="S254" t="str">
        <f>_xlfn.TEXTAFTER(us_core_reqs[[#This Row],[URL*]],"#",-1)</f>
        <v>fetching-all-medications-active-medications-and-all-medications-for-an-encounter</v>
      </c>
      <c r="T254" t="str">
        <f>SUBSTITUTE(SUBSTITUTE(PROPER(SUBSTITUTE(us_core_reqs[[#This Row],[Page]], "-", " "))&amp;": "&amp;PROPER(SUBSTITUTE(us_core_reqs[[#This Row],[Section]], "-", " ")),"Us ","US "), "Uscdi", "USCDI")</f>
        <v>Medication List: Fetching All Medications Active Medications And All Medications For An Encounter</v>
      </c>
      <c r="U254" t="s">
        <v>29</v>
      </c>
      <c r="V254" t="s">
        <v>1171</v>
      </c>
      <c r="W254" t="s">
        <v>283</v>
      </c>
      <c r="X254" t="s">
        <v>1171</v>
      </c>
      <c r="Y254" t="s">
        <v>1171</v>
      </c>
      <c r="Z254" t="s">
        <v>1171</v>
      </c>
      <c r="AA254" t="s">
        <v>1171</v>
      </c>
      <c r="AB254" t="s">
        <v>718</v>
      </c>
      <c r="AC254" t="s">
        <v>1140</v>
      </c>
      <c r="AD254" t="s">
        <v>1171</v>
      </c>
    </row>
    <row r="255" spans="1:30" ht="170" x14ac:dyDescent="0.2">
      <c r="A255" t="s">
        <v>1171</v>
      </c>
      <c r="B255" t="s">
        <v>1427</v>
      </c>
      <c r="C255" t="str">
        <f>"CONF-"&amp;TEXT(us_core_reqs[[#This Row],[ID*]], "0000")</f>
        <v>CONF-0254</v>
      </c>
      <c r="D255" s="11" t="s">
        <v>629</v>
      </c>
      <c r="E255" t="str">
        <f>SUBSTITUTE(us_core_reqs[[#This Row],[URL*]], "https://hl7.org/fhir/us/core/STU8/","")</f>
        <v>medication-list.html#fetching-all-medications-active-medications-and-all-medications-for-an-encounter</v>
      </c>
      <c r="F255" s="11" t="s">
        <v>722</v>
      </c>
      <c r="G255" t="s">
        <v>29</v>
      </c>
      <c r="I255" t="s">
        <v>30</v>
      </c>
      <c r="J255" t="s">
        <v>1171</v>
      </c>
      <c r="K255" t="s">
        <v>1171</v>
      </c>
      <c r="L255" t="s">
        <v>1173</v>
      </c>
      <c r="M255" t="s">
        <v>1171</v>
      </c>
      <c r="N255" t="s">
        <v>1171</v>
      </c>
      <c r="O255" t="s">
        <v>1171</v>
      </c>
      <c r="P255" t="s">
        <v>1171</v>
      </c>
      <c r="Q255" t="s">
        <v>1171</v>
      </c>
      <c r="R255" t="str">
        <f>_xlfn.TEXTBEFORE(_xlfn.TEXTAFTER(us_core_reqs[[#This Row],[URL*]],"/",-1),".")</f>
        <v>medication-list</v>
      </c>
      <c r="S255" t="str">
        <f>_xlfn.TEXTAFTER(us_core_reqs[[#This Row],[URL*]],"#",-1)</f>
        <v>fetching-all-medications-active-medications-and-all-medications-for-an-encounter</v>
      </c>
      <c r="T255" t="str">
        <f>SUBSTITUTE(SUBSTITUTE(PROPER(SUBSTITUTE(us_core_reqs[[#This Row],[Page]], "-", " "))&amp;": "&amp;PROPER(SUBSTITUTE(us_core_reqs[[#This Row],[Section]], "-", " ")),"Us ","US "), "Uscdi", "USCDI")</f>
        <v>Medication List: Fetching All Medications Active Medications And All Medications For An Encounter</v>
      </c>
      <c r="U255" t="s">
        <v>29</v>
      </c>
      <c r="V255" t="s">
        <v>1171</v>
      </c>
      <c r="W255" t="s">
        <v>288</v>
      </c>
      <c r="X255" t="s">
        <v>1171</v>
      </c>
      <c r="Y255" t="s">
        <v>1171</v>
      </c>
      <c r="Z255" t="s">
        <v>1171</v>
      </c>
      <c r="AA255" t="s">
        <v>1171</v>
      </c>
      <c r="AB255" t="s">
        <v>719</v>
      </c>
      <c r="AC255" t="s">
        <v>1140</v>
      </c>
      <c r="AD255" t="s">
        <v>1171</v>
      </c>
    </row>
    <row r="256" spans="1:30" ht="170" x14ac:dyDescent="0.2">
      <c r="A256" t="s">
        <v>1171</v>
      </c>
      <c r="B256" t="s">
        <v>1428</v>
      </c>
      <c r="C256" t="str">
        <f>"CONF-"&amp;TEXT(us_core_reqs[[#This Row],[ID*]], "0000")</f>
        <v>CONF-0255</v>
      </c>
      <c r="D256" s="11" t="s">
        <v>629</v>
      </c>
      <c r="E256" t="str">
        <f>SUBSTITUTE(us_core_reqs[[#This Row],[URL*]], "https://hl7.org/fhir/us/core/STU8/","")</f>
        <v>medication-list.html#fetching-all-medications-active-medications-and-all-medications-for-an-encounter</v>
      </c>
      <c r="F256" s="11" t="s">
        <v>287</v>
      </c>
      <c r="G256" t="s">
        <v>64</v>
      </c>
      <c r="I256" t="s">
        <v>30</v>
      </c>
      <c r="J256" t="s">
        <v>1171</v>
      </c>
      <c r="K256" t="s">
        <v>1171</v>
      </c>
      <c r="L256" t="s">
        <v>1173</v>
      </c>
      <c r="M256" t="s">
        <v>1171</v>
      </c>
      <c r="N256" t="s">
        <v>1171</v>
      </c>
      <c r="O256" t="s">
        <v>1171</v>
      </c>
      <c r="P256" t="s">
        <v>1171</v>
      </c>
      <c r="Q256" t="s">
        <v>1171</v>
      </c>
      <c r="R256" t="str">
        <f>_xlfn.TEXTBEFORE(_xlfn.TEXTAFTER(us_core_reqs[[#This Row],[URL*]],"/",-1),".")</f>
        <v>medication-list</v>
      </c>
      <c r="S256" t="str">
        <f>_xlfn.TEXTAFTER(us_core_reqs[[#This Row],[URL*]],"#",-1)</f>
        <v>fetching-all-medications-active-medications-and-all-medications-for-an-encounter</v>
      </c>
      <c r="T256" t="str">
        <f>SUBSTITUTE(SUBSTITUTE(PROPER(SUBSTITUTE(us_core_reqs[[#This Row],[Page]], "-", " "))&amp;": "&amp;PROPER(SUBSTITUTE(us_core_reqs[[#This Row],[Section]], "-", " ")),"Us ","US "), "Uscdi", "USCDI")</f>
        <v>Medication List: Fetching All Medications Active Medications And All Medications For An Encounter</v>
      </c>
      <c r="U256" t="s">
        <v>29</v>
      </c>
      <c r="V256" t="s">
        <v>1171</v>
      </c>
      <c r="W256" t="s">
        <v>288</v>
      </c>
      <c r="X256" t="s">
        <v>1171</v>
      </c>
      <c r="Y256" t="s">
        <v>1171</v>
      </c>
      <c r="Z256" t="s">
        <v>1171</v>
      </c>
      <c r="AA256" t="s">
        <v>1171</v>
      </c>
      <c r="AB256" t="s">
        <v>723</v>
      </c>
      <c r="AC256" t="s">
        <v>1171</v>
      </c>
      <c r="AD256" t="s">
        <v>1171</v>
      </c>
    </row>
    <row r="257" spans="1:30" ht="170" x14ac:dyDescent="0.2">
      <c r="A257" t="s">
        <v>1171</v>
      </c>
      <c r="B257" t="s">
        <v>1429</v>
      </c>
      <c r="C257" t="str">
        <f>"CONF-"&amp;TEXT(us_core_reqs[[#This Row],[ID*]], "0000")</f>
        <v>CONF-0256</v>
      </c>
      <c r="D257" s="11" t="s">
        <v>629</v>
      </c>
      <c r="E257" t="str">
        <f>SUBSTITUTE(us_core_reqs[[#This Row],[URL*]], "https://hl7.org/fhir/us/core/STU8/","")</f>
        <v>medication-list.html#fetching-all-medications-active-medications-and-all-medications-for-an-encounter</v>
      </c>
      <c r="F257" s="11" t="s">
        <v>726</v>
      </c>
      <c r="G257" t="s">
        <v>29</v>
      </c>
      <c r="I257" t="s">
        <v>30</v>
      </c>
      <c r="J257" t="s">
        <v>1171</v>
      </c>
      <c r="K257" t="s">
        <v>1171</v>
      </c>
      <c r="L257" t="s">
        <v>1173</v>
      </c>
      <c r="M257" t="s">
        <v>1171</v>
      </c>
      <c r="N257" t="s">
        <v>1171</v>
      </c>
      <c r="O257" t="s">
        <v>1171</v>
      </c>
      <c r="P257" t="s">
        <v>1171</v>
      </c>
      <c r="Q257" t="s">
        <v>1171</v>
      </c>
      <c r="R257" t="str">
        <f>_xlfn.TEXTBEFORE(_xlfn.TEXTAFTER(us_core_reqs[[#This Row],[URL*]],"/",-1),".")</f>
        <v>medication-list</v>
      </c>
      <c r="S257" t="str">
        <f>_xlfn.TEXTAFTER(us_core_reqs[[#This Row],[URL*]],"#",-1)</f>
        <v>fetching-all-medications-active-medications-and-all-medications-for-an-encounter</v>
      </c>
      <c r="T257" t="str">
        <f>SUBSTITUTE(SUBSTITUTE(PROPER(SUBSTITUTE(us_core_reqs[[#This Row],[Page]], "-", " "))&amp;": "&amp;PROPER(SUBSTITUTE(us_core_reqs[[#This Row],[Section]], "-", " ")),"Us ","US "), "Uscdi", "USCDI")</f>
        <v>Medication List: Fetching All Medications Active Medications And All Medications For An Encounter</v>
      </c>
      <c r="U257" t="s">
        <v>29</v>
      </c>
      <c r="V257" t="s">
        <v>30</v>
      </c>
      <c r="W257" t="s">
        <v>289</v>
      </c>
      <c r="X257" t="s">
        <v>1171</v>
      </c>
      <c r="Y257" t="s">
        <v>1171</v>
      </c>
      <c r="Z257" t="s">
        <v>1171</v>
      </c>
      <c r="AA257" t="s">
        <v>1171</v>
      </c>
      <c r="AB257" t="s">
        <v>724</v>
      </c>
      <c r="AC257" t="s">
        <v>1140</v>
      </c>
      <c r="AD257" t="s">
        <v>1171</v>
      </c>
    </row>
    <row r="258" spans="1:30" ht="136" x14ac:dyDescent="0.2">
      <c r="A258" t="s">
        <v>1171</v>
      </c>
      <c r="B258" t="s">
        <v>1430</v>
      </c>
      <c r="C258" t="str">
        <f>"CONF-"&amp;TEXT(us_core_reqs[[#This Row],[ID*]], "0000")</f>
        <v>CONF-0257</v>
      </c>
      <c r="D258" s="11" t="s">
        <v>629</v>
      </c>
      <c r="E258" t="str">
        <f>SUBSTITUTE(us_core_reqs[[#This Row],[URL*]], "https://hl7.org/fhir/us/core/STU8/","")</f>
        <v>medication-list.html#fetching-all-medications-active-medications-and-all-medications-for-an-encounter</v>
      </c>
      <c r="F258" s="11" t="s">
        <v>725</v>
      </c>
      <c r="G258" t="s">
        <v>35</v>
      </c>
      <c r="H258" t="s">
        <v>1879</v>
      </c>
      <c r="I258" t="s">
        <v>30</v>
      </c>
      <c r="J258" t="s">
        <v>1171</v>
      </c>
      <c r="K258" t="s">
        <v>1171</v>
      </c>
      <c r="L258" t="s">
        <v>1173</v>
      </c>
      <c r="M258" t="s">
        <v>1171</v>
      </c>
      <c r="N258" t="s">
        <v>1171</v>
      </c>
      <c r="O258" t="s">
        <v>1171</v>
      </c>
      <c r="P258" t="s">
        <v>1171</v>
      </c>
      <c r="Q258" t="s">
        <v>1171</v>
      </c>
      <c r="R258" t="str">
        <f>_xlfn.TEXTBEFORE(_xlfn.TEXTAFTER(us_core_reqs[[#This Row],[URL*]],"/",-1),".")</f>
        <v>medication-list</v>
      </c>
      <c r="S258" t="str">
        <f>_xlfn.TEXTAFTER(us_core_reqs[[#This Row],[URL*]],"#",-1)</f>
        <v>fetching-all-medications-active-medications-and-all-medications-for-an-encounter</v>
      </c>
      <c r="T258" t="str">
        <f>SUBSTITUTE(SUBSTITUTE(PROPER(SUBSTITUTE(us_core_reqs[[#This Row],[Page]], "-", " "))&amp;": "&amp;PROPER(SUBSTITUTE(us_core_reqs[[#This Row],[Section]], "-", " ")),"Us ","US "), "Uscdi", "USCDI")</f>
        <v>Medication List: Fetching All Medications Active Medications And All Medications For An Encounter</v>
      </c>
      <c r="U258" t="s">
        <v>35</v>
      </c>
      <c r="V258" t="s">
        <v>30</v>
      </c>
      <c r="W258" t="s">
        <v>1171</v>
      </c>
      <c r="X258" t="s">
        <v>1171</v>
      </c>
      <c r="Y258" t="s">
        <v>1171</v>
      </c>
      <c r="Z258" t="s">
        <v>1171</v>
      </c>
      <c r="AA258" t="s">
        <v>1171</v>
      </c>
      <c r="AB258" t="s">
        <v>724</v>
      </c>
      <c r="AC258" t="s">
        <v>1171</v>
      </c>
      <c r="AD258" t="s">
        <v>1171</v>
      </c>
    </row>
    <row r="259" spans="1:30" ht="153" x14ac:dyDescent="0.2">
      <c r="A259" t="s">
        <v>1171</v>
      </c>
      <c r="B259" t="s">
        <v>1431</v>
      </c>
      <c r="C259" t="str">
        <f>"CONF-"&amp;TEXT(us_core_reqs[[#This Row],[ID*]], "0000")</f>
        <v>CONF-0258</v>
      </c>
      <c r="D259" s="11" t="s">
        <v>629</v>
      </c>
      <c r="E259" t="str">
        <f>SUBSTITUTE(us_core_reqs[[#This Row],[URL*]], "https://hl7.org/fhir/us/core/STU8/","")</f>
        <v>medication-list.html#fetching-all-medications-active-medications-and-all-medications-for-an-encounter</v>
      </c>
      <c r="F259" s="11" t="s">
        <v>727</v>
      </c>
      <c r="G259" t="s">
        <v>32</v>
      </c>
      <c r="I259" t="s">
        <v>30</v>
      </c>
      <c r="J259" t="s">
        <v>1171</v>
      </c>
      <c r="K259" t="s">
        <v>1171</v>
      </c>
      <c r="L259" t="s">
        <v>1173</v>
      </c>
      <c r="M259" t="s">
        <v>1171</v>
      </c>
      <c r="N259" t="s">
        <v>1171</v>
      </c>
      <c r="O259" t="s">
        <v>1171</v>
      </c>
      <c r="P259" t="s">
        <v>1171</v>
      </c>
      <c r="Q259" t="s">
        <v>1171</v>
      </c>
      <c r="R259" t="str">
        <f>_xlfn.TEXTBEFORE(_xlfn.TEXTAFTER(us_core_reqs[[#This Row],[URL*]],"/",-1),".")</f>
        <v>medication-list</v>
      </c>
      <c r="S259" t="str">
        <f>_xlfn.TEXTAFTER(us_core_reqs[[#This Row],[URL*]],"#",-1)</f>
        <v>fetching-all-medications-active-medications-and-all-medications-for-an-encounter</v>
      </c>
      <c r="T259" t="str">
        <f>SUBSTITUTE(SUBSTITUTE(PROPER(SUBSTITUTE(us_core_reqs[[#This Row],[Page]], "-", " "))&amp;": "&amp;PROPER(SUBSTITUTE(us_core_reqs[[#This Row],[Section]], "-", " ")),"Us ","US "), "Uscdi", "USCDI")</f>
        <v>Medication List: Fetching All Medications Active Medications And All Medications For An Encounter</v>
      </c>
      <c r="U259" t="s">
        <v>32</v>
      </c>
      <c r="V259" t="s">
        <v>30</v>
      </c>
      <c r="W259" t="s">
        <v>290</v>
      </c>
      <c r="X259" t="s">
        <v>1171</v>
      </c>
      <c r="Y259" t="s">
        <v>1171</v>
      </c>
      <c r="Z259" t="s">
        <v>1171</v>
      </c>
      <c r="AA259" t="s">
        <v>1171</v>
      </c>
      <c r="AB259" t="s">
        <v>724</v>
      </c>
      <c r="AC259" t="s">
        <v>1171</v>
      </c>
      <c r="AD259" t="s">
        <v>1171</v>
      </c>
    </row>
    <row r="260" spans="1:30" ht="119" x14ac:dyDescent="0.2">
      <c r="A260" t="s">
        <v>1171</v>
      </c>
      <c r="B260" t="s">
        <v>1432</v>
      </c>
      <c r="C260" t="str">
        <f>"CONF-"&amp;TEXT(us_core_reqs[[#This Row],[ID*]], "0000")</f>
        <v>CONF-0259</v>
      </c>
      <c r="D260" s="11" t="s">
        <v>629</v>
      </c>
      <c r="E260" t="str">
        <f>SUBSTITUTE(us_core_reqs[[#This Row],[URL*]], "https://hl7.org/fhir/us/core/STU8/","")</f>
        <v>medication-list.html#fetching-all-medications-active-medications-and-all-medications-for-an-encounter</v>
      </c>
      <c r="F260" s="11" t="s">
        <v>729</v>
      </c>
      <c r="G260" t="s">
        <v>32</v>
      </c>
      <c r="I260" t="s">
        <v>30</v>
      </c>
      <c r="J260" t="s">
        <v>1171</v>
      </c>
      <c r="K260" t="s">
        <v>1171</v>
      </c>
      <c r="L260" t="s">
        <v>1173</v>
      </c>
      <c r="M260" t="s">
        <v>1171</v>
      </c>
      <c r="N260" t="s">
        <v>1171</v>
      </c>
      <c r="O260" t="s">
        <v>1171</v>
      </c>
      <c r="P260" t="s">
        <v>1171</v>
      </c>
      <c r="Q260" t="s">
        <v>1171</v>
      </c>
      <c r="R260" t="str">
        <f>_xlfn.TEXTBEFORE(_xlfn.TEXTAFTER(us_core_reqs[[#This Row],[URL*]],"/",-1),".")</f>
        <v>medication-list</v>
      </c>
      <c r="S260" t="str">
        <f>_xlfn.TEXTAFTER(us_core_reqs[[#This Row],[URL*]],"#",-1)</f>
        <v>fetching-all-medications-active-medications-and-all-medications-for-an-encounter</v>
      </c>
      <c r="T260" t="str">
        <f>SUBSTITUTE(SUBSTITUTE(PROPER(SUBSTITUTE(us_core_reqs[[#This Row],[Page]], "-", " "))&amp;": "&amp;PROPER(SUBSTITUTE(us_core_reqs[[#This Row],[Section]], "-", " ")),"Us ","US "), "Uscdi", "USCDI")</f>
        <v>Medication List: Fetching All Medications Active Medications And All Medications For An Encounter</v>
      </c>
      <c r="U260" t="s">
        <v>32</v>
      </c>
      <c r="V260" t="s">
        <v>30</v>
      </c>
      <c r="W260" t="s">
        <v>290</v>
      </c>
      <c r="X260" t="s">
        <v>1171</v>
      </c>
      <c r="Y260" t="s">
        <v>1171</v>
      </c>
      <c r="Z260" t="s">
        <v>1171</v>
      </c>
      <c r="AA260" t="s">
        <v>1171</v>
      </c>
      <c r="AB260" t="s">
        <v>728</v>
      </c>
      <c r="AC260" t="s">
        <v>1171</v>
      </c>
      <c r="AD260" t="s">
        <v>1171</v>
      </c>
    </row>
    <row r="261" spans="1:30" ht="170" x14ac:dyDescent="0.2">
      <c r="A261" t="s">
        <v>1171</v>
      </c>
      <c r="B261" t="s">
        <v>1433</v>
      </c>
      <c r="C261" t="str">
        <f>"CONF-"&amp;TEXT(us_core_reqs[[#This Row],[ID*]], "0000")</f>
        <v>CONF-0260</v>
      </c>
      <c r="D261" s="11" t="s">
        <v>629</v>
      </c>
      <c r="E261" t="str">
        <f>SUBSTITUTE(us_core_reqs[[#This Row],[URL*]], "https://hl7.org/fhir/us/core/STU8/","")</f>
        <v>medication-list.html#fetching-all-medications-active-medications-and-all-medications-for-an-encounter</v>
      </c>
      <c r="F261" s="11" t="s">
        <v>730</v>
      </c>
      <c r="G261" t="s">
        <v>32</v>
      </c>
      <c r="I261" t="s">
        <v>30</v>
      </c>
      <c r="J261" t="s">
        <v>1171</v>
      </c>
      <c r="K261" t="s">
        <v>1171</v>
      </c>
      <c r="L261" t="s">
        <v>1176</v>
      </c>
      <c r="M261" t="s">
        <v>1171</v>
      </c>
      <c r="N261" t="s">
        <v>1171</v>
      </c>
      <c r="O261" t="s">
        <v>1171</v>
      </c>
      <c r="P261" t="s">
        <v>1171</v>
      </c>
      <c r="Q261" t="s">
        <v>1171</v>
      </c>
      <c r="R261" t="str">
        <f>_xlfn.TEXTBEFORE(_xlfn.TEXTAFTER(us_core_reqs[[#This Row],[URL*]],"/",-1),".")</f>
        <v>medication-list</v>
      </c>
      <c r="S261" t="str">
        <f>_xlfn.TEXTAFTER(us_core_reqs[[#This Row],[URL*]],"#",-1)</f>
        <v>fetching-all-medications-active-medications-and-all-medications-for-an-encounter</v>
      </c>
      <c r="T261" t="str">
        <f>SUBSTITUTE(SUBSTITUTE(PROPER(SUBSTITUTE(us_core_reqs[[#This Row],[Page]], "-", " "))&amp;": "&amp;PROPER(SUBSTITUTE(us_core_reqs[[#This Row],[Section]], "-", " ")),"Us ","US "), "Uscdi", "USCDI")</f>
        <v>Medication List: Fetching All Medications Active Medications And All Medications For An Encounter</v>
      </c>
      <c r="U261" t="s">
        <v>1171</v>
      </c>
      <c r="V261" t="s">
        <v>30</v>
      </c>
      <c r="W261" t="s">
        <v>290</v>
      </c>
      <c r="X261" t="s">
        <v>1171</v>
      </c>
      <c r="Y261" t="s">
        <v>1171</v>
      </c>
      <c r="Z261" t="s">
        <v>1171</v>
      </c>
      <c r="AA261" t="s">
        <v>1171</v>
      </c>
      <c r="AB261" t="s">
        <v>728</v>
      </c>
      <c r="AC261" t="s">
        <v>1140</v>
      </c>
      <c r="AD261" t="s">
        <v>1171</v>
      </c>
    </row>
    <row r="262" spans="1:30" ht="204" x14ac:dyDescent="0.2">
      <c r="A262" t="s">
        <v>1171</v>
      </c>
      <c r="B262" t="s">
        <v>1434</v>
      </c>
      <c r="C262" t="str">
        <f>"CONF-"&amp;TEXT(us_core_reqs[[#This Row],[ID*]], "0000")</f>
        <v>CONF-0261</v>
      </c>
      <c r="D262" s="11" t="s">
        <v>629</v>
      </c>
      <c r="E262" t="str">
        <f>SUBSTITUTE(us_core_reqs[[#This Row],[URL*]], "https://hl7.org/fhir/us/core/STU8/","")</f>
        <v>medication-list.html#fetching-all-medications-active-medications-and-all-medications-for-an-encounter</v>
      </c>
      <c r="F262" s="11" t="s">
        <v>291</v>
      </c>
      <c r="G262" t="s">
        <v>64</v>
      </c>
      <c r="I262" t="s">
        <v>30</v>
      </c>
      <c r="J262" t="s">
        <v>1171</v>
      </c>
      <c r="K262" t="s">
        <v>1171</v>
      </c>
      <c r="L262" t="s">
        <v>1173</v>
      </c>
      <c r="M262" t="s">
        <v>1171</v>
      </c>
      <c r="N262" t="s">
        <v>1171</v>
      </c>
      <c r="O262" t="s">
        <v>1171</v>
      </c>
      <c r="P262" t="s">
        <v>1171</v>
      </c>
      <c r="Q262" t="s">
        <v>1171</v>
      </c>
      <c r="R262" t="str">
        <f>_xlfn.TEXTBEFORE(_xlfn.TEXTAFTER(us_core_reqs[[#This Row],[URL*]],"/",-1),".")</f>
        <v>medication-list</v>
      </c>
      <c r="S262" t="str">
        <f>_xlfn.TEXTAFTER(us_core_reqs[[#This Row],[URL*]],"#",-1)</f>
        <v>fetching-all-medications-active-medications-and-all-medications-for-an-encounter</v>
      </c>
      <c r="T262" t="str">
        <f>SUBSTITUTE(SUBSTITUTE(PROPER(SUBSTITUTE(us_core_reqs[[#This Row],[Page]], "-", " "))&amp;": "&amp;PROPER(SUBSTITUTE(us_core_reqs[[#This Row],[Section]], "-", " ")),"Us ","US "), "Uscdi", "USCDI")</f>
        <v>Medication List: Fetching All Medications Active Medications And All Medications For An Encounter</v>
      </c>
      <c r="U262" t="s">
        <v>1171</v>
      </c>
      <c r="V262" t="s">
        <v>30</v>
      </c>
      <c r="W262" t="s">
        <v>292</v>
      </c>
      <c r="X262" t="s">
        <v>1171</v>
      </c>
      <c r="Y262" t="s">
        <v>1171</v>
      </c>
      <c r="Z262" t="s">
        <v>1171</v>
      </c>
      <c r="AA262" t="s">
        <v>1171</v>
      </c>
      <c r="AB262" t="s">
        <v>731</v>
      </c>
      <c r="AC262" t="s">
        <v>1171</v>
      </c>
      <c r="AD262" t="s">
        <v>1171</v>
      </c>
    </row>
    <row r="263" spans="1:30" ht="170" x14ac:dyDescent="0.2">
      <c r="A263" t="s">
        <v>1171</v>
      </c>
      <c r="B263" t="s">
        <v>1435</v>
      </c>
      <c r="C263" t="str">
        <f>"CONF-"&amp;TEXT(us_core_reqs[[#This Row],[ID*]], "0000")</f>
        <v>CONF-0262</v>
      </c>
      <c r="D263" s="11" t="s">
        <v>629</v>
      </c>
      <c r="E263" t="str">
        <f>SUBSTITUTE(us_core_reqs[[#This Row],[URL*]], "https://hl7.org/fhir/us/core/STU8/","")</f>
        <v>medication-list.html#fetching-all-medications-active-medications-and-all-medications-for-an-encounter</v>
      </c>
      <c r="F263" s="11" t="s">
        <v>732</v>
      </c>
      <c r="G263" t="s">
        <v>35</v>
      </c>
      <c r="I263" t="s">
        <v>30</v>
      </c>
      <c r="J263" t="s">
        <v>1171</v>
      </c>
      <c r="K263" t="s">
        <v>1171</v>
      </c>
      <c r="L263" t="s">
        <v>1173</v>
      </c>
      <c r="M263" t="s">
        <v>1171</v>
      </c>
      <c r="N263" t="s">
        <v>1171</v>
      </c>
      <c r="O263" t="s">
        <v>1171</v>
      </c>
      <c r="P263" t="s">
        <v>1171</v>
      </c>
      <c r="Q263" t="s">
        <v>1171</v>
      </c>
      <c r="R263" t="str">
        <f>_xlfn.TEXTBEFORE(_xlfn.TEXTAFTER(us_core_reqs[[#This Row],[URL*]],"/",-1),".")</f>
        <v>medication-list</v>
      </c>
      <c r="S263" t="str">
        <f>_xlfn.TEXTAFTER(us_core_reqs[[#This Row],[URL*]],"#",-1)</f>
        <v>fetching-all-medications-active-medications-and-all-medications-for-an-encounter</v>
      </c>
      <c r="T263" t="str">
        <f>SUBSTITUTE(SUBSTITUTE(PROPER(SUBSTITUTE(us_core_reqs[[#This Row],[Page]], "-", " "))&amp;": "&amp;PROPER(SUBSTITUTE(us_core_reqs[[#This Row],[Section]], "-", " ")),"Us ","US "), "Uscdi", "USCDI")</f>
        <v>Medication List: Fetching All Medications Active Medications And All Medications For An Encounter</v>
      </c>
      <c r="U263" t="s">
        <v>35</v>
      </c>
      <c r="V263" t="s">
        <v>30</v>
      </c>
      <c r="W263" t="s">
        <v>292</v>
      </c>
      <c r="X263" t="s">
        <v>1171</v>
      </c>
      <c r="Y263" t="s">
        <v>1171</v>
      </c>
      <c r="Z263" t="s">
        <v>1171</v>
      </c>
      <c r="AA263" t="s">
        <v>1171</v>
      </c>
      <c r="AB263" t="s">
        <v>733</v>
      </c>
      <c r="AC263" t="s">
        <v>1171</v>
      </c>
      <c r="AD263" t="s">
        <v>1171</v>
      </c>
    </row>
    <row r="264" spans="1:30" ht="51" x14ac:dyDescent="0.2">
      <c r="A264" t="s">
        <v>1171</v>
      </c>
      <c r="B264" t="s">
        <v>1436</v>
      </c>
      <c r="C264" t="str">
        <f>"CONF-"&amp;TEXT(us_core_reqs[[#This Row],[ID*]], "0000")</f>
        <v>CONF-0263</v>
      </c>
      <c r="D264" s="11" t="s">
        <v>845</v>
      </c>
      <c r="E264" t="str">
        <f>SUBSTITUTE(us_core_reqs[[#This Row],[URL*]], "https://hl7.org/fhir/us/core/STU8/","")</f>
        <v>medication-list.html#de-duplication-of-data</v>
      </c>
      <c r="F264" s="11" t="s">
        <v>2034</v>
      </c>
      <c r="G264" t="s">
        <v>35</v>
      </c>
      <c r="I264" t="s">
        <v>30</v>
      </c>
      <c r="J264" t="s">
        <v>1171</v>
      </c>
      <c r="K264" t="s">
        <v>1171</v>
      </c>
      <c r="L264" t="s">
        <v>1173</v>
      </c>
      <c r="M264" t="s">
        <v>1171</v>
      </c>
      <c r="N264" t="s">
        <v>1171</v>
      </c>
      <c r="O264" t="s">
        <v>1171</v>
      </c>
      <c r="P264" t="s">
        <v>1171</v>
      </c>
      <c r="Q264" t="s">
        <v>1171</v>
      </c>
      <c r="R264" t="str">
        <f>_xlfn.TEXTBEFORE(_xlfn.TEXTAFTER(us_core_reqs[[#This Row],[URL*]],"/",-1),".")</f>
        <v>medication-list</v>
      </c>
      <c r="S264" t="str">
        <f>_xlfn.TEXTAFTER(us_core_reqs[[#This Row],[URL*]],"#",-1)</f>
        <v>de-duplication-of-data</v>
      </c>
      <c r="T264" t="str">
        <f>SUBSTITUTE(SUBSTITUTE(PROPER(SUBSTITUTE(us_core_reqs[[#This Row],[Page]], "-", " "))&amp;": "&amp;PROPER(SUBSTITUTE(us_core_reqs[[#This Row],[Section]], "-", " ")),"Us ","US "), "Uscdi", "USCDI")</f>
        <v>Medication List: De Duplication Of Data</v>
      </c>
      <c r="U264" t="s">
        <v>35</v>
      </c>
      <c r="V264" t="s">
        <v>30</v>
      </c>
      <c r="W264" t="s">
        <v>293</v>
      </c>
      <c r="X264" t="s">
        <v>1171</v>
      </c>
      <c r="Y264" t="s">
        <v>1171</v>
      </c>
      <c r="Z264" t="s">
        <v>1171</v>
      </c>
      <c r="AA264" t="s">
        <v>1171</v>
      </c>
      <c r="AB264" t="s">
        <v>1171</v>
      </c>
      <c r="AC264" t="s">
        <v>1171</v>
      </c>
      <c r="AD264" t="s">
        <v>1171</v>
      </c>
    </row>
    <row r="265" spans="1:30" ht="51" x14ac:dyDescent="0.2">
      <c r="A265" t="s">
        <v>1171</v>
      </c>
      <c r="B265" t="s">
        <v>1437</v>
      </c>
      <c r="C265" t="str">
        <f>"CONF-"&amp;TEXT(us_core_reqs[[#This Row],[ID*]], "0000")</f>
        <v>CONF-0264</v>
      </c>
      <c r="D265" s="11" t="s">
        <v>845</v>
      </c>
      <c r="E265" t="str">
        <f>SUBSTITUTE(us_core_reqs[[#This Row],[URL*]], "https://hl7.org/fhir/us/core/STU8/","")</f>
        <v>medication-list.html#de-duplication-of-data</v>
      </c>
      <c r="F265" s="11" t="s">
        <v>1939</v>
      </c>
      <c r="G265" t="s">
        <v>32</v>
      </c>
      <c r="I265" t="s">
        <v>58</v>
      </c>
      <c r="J265" t="s">
        <v>1171</v>
      </c>
      <c r="K265" t="s">
        <v>1171</v>
      </c>
      <c r="L265" t="s">
        <v>1173</v>
      </c>
      <c r="M265" t="s">
        <v>1171</v>
      </c>
      <c r="N265" t="s">
        <v>1171</v>
      </c>
      <c r="O265" t="s">
        <v>1171</v>
      </c>
      <c r="P265" t="s">
        <v>1171</v>
      </c>
      <c r="Q265" t="s">
        <v>1171</v>
      </c>
      <c r="R265" t="str">
        <f>_xlfn.TEXTBEFORE(_xlfn.TEXTAFTER(us_core_reqs[[#This Row],[URL*]],"/",-1),".")</f>
        <v>medication-list</v>
      </c>
      <c r="S265" t="str">
        <f>_xlfn.TEXTAFTER(us_core_reqs[[#This Row],[URL*]],"#",-1)</f>
        <v>de-duplication-of-data</v>
      </c>
      <c r="T265" t="str">
        <f>SUBSTITUTE(SUBSTITUTE(PROPER(SUBSTITUTE(us_core_reqs[[#This Row],[Page]], "-", " "))&amp;": "&amp;PROPER(SUBSTITUTE(us_core_reqs[[#This Row],[Section]], "-", " ")),"Us ","US "), "Uscdi", "USCDI")</f>
        <v>Medication List: De Duplication Of Data</v>
      </c>
      <c r="U265" t="s">
        <v>35</v>
      </c>
      <c r="V265" t="s">
        <v>58</v>
      </c>
      <c r="W265" t="s">
        <v>293</v>
      </c>
      <c r="X265" t="s">
        <v>1171</v>
      </c>
      <c r="Y265" t="s">
        <v>1171</v>
      </c>
      <c r="Z265" t="s">
        <v>1171</v>
      </c>
      <c r="AA265" t="s">
        <v>1171</v>
      </c>
      <c r="AB265" t="s">
        <v>1171</v>
      </c>
      <c r="AC265" t="s">
        <v>1171</v>
      </c>
      <c r="AD265" t="s">
        <v>1171</v>
      </c>
    </row>
    <row r="266" spans="1:30" ht="51" x14ac:dyDescent="0.2">
      <c r="A266" t="s">
        <v>1171</v>
      </c>
      <c r="B266" t="s">
        <v>1438</v>
      </c>
      <c r="C266" t="str">
        <f>"CONF-"&amp;TEXT(us_core_reqs[[#This Row],[ID*]], "0000")</f>
        <v>CONF-0265</v>
      </c>
      <c r="D266" s="11" t="s">
        <v>846</v>
      </c>
      <c r="E266" t="str">
        <f>SUBSTITUTE(us_core_reqs[[#This Row],[URL*]], "https://hl7.org/fhir/us/core/STU8/","")</f>
        <v>basic-provenance.html#hie-transformation</v>
      </c>
      <c r="F266" s="11" t="s">
        <v>2209</v>
      </c>
      <c r="G266" t="s">
        <v>64</v>
      </c>
      <c r="H266" t="s">
        <v>1869</v>
      </c>
      <c r="I266" t="s">
        <v>30</v>
      </c>
      <c r="J266" t="s">
        <v>1171</v>
      </c>
      <c r="K266" t="s">
        <v>1171</v>
      </c>
      <c r="L266" t="s">
        <v>1173</v>
      </c>
      <c r="M266" t="s">
        <v>1171</v>
      </c>
      <c r="N266" t="s">
        <v>1171</v>
      </c>
      <c r="O266" t="s">
        <v>1171</v>
      </c>
      <c r="P266" t="s">
        <v>1171</v>
      </c>
      <c r="Q266" t="s">
        <v>1171</v>
      </c>
      <c r="R266" t="str">
        <f>_xlfn.TEXTBEFORE(_xlfn.TEXTAFTER(us_core_reqs[[#This Row],[URL*]],"/",-1),".")</f>
        <v>basic-provenance</v>
      </c>
      <c r="S266" t="str">
        <f>_xlfn.TEXTAFTER(us_core_reqs[[#This Row],[URL*]],"#",-1)</f>
        <v>hie-transformation</v>
      </c>
      <c r="T266" t="str">
        <f>SUBSTITUTE(SUBSTITUTE(PROPER(SUBSTITUTE(us_core_reqs[[#This Row],[Page]], "-", " "))&amp;": "&amp;PROPER(SUBSTITUTE(us_core_reqs[[#This Row],[Section]], "-", " ")),"Us ","US "), "Uscdi", "USCDI")</f>
        <v>Basic Provenance: Hie Transformation</v>
      </c>
      <c r="U266" t="s">
        <v>35</v>
      </c>
      <c r="V266" t="s">
        <v>1171</v>
      </c>
      <c r="W266" t="s">
        <v>293</v>
      </c>
      <c r="X266" t="s">
        <v>1171</v>
      </c>
      <c r="Y266" t="s">
        <v>1171</v>
      </c>
      <c r="Z266" t="s">
        <v>1171</v>
      </c>
      <c r="AA266" t="s">
        <v>1171</v>
      </c>
      <c r="AB266" t="s">
        <v>295</v>
      </c>
      <c r="AC266" t="s">
        <v>1171</v>
      </c>
      <c r="AD266" t="s">
        <v>1171</v>
      </c>
    </row>
    <row r="267" spans="1:30" ht="34" x14ac:dyDescent="0.2">
      <c r="A267" t="s">
        <v>1171</v>
      </c>
      <c r="B267" t="s">
        <v>1439</v>
      </c>
      <c r="C267" t="str">
        <f>"CONF-"&amp;TEXT(us_core_reqs[[#This Row],[ID*]], "0000")</f>
        <v>CONF-0266</v>
      </c>
      <c r="D267" s="11" t="s">
        <v>846</v>
      </c>
      <c r="E267" t="str">
        <f>SUBSTITUTE(us_core_reqs[[#This Row],[URL*]], "https://hl7.org/fhir/us/core/STU8/","")</f>
        <v>basic-provenance.html#hie-transformation</v>
      </c>
      <c r="F267" s="11" t="s">
        <v>296</v>
      </c>
      <c r="G267" t="s">
        <v>64</v>
      </c>
      <c r="H267" t="s">
        <v>1895</v>
      </c>
      <c r="I267" t="s">
        <v>30</v>
      </c>
      <c r="J267" t="s">
        <v>1171</v>
      </c>
      <c r="K267" t="s">
        <v>1171</v>
      </c>
      <c r="L267" t="s">
        <v>1173</v>
      </c>
      <c r="M267" t="s">
        <v>1171</v>
      </c>
      <c r="N267" t="s">
        <v>1171</v>
      </c>
      <c r="O267" t="s">
        <v>1171</v>
      </c>
      <c r="P267" t="s">
        <v>1171</v>
      </c>
      <c r="Q267" t="s">
        <v>1171</v>
      </c>
      <c r="R267" t="str">
        <f>_xlfn.TEXTBEFORE(_xlfn.TEXTAFTER(us_core_reqs[[#This Row],[URL*]],"/",-1),".")</f>
        <v>basic-provenance</v>
      </c>
      <c r="S267" t="str">
        <f>_xlfn.TEXTAFTER(us_core_reqs[[#This Row],[URL*]],"#",-1)</f>
        <v>hie-transformation</v>
      </c>
      <c r="T267" t="str">
        <f>SUBSTITUTE(SUBSTITUTE(PROPER(SUBSTITUTE(us_core_reqs[[#This Row],[Page]], "-", " "))&amp;": "&amp;PROPER(SUBSTITUTE(us_core_reqs[[#This Row],[Section]], "-", " ")),"Us ","US "), "Uscdi", "USCDI")</f>
        <v>Basic Provenance: Hie Transformation</v>
      </c>
      <c r="U267" t="s">
        <v>1171</v>
      </c>
      <c r="V267" t="s">
        <v>1171</v>
      </c>
      <c r="W267" t="s">
        <v>297</v>
      </c>
      <c r="X267" t="s">
        <v>1171</v>
      </c>
      <c r="Y267" t="s">
        <v>1171</v>
      </c>
      <c r="Z267" t="s">
        <v>1171</v>
      </c>
      <c r="AA267" t="s">
        <v>1171</v>
      </c>
      <c r="AB267" t="s">
        <v>1171</v>
      </c>
      <c r="AC267" t="s">
        <v>1141</v>
      </c>
      <c r="AD267" t="s">
        <v>1171</v>
      </c>
    </row>
    <row r="268" spans="1:30" ht="85" x14ac:dyDescent="0.2">
      <c r="A268" t="s">
        <v>1171</v>
      </c>
      <c r="B268" t="s">
        <v>1440</v>
      </c>
      <c r="C268" t="str">
        <f>"CONF-"&amp;TEXT(us_core_reqs[[#This Row],[ID*]], "0000")</f>
        <v>CONF-0267</v>
      </c>
      <c r="D268" s="11" t="s">
        <v>846</v>
      </c>
      <c r="E268" t="str">
        <f>SUBSTITUTE(us_core_reqs[[#This Row],[URL*]], "https://hl7.org/fhir/us/core/STU8/","")</f>
        <v>basic-provenance.html#hie-transformation</v>
      </c>
      <c r="F268" s="11" t="s">
        <v>1888</v>
      </c>
      <c r="G268" t="s">
        <v>35</v>
      </c>
      <c r="I268" t="s">
        <v>30</v>
      </c>
      <c r="J268" t="s">
        <v>1171</v>
      </c>
      <c r="K268" t="s">
        <v>1171</v>
      </c>
      <c r="L268" t="s">
        <v>1173</v>
      </c>
      <c r="M268" t="s">
        <v>1171</v>
      </c>
      <c r="N268" t="s">
        <v>1171</v>
      </c>
      <c r="O268" t="s">
        <v>1171</v>
      </c>
      <c r="P268" t="s">
        <v>1171</v>
      </c>
      <c r="Q268" t="s">
        <v>1171</v>
      </c>
      <c r="R268" t="str">
        <f>_xlfn.TEXTBEFORE(_xlfn.TEXTAFTER(us_core_reqs[[#This Row],[URL*]],"/",-1),".")</f>
        <v>basic-provenance</v>
      </c>
      <c r="S268" t="str">
        <f>_xlfn.TEXTAFTER(us_core_reqs[[#This Row],[URL*]],"#",-1)</f>
        <v>hie-transformation</v>
      </c>
      <c r="T268" t="str">
        <f>SUBSTITUTE(SUBSTITUTE(PROPER(SUBSTITUTE(us_core_reqs[[#This Row],[Page]], "-", " "))&amp;": "&amp;PROPER(SUBSTITUTE(us_core_reqs[[#This Row],[Section]], "-", " ")),"Us ","US "), "Uscdi", "USCDI")</f>
        <v>Basic Provenance: Hie Transformation</v>
      </c>
      <c r="U268" t="s">
        <v>35</v>
      </c>
      <c r="V268" t="s">
        <v>1171</v>
      </c>
      <c r="W268" t="s">
        <v>298</v>
      </c>
      <c r="X268" t="s">
        <v>1171</v>
      </c>
      <c r="Y268" t="s">
        <v>1171</v>
      </c>
      <c r="Z268" t="s">
        <v>1171</v>
      </c>
      <c r="AA268" t="s">
        <v>1171</v>
      </c>
      <c r="AB268" t="s">
        <v>1171</v>
      </c>
      <c r="AC268" t="s">
        <v>1171</v>
      </c>
      <c r="AD268" t="s">
        <v>1171</v>
      </c>
    </row>
    <row r="269" spans="1:30" ht="68" x14ac:dyDescent="0.2">
      <c r="A269" t="s">
        <v>1171</v>
      </c>
      <c r="B269" t="s">
        <v>1441</v>
      </c>
      <c r="C269" t="str">
        <f>"CONF-"&amp;TEXT(us_core_reqs[[#This Row],[ID*]], "0000")</f>
        <v>CONF-0268</v>
      </c>
      <c r="D269" s="11" t="s">
        <v>848</v>
      </c>
      <c r="E269" t="str">
        <f>SUBSTITUTE(us_core_reqs[[#This Row],[URL*]], "https://hl7.org/fhir/us/core/STU8/","")</f>
        <v>screening-and-assessments.html#introduction</v>
      </c>
      <c r="F269" s="11" t="s">
        <v>1891</v>
      </c>
      <c r="G269" t="s">
        <v>32</v>
      </c>
      <c r="I269" t="s">
        <v>30</v>
      </c>
      <c r="J269" t="s">
        <v>1171</v>
      </c>
      <c r="K269" t="s">
        <v>1171</v>
      </c>
      <c r="L269" t="s">
        <v>1173</v>
      </c>
      <c r="M269" t="s">
        <v>1171</v>
      </c>
      <c r="N269" t="s">
        <v>1171</v>
      </c>
      <c r="O269" t="s">
        <v>1171</v>
      </c>
      <c r="P269" t="s">
        <v>1171</v>
      </c>
      <c r="Q269" t="s">
        <v>1171</v>
      </c>
      <c r="R269" t="str">
        <f>_xlfn.TEXTBEFORE(_xlfn.TEXTAFTER(us_core_reqs[[#This Row],[URL*]],"/",-1),".")</f>
        <v>screening-and-assessments</v>
      </c>
      <c r="S269" t="str">
        <f>_xlfn.TEXTAFTER(us_core_reqs[[#This Row],[URL*]],"#",-1)</f>
        <v>introduction</v>
      </c>
      <c r="T269" t="str">
        <f>SUBSTITUTE(SUBSTITUTE(PROPER(SUBSTITUTE(us_core_reqs[[#This Row],[Page]], "-", " "))&amp;": "&amp;PROPER(SUBSTITUTE(us_core_reqs[[#This Row],[Section]], "-", " ")),"Us ","US "), "Uscdi", "USCDI")</f>
        <v>Screening And Assessments: Introduction</v>
      </c>
      <c r="U269" t="s">
        <v>32</v>
      </c>
      <c r="V269" t="s">
        <v>1171</v>
      </c>
      <c r="W269" t="s">
        <v>298</v>
      </c>
      <c r="X269" t="s">
        <v>1171</v>
      </c>
      <c r="Y269" t="s">
        <v>1171</v>
      </c>
      <c r="Z269" t="s">
        <v>1171</v>
      </c>
      <c r="AA269" t="s">
        <v>1171</v>
      </c>
      <c r="AB269" t="s">
        <v>1171</v>
      </c>
      <c r="AC269" t="s">
        <v>1171</v>
      </c>
      <c r="AD269" t="s">
        <v>1171</v>
      </c>
    </row>
    <row r="270" spans="1:30" ht="259" customHeight="1" x14ac:dyDescent="0.2">
      <c r="A270" t="s">
        <v>1171</v>
      </c>
      <c r="B270" t="s">
        <v>1442</v>
      </c>
      <c r="C270" t="str">
        <f>"CONF-"&amp;TEXT(us_core_reqs[[#This Row],[ID*]], "0000")</f>
        <v>CONF-0269</v>
      </c>
      <c r="D270" s="11" t="s">
        <v>630</v>
      </c>
      <c r="E270" t="str">
        <f>SUBSTITUTE(us_core_reqs[[#This Row],[URL*]], "https://hl7.org/fhir/us/core/STU8/","")</f>
        <v>screening-and-assessments.html#clinical-judgments</v>
      </c>
      <c r="F270" s="11" t="s">
        <v>1892</v>
      </c>
      <c r="G270" t="s">
        <v>29</v>
      </c>
      <c r="I270" t="s">
        <v>30</v>
      </c>
      <c r="J270" t="s">
        <v>1171</v>
      </c>
      <c r="K270" t="s">
        <v>1171</v>
      </c>
      <c r="L270" t="s">
        <v>1173</v>
      </c>
      <c r="M270" t="s">
        <v>1171</v>
      </c>
      <c r="N270" t="s">
        <v>1171</v>
      </c>
      <c r="O270" t="s">
        <v>1171</v>
      </c>
      <c r="P270" t="s">
        <v>1171</v>
      </c>
      <c r="Q270" t="s">
        <v>1171</v>
      </c>
      <c r="R270" t="str">
        <f>_xlfn.TEXTBEFORE(_xlfn.TEXTAFTER(us_core_reqs[[#This Row],[URL*]],"/",-1),".")</f>
        <v>screening-and-assessments</v>
      </c>
      <c r="S270" t="str">
        <f>_xlfn.TEXTAFTER(us_core_reqs[[#This Row],[URL*]],"#",-1)</f>
        <v>clinical-judgments</v>
      </c>
      <c r="T270" t="str">
        <f>SUBSTITUTE(SUBSTITUTE(PROPER(SUBSTITUTE(us_core_reqs[[#This Row],[Page]], "-", " "))&amp;": "&amp;PROPER(SUBSTITUTE(us_core_reqs[[#This Row],[Section]], "-", " ")),"Us ","US "), "Uscdi", "USCDI")</f>
        <v>Screening And Assessments: Clinical Judgments</v>
      </c>
      <c r="U270" t="s">
        <v>29</v>
      </c>
      <c r="V270" t="s">
        <v>30</v>
      </c>
      <c r="W270" t="s">
        <v>298</v>
      </c>
      <c r="X270" t="s">
        <v>1171</v>
      </c>
      <c r="Y270" t="s">
        <v>1171</v>
      </c>
      <c r="Z270" t="s">
        <v>1171</v>
      </c>
      <c r="AA270" t="s">
        <v>1171</v>
      </c>
      <c r="AB270" t="s">
        <v>1171</v>
      </c>
      <c r="AC270" t="s">
        <v>1140</v>
      </c>
      <c r="AD270" t="s">
        <v>1171</v>
      </c>
    </row>
    <row r="271" spans="1:30" ht="136" x14ac:dyDescent="0.2">
      <c r="A271" t="s">
        <v>1171</v>
      </c>
      <c r="B271" t="s">
        <v>1443</v>
      </c>
      <c r="C271" t="str">
        <f>"CONF-"&amp;TEXT(us_core_reqs[[#This Row],[ID*]], "0000")</f>
        <v>CONF-0270</v>
      </c>
      <c r="D271" s="11" t="s">
        <v>630</v>
      </c>
      <c r="E271" t="str">
        <f>SUBSTITUTE(us_core_reqs[[#This Row],[URL*]], "https://hl7.org/fhir/us/core/STU8/","")</f>
        <v>screening-and-assessments.html#clinical-judgments</v>
      </c>
      <c r="F271" s="11" t="s">
        <v>1033</v>
      </c>
      <c r="G271" t="s">
        <v>32</v>
      </c>
      <c r="I271" t="s">
        <v>30</v>
      </c>
      <c r="J271" t="s">
        <v>1171</v>
      </c>
      <c r="K271" t="s">
        <v>1171</v>
      </c>
      <c r="L271" t="s">
        <v>1173</v>
      </c>
      <c r="M271" t="s">
        <v>1171</v>
      </c>
      <c r="N271" t="s">
        <v>1171</v>
      </c>
      <c r="O271" t="s">
        <v>1171</v>
      </c>
      <c r="P271" t="s">
        <v>1171</v>
      </c>
      <c r="Q271" t="s">
        <v>1171</v>
      </c>
      <c r="R271" t="str">
        <f>_xlfn.TEXTBEFORE(_xlfn.TEXTAFTER(us_core_reqs[[#This Row],[URL*]],"/",-1),".")</f>
        <v>screening-and-assessments</v>
      </c>
      <c r="S271" t="str">
        <f>_xlfn.TEXTAFTER(us_core_reqs[[#This Row],[URL*]],"#",-1)</f>
        <v>clinical-judgments</v>
      </c>
      <c r="T271" t="str">
        <f>SUBSTITUTE(SUBSTITUTE(PROPER(SUBSTITUTE(us_core_reqs[[#This Row],[Page]], "-", " "))&amp;": "&amp;PROPER(SUBSTITUTE(us_core_reqs[[#This Row],[Section]], "-", " ")),"Us ","US "), "Uscdi", "USCDI")</f>
        <v>Screening And Assessments: Clinical Judgments</v>
      </c>
      <c r="U271" t="s">
        <v>32</v>
      </c>
      <c r="V271" t="s">
        <v>30</v>
      </c>
      <c r="W271" t="s">
        <v>298</v>
      </c>
      <c r="X271" t="s">
        <v>1171</v>
      </c>
      <c r="Y271" t="s">
        <v>1171</v>
      </c>
      <c r="Z271" t="s">
        <v>1171</v>
      </c>
      <c r="AA271" t="s">
        <v>1171</v>
      </c>
      <c r="AB271" t="s">
        <v>734</v>
      </c>
      <c r="AC271" t="s">
        <v>1171</v>
      </c>
      <c r="AD271" t="s">
        <v>1171</v>
      </c>
    </row>
    <row r="272" spans="1:30" ht="136" x14ac:dyDescent="0.2">
      <c r="A272" t="s">
        <v>1171</v>
      </c>
      <c r="B272" t="s">
        <v>1444</v>
      </c>
      <c r="C272" t="str">
        <f>"CONF-"&amp;TEXT(us_core_reqs[[#This Row],[ID*]], "0000")</f>
        <v>CONF-0271</v>
      </c>
      <c r="D272" s="11" t="s">
        <v>630</v>
      </c>
      <c r="E272" t="str">
        <f>SUBSTITUTE(us_core_reqs[[#This Row],[URL*]], "https://hl7.org/fhir/us/core/STU8/","")</f>
        <v>screening-and-assessments.html#clinical-judgments</v>
      </c>
      <c r="F272" s="11" t="s">
        <v>1034</v>
      </c>
      <c r="G272" t="s">
        <v>32</v>
      </c>
      <c r="I272" t="s">
        <v>30</v>
      </c>
      <c r="J272" t="s">
        <v>1171</v>
      </c>
      <c r="K272" t="s">
        <v>1171</v>
      </c>
      <c r="L272" t="s">
        <v>1173</v>
      </c>
      <c r="M272" t="s">
        <v>1171</v>
      </c>
      <c r="N272" t="s">
        <v>1171</v>
      </c>
      <c r="O272" t="s">
        <v>1171</v>
      </c>
      <c r="P272" t="s">
        <v>1171</v>
      </c>
      <c r="Q272" t="s">
        <v>1171</v>
      </c>
      <c r="R272" t="str">
        <f>_xlfn.TEXTBEFORE(_xlfn.TEXTAFTER(us_core_reqs[[#This Row],[URL*]],"/",-1),".")</f>
        <v>screening-and-assessments</v>
      </c>
      <c r="S272" t="str">
        <f>_xlfn.TEXTAFTER(us_core_reqs[[#This Row],[URL*]],"#",-1)</f>
        <v>clinical-judgments</v>
      </c>
      <c r="T272" t="str">
        <f>SUBSTITUTE(SUBSTITUTE(PROPER(SUBSTITUTE(us_core_reqs[[#This Row],[Page]], "-", " "))&amp;": "&amp;PROPER(SUBSTITUTE(us_core_reqs[[#This Row],[Section]], "-", " ")),"Us ","US "), "Uscdi", "USCDI")</f>
        <v>Screening And Assessments: Clinical Judgments</v>
      </c>
      <c r="U272" t="s">
        <v>32</v>
      </c>
      <c r="V272" t="s">
        <v>30</v>
      </c>
      <c r="W272" t="s">
        <v>298</v>
      </c>
      <c r="X272" t="s">
        <v>1171</v>
      </c>
      <c r="Y272" t="s">
        <v>1171</v>
      </c>
      <c r="Z272" t="s">
        <v>1171</v>
      </c>
      <c r="AA272" t="s">
        <v>1171</v>
      </c>
      <c r="AB272" t="s">
        <v>734</v>
      </c>
      <c r="AC272" t="s">
        <v>1171</v>
      </c>
      <c r="AD272" t="s">
        <v>1171</v>
      </c>
    </row>
    <row r="273" spans="1:30" ht="196" customHeight="1" x14ac:dyDescent="0.2">
      <c r="A273" t="s">
        <v>1171</v>
      </c>
      <c r="B273" t="s">
        <v>1445</v>
      </c>
      <c r="C273" t="str">
        <f>"CONF-"&amp;TEXT(us_core_reqs[[#This Row],[ID*]], "0000")</f>
        <v>CONF-0272</v>
      </c>
      <c r="D273" s="11" t="s">
        <v>849</v>
      </c>
      <c r="E273" t="str">
        <f>SUBSTITUTE(us_core_reqs[[#This Row],[URL*]], "https://hl7.org/fhir/us/core/STU8/","")</f>
        <v>screening-and-assessments.html#choosing-between-questionnaireresponse-and-observation</v>
      </c>
      <c r="F273" s="11" t="s">
        <v>300</v>
      </c>
      <c r="G273" t="s">
        <v>32</v>
      </c>
      <c r="H273" t="s">
        <v>1893</v>
      </c>
      <c r="I273" t="s">
        <v>30</v>
      </c>
      <c r="J273" t="s">
        <v>1171</v>
      </c>
      <c r="K273" t="s">
        <v>1171</v>
      </c>
      <c r="L273" t="s">
        <v>1173</v>
      </c>
      <c r="M273" t="s">
        <v>1171</v>
      </c>
      <c r="N273" t="s">
        <v>1171</v>
      </c>
      <c r="O273" t="s">
        <v>1171</v>
      </c>
      <c r="P273" t="s">
        <v>1171</v>
      </c>
      <c r="Q273" t="s">
        <v>1171</v>
      </c>
      <c r="R273" t="str">
        <f>_xlfn.TEXTBEFORE(_xlfn.TEXTAFTER(us_core_reqs[[#This Row],[URL*]],"/",-1),".")</f>
        <v>screening-and-assessments</v>
      </c>
      <c r="S273" t="str">
        <f>_xlfn.TEXTAFTER(us_core_reqs[[#This Row],[URL*]],"#",-1)</f>
        <v>choosing-between-questionnaireresponse-and-observation</v>
      </c>
      <c r="T273" t="str">
        <f>SUBSTITUTE(SUBSTITUTE(PROPER(SUBSTITUTE(us_core_reqs[[#This Row],[Page]], "-", " "))&amp;": "&amp;PROPER(SUBSTITUTE(us_core_reqs[[#This Row],[Section]], "-", " ")),"Us ","US "), "Uscdi", "USCDI")</f>
        <v>Screening And Assessments: Choosing Between Questionnaireresponse And Observation</v>
      </c>
      <c r="U273" t="s">
        <v>1171</v>
      </c>
      <c r="V273" t="s">
        <v>1171</v>
      </c>
      <c r="W273" t="s">
        <v>298</v>
      </c>
      <c r="X273" t="s">
        <v>1171</v>
      </c>
      <c r="Y273" t="s">
        <v>1171</v>
      </c>
      <c r="Z273" t="s">
        <v>1171</v>
      </c>
      <c r="AA273" t="s">
        <v>1171</v>
      </c>
      <c r="AB273" t="s">
        <v>301</v>
      </c>
      <c r="AC273" t="s">
        <v>1141</v>
      </c>
      <c r="AD273" t="s">
        <v>1171</v>
      </c>
    </row>
    <row r="274" spans="1:30" ht="136" x14ac:dyDescent="0.2">
      <c r="A274" t="s">
        <v>1171</v>
      </c>
      <c r="B274" t="s">
        <v>1446</v>
      </c>
      <c r="C274" t="str">
        <f>"CONF-"&amp;TEXT(us_core_reqs[[#This Row],[ID*]], "0000")</f>
        <v>CONF-0273</v>
      </c>
      <c r="D274" s="11" t="s">
        <v>849</v>
      </c>
      <c r="E274" t="str">
        <f>SUBSTITUTE(us_core_reqs[[#This Row],[URL*]], "https://hl7.org/fhir/us/core/STU8/","")</f>
        <v>screening-and-assessments.html#choosing-between-questionnaireresponse-and-observation</v>
      </c>
      <c r="F274" s="11" t="s">
        <v>300</v>
      </c>
      <c r="G274" t="s">
        <v>64</v>
      </c>
      <c r="H274" t="s">
        <v>1894</v>
      </c>
      <c r="I274" t="s">
        <v>30</v>
      </c>
      <c r="J274" t="s">
        <v>1171</v>
      </c>
      <c r="K274" t="s">
        <v>1171</v>
      </c>
      <c r="L274" t="s">
        <v>1173</v>
      </c>
      <c r="M274" t="s">
        <v>1171</v>
      </c>
      <c r="N274" t="s">
        <v>1171</v>
      </c>
      <c r="O274" t="s">
        <v>1171</v>
      </c>
      <c r="P274" t="s">
        <v>1171</v>
      </c>
      <c r="Q274" t="s">
        <v>1171</v>
      </c>
      <c r="R274" t="str">
        <f>_xlfn.TEXTBEFORE(_xlfn.TEXTAFTER(us_core_reqs[[#This Row],[URL*]],"/",-1),".")</f>
        <v>screening-and-assessments</v>
      </c>
      <c r="S274" t="str">
        <f>_xlfn.TEXTAFTER(us_core_reqs[[#This Row],[URL*]],"#",-1)</f>
        <v>choosing-between-questionnaireresponse-and-observation</v>
      </c>
      <c r="T274" t="str">
        <f>SUBSTITUTE(SUBSTITUTE(PROPER(SUBSTITUTE(us_core_reqs[[#This Row],[Page]], "-", " "))&amp;": "&amp;PROPER(SUBSTITUTE(us_core_reqs[[#This Row],[Section]], "-", " ")),"Us ","US "), "Uscdi", "USCDI")</f>
        <v>Screening And Assessments: Choosing Between Questionnaireresponse And Observation</v>
      </c>
      <c r="U274" t="s">
        <v>1171</v>
      </c>
      <c r="V274" t="s">
        <v>1171</v>
      </c>
      <c r="W274" t="s">
        <v>302</v>
      </c>
      <c r="X274" t="s">
        <v>1171</v>
      </c>
      <c r="Y274" t="s">
        <v>1171</v>
      </c>
      <c r="Z274" t="s">
        <v>1171</v>
      </c>
      <c r="AA274" t="s">
        <v>1171</v>
      </c>
      <c r="AB274" t="s">
        <v>1171</v>
      </c>
      <c r="AC274" t="s">
        <v>1141</v>
      </c>
      <c r="AD274" t="s">
        <v>1171</v>
      </c>
    </row>
    <row r="275" spans="1:30" ht="180" customHeight="1" x14ac:dyDescent="0.2">
      <c r="A275" t="s">
        <v>1171</v>
      </c>
      <c r="B275" t="s">
        <v>1447</v>
      </c>
      <c r="C275" t="str">
        <f>"CONF-"&amp;TEXT(us_core_reqs[[#This Row],[ID*]], "0000")</f>
        <v>CONF-0274</v>
      </c>
      <c r="D275" s="11" t="s">
        <v>849</v>
      </c>
      <c r="E275" t="str">
        <f>SUBSTITUTE(us_core_reqs[[#This Row],[URL*]], "https://hl7.org/fhir/us/core/STU8/","")</f>
        <v>screening-and-assessments.html#choosing-between-questionnaireresponse-and-observation</v>
      </c>
      <c r="F275" s="11" t="s">
        <v>303</v>
      </c>
      <c r="G275" t="s">
        <v>64</v>
      </c>
      <c r="H275" t="s">
        <v>1894</v>
      </c>
      <c r="I275" t="s">
        <v>30</v>
      </c>
      <c r="J275" t="s">
        <v>1171</v>
      </c>
      <c r="K275" t="s">
        <v>1171</v>
      </c>
      <c r="L275" t="s">
        <v>1173</v>
      </c>
      <c r="M275" t="s">
        <v>1171</v>
      </c>
      <c r="N275" t="s">
        <v>1171</v>
      </c>
      <c r="O275" t="s">
        <v>1171</v>
      </c>
      <c r="P275" t="s">
        <v>1171</v>
      </c>
      <c r="Q275" t="s">
        <v>1171</v>
      </c>
      <c r="R275" t="str">
        <f>_xlfn.TEXTBEFORE(_xlfn.TEXTAFTER(us_core_reqs[[#This Row],[URL*]],"/",-1),".")</f>
        <v>screening-and-assessments</v>
      </c>
      <c r="S275" t="str">
        <f>_xlfn.TEXTAFTER(us_core_reqs[[#This Row],[URL*]],"#",-1)</f>
        <v>choosing-between-questionnaireresponse-and-observation</v>
      </c>
      <c r="T275" t="str">
        <f>SUBSTITUTE(SUBSTITUTE(PROPER(SUBSTITUTE(us_core_reqs[[#This Row],[Page]], "-", " "))&amp;": "&amp;PROPER(SUBSTITUTE(us_core_reqs[[#This Row],[Section]], "-", " ")),"Us ","US "), "Uscdi", "USCDI")</f>
        <v>Screening And Assessments: Choosing Between Questionnaireresponse And Observation</v>
      </c>
      <c r="U275" t="s">
        <v>29</v>
      </c>
      <c r="V275" t="s">
        <v>1171</v>
      </c>
      <c r="W275" t="s">
        <v>302</v>
      </c>
      <c r="X275" t="s">
        <v>1171</v>
      </c>
      <c r="Y275" t="s">
        <v>1171</v>
      </c>
      <c r="Z275" t="s">
        <v>1171</v>
      </c>
      <c r="AA275" t="s">
        <v>1171</v>
      </c>
      <c r="AB275" t="s">
        <v>1171</v>
      </c>
      <c r="AC275" t="s">
        <v>1141</v>
      </c>
      <c r="AD275" t="s">
        <v>1171</v>
      </c>
    </row>
    <row r="276" spans="1:30" ht="34" x14ac:dyDescent="0.2">
      <c r="A276" t="s">
        <v>1171</v>
      </c>
      <c r="B276" t="s">
        <v>1448</v>
      </c>
      <c r="C276" t="str">
        <f>"CONF-"&amp;TEXT(us_core_reqs[[#This Row],[ID*]], "0000")</f>
        <v>CONF-0275</v>
      </c>
      <c r="D276" s="11" t="s">
        <v>632</v>
      </c>
      <c r="E276" t="str">
        <f>SUBSTITUTE(us_core_reqs[[#This Row],[URL*]], "https://hl7.org/fhir/us/core/STU8/","")</f>
        <v>screening-and-assessments.html#category-codes</v>
      </c>
      <c r="F276" s="11" t="s">
        <v>737</v>
      </c>
      <c r="G276" t="s">
        <v>35</v>
      </c>
      <c r="H276" t="s">
        <v>1883</v>
      </c>
      <c r="I276" t="s">
        <v>58</v>
      </c>
      <c r="J276" t="s">
        <v>1171</v>
      </c>
      <c r="K276" t="s">
        <v>1171</v>
      </c>
      <c r="L276" t="s">
        <v>1173</v>
      </c>
      <c r="M276" t="s">
        <v>1171</v>
      </c>
      <c r="N276" t="s">
        <v>1171</v>
      </c>
      <c r="O276" t="s">
        <v>1171</v>
      </c>
      <c r="P276" t="s">
        <v>1171</v>
      </c>
      <c r="Q276" t="s">
        <v>1171</v>
      </c>
      <c r="R276" t="str">
        <f>_xlfn.TEXTBEFORE(_xlfn.TEXTAFTER(us_core_reqs[[#This Row],[URL*]],"/",-1),".")</f>
        <v>screening-and-assessments</v>
      </c>
      <c r="S276" t="str">
        <f>_xlfn.TEXTAFTER(us_core_reqs[[#This Row],[URL*]],"#",-1)</f>
        <v>category-codes</v>
      </c>
      <c r="T276" t="str">
        <f>SUBSTITUTE(SUBSTITUTE(PROPER(SUBSTITUTE(us_core_reqs[[#This Row],[Page]], "-", " "))&amp;": "&amp;PROPER(SUBSTITUTE(us_core_reqs[[#This Row],[Section]], "-", " ")),"Us ","US "), "Uscdi", "USCDI")</f>
        <v>Screening And Assessments: Category Codes</v>
      </c>
      <c r="U276" t="s">
        <v>1171</v>
      </c>
      <c r="V276" t="s">
        <v>1171</v>
      </c>
      <c r="W276" t="s">
        <v>1171</v>
      </c>
      <c r="X276" t="s">
        <v>1171</v>
      </c>
      <c r="Y276" t="s">
        <v>1171</v>
      </c>
      <c r="Z276" t="s">
        <v>1171</v>
      </c>
      <c r="AA276" t="s">
        <v>1171</v>
      </c>
      <c r="AB276" t="s">
        <v>738</v>
      </c>
      <c r="AC276" t="s">
        <v>1171</v>
      </c>
      <c r="AD276" t="s">
        <v>1171</v>
      </c>
    </row>
    <row r="277" spans="1:30" ht="102" x14ac:dyDescent="0.2">
      <c r="A277" t="s">
        <v>1171</v>
      </c>
      <c r="B277" t="s">
        <v>1449</v>
      </c>
      <c r="C277" t="str">
        <f>"CONF-"&amp;TEXT(us_core_reqs[[#This Row],[ID*]], "0000")</f>
        <v>CONF-0276</v>
      </c>
      <c r="D277" s="11" t="s">
        <v>632</v>
      </c>
      <c r="E277" t="str">
        <f>SUBSTITUTE(us_core_reqs[[#This Row],[URL*]], "https://hl7.org/fhir/us/core/STU8/","")</f>
        <v>screening-and-assessments.html#category-codes</v>
      </c>
      <c r="F277" s="11" t="s">
        <v>1940</v>
      </c>
      <c r="G277" t="s">
        <v>64</v>
      </c>
      <c r="I277" t="s">
        <v>30</v>
      </c>
      <c r="J277" t="s">
        <v>1171</v>
      </c>
      <c r="K277" t="s">
        <v>1171</v>
      </c>
      <c r="L277" t="s">
        <v>1173</v>
      </c>
      <c r="M277" t="s">
        <v>1171</v>
      </c>
      <c r="N277" t="s">
        <v>1171</v>
      </c>
      <c r="O277" t="s">
        <v>1171</v>
      </c>
      <c r="P277" t="s">
        <v>1171</v>
      </c>
      <c r="Q277" t="s">
        <v>1171</v>
      </c>
      <c r="R277" t="str">
        <f>_xlfn.TEXTBEFORE(_xlfn.TEXTAFTER(us_core_reqs[[#This Row],[URL*]],"/",-1),".")</f>
        <v>screening-and-assessments</v>
      </c>
      <c r="S277" t="str">
        <f>_xlfn.TEXTAFTER(us_core_reqs[[#This Row],[URL*]],"#",-1)</f>
        <v>category-codes</v>
      </c>
      <c r="T277" t="str">
        <f>SUBSTITUTE(SUBSTITUTE(PROPER(SUBSTITUTE(us_core_reqs[[#This Row],[Page]], "-", " "))&amp;": "&amp;PROPER(SUBSTITUTE(us_core_reqs[[#This Row],[Section]], "-", " ")),"Us ","US "), "Uscdi", "USCDI")</f>
        <v>Screening And Assessments: Category Codes</v>
      </c>
      <c r="U277" t="s">
        <v>32</v>
      </c>
      <c r="V277" t="s">
        <v>1171</v>
      </c>
      <c r="W277" t="s">
        <v>302</v>
      </c>
      <c r="X277" t="s">
        <v>1171</v>
      </c>
      <c r="Y277" t="s">
        <v>1171</v>
      </c>
      <c r="Z277" t="s">
        <v>1171</v>
      </c>
      <c r="AA277" t="s">
        <v>1171</v>
      </c>
      <c r="AB277" t="s">
        <v>646</v>
      </c>
      <c r="AC277" t="s">
        <v>1171</v>
      </c>
      <c r="AD277" t="s">
        <v>1171</v>
      </c>
    </row>
    <row r="278" spans="1:30" ht="85" x14ac:dyDescent="0.2">
      <c r="A278" t="s">
        <v>1171</v>
      </c>
      <c r="B278" t="s">
        <v>1450</v>
      </c>
      <c r="C278" t="str">
        <f>"CONF-"&amp;TEXT(us_core_reqs[[#This Row],[ID*]], "0000")</f>
        <v>CONF-0277</v>
      </c>
      <c r="D278" s="11" t="s">
        <v>632</v>
      </c>
      <c r="E278" t="str">
        <f>SUBSTITUTE(us_core_reqs[[#This Row],[URL*]], "https://hl7.org/fhir/us/core/STU8/","")</f>
        <v>screening-and-assessments.html#category-codes</v>
      </c>
      <c r="F278" s="11" t="s">
        <v>1941</v>
      </c>
      <c r="G278" t="s">
        <v>64</v>
      </c>
      <c r="I278" t="s">
        <v>30</v>
      </c>
      <c r="J278" t="s">
        <v>1171</v>
      </c>
      <c r="K278" t="s">
        <v>1171</v>
      </c>
      <c r="L278" t="s">
        <v>1173</v>
      </c>
      <c r="M278" t="s">
        <v>1171</v>
      </c>
      <c r="N278" t="s">
        <v>1171</v>
      </c>
      <c r="O278" t="s">
        <v>1171</v>
      </c>
      <c r="P278" t="s">
        <v>1171</v>
      </c>
      <c r="Q278" t="s">
        <v>1171</v>
      </c>
      <c r="R278" t="str">
        <f>_xlfn.TEXTBEFORE(_xlfn.TEXTAFTER(us_core_reqs[[#This Row],[URL*]],"/",-1),".")</f>
        <v>screening-and-assessments</v>
      </c>
      <c r="S278" t="str">
        <f>_xlfn.TEXTAFTER(us_core_reqs[[#This Row],[URL*]],"#",-1)</f>
        <v>category-codes</v>
      </c>
      <c r="T278" t="str">
        <f>SUBSTITUTE(SUBSTITUTE(PROPER(SUBSTITUTE(us_core_reqs[[#This Row],[Page]], "-", " "))&amp;": "&amp;PROPER(SUBSTITUTE(us_core_reqs[[#This Row],[Section]], "-", " ")),"Us ","US "), "Uscdi", "USCDI")</f>
        <v>Screening And Assessments: Category Codes</v>
      </c>
      <c r="U278" t="s">
        <v>32</v>
      </c>
      <c r="V278" t="s">
        <v>1171</v>
      </c>
      <c r="W278" t="s">
        <v>302</v>
      </c>
      <c r="X278" t="s">
        <v>1171</v>
      </c>
      <c r="Y278" t="s">
        <v>1171</v>
      </c>
      <c r="Z278" t="s">
        <v>1171</v>
      </c>
      <c r="AA278" t="s">
        <v>1171</v>
      </c>
      <c r="AB278" t="s">
        <v>646</v>
      </c>
      <c r="AC278" t="s">
        <v>1171</v>
      </c>
      <c r="AD278" t="s">
        <v>1171</v>
      </c>
    </row>
    <row r="279" spans="1:30" ht="68" x14ac:dyDescent="0.2">
      <c r="A279" t="s">
        <v>1171</v>
      </c>
      <c r="B279" t="s">
        <v>1451</v>
      </c>
      <c r="C279" t="str">
        <f>"CONF-"&amp;TEXT(us_core_reqs[[#This Row],[ID*]], "0000")</f>
        <v>CONF-0278</v>
      </c>
      <c r="D279" s="11" t="s">
        <v>632</v>
      </c>
      <c r="E279" t="str">
        <f>SUBSTITUTE(us_core_reqs[[#This Row],[URL*]], "https://hl7.org/fhir/us/core/STU8/","")</f>
        <v>screening-and-assessments.html#category-codes</v>
      </c>
      <c r="F279" s="11" t="s">
        <v>1942</v>
      </c>
      <c r="G279" t="s">
        <v>64</v>
      </c>
      <c r="I279" t="s">
        <v>30</v>
      </c>
      <c r="J279" t="s">
        <v>1171</v>
      </c>
      <c r="K279" t="s">
        <v>1171</v>
      </c>
      <c r="L279" t="s">
        <v>1173</v>
      </c>
      <c r="M279" t="s">
        <v>1171</v>
      </c>
      <c r="N279" t="s">
        <v>1171</v>
      </c>
      <c r="O279" t="s">
        <v>1171</v>
      </c>
      <c r="P279" t="s">
        <v>1171</v>
      </c>
      <c r="Q279" t="s">
        <v>1171</v>
      </c>
      <c r="R279" t="str">
        <f>_xlfn.TEXTBEFORE(_xlfn.TEXTAFTER(us_core_reqs[[#This Row],[URL*]],"/",-1),".")</f>
        <v>screening-and-assessments</v>
      </c>
      <c r="S279" t="str">
        <f>_xlfn.TEXTAFTER(us_core_reqs[[#This Row],[URL*]],"#",-1)</f>
        <v>category-codes</v>
      </c>
      <c r="T279" t="str">
        <f>SUBSTITUTE(SUBSTITUTE(PROPER(SUBSTITUTE(us_core_reqs[[#This Row],[Page]], "-", " "))&amp;": "&amp;PROPER(SUBSTITUTE(us_core_reqs[[#This Row],[Section]], "-", " ")),"Us ","US "), "Uscdi", "USCDI")</f>
        <v>Screening And Assessments: Category Codes</v>
      </c>
      <c r="U279" t="s">
        <v>32</v>
      </c>
      <c r="V279" t="s">
        <v>1171</v>
      </c>
      <c r="W279" t="s">
        <v>302</v>
      </c>
      <c r="X279" t="s">
        <v>1171</v>
      </c>
      <c r="Y279" t="s">
        <v>1171</v>
      </c>
      <c r="Z279" t="s">
        <v>1171</v>
      </c>
      <c r="AA279" t="s">
        <v>1171</v>
      </c>
      <c r="AB279" t="s">
        <v>646</v>
      </c>
      <c r="AC279" t="s">
        <v>1171</v>
      </c>
      <c r="AD279" t="s">
        <v>1171</v>
      </c>
    </row>
    <row r="280" spans="1:30" ht="102" x14ac:dyDescent="0.2">
      <c r="A280" t="s">
        <v>1171</v>
      </c>
      <c r="B280" t="s">
        <v>1452</v>
      </c>
      <c r="C280" t="str">
        <f>"CONF-"&amp;TEXT(us_core_reqs[[#This Row],[ID*]], "0000")</f>
        <v>CONF-0279</v>
      </c>
      <c r="D280" s="11" t="s">
        <v>632</v>
      </c>
      <c r="E280" t="str">
        <f>SUBSTITUTE(us_core_reqs[[#This Row],[URL*]], "https://hl7.org/fhir/us/core/STU8/","")</f>
        <v>screening-and-assessments.html#category-codes</v>
      </c>
      <c r="F280" s="11" t="s">
        <v>1943</v>
      </c>
      <c r="G280" t="s">
        <v>64</v>
      </c>
      <c r="I280" t="s">
        <v>30</v>
      </c>
      <c r="J280" t="s">
        <v>1171</v>
      </c>
      <c r="K280" t="s">
        <v>1171</v>
      </c>
      <c r="L280" t="s">
        <v>1173</v>
      </c>
      <c r="M280" t="s">
        <v>1171</v>
      </c>
      <c r="N280" t="s">
        <v>1171</v>
      </c>
      <c r="O280" t="s">
        <v>1171</v>
      </c>
      <c r="P280" t="s">
        <v>1171</v>
      </c>
      <c r="Q280" t="s">
        <v>1171</v>
      </c>
      <c r="R280" t="str">
        <f>_xlfn.TEXTBEFORE(_xlfn.TEXTAFTER(us_core_reqs[[#This Row],[URL*]],"/",-1),".")</f>
        <v>screening-and-assessments</v>
      </c>
      <c r="S280" t="str">
        <f>_xlfn.TEXTAFTER(us_core_reqs[[#This Row],[URL*]],"#",-1)</f>
        <v>category-codes</v>
      </c>
      <c r="T280" t="str">
        <f>SUBSTITUTE(SUBSTITUTE(PROPER(SUBSTITUTE(us_core_reqs[[#This Row],[Page]], "-", " "))&amp;": "&amp;PROPER(SUBSTITUTE(us_core_reqs[[#This Row],[Section]], "-", " ")),"Us ","US "), "Uscdi", "USCDI")</f>
        <v>Screening And Assessments: Category Codes</v>
      </c>
      <c r="U280" t="s">
        <v>32</v>
      </c>
      <c r="V280" t="s">
        <v>1171</v>
      </c>
      <c r="W280" t="s">
        <v>302</v>
      </c>
      <c r="X280" t="s">
        <v>1171</v>
      </c>
      <c r="Y280" t="s">
        <v>1171</v>
      </c>
      <c r="Z280" t="s">
        <v>1171</v>
      </c>
      <c r="AA280" t="s">
        <v>1171</v>
      </c>
      <c r="AB280" t="s">
        <v>646</v>
      </c>
      <c r="AC280" t="s">
        <v>1171</v>
      </c>
      <c r="AD280" t="s">
        <v>1171</v>
      </c>
    </row>
    <row r="281" spans="1:30" ht="68" x14ac:dyDescent="0.2">
      <c r="A281" t="s">
        <v>1171</v>
      </c>
      <c r="B281" t="s">
        <v>1453</v>
      </c>
      <c r="C281" t="str">
        <f>"CONF-"&amp;TEXT(us_core_reqs[[#This Row],[ID*]], "0000")</f>
        <v>CONF-0280</v>
      </c>
      <c r="D281" s="11" t="s">
        <v>850</v>
      </c>
      <c r="E281" t="str">
        <f>SUBSTITUTE(us_core_reqs[[#This Row],[URL*]], "https://hl7.org/fhir/us/core/STU8/","")</f>
        <v>screening-and-assessments.html#uscdi-health-assessments-data-element-value-sets</v>
      </c>
      <c r="F281" s="11" t="s">
        <v>1944</v>
      </c>
      <c r="G281" t="s">
        <v>32</v>
      </c>
      <c r="I281" t="s">
        <v>30</v>
      </c>
      <c r="J281" t="s">
        <v>1171</v>
      </c>
      <c r="K281" t="s">
        <v>1171</v>
      </c>
      <c r="L281" t="s">
        <v>1173</v>
      </c>
      <c r="M281" t="s">
        <v>1171</v>
      </c>
      <c r="N281" t="s">
        <v>1171</v>
      </c>
      <c r="O281" t="s">
        <v>1171</v>
      </c>
      <c r="P281" t="s">
        <v>1171</v>
      </c>
      <c r="Q281" t="s">
        <v>1171</v>
      </c>
      <c r="R281" t="str">
        <f>_xlfn.TEXTBEFORE(_xlfn.TEXTAFTER(us_core_reqs[[#This Row],[URL*]],"/",-1),".")</f>
        <v>screening-and-assessments</v>
      </c>
      <c r="S281" t="str">
        <f>_xlfn.TEXTAFTER(us_core_reqs[[#This Row],[URL*]],"#",-1)</f>
        <v>uscdi-health-assessments-data-element-value-sets</v>
      </c>
      <c r="T281" t="str">
        <f>SUBSTITUTE(SUBSTITUTE(PROPER(SUBSTITUTE(us_core_reqs[[#This Row],[Page]], "-", " "))&amp;": "&amp;PROPER(SUBSTITUTE(us_core_reqs[[#This Row],[Section]], "-", " ")),"Us ","US "), "Uscdi", "USCDI")</f>
        <v>Screening And Assessments: USCDI Health Assessments Data Element Value Sets</v>
      </c>
      <c r="U281" t="s">
        <v>32</v>
      </c>
      <c r="V281" t="s">
        <v>1171</v>
      </c>
      <c r="W281" t="s">
        <v>302</v>
      </c>
      <c r="X281" t="s">
        <v>1171</v>
      </c>
      <c r="Y281" t="s">
        <v>1171</v>
      </c>
      <c r="Z281" t="s">
        <v>1171</v>
      </c>
      <c r="AA281" t="s">
        <v>1171</v>
      </c>
      <c r="AB281" t="s">
        <v>1171</v>
      </c>
      <c r="AC281" t="s">
        <v>1171</v>
      </c>
      <c r="AD281" t="s">
        <v>1171</v>
      </c>
    </row>
    <row r="282" spans="1:30" ht="187" x14ac:dyDescent="0.2">
      <c r="A282" t="s">
        <v>1171</v>
      </c>
      <c r="B282" t="s">
        <v>1454</v>
      </c>
      <c r="C282" t="str">
        <f>"CONF-"&amp;TEXT(us_core_reqs[[#This Row],[ID*]], "0000")</f>
        <v>CONF-0281</v>
      </c>
      <c r="D282" s="11" t="s">
        <v>850</v>
      </c>
      <c r="E282" t="str">
        <f>SUBSTITUTE(us_core_reqs[[#This Row],[URL*]], "https://hl7.org/fhir/us/core/STU8/","")</f>
        <v>screening-and-assessments.html#uscdi-health-assessments-data-element-value-sets</v>
      </c>
      <c r="F282" s="11" t="s">
        <v>1945</v>
      </c>
      <c r="G282" t="s">
        <v>32</v>
      </c>
      <c r="I282" t="s">
        <v>30</v>
      </c>
      <c r="J282" t="s">
        <v>1171</v>
      </c>
      <c r="K282" t="s">
        <v>1171</v>
      </c>
      <c r="L282" t="s">
        <v>1173</v>
      </c>
      <c r="M282" t="s">
        <v>1171</v>
      </c>
      <c r="N282" t="s">
        <v>1171</v>
      </c>
      <c r="O282" t="s">
        <v>1171</v>
      </c>
      <c r="P282" t="s">
        <v>1171</v>
      </c>
      <c r="Q282" t="s">
        <v>1171</v>
      </c>
      <c r="R282" t="str">
        <f>_xlfn.TEXTBEFORE(_xlfn.TEXTAFTER(us_core_reqs[[#This Row],[URL*]],"/",-1),".")</f>
        <v>screening-and-assessments</v>
      </c>
      <c r="S282" t="str">
        <f>_xlfn.TEXTAFTER(us_core_reqs[[#This Row],[URL*]],"#",-1)</f>
        <v>uscdi-health-assessments-data-element-value-sets</v>
      </c>
      <c r="T282" t="str">
        <f>SUBSTITUTE(SUBSTITUTE(PROPER(SUBSTITUTE(us_core_reqs[[#This Row],[Page]], "-", " "))&amp;": "&amp;PROPER(SUBSTITUTE(us_core_reqs[[#This Row],[Section]], "-", " ")),"Us ","US "), "Uscdi", "USCDI")</f>
        <v>Screening And Assessments: USCDI Health Assessments Data Element Value Sets</v>
      </c>
      <c r="U282" t="s">
        <v>32</v>
      </c>
      <c r="V282" t="s">
        <v>30</v>
      </c>
      <c r="W282" t="s">
        <v>33</v>
      </c>
      <c r="X282" t="s">
        <v>1171</v>
      </c>
      <c r="Y282" t="s">
        <v>1171</v>
      </c>
      <c r="Z282" t="s">
        <v>1171</v>
      </c>
      <c r="AA282" t="s">
        <v>1171</v>
      </c>
      <c r="AB282" t="s">
        <v>1171</v>
      </c>
      <c r="AC282" t="s">
        <v>1171</v>
      </c>
      <c r="AD282" t="s">
        <v>1171</v>
      </c>
    </row>
    <row r="283" spans="1:30" ht="34" x14ac:dyDescent="0.2">
      <c r="A283" t="s">
        <v>1171</v>
      </c>
      <c r="B283" t="s">
        <v>1455</v>
      </c>
      <c r="C283" t="str">
        <f>"CONF-"&amp;TEXT(us_core_reqs[[#This Row],[ID*]], "0000")</f>
        <v>CONF-0282</v>
      </c>
      <c r="D283" s="11" t="s">
        <v>851</v>
      </c>
      <c r="E283" t="str">
        <f>SUBSTITUTE(us_core_reqs[[#This Row],[URL*]], "https://hl7.org/fhir/us/core/STU8/","")</f>
        <v>changes-between-versions.html#endpoint-discoverability</v>
      </c>
      <c r="F283" s="11" t="s">
        <v>1036</v>
      </c>
      <c r="G283" t="s">
        <v>64</v>
      </c>
      <c r="H283" t="s">
        <v>1896</v>
      </c>
      <c r="I283" t="s">
        <v>30</v>
      </c>
      <c r="J283" t="s">
        <v>1171</v>
      </c>
      <c r="K283" t="s">
        <v>1171</v>
      </c>
      <c r="L283" t="s">
        <v>1173</v>
      </c>
      <c r="M283" t="s">
        <v>1171</v>
      </c>
      <c r="N283" t="s">
        <v>1171</v>
      </c>
      <c r="O283" t="s">
        <v>1171</v>
      </c>
      <c r="P283" t="s">
        <v>1171</v>
      </c>
      <c r="Q283" t="s">
        <v>1171</v>
      </c>
      <c r="R283" t="str">
        <f>_xlfn.TEXTBEFORE(_xlfn.TEXTAFTER(us_core_reqs[[#This Row],[URL*]],"/",-1),".")</f>
        <v>changes-between-versions</v>
      </c>
      <c r="S283" t="str">
        <f>_xlfn.TEXTAFTER(us_core_reqs[[#This Row],[URL*]],"#",-1)</f>
        <v>endpoint-discoverability</v>
      </c>
      <c r="T283" t="str">
        <f>SUBSTITUTE(SUBSTITUTE(PROPER(SUBSTITUTE(us_core_reqs[[#This Row],[Page]], "-", " "))&amp;": "&amp;PROPER(SUBSTITUTE(us_core_reqs[[#This Row],[Section]], "-", " ")),"Us ","US "), "Uscdi", "USCDI")</f>
        <v>Changes Between Versions: Endpoint Discoverability</v>
      </c>
      <c r="U283" t="s">
        <v>35</v>
      </c>
      <c r="V283" t="s">
        <v>30</v>
      </c>
      <c r="W283" t="s">
        <v>1171</v>
      </c>
      <c r="X283" t="s">
        <v>1171</v>
      </c>
      <c r="Y283" t="s">
        <v>1171</v>
      </c>
      <c r="Z283" t="s">
        <v>1171</v>
      </c>
      <c r="AA283" t="s">
        <v>1171</v>
      </c>
      <c r="AB283" t="s">
        <v>1171</v>
      </c>
      <c r="AC283" t="s">
        <v>1171</v>
      </c>
      <c r="AD283" t="s">
        <v>1171</v>
      </c>
    </row>
    <row r="284" spans="1:30" ht="34" x14ac:dyDescent="0.2">
      <c r="A284" t="s">
        <v>1171</v>
      </c>
      <c r="B284" t="s">
        <v>1456</v>
      </c>
      <c r="C284" t="str">
        <f>"CONF-"&amp;TEXT(us_core_reqs[[#This Row],[ID*]], "0000")</f>
        <v>CONF-0283</v>
      </c>
      <c r="D284" s="11" t="s">
        <v>851</v>
      </c>
      <c r="E284" t="str">
        <f>SUBSTITUTE(us_core_reqs[[#This Row],[URL*]], "https://hl7.org/fhir/us/core/STU8/","")</f>
        <v>changes-between-versions.html#endpoint-discoverability</v>
      </c>
      <c r="F284" s="11" t="s">
        <v>1037</v>
      </c>
      <c r="G284" t="s">
        <v>64</v>
      </c>
      <c r="H284" t="s">
        <v>1896</v>
      </c>
      <c r="I284" t="s">
        <v>30</v>
      </c>
      <c r="J284" t="s">
        <v>1171</v>
      </c>
      <c r="K284" t="s">
        <v>1171</v>
      </c>
      <c r="L284" t="s">
        <v>1173</v>
      </c>
      <c r="M284" t="s">
        <v>1171</v>
      </c>
      <c r="N284" t="s">
        <v>1171</v>
      </c>
      <c r="O284" t="s">
        <v>1171</v>
      </c>
      <c r="P284" t="s">
        <v>1171</v>
      </c>
      <c r="Q284" t="s">
        <v>1171</v>
      </c>
      <c r="R284" t="str">
        <f>_xlfn.TEXTBEFORE(_xlfn.TEXTAFTER(us_core_reqs[[#This Row],[URL*]],"/",-1),".")</f>
        <v>changes-between-versions</v>
      </c>
      <c r="S284" t="str">
        <f>_xlfn.TEXTAFTER(us_core_reqs[[#This Row],[URL*]],"#",-1)</f>
        <v>endpoint-discoverability</v>
      </c>
      <c r="T284" t="str">
        <f>SUBSTITUTE(SUBSTITUTE(PROPER(SUBSTITUTE(us_core_reqs[[#This Row],[Page]], "-", " "))&amp;": "&amp;PROPER(SUBSTITUTE(us_core_reqs[[#This Row],[Section]], "-", " ")),"Us ","US "), "Uscdi", "USCDI")</f>
        <v>Changes Between Versions: Endpoint Discoverability</v>
      </c>
      <c r="U284" t="s">
        <v>35</v>
      </c>
      <c r="V284" t="s">
        <v>30</v>
      </c>
      <c r="W284" t="s">
        <v>1171</v>
      </c>
      <c r="X284" t="s">
        <v>1171</v>
      </c>
      <c r="Y284" t="s">
        <v>1171</v>
      </c>
      <c r="Z284" t="s">
        <v>1171</v>
      </c>
      <c r="AA284" t="s">
        <v>1171</v>
      </c>
      <c r="AB284" t="s">
        <v>1171</v>
      </c>
      <c r="AC284" t="s">
        <v>1171</v>
      </c>
      <c r="AD284" t="s">
        <v>1171</v>
      </c>
    </row>
    <row r="285" spans="1:30" ht="34" x14ac:dyDescent="0.2">
      <c r="A285" t="s">
        <v>1171</v>
      </c>
      <c r="B285" t="s">
        <v>1457</v>
      </c>
      <c r="C285" t="str">
        <f>"CONF-"&amp;TEXT(us_core_reqs[[#This Row],[ID*]], "0000")</f>
        <v>CONF-0284</v>
      </c>
      <c r="D285" s="11" t="s">
        <v>851</v>
      </c>
      <c r="E285" t="str">
        <f>SUBSTITUTE(us_core_reqs[[#This Row],[URL*]], "https://hl7.org/fhir/us/core/STU8/","")</f>
        <v>changes-between-versions.html#endpoint-discoverability</v>
      </c>
      <c r="F285" s="11" t="s">
        <v>1038</v>
      </c>
      <c r="G285" t="s">
        <v>64</v>
      </c>
      <c r="H285" t="s">
        <v>1896</v>
      </c>
      <c r="I285" t="s">
        <v>30</v>
      </c>
      <c r="J285" t="s">
        <v>1171</v>
      </c>
      <c r="K285" t="s">
        <v>1171</v>
      </c>
      <c r="L285" t="s">
        <v>1173</v>
      </c>
      <c r="M285" t="s">
        <v>1171</v>
      </c>
      <c r="N285" t="s">
        <v>1171</v>
      </c>
      <c r="O285" t="s">
        <v>1171</v>
      </c>
      <c r="P285" t="s">
        <v>1171</v>
      </c>
      <c r="Q285" t="s">
        <v>1171</v>
      </c>
      <c r="R285" t="str">
        <f>_xlfn.TEXTBEFORE(_xlfn.TEXTAFTER(us_core_reqs[[#This Row],[URL*]],"/",-1),".")</f>
        <v>changes-between-versions</v>
      </c>
      <c r="S285" t="str">
        <f>_xlfn.TEXTAFTER(us_core_reqs[[#This Row],[URL*]],"#",-1)</f>
        <v>endpoint-discoverability</v>
      </c>
      <c r="T285" t="str">
        <f>SUBSTITUTE(SUBSTITUTE(PROPER(SUBSTITUTE(us_core_reqs[[#This Row],[Page]], "-", " "))&amp;": "&amp;PROPER(SUBSTITUTE(us_core_reqs[[#This Row],[Section]], "-", " ")),"Us ","US "), "Uscdi", "USCDI")</f>
        <v>Changes Between Versions: Endpoint Discoverability</v>
      </c>
      <c r="U285" t="s">
        <v>35</v>
      </c>
      <c r="V285" t="s">
        <v>30</v>
      </c>
      <c r="W285" t="s">
        <v>1171</v>
      </c>
      <c r="X285" t="s">
        <v>1171</v>
      </c>
      <c r="Y285" t="s">
        <v>1171</v>
      </c>
      <c r="Z285" t="s">
        <v>1171</v>
      </c>
      <c r="AA285" t="s">
        <v>1171</v>
      </c>
      <c r="AB285" t="s">
        <v>1171</v>
      </c>
      <c r="AC285" t="s">
        <v>1171</v>
      </c>
      <c r="AD285" t="s">
        <v>1171</v>
      </c>
    </row>
    <row r="286" spans="1:30" ht="51" x14ac:dyDescent="0.2">
      <c r="A286" t="s">
        <v>1171</v>
      </c>
      <c r="B286" t="s">
        <v>1458</v>
      </c>
      <c r="C286" t="str">
        <f>"CONF-"&amp;TEXT(us_core_reqs[[#This Row],[ID*]], "0000")</f>
        <v>CONF-0285</v>
      </c>
      <c r="D286" s="11" t="s">
        <v>851</v>
      </c>
      <c r="E286" t="str">
        <f>SUBSTITUTE(us_core_reqs[[#This Row],[URL*]], "https://hl7.org/fhir/us/core/STU8/","")</f>
        <v>changes-between-versions.html#endpoint-discoverability</v>
      </c>
      <c r="F286" s="11" t="s">
        <v>1039</v>
      </c>
      <c r="G286" t="s">
        <v>64</v>
      </c>
      <c r="H286" t="s">
        <v>1896</v>
      </c>
      <c r="I286" t="s">
        <v>30</v>
      </c>
      <c r="J286" t="s">
        <v>1171</v>
      </c>
      <c r="K286" t="s">
        <v>1171</v>
      </c>
      <c r="L286" t="s">
        <v>1173</v>
      </c>
      <c r="M286" t="s">
        <v>1171</v>
      </c>
      <c r="N286" t="s">
        <v>1171</v>
      </c>
      <c r="O286" t="s">
        <v>1171</v>
      </c>
      <c r="P286" t="s">
        <v>1171</v>
      </c>
      <c r="Q286" t="s">
        <v>1171</v>
      </c>
      <c r="R286" t="str">
        <f>_xlfn.TEXTBEFORE(_xlfn.TEXTAFTER(us_core_reqs[[#This Row],[URL*]],"/",-1),".")</f>
        <v>changes-between-versions</v>
      </c>
      <c r="S286" t="str">
        <f>_xlfn.TEXTAFTER(us_core_reqs[[#This Row],[URL*]],"#",-1)</f>
        <v>endpoint-discoverability</v>
      </c>
      <c r="T286" t="str">
        <f>SUBSTITUTE(SUBSTITUTE(PROPER(SUBSTITUTE(us_core_reqs[[#This Row],[Page]], "-", " "))&amp;": "&amp;PROPER(SUBSTITUTE(us_core_reqs[[#This Row],[Section]], "-", " ")),"Us ","US "), "Uscdi", "USCDI")</f>
        <v>Changes Between Versions: Endpoint Discoverability</v>
      </c>
      <c r="U286" t="s">
        <v>35</v>
      </c>
      <c r="V286" t="s">
        <v>30</v>
      </c>
      <c r="W286" t="s">
        <v>1171</v>
      </c>
      <c r="X286" t="s">
        <v>1171</v>
      </c>
      <c r="Y286" t="s">
        <v>1171</v>
      </c>
      <c r="Z286" t="s">
        <v>1171</v>
      </c>
      <c r="AA286" t="s">
        <v>1171</v>
      </c>
      <c r="AB286" t="s">
        <v>1171</v>
      </c>
      <c r="AC286" t="s">
        <v>1171</v>
      </c>
      <c r="AD286" t="s">
        <v>1171</v>
      </c>
    </row>
    <row r="287" spans="1:30" ht="51" x14ac:dyDescent="0.2">
      <c r="A287" t="s">
        <v>1171</v>
      </c>
      <c r="B287" t="s">
        <v>1459</v>
      </c>
      <c r="C287" t="str">
        <f>"CONF-"&amp;TEXT(us_core_reqs[[#This Row],[ID*]], "0000")</f>
        <v>CONF-0286</v>
      </c>
      <c r="D287" s="11" t="s">
        <v>852</v>
      </c>
      <c r="E287" t="str">
        <f>SUBSTITUTE(us_core_reqs[[#This Row],[URL*]], "https://hl7.org/fhir/us/core/STU8/","")</f>
        <v>changes-between-versions.html#no-guarantee-that-resource-ids-are-preserved</v>
      </c>
      <c r="F287" s="11" t="s">
        <v>932</v>
      </c>
      <c r="G287" t="s">
        <v>29</v>
      </c>
      <c r="I287" t="s">
        <v>58</v>
      </c>
      <c r="J287" t="s">
        <v>1171</v>
      </c>
      <c r="K287" t="s">
        <v>1171</v>
      </c>
      <c r="L287" t="s">
        <v>1173</v>
      </c>
      <c r="M287" t="s">
        <v>1171</v>
      </c>
      <c r="N287" t="s">
        <v>1171</v>
      </c>
      <c r="O287" t="s">
        <v>1171</v>
      </c>
      <c r="P287" t="s">
        <v>1171</v>
      </c>
      <c r="Q287" t="s">
        <v>1171</v>
      </c>
      <c r="R287" t="str">
        <f>_xlfn.TEXTBEFORE(_xlfn.TEXTAFTER(us_core_reqs[[#This Row],[URL*]],"/",-1),".")</f>
        <v>changes-between-versions</v>
      </c>
      <c r="S287" t="str">
        <f>_xlfn.TEXTAFTER(us_core_reqs[[#This Row],[URL*]],"#",-1)</f>
        <v>no-guarantee-that-resource-ids-are-preserved</v>
      </c>
      <c r="T287" t="str">
        <f>SUBSTITUTE(SUBSTITUTE(PROPER(SUBSTITUTE(us_core_reqs[[#This Row],[Page]], "-", " "))&amp;": "&amp;PROPER(SUBSTITUTE(us_core_reqs[[#This Row],[Section]], "-", " ")),"Us ","US "), "Uscdi", "USCDI")</f>
        <v>Changes Between Versions: No Guarantee That Resource Ids Are Preserved</v>
      </c>
      <c r="U287" t="s">
        <v>1171</v>
      </c>
      <c r="V287" t="s">
        <v>58</v>
      </c>
      <c r="W287" t="s">
        <v>1171</v>
      </c>
      <c r="X287" t="s">
        <v>1171</v>
      </c>
      <c r="Y287" t="s">
        <v>1171</v>
      </c>
      <c r="Z287" t="s">
        <v>1171</v>
      </c>
      <c r="AA287" t="s">
        <v>1171</v>
      </c>
      <c r="AB287" t="s">
        <v>1171</v>
      </c>
      <c r="AC287" t="s">
        <v>1171</v>
      </c>
      <c r="AD287" t="s">
        <v>1171</v>
      </c>
    </row>
    <row r="288" spans="1:30" ht="34" x14ac:dyDescent="0.2">
      <c r="A288" t="s">
        <v>1171</v>
      </c>
      <c r="B288" t="s">
        <v>1460</v>
      </c>
      <c r="C288" t="str">
        <f>"CONF-"&amp;TEXT(us_core_reqs[[#This Row],[ID*]], "0000")</f>
        <v>CONF-0287</v>
      </c>
      <c r="D288" s="11" t="s">
        <v>852</v>
      </c>
      <c r="E288" t="str">
        <f>SUBSTITUTE(us_core_reqs[[#This Row],[URL*]], "https://hl7.org/fhir/us/core/STU8/","")</f>
        <v>changes-between-versions.html#no-guarantee-that-resource-ids-are-preserved</v>
      </c>
      <c r="F288" s="11" t="s">
        <v>1946</v>
      </c>
      <c r="G288" t="s">
        <v>32</v>
      </c>
      <c r="I288" t="s">
        <v>30</v>
      </c>
      <c r="J288" t="s">
        <v>1171</v>
      </c>
      <c r="K288" t="s">
        <v>1171</v>
      </c>
      <c r="L288" t="s">
        <v>1173</v>
      </c>
      <c r="M288" t="s">
        <v>1171</v>
      </c>
      <c r="N288" t="s">
        <v>1171</v>
      </c>
      <c r="O288" t="s">
        <v>1171</v>
      </c>
      <c r="P288" t="s">
        <v>1171</v>
      </c>
      <c r="Q288" t="s">
        <v>1171</v>
      </c>
      <c r="R288" t="str">
        <f>_xlfn.TEXTBEFORE(_xlfn.TEXTAFTER(us_core_reqs[[#This Row],[URL*]],"/",-1),".")</f>
        <v>changes-between-versions</v>
      </c>
      <c r="S288" t="str">
        <f>_xlfn.TEXTAFTER(us_core_reqs[[#This Row],[URL*]],"#",-1)</f>
        <v>no-guarantee-that-resource-ids-are-preserved</v>
      </c>
      <c r="T288" t="str">
        <f>SUBSTITUTE(SUBSTITUTE(PROPER(SUBSTITUTE(us_core_reqs[[#This Row],[Page]], "-", " "))&amp;": "&amp;PROPER(SUBSTITUTE(us_core_reqs[[#This Row],[Section]], "-", " ")),"Us ","US "), "Uscdi", "USCDI")</f>
        <v>Changes Between Versions: No Guarantee That Resource Ids Are Preserved</v>
      </c>
      <c r="U288" t="s">
        <v>32</v>
      </c>
      <c r="V288" t="s">
        <v>30</v>
      </c>
      <c r="W288" t="s">
        <v>1171</v>
      </c>
      <c r="X288" t="s">
        <v>1171</v>
      </c>
      <c r="Y288" t="s">
        <v>1171</v>
      </c>
      <c r="Z288" t="s">
        <v>1171</v>
      </c>
      <c r="AA288" t="s">
        <v>1171</v>
      </c>
      <c r="AB288" t="s">
        <v>1171</v>
      </c>
      <c r="AC288" t="s">
        <v>1171</v>
      </c>
      <c r="AD288" t="s">
        <v>1171</v>
      </c>
    </row>
    <row r="289" spans="1:30" ht="51" x14ac:dyDescent="0.2">
      <c r="A289" t="s">
        <v>1171</v>
      </c>
      <c r="B289" t="s">
        <v>1461</v>
      </c>
      <c r="C289" t="str">
        <f>"CONF-"&amp;TEXT(us_core_reqs[[#This Row],[ID*]], "0000")</f>
        <v>CONF-0288</v>
      </c>
      <c r="D289" s="11" t="s">
        <v>1897</v>
      </c>
      <c r="E289" t="str">
        <f>SUBSTITUTE(us_core_reqs[[#This Row],[URL*]], "https://hl7.org/fhir/us/core/STU8/","")</f>
        <v>changes-between-versions.html#expectation-that-data-is-preserved-between-versions</v>
      </c>
      <c r="F289" s="11" t="s">
        <v>1947</v>
      </c>
      <c r="G289" t="s">
        <v>32</v>
      </c>
      <c r="I289" t="s">
        <v>30</v>
      </c>
      <c r="J289" t="s">
        <v>1171</v>
      </c>
      <c r="K289" t="s">
        <v>1171</v>
      </c>
      <c r="L289" t="s">
        <v>1173</v>
      </c>
      <c r="M289" t="s">
        <v>1171</v>
      </c>
      <c r="N289" t="s">
        <v>1171</v>
      </c>
      <c r="O289" t="s">
        <v>1171</v>
      </c>
      <c r="P289" t="s">
        <v>1171</v>
      </c>
      <c r="Q289" t="s">
        <v>1171</v>
      </c>
      <c r="R289" t="str">
        <f>_xlfn.TEXTBEFORE(_xlfn.TEXTAFTER(us_core_reqs[[#This Row],[URL*]],"/",-1),".")</f>
        <v>changes-between-versions</v>
      </c>
      <c r="S289" t="str">
        <f>_xlfn.TEXTAFTER(us_core_reqs[[#This Row],[URL*]],"#",-1)</f>
        <v>expectation-that-data-is-preserved-between-versions</v>
      </c>
      <c r="T289" t="str">
        <f>SUBSTITUTE(SUBSTITUTE(PROPER(SUBSTITUTE(us_core_reqs[[#This Row],[Page]], "-", " "))&amp;": "&amp;PROPER(SUBSTITUTE(us_core_reqs[[#This Row],[Section]], "-", " ")),"Us ","US "), "Uscdi", "USCDI")</f>
        <v>Changes Between Versions: Expectation That Data Is Preserved Between Versions</v>
      </c>
      <c r="U289" t="s">
        <v>32</v>
      </c>
      <c r="V289" t="s">
        <v>1171</v>
      </c>
      <c r="W289" t="s">
        <v>1171</v>
      </c>
      <c r="X289" t="s">
        <v>1171</v>
      </c>
      <c r="Y289" t="s">
        <v>1171</v>
      </c>
      <c r="Z289" t="s">
        <v>1171</v>
      </c>
      <c r="AA289" t="s">
        <v>1171</v>
      </c>
      <c r="AB289" t="s">
        <v>1171</v>
      </c>
      <c r="AC289" t="s">
        <v>1171</v>
      </c>
      <c r="AD289" t="s">
        <v>1171</v>
      </c>
    </row>
    <row r="290" spans="1:30" ht="51" x14ac:dyDescent="0.2">
      <c r="A290" t="s">
        <v>1171</v>
      </c>
      <c r="B290" t="s">
        <v>1462</v>
      </c>
      <c r="C290" t="str">
        <f>"CONF-"&amp;TEXT(us_core_reqs[[#This Row],[ID*]], "0000")</f>
        <v>CONF-0289</v>
      </c>
      <c r="D290" s="11" t="s">
        <v>1897</v>
      </c>
      <c r="E290" t="str">
        <f>SUBSTITUTE(us_core_reqs[[#This Row],[URL*]], "https://hl7.org/fhir/us/core/STU8/","")</f>
        <v>changes-between-versions.html#expectation-that-data-is-preserved-between-versions</v>
      </c>
      <c r="F290" s="11" t="s">
        <v>1948</v>
      </c>
      <c r="G290" t="s">
        <v>32</v>
      </c>
      <c r="I290" t="s">
        <v>30</v>
      </c>
      <c r="J290" t="s">
        <v>1171</v>
      </c>
      <c r="K290" t="s">
        <v>1103</v>
      </c>
      <c r="L290" t="s">
        <v>1176</v>
      </c>
      <c r="M290" t="s">
        <v>312</v>
      </c>
      <c r="N290" t="s">
        <v>1171</v>
      </c>
      <c r="O290" t="s">
        <v>1171</v>
      </c>
      <c r="P290" t="s">
        <v>1171</v>
      </c>
      <c r="Q290" t="s">
        <v>1171</v>
      </c>
      <c r="R290" t="str">
        <f>_xlfn.TEXTBEFORE(_xlfn.TEXTAFTER(us_core_reqs[[#This Row],[URL*]],"/",-1),".")</f>
        <v>changes-between-versions</v>
      </c>
      <c r="S290" t="str">
        <f>_xlfn.TEXTAFTER(us_core_reqs[[#This Row],[URL*]],"#",-1)</f>
        <v>expectation-that-data-is-preserved-between-versions</v>
      </c>
      <c r="T290" t="str">
        <f>SUBSTITUTE(SUBSTITUTE(PROPER(SUBSTITUTE(us_core_reqs[[#This Row],[Page]], "-", " "))&amp;": "&amp;PROPER(SUBSTITUTE(us_core_reqs[[#This Row],[Section]], "-", " ")),"Us ","US "), "Uscdi", "USCDI")</f>
        <v>Changes Between Versions: Expectation That Data Is Preserved Between Versions</v>
      </c>
      <c r="U290" t="s">
        <v>32</v>
      </c>
      <c r="V290" t="s">
        <v>1171</v>
      </c>
      <c r="W290" t="s">
        <v>1171</v>
      </c>
      <c r="X290" t="s">
        <v>1171</v>
      </c>
      <c r="Y290" t="s">
        <v>1171</v>
      </c>
      <c r="Z290" t="s">
        <v>1171</v>
      </c>
      <c r="AA290" t="s">
        <v>1171</v>
      </c>
      <c r="AB290" t="s">
        <v>1171</v>
      </c>
      <c r="AC290" t="s">
        <v>1171</v>
      </c>
      <c r="AD290" t="s">
        <v>1171</v>
      </c>
    </row>
    <row r="291" spans="1:30" ht="85" x14ac:dyDescent="0.2">
      <c r="A291" t="s">
        <v>1171</v>
      </c>
      <c r="B291" t="s">
        <v>1463</v>
      </c>
      <c r="C291" t="str">
        <f>"CONF-"&amp;TEXT(us_core_reqs[[#This Row],[ID*]], "0000")</f>
        <v>CONF-0290</v>
      </c>
      <c r="D291" s="11" t="s">
        <v>1897</v>
      </c>
      <c r="E291" t="str">
        <f>SUBSTITUTE(us_core_reqs[[#This Row],[URL*]], "https://hl7.org/fhir/us/core/STU8/","")</f>
        <v>changes-between-versions.html#expectation-that-data-is-preserved-between-versions</v>
      </c>
      <c r="F291" s="11" t="s">
        <v>1949</v>
      </c>
      <c r="G291" t="s">
        <v>32</v>
      </c>
      <c r="I291" t="s">
        <v>30</v>
      </c>
      <c r="J291" t="s">
        <v>1171</v>
      </c>
      <c r="K291" t="s">
        <v>1171</v>
      </c>
      <c r="L291" t="s">
        <v>1173</v>
      </c>
      <c r="M291" t="s">
        <v>1171</v>
      </c>
      <c r="N291" t="s">
        <v>1171</v>
      </c>
      <c r="O291" t="s">
        <v>1171</v>
      </c>
      <c r="P291" t="s">
        <v>1171</v>
      </c>
      <c r="Q291" t="s">
        <v>1171</v>
      </c>
      <c r="R291" t="str">
        <f>_xlfn.TEXTBEFORE(_xlfn.TEXTAFTER(us_core_reqs[[#This Row],[URL*]],"/",-1),".")</f>
        <v>changes-between-versions</v>
      </c>
      <c r="S291" t="str">
        <f>_xlfn.TEXTAFTER(us_core_reqs[[#This Row],[URL*]],"#",-1)</f>
        <v>expectation-that-data-is-preserved-between-versions</v>
      </c>
      <c r="T291" t="str">
        <f>SUBSTITUTE(SUBSTITUTE(PROPER(SUBSTITUTE(us_core_reqs[[#This Row],[Page]], "-", " "))&amp;": "&amp;PROPER(SUBSTITUTE(us_core_reqs[[#This Row],[Section]], "-", " ")),"Us ","US "), "Uscdi", "USCDI")</f>
        <v>Changes Between Versions: Expectation That Data Is Preserved Between Versions</v>
      </c>
      <c r="U291" t="s">
        <v>35</v>
      </c>
      <c r="V291" t="s">
        <v>1171</v>
      </c>
      <c r="W291" t="s">
        <v>1171</v>
      </c>
      <c r="X291" t="s">
        <v>1171</v>
      </c>
      <c r="Y291" t="s">
        <v>1171</v>
      </c>
      <c r="Z291" t="s">
        <v>1171</v>
      </c>
      <c r="AA291" t="s">
        <v>1171</v>
      </c>
      <c r="AB291" t="s">
        <v>1171</v>
      </c>
      <c r="AC291" t="s">
        <v>1171</v>
      </c>
      <c r="AD291" t="s">
        <v>1171</v>
      </c>
    </row>
    <row r="292" spans="1:30" ht="85" x14ac:dyDescent="0.2">
      <c r="A292" t="s">
        <v>1171</v>
      </c>
      <c r="B292" t="s">
        <v>1464</v>
      </c>
      <c r="C292" t="str">
        <f>"CONF-"&amp;TEXT(us_core_reqs[[#This Row],[ID*]], "0000")</f>
        <v>CONF-0291</v>
      </c>
      <c r="D292" s="11" t="s">
        <v>1897</v>
      </c>
      <c r="E292" t="str">
        <f>SUBSTITUTE(us_core_reqs[[#This Row],[URL*]], "https://hl7.org/fhir/us/core/STU8/","")</f>
        <v>changes-between-versions.html#expectation-that-data-is-preserved-between-versions</v>
      </c>
      <c r="F292" s="11" t="s">
        <v>1950</v>
      </c>
      <c r="G292" t="s">
        <v>32</v>
      </c>
      <c r="I292" t="s">
        <v>30</v>
      </c>
      <c r="J292" t="s">
        <v>1171</v>
      </c>
      <c r="K292" t="s">
        <v>1171</v>
      </c>
      <c r="L292" t="s">
        <v>1173</v>
      </c>
      <c r="M292" t="s">
        <v>1171</v>
      </c>
      <c r="N292" t="s">
        <v>1171</v>
      </c>
      <c r="O292" t="s">
        <v>1171</v>
      </c>
      <c r="P292" t="s">
        <v>1171</v>
      </c>
      <c r="Q292" t="s">
        <v>1171</v>
      </c>
      <c r="R292" t="str">
        <f>_xlfn.TEXTBEFORE(_xlfn.TEXTAFTER(us_core_reqs[[#This Row],[URL*]],"/",-1),".")</f>
        <v>changes-between-versions</v>
      </c>
      <c r="S292" t="str">
        <f>_xlfn.TEXTAFTER(us_core_reqs[[#This Row],[URL*]],"#",-1)</f>
        <v>expectation-that-data-is-preserved-between-versions</v>
      </c>
      <c r="T292" t="str">
        <f>SUBSTITUTE(SUBSTITUTE(PROPER(SUBSTITUTE(us_core_reqs[[#This Row],[Page]], "-", " "))&amp;": "&amp;PROPER(SUBSTITUTE(us_core_reqs[[#This Row],[Section]], "-", " ")),"Us ","US "), "Uscdi", "USCDI")</f>
        <v>Changes Between Versions: Expectation That Data Is Preserved Between Versions</v>
      </c>
      <c r="U292" t="s">
        <v>32</v>
      </c>
      <c r="V292" t="s">
        <v>1171</v>
      </c>
      <c r="W292" t="s">
        <v>1171</v>
      </c>
      <c r="X292" t="s">
        <v>1171</v>
      </c>
      <c r="Y292" t="s">
        <v>1171</v>
      </c>
      <c r="Z292" t="s">
        <v>1171</v>
      </c>
      <c r="AA292" t="s">
        <v>1171</v>
      </c>
      <c r="AB292" t="s">
        <v>1171</v>
      </c>
      <c r="AC292" t="s">
        <v>1171</v>
      </c>
      <c r="AD292" t="s">
        <v>1171</v>
      </c>
    </row>
    <row r="293" spans="1:30" ht="51" x14ac:dyDescent="0.2">
      <c r="A293" t="s">
        <v>1171</v>
      </c>
      <c r="B293" t="s">
        <v>1465</v>
      </c>
      <c r="C293" t="str">
        <f>"CONF-"&amp;TEXT(us_core_reqs[[#This Row],[ID*]], "0000")</f>
        <v>CONF-0292</v>
      </c>
      <c r="D293" s="11" t="s">
        <v>1897</v>
      </c>
      <c r="E293" t="str">
        <f>SUBSTITUTE(us_core_reqs[[#This Row],[URL*]], "https://hl7.org/fhir/us/core/STU8/","")</f>
        <v>changes-between-versions.html#expectation-that-data-is-preserved-between-versions</v>
      </c>
      <c r="F293" s="11" t="s">
        <v>1948</v>
      </c>
      <c r="G293" t="s">
        <v>32</v>
      </c>
      <c r="I293" t="s">
        <v>58</v>
      </c>
      <c r="J293" t="s">
        <v>1171</v>
      </c>
      <c r="K293" t="s">
        <v>1104</v>
      </c>
      <c r="L293" t="s">
        <v>1176</v>
      </c>
      <c r="M293" t="s">
        <v>315</v>
      </c>
      <c r="N293" t="s">
        <v>1171</v>
      </c>
      <c r="O293" t="s">
        <v>1171</v>
      </c>
      <c r="P293" t="s">
        <v>1171</v>
      </c>
      <c r="Q293" t="s">
        <v>1171</v>
      </c>
      <c r="R293" t="str">
        <f>_xlfn.TEXTBEFORE(_xlfn.TEXTAFTER(us_core_reqs[[#This Row],[URL*]],"/",-1),".")</f>
        <v>changes-between-versions</v>
      </c>
      <c r="S293" t="str">
        <f>_xlfn.TEXTAFTER(us_core_reqs[[#This Row],[URL*]],"#",-1)</f>
        <v>expectation-that-data-is-preserved-between-versions</v>
      </c>
      <c r="T293" t="str">
        <f>SUBSTITUTE(SUBSTITUTE(PROPER(SUBSTITUTE(us_core_reqs[[#This Row],[Page]], "-", " "))&amp;": "&amp;PROPER(SUBSTITUTE(us_core_reqs[[#This Row],[Section]], "-", " ")),"Us ","US "), "Uscdi", "USCDI")</f>
        <v>Changes Between Versions: Expectation That Data Is Preserved Between Versions</v>
      </c>
      <c r="U293" t="s">
        <v>32</v>
      </c>
      <c r="V293" t="s">
        <v>1171</v>
      </c>
      <c r="W293" t="s">
        <v>1171</v>
      </c>
      <c r="X293" t="s">
        <v>1171</v>
      </c>
      <c r="Y293" t="s">
        <v>1171</v>
      </c>
      <c r="Z293" t="s">
        <v>1171</v>
      </c>
      <c r="AA293" t="s">
        <v>1171</v>
      </c>
      <c r="AB293" t="s">
        <v>1171</v>
      </c>
      <c r="AC293" t="s">
        <v>1171</v>
      </c>
      <c r="AD293" t="s">
        <v>1171</v>
      </c>
    </row>
    <row r="294" spans="1:30" ht="85" x14ac:dyDescent="0.2">
      <c r="A294" t="s">
        <v>1171</v>
      </c>
      <c r="B294" t="s">
        <v>1466</v>
      </c>
      <c r="C294" t="str">
        <f>"CONF-"&amp;TEXT(us_core_reqs[[#This Row],[ID*]], "0000")</f>
        <v>CONF-0293</v>
      </c>
      <c r="D294" s="11" t="s">
        <v>1897</v>
      </c>
      <c r="E294" t="str">
        <f>SUBSTITUTE(us_core_reqs[[#This Row],[URL*]], "https://hl7.org/fhir/us/core/STU8/","")</f>
        <v>changes-between-versions.html#expectation-that-data-is-preserved-between-versions</v>
      </c>
      <c r="F294" s="11" t="s">
        <v>1949</v>
      </c>
      <c r="G294" t="s">
        <v>32</v>
      </c>
      <c r="I294" t="s">
        <v>58</v>
      </c>
      <c r="J294" t="s">
        <v>1171</v>
      </c>
      <c r="K294" t="s">
        <v>1171</v>
      </c>
      <c r="L294" t="s">
        <v>1173</v>
      </c>
      <c r="M294" t="s">
        <v>1171</v>
      </c>
      <c r="N294" t="s">
        <v>1171</v>
      </c>
      <c r="O294" t="s">
        <v>1171</v>
      </c>
      <c r="P294" t="s">
        <v>1171</v>
      </c>
      <c r="Q294" t="s">
        <v>1171</v>
      </c>
      <c r="R294" t="str">
        <f>_xlfn.TEXTBEFORE(_xlfn.TEXTAFTER(us_core_reqs[[#This Row],[URL*]],"/",-1),".")</f>
        <v>changes-between-versions</v>
      </c>
      <c r="S294" t="str">
        <f>_xlfn.TEXTAFTER(us_core_reqs[[#This Row],[URL*]],"#",-1)</f>
        <v>expectation-that-data-is-preserved-between-versions</v>
      </c>
      <c r="T294" t="str">
        <f>SUBSTITUTE(SUBSTITUTE(PROPER(SUBSTITUTE(us_core_reqs[[#This Row],[Page]], "-", " "))&amp;": "&amp;PROPER(SUBSTITUTE(us_core_reqs[[#This Row],[Section]], "-", " ")),"Us ","US "), "Uscdi", "USCDI")</f>
        <v>Changes Between Versions: Expectation That Data Is Preserved Between Versions</v>
      </c>
      <c r="U294" t="s">
        <v>35</v>
      </c>
      <c r="V294" t="s">
        <v>1171</v>
      </c>
      <c r="W294" t="s">
        <v>1171</v>
      </c>
      <c r="X294" t="s">
        <v>1171</v>
      </c>
      <c r="Y294" t="s">
        <v>1171</v>
      </c>
      <c r="Z294" t="s">
        <v>1171</v>
      </c>
      <c r="AA294" t="s">
        <v>1171</v>
      </c>
      <c r="AB294" t="s">
        <v>1171</v>
      </c>
      <c r="AC294" t="s">
        <v>1171</v>
      </c>
      <c r="AD294" t="s">
        <v>1171</v>
      </c>
    </row>
    <row r="295" spans="1:30" ht="85" x14ac:dyDescent="0.2">
      <c r="A295" t="s">
        <v>1171</v>
      </c>
      <c r="B295" t="s">
        <v>1467</v>
      </c>
      <c r="C295" t="str">
        <f>"CONF-"&amp;TEXT(us_core_reqs[[#This Row],[ID*]], "0000")</f>
        <v>CONF-0294</v>
      </c>
      <c r="D295" s="11" t="s">
        <v>1897</v>
      </c>
      <c r="E295" t="str">
        <f>SUBSTITUTE(us_core_reqs[[#This Row],[URL*]], "https://hl7.org/fhir/us/core/STU8/","")</f>
        <v>changes-between-versions.html#expectation-that-data-is-preserved-between-versions</v>
      </c>
      <c r="F295" s="11" t="s">
        <v>1950</v>
      </c>
      <c r="G295" t="s">
        <v>32</v>
      </c>
      <c r="I295" t="s">
        <v>58</v>
      </c>
      <c r="J295" t="s">
        <v>1171</v>
      </c>
      <c r="K295" t="s">
        <v>1171</v>
      </c>
      <c r="L295" t="s">
        <v>1173</v>
      </c>
      <c r="M295" t="s">
        <v>1171</v>
      </c>
      <c r="N295" t="s">
        <v>1171</v>
      </c>
      <c r="O295" t="s">
        <v>1171</v>
      </c>
      <c r="P295" t="s">
        <v>1171</v>
      </c>
      <c r="Q295" t="s">
        <v>1171</v>
      </c>
      <c r="R295" t="str">
        <f>_xlfn.TEXTBEFORE(_xlfn.TEXTAFTER(us_core_reqs[[#This Row],[URL*]],"/",-1),".")</f>
        <v>changes-between-versions</v>
      </c>
      <c r="S295" t="str">
        <f>_xlfn.TEXTAFTER(us_core_reqs[[#This Row],[URL*]],"#",-1)</f>
        <v>expectation-that-data-is-preserved-between-versions</v>
      </c>
      <c r="T295" t="str">
        <f>SUBSTITUTE(SUBSTITUTE(PROPER(SUBSTITUTE(us_core_reqs[[#This Row],[Page]], "-", " "))&amp;": "&amp;PROPER(SUBSTITUTE(us_core_reqs[[#This Row],[Section]], "-", " ")),"Us ","US "), "Uscdi", "USCDI")</f>
        <v>Changes Between Versions: Expectation That Data Is Preserved Between Versions</v>
      </c>
      <c r="U295" t="s">
        <v>32</v>
      </c>
      <c r="V295" t="s">
        <v>1171</v>
      </c>
      <c r="W295" t="s">
        <v>1171</v>
      </c>
      <c r="X295" t="s">
        <v>1171</v>
      </c>
      <c r="Y295" t="s">
        <v>1171</v>
      </c>
      <c r="Z295" t="s">
        <v>1171</v>
      </c>
      <c r="AA295" t="s">
        <v>1171</v>
      </c>
      <c r="AB295" t="s">
        <v>1171</v>
      </c>
      <c r="AC295" t="s">
        <v>1171</v>
      </c>
      <c r="AD295" t="s">
        <v>1171</v>
      </c>
    </row>
    <row r="296" spans="1:30" ht="51" x14ac:dyDescent="0.2">
      <c r="A296" t="s">
        <v>1171</v>
      </c>
      <c r="B296" t="s">
        <v>1468</v>
      </c>
      <c r="C296" t="str">
        <f>"CONF-"&amp;TEXT(us_core_reqs[[#This Row],[ID*]], "0000")</f>
        <v>CONF-0295</v>
      </c>
      <c r="D296" s="11" t="s">
        <v>1897</v>
      </c>
      <c r="E296" t="str">
        <f>SUBSTITUTE(us_core_reqs[[#This Row],[URL*]], "https://hl7.org/fhir/us/core/STU8/","")</f>
        <v>changes-between-versions.html#expectation-that-data-is-preserved-between-versions</v>
      </c>
      <c r="F296" s="11" t="s">
        <v>1951</v>
      </c>
      <c r="G296" t="s">
        <v>32</v>
      </c>
      <c r="I296" t="s">
        <v>30</v>
      </c>
      <c r="J296" t="s">
        <v>1171</v>
      </c>
      <c r="K296" t="s">
        <v>1105</v>
      </c>
      <c r="L296" t="s">
        <v>1176</v>
      </c>
      <c r="M296" t="s">
        <v>317</v>
      </c>
      <c r="N296" t="s">
        <v>1171</v>
      </c>
      <c r="O296" t="s">
        <v>1171</v>
      </c>
      <c r="P296" t="s">
        <v>1171</v>
      </c>
      <c r="Q296" t="s">
        <v>1171</v>
      </c>
      <c r="R296" t="str">
        <f>_xlfn.TEXTBEFORE(_xlfn.TEXTAFTER(us_core_reqs[[#This Row],[URL*]],"/",-1),".")</f>
        <v>changes-between-versions</v>
      </c>
      <c r="S296" t="str">
        <f>_xlfn.TEXTAFTER(us_core_reqs[[#This Row],[URL*]],"#",-1)</f>
        <v>expectation-that-data-is-preserved-between-versions</v>
      </c>
      <c r="T296" t="str">
        <f>SUBSTITUTE(SUBSTITUTE(PROPER(SUBSTITUTE(us_core_reqs[[#This Row],[Page]], "-", " "))&amp;": "&amp;PROPER(SUBSTITUTE(us_core_reqs[[#This Row],[Section]], "-", " ")),"Us ","US "), "Uscdi", "USCDI")</f>
        <v>Changes Between Versions: Expectation That Data Is Preserved Between Versions</v>
      </c>
      <c r="U296" t="s">
        <v>32</v>
      </c>
      <c r="V296" t="s">
        <v>30</v>
      </c>
      <c r="W296" t="s">
        <v>1171</v>
      </c>
      <c r="X296" t="s">
        <v>1171</v>
      </c>
      <c r="Y296" t="s">
        <v>1171</v>
      </c>
      <c r="Z296" t="s">
        <v>1171</v>
      </c>
      <c r="AA296" t="s">
        <v>1171</v>
      </c>
      <c r="AB296" t="s">
        <v>1171</v>
      </c>
      <c r="AC296" t="s">
        <v>1171</v>
      </c>
      <c r="AD296" t="s">
        <v>1171</v>
      </c>
    </row>
    <row r="297" spans="1:30" ht="85" x14ac:dyDescent="0.2">
      <c r="A297" t="s">
        <v>1171</v>
      </c>
      <c r="B297" t="s">
        <v>1469</v>
      </c>
      <c r="C297" t="str">
        <f>"CONF-"&amp;TEXT(us_core_reqs[[#This Row],[ID*]], "0000")</f>
        <v>CONF-0296</v>
      </c>
      <c r="D297" s="11" t="s">
        <v>1897</v>
      </c>
      <c r="E297" t="str">
        <f>SUBSTITUTE(us_core_reqs[[#This Row],[URL*]], "https://hl7.org/fhir/us/core/STU8/","")</f>
        <v>changes-between-versions.html#expectation-that-data-is-preserved-between-versions</v>
      </c>
      <c r="F297" s="11" t="s">
        <v>1952</v>
      </c>
      <c r="G297" t="s">
        <v>32</v>
      </c>
      <c r="I297" t="s">
        <v>30</v>
      </c>
      <c r="J297" t="s">
        <v>1171</v>
      </c>
      <c r="K297" t="s">
        <v>1171</v>
      </c>
      <c r="L297" t="s">
        <v>1173</v>
      </c>
      <c r="M297" t="s">
        <v>1171</v>
      </c>
      <c r="N297" t="s">
        <v>1171</v>
      </c>
      <c r="O297" t="s">
        <v>1171</v>
      </c>
      <c r="P297" t="s">
        <v>1171</v>
      </c>
      <c r="Q297" t="s">
        <v>1171</v>
      </c>
      <c r="R297" t="str">
        <f>_xlfn.TEXTBEFORE(_xlfn.TEXTAFTER(us_core_reqs[[#This Row],[URL*]],"/",-1),".")</f>
        <v>changes-between-versions</v>
      </c>
      <c r="S297" t="str">
        <f>_xlfn.TEXTAFTER(us_core_reqs[[#This Row],[URL*]],"#",-1)</f>
        <v>expectation-that-data-is-preserved-between-versions</v>
      </c>
      <c r="T297" t="str">
        <f>SUBSTITUTE(SUBSTITUTE(PROPER(SUBSTITUTE(us_core_reqs[[#This Row],[Page]], "-", " "))&amp;": "&amp;PROPER(SUBSTITUTE(us_core_reqs[[#This Row],[Section]], "-", " ")),"Us ","US "), "Uscdi", "USCDI")</f>
        <v>Changes Between Versions: Expectation That Data Is Preserved Between Versions</v>
      </c>
      <c r="U297" t="s">
        <v>32</v>
      </c>
      <c r="V297" t="s">
        <v>30</v>
      </c>
      <c r="W297" t="s">
        <v>31</v>
      </c>
      <c r="X297" t="s">
        <v>1171</v>
      </c>
      <c r="Y297" t="s">
        <v>1171</v>
      </c>
      <c r="Z297" t="s">
        <v>1171</v>
      </c>
      <c r="AA297" t="s">
        <v>1171</v>
      </c>
      <c r="AB297" t="s">
        <v>1171</v>
      </c>
      <c r="AC297" t="s">
        <v>1171</v>
      </c>
      <c r="AD297" t="s">
        <v>1171</v>
      </c>
    </row>
    <row r="298" spans="1:30" ht="85" x14ac:dyDescent="0.2">
      <c r="A298" t="s">
        <v>1171</v>
      </c>
      <c r="B298" t="s">
        <v>1470</v>
      </c>
      <c r="C298" t="str">
        <f>"CONF-"&amp;TEXT(us_core_reqs[[#This Row],[ID*]], "0000")</f>
        <v>CONF-0297</v>
      </c>
      <c r="D298" s="11" t="s">
        <v>1897</v>
      </c>
      <c r="E298" t="str">
        <f>SUBSTITUTE(us_core_reqs[[#This Row],[URL*]], "https://hl7.org/fhir/us/core/STU8/","")</f>
        <v>changes-between-versions.html#expectation-that-data-is-preserved-between-versions</v>
      </c>
      <c r="F298" s="11" t="s">
        <v>1953</v>
      </c>
      <c r="G298" t="s">
        <v>32</v>
      </c>
      <c r="I298" t="s">
        <v>30</v>
      </c>
      <c r="J298" t="s">
        <v>1171</v>
      </c>
      <c r="K298" t="s">
        <v>1171</v>
      </c>
      <c r="L298" t="s">
        <v>1173</v>
      </c>
      <c r="M298" t="s">
        <v>1171</v>
      </c>
      <c r="N298" t="s">
        <v>1171</v>
      </c>
      <c r="O298" t="s">
        <v>1171</v>
      </c>
      <c r="P298" t="s">
        <v>1171</v>
      </c>
      <c r="Q298" t="s">
        <v>1171</v>
      </c>
      <c r="R298" t="str">
        <f>_xlfn.TEXTBEFORE(_xlfn.TEXTAFTER(us_core_reqs[[#This Row],[URL*]],"/",-1),".")</f>
        <v>changes-between-versions</v>
      </c>
      <c r="S298" t="str">
        <f>_xlfn.TEXTAFTER(us_core_reqs[[#This Row],[URL*]],"#",-1)</f>
        <v>expectation-that-data-is-preserved-between-versions</v>
      </c>
      <c r="T298" t="str">
        <f>SUBSTITUTE(SUBSTITUTE(PROPER(SUBSTITUTE(us_core_reqs[[#This Row],[Page]], "-", " "))&amp;": "&amp;PROPER(SUBSTITUTE(us_core_reqs[[#This Row],[Section]], "-", " ")),"Us ","US "), "Uscdi", "USCDI")</f>
        <v>Changes Between Versions: Expectation That Data Is Preserved Between Versions</v>
      </c>
      <c r="U298" t="s">
        <v>32</v>
      </c>
      <c r="V298" t="s">
        <v>30</v>
      </c>
      <c r="W298" t="s">
        <v>320</v>
      </c>
      <c r="X298" t="s">
        <v>1171</v>
      </c>
      <c r="Y298" t="s">
        <v>1171</v>
      </c>
      <c r="Z298" t="s">
        <v>1171</v>
      </c>
      <c r="AA298" t="s">
        <v>1171</v>
      </c>
      <c r="AB298" t="s">
        <v>1171</v>
      </c>
      <c r="AC298" t="s">
        <v>1171</v>
      </c>
      <c r="AD298" t="s">
        <v>1171</v>
      </c>
    </row>
    <row r="299" spans="1:30" ht="51" x14ac:dyDescent="0.2">
      <c r="A299" t="s">
        <v>1171</v>
      </c>
      <c r="B299" t="s">
        <v>1471</v>
      </c>
      <c r="C299" t="str">
        <f>"CONF-"&amp;TEXT(us_core_reqs[[#This Row],[ID*]], "0000")</f>
        <v>CONF-0298</v>
      </c>
      <c r="D299" s="11" t="s">
        <v>1897</v>
      </c>
      <c r="E299" t="str">
        <f>SUBSTITUTE(us_core_reqs[[#This Row],[URL*]], "https://hl7.org/fhir/us/core/STU8/","")</f>
        <v>changes-between-versions.html#expectation-that-data-is-preserved-between-versions</v>
      </c>
      <c r="F299" s="11" t="s">
        <v>1954</v>
      </c>
      <c r="G299" t="s">
        <v>32</v>
      </c>
      <c r="I299" t="s">
        <v>30</v>
      </c>
      <c r="J299" t="s">
        <v>1171</v>
      </c>
      <c r="K299" t="s">
        <v>1171</v>
      </c>
      <c r="L299" t="s">
        <v>1173</v>
      </c>
      <c r="M299" t="s">
        <v>1171</v>
      </c>
      <c r="N299" t="s">
        <v>1171</v>
      </c>
      <c r="O299" t="s">
        <v>1171</v>
      </c>
      <c r="P299" t="s">
        <v>1171</v>
      </c>
      <c r="Q299" t="s">
        <v>1171</v>
      </c>
      <c r="R299" t="str">
        <f>_xlfn.TEXTBEFORE(_xlfn.TEXTAFTER(us_core_reqs[[#This Row],[URL*]],"/",-1),".")</f>
        <v>changes-between-versions</v>
      </c>
      <c r="S299" t="str">
        <f>_xlfn.TEXTAFTER(us_core_reqs[[#This Row],[URL*]],"#",-1)</f>
        <v>expectation-that-data-is-preserved-between-versions</v>
      </c>
      <c r="T299" t="str">
        <f>SUBSTITUTE(SUBSTITUTE(PROPER(SUBSTITUTE(us_core_reqs[[#This Row],[Page]], "-", " "))&amp;": "&amp;PROPER(SUBSTITUTE(us_core_reqs[[#This Row],[Section]], "-", " ")),"Us ","US "), "Uscdi", "USCDI")</f>
        <v>Changes Between Versions: Expectation That Data Is Preserved Between Versions</v>
      </c>
      <c r="U299" t="s">
        <v>32</v>
      </c>
      <c r="V299" t="s">
        <v>1171</v>
      </c>
      <c r="W299" t="s">
        <v>106</v>
      </c>
      <c r="X299" t="s">
        <v>1171</v>
      </c>
      <c r="Y299" t="s">
        <v>1171</v>
      </c>
      <c r="Z299" t="s">
        <v>1171</v>
      </c>
      <c r="AA299" t="s">
        <v>1171</v>
      </c>
      <c r="AB299" t="s">
        <v>1171</v>
      </c>
      <c r="AC299" t="s">
        <v>1171</v>
      </c>
      <c r="AD299" t="s">
        <v>1171</v>
      </c>
    </row>
    <row r="300" spans="1:30" ht="51" x14ac:dyDescent="0.2">
      <c r="A300" t="s">
        <v>1171</v>
      </c>
      <c r="B300" t="s">
        <v>1472</v>
      </c>
      <c r="C300" t="str">
        <f>"CONF-"&amp;TEXT(us_core_reqs[[#This Row],[ID*]], "0000")</f>
        <v>CONF-0299</v>
      </c>
      <c r="D300" s="11" t="s">
        <v>1897</v>
      </c>
      <c r="E300" t="str">
        <f>SUBSTITUTE(us_core_reqs[[#This Row],[URL*]], "https://hl7.org/fhir/us/core/STU8/","")</f>
        <v>changes-between-versions.html#expectation-that-data-is-preserved-between-versions</v>
      </c>
      <c r="F300" s="11" t="s">
        <v>1955</v>
      </c>
      <c r="G300" t="s">
        <v>32</v>
      </c>
      <c r="I300" t="s">
        <v>58</v>
      </c>
      <c r="J300" t="s">
        <v>1171</v>
      </c>
      <c r="K300" t="s">
        <v>1171</v>
      </c>
      <c r="L300" t="s">
        <v>1173</v>
      </c>
      <c r="M300" t="s">
        <v>1171</v>
      </c>
      <c r="N300" t="s">
        <v>1171</v>
      </c>
      <c r="O300" t="s">
        <v>1171</v>
      </c>
      <c r="P300" t="s">
        <v>1171</v>
      </c>
      <c r="Q300" t="s">
        <v>1171</v>
      </c>
      <c r="R300" t="str">
        <f>_xlfn.TEXTBEFORE(_xlfn.TEXTAFTER(us_core_reqs[[#This Row],[URL*]],"/",-1),".")</f>
        <v>changes-between-versions</v>
      </c>
      <c r="S300" t="str">
        <f>_xlfn.TEXTAFTER(us_core_reqs[[#This Row],[URL*]],"#",-1)</f>
        <v>expectation-that-data-is-preserved-between-versions</v>
      </c>
      <c r="T300" t="str">
        <f>SUBSTITUTE(SUBSTITUTE(PROPER(SUBSTITUTE(us_core_reqs[[#This Row],[Page]], "-", " "))&amp;": "&amp;PROPER(SUBSTITUTE(us_core_reqs[[#This Row],[Section]], "-", " ")),"Us ","US "), "Uscdi", "USCDI")</f>
        <v>Changes Between Versions: Expectation That Data Is Preserved Between Versions</v>
      </c>
      <c r="U300" t="s">
        <v>32</v>
      </c>
      <c r="V300" t="s">
        <v>58</v>
      </c>
      <c r="W300" t="s">
        <v>106</v>
      </c>
      <c r="X300" t="s">
        <v>1171</v>
      </c>
      <c r="Y300" t="s">
        <v>1171</v>
      </c>
      <c r="Z300" t="s">
        <v>1171</v>
      </c>
      <c r="AA300" t="s">
        <v>1171</v>
      </c>
      <c r="AB300" t="s">
        <v>1171</v>
      </c>
      <c r="AC300" t="s">
        <v>1171</v>
      </c>
      <c r="AD300" t="s">
        <v>1171</v>
      </c>
    </row>
    <row r="301" spans="1:30" ht="68" x14ac:dyDescent="0.2">
      <c r="A301" t="s">
        <v>1171</v>
      </c>
      <c r="B301" t="s">
        <v>1473</v>
      </c>
      <c r="C301" t="str">
        <f>"CONF-"&amp;TEXT(us_core_reqs[[#This Row],[ID*]], "0000")</f>
        <v>CONF-0300</v>
      </c>
      <c r="D301" s="11" t="s">
        <v>862</v>
      </c>
      <c r="E301" t="str">
        <f>SUBSTITUTE(us_core_reqs[[#This Row],[URL*]], "https://hl7.org/fhir/us/core/STU8/","")</f>
        <v>changes-between-versions.html#authorization-across-versions</v>
      </c>
      <c r="F301" s="11" t="s">
        <v>1898</v>
      </c>
      <c r="G301" t="s">
        <v>32</v>
      </c>
      <c r="I301" t="s">
        <v>30</v>
      </c>
      <c r="J301" t="s">
        <v>1171</v>
      </c>
      <c r="K301" t="s">
        <v>1171</v>
      </c>
      <c r="L301" t="s">
        <v>1173</v>
      </c>
      <c r="M301" t="s">
        <v>1171</v>
      </c>
      <c r="N301" t="s">
        <v>1171</v>
      </c>
      <c r="O301" t="s">
        <v>1171</v>
      </c>
      <c r="P301" t="s">
        <v>1171</v>
      </c>
      <c r="Q301" t="s">
        <v>1171</v>
      </c>
      <c r="R301" t="str">
        <f>_xlfn.TEXTBEFORE(_xlfn.TEXTAFTER(us_core_reqs[[#This Row],[URL*]],"/",-1),".")</f>
        <v>changes-between-versions</v>
      </c>
      <c r="S301" t="str">
        <f>_xlfn.TEXTAFTER(us_core_reqs[[#This Row],[URL*]],"#",-1)</f>
        <v>authorization-across-versions</v>
      </c>
      <c r="T301" t="str">
        <f>SUBSTITUTE(SUBSTITUTE(PROPER(SUBSTITUTE(us_core_reqs[[#This Row],[Page]], "-", " "))&amp;": "&amp;PROPER(SUBSTITUTE(us_core_reqs[[#This Row],[Section]], "-", " ")),"Us ","US "), "Uscdi", "USCDI")</f>
        <v>Changes Between Versions: Authorization Across Versions</v>
      </c>
      <c r="U301" t="s">
        <v>1171</v>
      </c>
      <c r="V301" t="s">
        <v>1171</v>
      </c>
      <c r="W301" t="s">
        <v>106</v>
      </c>
      <c r="X301" t="s">
        <v>1171</v>
      </c>
      <c r="Y301" t="s">
        <v>1171</v>
      </c>
      <c r="Z301" t="s">
        <v>1171</v>
      </c>
      <c r="AA301" t="s">
        <v>1171</v>
      </c>
      <c r="AB301" t="s">
        <v>1171</v>
      </c>
      <c r="AC301" t="s">
        <v>1141</v>
      </c>
      <c r="AD301" t="s">
        <v>1171</v>
      </c>
    </row>
    <row r="302" spans="1:30" ht="34" x14ac:dyDescent="0.2">
      <c r="A302" t="s">
        <v>1171</v>
      </c>
      <c r="B302" t="s">
        <v>1474</v>
      </c>
      <c r="C302" t="str">
        <f>"CONF-"&amp;TEXT(us_core_reqs[[#This Row],[ID*]], "0000")</f>
        <v>CONF-0301</v>
      </c>
      <c r="D302" s="11" t="s">
        <v>862</v>
      </c>
      <c r="E302" t="str">
        <f>SUBSTITUTE(us_core_reqs[[#This Row],[URL*]], "https://hl7.org/fhir/us/core/STU8/","")</f>
        <v>changes-between-versions.html#authorization-across-versions</v>
      </c>
      <c r="F302" s="11" t="s">
        <v>322</v>
      </c>
      <c r="G302" t="s">
        <v>64</v>
      </c>
      <c r="I302" t="s">
        <v>58</v>
      </c>
      <c r="J302" t="s">
        <v>1171</v>
      </c>
      <c r="K302" t="s">
        <v>1171</v>
      </c>
      <c r="L302" t="s">
        <v>1173</v>
      </c>
      <c r="M302" t="s">
        <v>1171</v>
      </c>
      <c r="N302" t="s">
        <v>1171</v>
      </c>
      <c r="O302" t="s">
        <v>1171</v>
      </c>
      <c r="P302" t="s">
        <v>1171</v>
      </c>
      <c r="Q302" t="s">
        <v>1171</v>
      </c>
      <c r="R302" t="str">
        <f>_xlfn.TEXTBEFORE(_xlfn.TEXTAFTER(us_core_reqs[[#This Row],[URL*]],"/",-1),".")</f>
        <v>changes-between-versions</v>
      </c>
      <c r="S302" t="str">
        <f>_xlfn.TEXTAFTER(us_core_reqs[[#This Row],[URL*]],"#",-1)</f>
        <v>authorization-across-versions</v>
      </c>
      <c r="T302" t="str">
        <f>SUBSTITUTE(SUBSTITUTE(PROPER(SUBSTITUTE(us_core_reqs[[#This Row],[Page]], "-", " "))&amp;": "&amp;PROPER(SUBSTITUTE(us_core_reqs[[#This Row],[Section]], "-", " ")),"Us ","US "), "Uscdi", "USCDI")</f>
        <v>Changes Between Versions: Authorization Across Versions</v>
      </c>
      <c r="U302" t="s">
        <v>1171</v>
      </c>
      <c r="V302" t="s">
        <v>1171</v>
      </c>
      <c r="W302" t="s">
        <v>106</v>
      </c>
      <c r="X302" t="s">
        <v>1171</v>
      </c>
      <c r="Y302" t="s">
        <v>1171</v>
      </c>
      <c r="Z302" t="s">
        <v>1171</v>
      </c>
      <c r="AA302" t="s">
        <v>1171</v>
      </c>
      <c r="AB302" t="s">
        <v>1171</v>
      </c>
      <c r="AC302" t="s">
        <v>1171</v>
      </c>
      <c r="AD302" t="s">
        <v>1171</v>
      </c>
    </row>
    <row r="303" spans="1:30" ht="51" x14ac:dyDescent="0.2">
      <c r="A303" t="s">
        <v>1171</v>
      </c>
      <c r="B303" t="s">
        <v>1475</v>
      </c>
      <c r="C303" t="str">
        <f>"CONF-"&amp;TEXT(us_core_reqs[[#This Row],[ID*]], "0000")</f>
        <v>CONF-0302</v>
      </c>
      <c r="D303" s="11" t="s">
        <v>634</v>
      </c>
      <c r="E303" t="str">
        <f>SUBSTITUTE(us_core_reqs[[#This Row],[URL*]], "https://hl7.org/fhir/us/core/STU8/","")</f>
        <v>StructureDefinition-us-core-allergyintolerance.html#mandatory-and-must-support-data-elements</v>
      </c>
      <c r="F303" s="11" t="s">
        <v>2051</v>
      </c>
      <c r="G303" t="s">
        <v>29</v>
      </c>
      <c r="I303" t="s">
        <v>30</v>
      </c>
      <c r="J303" t="s">
        <v>1171</v>
      </c>
      <c r="K303" t="s">
        <v>1171</v>
      </c>
      <c r="L303" t="s">
        <v>1173</v>
      </c>
      <c r="M303" t="s">
        <v>1171</v>
      </c>
      <c r="N303" t="s">
        <v>1171</v>
      </c>
      <c r="O303" t="s">
        <v>1171</v>
      </c>
      <c r="P303" t="s">
        <v>1171</v>
      </c>
      <c r="Q303" t="s">
        <v>1171</v>
      </c>
      <c r="R303" t="str">
        <f>_xlfn.TEXTBEFORE(_xlfn.TEXTAFTER(us_core_reqs[[#This Row],[URL*]],"/",-1),".")</f>
        <v>StructureDefinition-us-core-allergyintolerance</v>
      </c>
      <c r="S303" t="str">
        <f>_xlfn.TEXTAFTER(us_core_reqs[[#This Row],[URL*]],"#",-1)</f>
        <v>mandatory-and-must-support-data-elements</v>
      </c>
      <c r="T303" t="str">
        <f>SUBSTITUTE(SUBSTITUTE(PROPER(SUBSTITUTE(us_core_reqs[[#This Row],[Page]], "-", " "))&amp;": "&amp;PROPER(SUBSTITUTE(us_core_reqs[[#This Row],[Section]], "-", " ")),"Us ","US "), "Uscdi", "USCDI")</f>
        <v>Structuredefinition US Core Allergyintolerance: Mandatory And Must Support Data Elements</v>
      </c>
      <c r="U303" t="s">
        <v>29</v>
      </c>
      <c r="V303" t="s">
        <v>1171</v>
      </c>
      <c r="W303" t="s">
        <v>204</v>
      </c>
      <c r="X303" t="s">
        <v>1171</v>
      </c>
      <c r="Y303" t="s">
        <v>1171</v>
      </c>
      <c r="Z303" t="s">
        <v>1171</v>
      </c>
      <c r="AA303" t="s">
        <v>1171</v>
      </c>
      <c r="AB303" t="s">
        <v>1171</v>
      </c>
      <c r="AC303" t="s">
        <v>1140</v>
      </c>
      <c r="AD303" t="s">
        <v>1171</v>
      </c>
    </row>
    <row r="304" spans="1:30" ht="51" x14ac:dyDescent="0.2">
      <c r="A304" t="s">
        <v>1171</v>
      </c>
      <c r="B304" t="s">
        <v>1476</v>
      </c>
      <c r="C304" t="str">
        <f>"CONF-"&amp;TEXT(us_core_reqs[[#This Row],[ID*]], "0000")</f>
        <v>CONF-0303</v>
      </c>
      <c r="D304" s="11" t="s">
        <v>634</v>
      </c>
      <c r="E304" t="str">
        <f>SUBSTITUTE(us_core_reqs[[#This Row],[URL*]], "https://hl7.org/fhir/us/core/STU8/","")</f>
        <v>StructureDefinition-us-core-allergyintolerance.html#mandatory-and-must-support-data-elements</v>
      </c>
      <c r="F304" s="11" t="s">
        <v>2076</v>
      </c>
      <c r="G304" t="s">
        <v>1833</v>
      </c>
      <c r="I304" t="s">
        <v>30</v>
      </c>
      <c r="J304" t="s">
        <v>1171</v>
      </c>
      <c r="K304" t="s">
        <v>1171</v>
      </c>
      <c r="L304" t="s">
        <v>1173</v>
      </c>
      <c r="M304" t="s">
        <v>1171</v>
      </c>
      <c r="N304" t="s">
        <v>1171</v>
      </c>
      <c r="O304" t="s">
        <v>1171</v>
      </c>
      <c r="P304" t="s">
        <v>1171</v>
      </c>
      <c r="Q304" t="s">
        <v>1171</v>
      </c>
      <c r="R304" t="str">
        <f>_xlfn.TEXTBEFORE(_xlfn.TEXTAFTER(us_core_reqs[[#This Row],[URL*]],"/",-1),".")</f>
        <v>StructureDefinition-us-core-allergyintolerance</v>
      </c>
      <c r="S304" t="str">
        <f>_xlfn.TEXTAFTER(us_core_reqs[[#This Row],[URL*]],"#",-1)</f>
        <v>mandatory-and-must-support-data-elements</v>
      </c>
      <c r="T304" t="str">
        <f>SUBSTITUTE(SUBSTITUTE(PROPER(SUBSTITUTE(us_core_reqs[[#This Row],[Page]], "-", " "))&amp;": "&amp;PROPER(SUBSTITUTE(us_core_reqs[[#This Row],[Section]], "-", " ")),"Us ","US "), "Uscdi", "USCDI")</f>
        <v>Structuredefinition US Core Allergyintolerance: Mandatory And Must Support Data Elements</v>
      </c>
      <c r="U304" t="s">
        <v>29</v>
      </c>
      <c r="V304" t="s">
        <v>1171</v>
      </c>
      <c r="W304" t="s">
        <v>204</v>
      </c>
      <c r="X304" t="s">
        <v>1171</v>
      </c>
      <c r="Y304" t="s">
        <v>1171</v>
      </c>
      <c r="Z304" t="s">
        <v>1171</v>
      </c>
      <c r="AA304" t="s">
        <v>1171</v>
      </c>
      <c r="AB304" t="s">
        <v>1171</v>
      </c>
      <c r="AC304" t="s">
        <v>1140</v>
      </c>
      <c r="AD304" t="s">
        <v>1171</v>
      </c>
    </row>
    <row r="305" spans="1:30" ht="51" x14ac:dyDescent="0.2">
      <c r="A305" t="s">
        <v>1171</v>
      </c>
      <c r="B305" t="s">
        <v>1477</v>
      </c>
      <c r="C305" t="str">
        <f>"CONF-"&amp;TEXT(us_core_reqs[[#This Row],[ID*]], "0000")</f>
        <v>CONF-0304</v>
      </c>
      <c r="D305" s="11" t="s">
        <v>634</v>
      </c>
      <c r="E305" t="str">
        <f>SUBSTITUTE(us_core_reqs[[#This Row],[URL*]], "https://hl7.org/fhir/us/core/STU8/","")</f>
        <v>StructureDefinition-us-core-allergyintolerance.html#mandatory-and-must-support-data-elements</v>
      </c>
      <c r="F305" s="11" t="s">
        <v>325</v>
      </c>
      <c r="G305" t="s">
        <v>64</v>
      </c>
      <c r="I305" t="s">
        <v>30</v>
      </c>
      <c r="J305" t="s">
        <v>1171</v>
      </c>
      <c r="K305" t="s">
        <v>1171</v>
      </c>
      <c r="L305" t="s">
        <v>1173</v>
      </c>
      <c r="M305" t="s">
        <v>1171</v>
      </c>
      <c r="N305" t="s">
        <v>1171</v>
      </c>
      <c r="O305" t="s">
        <v>1171</v>
      </c>
      <c r="P305" t="s">
        <v>1171</v>
      </c>
      <c r="Q305" t="s">
        <v>1171</v>
      </c>
      <c r="R305" t="str">
        <f>_xlfn.TEXTBEFORE(_xlfn.TEXTAFTER(us_core_reqs[[#This Row],[URL*]],"/",-1),".")</f>
        <v>StructureDefinition-us-core-allergyintolerance</v>
      </c>
      <c r="S305" t="str">
        <f>_xlfn.TEXTAFTER(us_core_reqs[[#This Row],[URL*]],"#",-1)</f>
        <v>mandatory-and-must-support-data-elements</v>
      </c>
      <c r="T305" t="str">
        <f>SUBSTITUTE(SUBSTITUTE(PROPER(SUBSTITUTE(us_core_reqs[[#This Row],[Page]], "-", " "))&amp;": "&amp;PROPER(SUBSTITUTE(us_core_reqs[[#This Row],[Section]], "-", " ")),"Us ","US "), "Uscdi", "USCDI")</f>
        <v>Structuredefinition US Core Allergyintolerance: Mandatory And Must Support Data Elements</v>
      </c>
      <c r="U305" t="s">
        <v>1171</v>
      </c>
      <c r="V305" t="s">
        <v>1171</v>
      </c>
      <c r="W305" t="s">
        <v>1171</v>
      </c>
      <c r="X305" t="s">
        <v>1171</v>
      </c>
      <c r="Y305" t="s">
        <v>1171</v>
      </c>
      <c r="Z305" t="s">
        <v>1171</v>
      </c>
      <c r="AA305" t="s">
        <v>1171</v>
      </c>
      <c r="AB305" t="s">
        <v>1167</v>
      </c>
      <c r="AC305" t="s">
        <v>1140</v>
      </c>
      <c r="AD305" t="s">
        <v>1171</v>
      </c>
    </row>
    <row r="306" spans="1:30" ht="68" x14ac:dyDescent="0.2">
      <c r="A306" t="s">
        <v>1171</v>
      </c>
      <c r="B306" t="s">
        <v>1478</v>
      </c>
      <c r="C306" t="str">
        <f>"CONF-"&amp;TEXT(us_core_reqs[[#This Row],[ID*]], "0000")</f>
        <v>CONF-0305</v>
      </c>
      <c r="D306" s="11" t="s">
        <v>634</v>
      </c>
      <c r="E306" t="str">
        <f>SUBSTITUTE(us_core_reqs[[#This Row],[URL*]], "https://hl7.org/fhir/us/core/STU8/","")</f>
        <v>StructureDefinition-us-core-allergyintolerance.html#mandatory-and-must-support-data-elements</v>
      </c>
      <c r="F306" s="11" t="s">
        <v>326</v>
      </c>
      <c r="G306" t="s">
        <v>35</v>
      </c>
      <c r="H306" t="s">
        <v>1879</v>
      </c>
      <c r="I306" t="s">
        <v>30</v>
      </c>
      <c r="J306" t="s">
        <v>1171</v>
      </c>
      <c r="K306" t="s">
        <v>1106</v>
      </c>
      <c r="L306" t="s">
        <v>1176</v>
      </c>
      <c r="M306" t="s">
        <v>327</v>
      </c>
      <c r="N306" t="s">
        <v>1171</v>
      </c>
      <c r="O306" t="s">
        <v>1171</v>
      </c>
      <c r="P306" t="s">
        <v>1171</v>
      </c>
      <c r="Q306" t="s">
        <v>1171</v>
      </c>
      <c r="R306" t="str">
        <f>_xlfn.TEXTBEFORE(_xlfn.TEXTAFTER(us_core_reqs[[#This Row],[URL*]],"/",-1),".")</f>
        <v>StructureDefinition-us-core-allergyintolerance</v>
      </c>
      <c r="S306" t="str">
        <f>_xlfn.TEXTAFTER(us_core_reqs[[#This Row],[URL*]],"#",-1)</f>
        <v>mandatory-and-must-support-data-elements</v>
      </c>
      <c r="T306" t="str">
        <f>SUBSTITUTE(SUBSTITUTE(PROPER(SUBSTITUTE(us_core_reqs[[#This Row],[Page]], "-", " "))&amp;": "&amp;PROPER(SUBSTITUTE(us_core_reqs[[#This Row],[Section]], "-", " ")),"Us ","US "), "Uscdi", "USCDI")</f>
        <v>Structuredefinition US Core Allergyintolerance: Mandatory And Must Support Data Elements</v>
      </c>
      <c r="U306" t="s">
        <v>35</v>
      </c>
      <c r="V306" t="s">
        <v>1171</v>
      </c>
      <c r="W306" t="s">
        <v>1171</v>
      </c>
      <c r="X306" t="s">
        <v>1171</v>
      </c>
      <c r="Y306" t="s">
        <v>1171</v>
      </c>
      <c r="Z306" t="s">
        <v>1171</v>
      </c>
      <c r="AA306" t="s">
        <v>1171</v>
      </c>
      <c r="AB306" t="s">
        <v>1171</v>
      </c>
      <c r="AC306" t="s">
        <v>1171</v>
      </c>
      <c r="AD306" t="s">
        <v>1171</v>
      </c>
    </row>
    <row r="307" spans="1:30" ht="51" x14ac:dyDescent="0.2">
      <c r="A307" t="s">
        <v>1171</v>
      </c>
      <c r="B307" t="s">
        <v>1479</v>
      </c>
      <c r="C307" t="str">
        <f>"CONF-"&amp;TEXT(us_core_reqs[[#This Row],[ID*]], "0000")</f>
        <v>CONF-0306</v>
      </c>
      <c r="D307" s="11" t="s">
        <v>634</v>
      </c>
      <c r="E307" t="str">
        <f>SUBSTITUTE(us_core_reqs[[#This Row],[URL*]], "https://hl7.org/fhir/us/core/STU8/","")</f>
        <v>StructureDefinition-us-core-allergyintolerance.html#mandatory-and-must-support-data-elements</v>
      </c>
      <c r="F307" s="11" t="s">
        <v>328</v>
      </c>
      <c r="G307" t="s">
        <v>29</v>
      </c>
      <c r="I307" t="s">
        <v>30</v>
      </c>
      <c r="J307" t="s">
        <v>1171</v>
      </c>
      <c r="K307" t="s">
        <v>1171</v>
      </c>
      <c r="L307" t="s">
        <v>1176</v>
      </c>
      <c r="M307" t="s">
        <v>329</v>
      </c>
      <c r="N307" t="s">
        <v>1171</v>
      </c>
      <c r="O307" t="s">
        <v>1171</v>
      </c>
      <c r="P307" t="s">
        <v>1171</v>
      </c>
      <c r="Q307" t="s">
        <v>1171</v>
      </c>
      <c r="R307" t="str">
        <f>_xlfn.TEXTBEFORE(_xlfn.TEXTAFTER(us_core_reqs[[#This Row],[URL*]],"/",-1),".")</f>
        <v>StructureDefinition-us-core-allergyintolerance</v>
      </c>
      <c r="S307" t="str">
        <f>_xlfn.TEXTAFTER(us_core_reqs[[#This Row],[URL*]],"#",-1)</f>
        <v>mandatory-and-must-support-data-elements</v>
      </c>
      <c r="T307" t="str">
        <f>SUBSTITUTE(SUBSTITUTE(PROPER(SUBSTITUTE(us_core_reqs[[#This Row],[Page]], "-", " "))&amp;": "&amp;PROPER(SUBSTITUTE(us_core_reqs[[#This Row],[Section]], "-", " ")),"Us ","US "), "Uscdi", "USCDI")</f>
        <v>Structuredefinition US Core Allergyintolerance: Mandatory And Must Support Data Elements</v>
      </c>
      <c r="U307" t="s">
        <v>29</v>
      </c>
      <c r="V307" t="s">
        <v>1171</v>
      </c>
      <c r="W307" t="s">
        <v>1171</v>
      </c>
      <c r="X307" t="s">
        <v>1171</v>
      </c>
      <c r="Y307" t="s">
        <v>1171</v>
      </c>
      <c r="Z307" t="s">
        <v>1171</v>
      </c>
      <c r="AA307" t="s">
        <v>1171</v>
      </c>
      <c r="AB307" t="s">
        <v>1171</v>
      </c>
      <c r="AC307" t="s">
        <v>1141</v>
      </c>
      <c r="AD307" t="s">
        <v>1171</v>
      </c>
    </row>
    <row r="308" spans="1:30" ht="51" x14ac:dyDescent="0.2">
      <c r="A308" t="s">
        <v>1171</v>
      </c>
      <c r="B308" t="s">
        <v>1480</v>
      </c>
      <c r="C308" t="str">
        <f>"CONF-"&amp;TEXT(us_core_reqs[[#This Row],[ID*]], "0000")</f>
        <v>CONF-0307</v>
      </c>
      <c r="D308" s="11" t="s">
        <v>634</v>
      </c>
      <c r="E308" t="str">
        <f>SUBSTITUTE(us_core_reqs[[#This Row],[URL*]], "https://hl7.org/fhir/us/core/STU8/","")</f>
        <v>StructureDefinition-us-core-allergyintolerance.html#mandatory-and-must-support-data-elements</v>
      </c>
      <c r="F308" s="11" t="s">
        <v>330</v>
      </c>
      <c r="G308" t="s">
        <v>29</v>
      </c>
      <c r="I308" t="s">
        <v>30</v>
      </c>
      <c r="J308" t="s">
        <v>1171</v>
      </c>
      <c r="K308" t="s">
        <v>1171</v>
      </c>
      <c r="L308" t="s">
        <v>1176</v>
      </c>
      <c r="M308" t="s">
        <v>329</v>
      </c>
      <c r="N308" t="s">
        <v>1171</v>
      </c>
      <c r="O308" t="s">
        <v>1171</v>
      </c>
      <c r="P308" t="s">
        <v>1171</v>
      </c>
      <c r="Q308" t="s">
        <v>1171</v>
      </c>
      <c r="R308" t="str">
        <f>_xlfn.TEXTBEFORE(_xlfn.TEXTAFTER(us_core_reqs[[#This Row],[URL*]],"/",-1),".")</f>
        <v>StructureDefinition-us-core-allergyintolerance</v>
      </c>
      <c r="S308" t="str">
        <f>_xlfn.TEXTAFTER(us_core_reqs[[#This Row],[URL*]],"#",-1)</f>
        <v>mandatory-and-must-support-data-elements</v>
      </c>
      <c r="T308" t="str">
        <f>SUBSTITUTE(SUBSTITUTE(PROPER(SUBSTITUTE(us_core_reqs[[#This Row],[Page]], "-", " "))&amp;": "&amp;PROPER(SUBSTITUTE(us_core_reqs[[#This Row],[Section]], "-", " ")),"Us ","US "), "Uscdi", "USCDI")</f>
        <v>Structuredefinition US Core Allergyintolerance: Mandatory And Must Support Data Elements</v>
      </c>
      <c r="U308" t="s">
        <v>29</v>
      </c>
      <c r="V308" t="s">
        <v>1171</v>
      </c>
      <c r="W308" t="s">
        <v>1171</v>
      </c>
      <c r="X308" t="s">
        <v>1171</v>
      </c>
      <c r="Y308" t="s">
        <v>1171</v>
      </c>
      <c r="Z308" t="s">
        <v>1171</v>
      </c>
      <c r="AA308" t="s">
        <v>1171</v>
      </c>
      <c r="AB308" t="s">
        <v>1171</v>
      </c>
      <c r="AC308" t="s">
        <v>1141</v>
      </c>
      <c r="AD308" t="s">
        <v>1171</v>
      </c>
    </row>
    <row r="309" spans="1:30" ht="102" x14ac:dyDescent="0.2">
      <c r="A309" t="s">
        <v>1171</v>
      </c>
      <c r="B309" t="s">
        <v>1481</v>
      </c>
      <c r="C309" t="str">
        <f>"CONF-"&amp;TEXT(us_core_reqs[[#This Row],[ID*]], "0000")</f>
        <v>CONF-0308</v>
      </c>
      <c r="D309" s="11" t="s">
        <v>634</v>
      </c>
      <c r="E309" t="str">
        <f>SUBSTITUTE(us_core_reqs[[#This Row],[URL*]], "https://hl7.org/fhir/us/core/STU8/","")</f>
        <v>StructureDefinition-us-core-allergyintolerance.html#mandatory-and-must-support-data-elements</v>
      </c>
      <c r="F309" s="11" t="s">
        <v>331</v>
      </c>
      <c r="G309" t="s">
        <v>32</v>
      </c>
      <c r="I309" t="s">
        <v>30</v>
      </c>
      <c r="J309" t="s">
        <v>1171</v>
      </c>
      <c r="K309" t="s">
        <v>1171</v>
      </c>
      <c r="L309" t="s">
        <v>1176</v>
      </c>
      <c r="M309" t="s">
        <v>332</v>
      </c>
      <c r="N309" t="s">
        <v>1171</v>
      </c>
      <c r="O309" t="s">
        <v>1171</v>
      </c>
      <c r="P309" t="s">
        <v>1171</v>
      </c>
      <c r="Q309" t="s">
        <v>1171</v>
      </c>
      <c r="R309" t="str">
        <f>_xlfn.TEXTBEFORE(_xlfn.TEXTAFTER(us_core_reqs[[#This Row],[URL*]],"/",-1),".")</f>
        <v>StructureDefinition-us-core-allergyintolerance</v>
      </c>
      <c r="S309" t="str">
        <f>_xlfn.TEXTAFTER(us_core_reqs[[#This Row],[URL*]],"#",-1)</f>
        <v>mandatory-and-must-support-data-elements</v>
      </c>
      <c r="T309" t="str">
        <f>SUBSTITUTE(SUBSTITUTE(PROPER(SUBSTITUTE(us_core_reqs[[#This Row],[Page]], "-", " "))&amp;": "&amp;PROPER(SUBSTITUTE(us_core_reqs[[#This Row],[Section]], "-", " ")),"Us ","US "), "Uscdi", "USCDI")</f>
        <v>Structuredefinition US Core Allergyintolerance: Mandatory And Must Support Data Elements</v>
      </c>
      <c r="U309" t="s">
        <v>1171</v>
      </c>
      <c r="V309" t="s">
        <v>1171</v>
      </c>
      <c r="W309" t="s">
        <v>1171</v>
      </c>
      <c r="X309" t="s">
        <v>1171</v>
      </c>
      <c r="Y309" t="s">
        <v>1171</v>
      </c>
      <c r="Z309" t="s">
        <v>1171</v>
      </c>
      <c r="AA309" t="s">
        <v>1171</v>
      </c>
      <c r="AB309" t="s">
        <v>1171</v>
      </c>
      <c r="AC309" t="s">
        <v>1171</v>
      </c>
      <c r="AD309" t="s">
        <v>1171</v>
      </c>
    </row>
    <row r="310" spans="1:30" ht="68" x14ac:dyDescent="0.2">
      <c r="A310" t="s">
        <v>1171</v>
      </c>
      <c r="B310" t="s">
        <v>1482</v>
      </c>
      <c r="C310" t="str">
        <f>"CONF-"&amp;TEXT(us_core_reqs[[#This Row],[ID*]], "0000")</f>
        <v>CONF-0309</v>
      </c>
      <c r="D310" s="11" t="s">
        <v>634</v>
      </c>
      <c r="E310" t="str">
        <f>SUBSTITUTE(us_core_reqs[[#This Row],[URL*]], "https://hl7.org/fhir/us/core/STU8/","")</f>
        <v>StructureDefinition-us-core-allergyintolerance.html#mandatory-and-must-support-data-elements</v>
      </c>
      <c r="F310" s="11" t="s">
        <v>333</v>
      </c>
      <c r="G310" t="s">
        <v>32</v>
      </c>
      <c r="I310" t="s">
        <v>30</v>
      </c>
      <c r="J310" t="s">
        <v>1171</v>
      </c>
      <c r="K310" t="s">
        <v>1171</v>
      </c>
      <c r="L310" t="s">
        <v>1176</v>
      </c>
      <c r="M310" t="s">
        <v>334</v>
      </c>
      <c r="N310" t="s">
        <v>1171</v>
      </c>
      <c r="O310" t="s">
        <v>1171</v>
      </c>
      <c r="P310" t="s">
        <v>1171</v>
      </c>
      <c r="Q310" t="s">
        <v>1171</v>
      </c>
      <c r="R310" t="str">
        <f>_xlfn.TEXTBEFORE(_xlfn.TEXTAFTER(us_core_reqs[[#This Row],[URL*]],"/",-1),".")</f>
        <v>StructureDefinition-us-core-allergyintolerance</v>
      </c>
      <c r="S310" t="str">
        <f>_xlfn.TEXTAFTER(us_core_reqs[[#This Row],[URL*]],"#",-1)</f>
        <v>mandatory-and-must-support-data-elements</v>
      </c>
      <c r="T310" t="str">
        <f>SUBSTITUTE(SUBSTITUTE(PROPER(SUBSTITUTE(us_core_reqs[[#This Row],[Page]], "-", " "))&amp;": "&amp;PROPER(SUBSTITUTE(us_core_reqs[[#This Row],[Section]], "-", " ")),"Us ","US "), "Uscdi", "USCDI")</f>
        <v>Structuredefinition US Core Allergyintolerance: Mandatory And Must Support Data Elements</v>
      </c>
      <c r="U310" t="s">
        <v>1171</v>
      </c>
      <c r="V310" t="s">
        <v>1171</v>
      </c>
      <c r="W310" t="s">
        <v>1171</v>
      </c>
      <c r="X310" t="s">
        <v>1171</v>
      </c>
      <c r="Y310" t="s">
        <v>1171</v>
      </c>
      <c r="Z310" t="s">
        <v>1171</v>
      </c>
      <c r="AA310" t="s">
        <v>1171</v>
      </c>
      <c r="AB310" t="s">
        <v>1171</v>
      </c>
      <c r="AC310" t="s">
        <v>1171</v>
      </c>
      <c r="AD310" t="s">
        <v>1171</v>
      </c>
    </row>
    <row r="311" spans="1:30" ht="68" x14ac:dyDescent="0.2">
      <c r="A311" t="s">
        <v>1171</v>
      </c>
      <c r="B311" t="s">
        <v>1483</v>
      </c>
      <c r="C311" t="str">
        <f>"CONF-"&amp;TEXT(us_core_reqs[[#This Row],[ID*]], "0000")</f>
        <v>CONF-0310</v>
      </c>
      <c r="D311" s="11" t="s">
        <v>636</v>
      </c>
      <c r="E311" t="str">
        <f>SUBSTITUTE(us_core_reqs[[#This Row],[URL*]], "https://hl7.org/fhir/us/core/STU8/","")</f>
        <v>StructureDefinition-us-core-careplan.html#mandatory-and-must-support-data-elements</v>
      </c>
      <c r="F311" s="11" t="s">
        <v>1956</v>
      </c>
      <c r="G311" t="s">
        <v>32</v>
      </c>
      <c r="I311" t="s">
        <v>30</v>
      </c>
      <c r="J311" t="s">
        <v>1171</v>
      </c>
      <c r="K311" t="s">
        <v>1171</v>
      </c>
      <c r="L311" t="s">
        <v>1173</v>
      </c>
      <c r="M311" t="s">
        <v>1171</v>
      </c>
      <c r="N311" t="s">
        <v>1171</v>
      </c>
      <c r="O311" t="s">
        <v>1171</v>
      </c>
      <c r="P311" t="s">
        <v>1171</v>
      </c>
      <c r="Q311" t="s">
        <v>1171</v>
      </c>
      <c r="R311" t="str">
        <f>_xlfn.TEXTBEFORE(_xlfn.TEXTAFTER(us_core_reqs[[#This Row],[URL*]],"/",-1),".")</f>
        <v>StructureDefinition-us-core-careplan</v>
      </c>
      <c r="S311" t="str">
        <f>_xlfn.TEXTAFTER(us_core_reqs[[#This Row],[URL*]],"#",-1)</f>
        <v>mandatory-and-must-support-data-elements</v>
      </c>
      <c r="T311" t="str">
        <f>SUBSTITUTE(SUBSTITUTE(PROPER(SUBSTITUTE(us_core_reqs[[#This Row],[Page]], "-", " "))&amp;": "&amp;PROPER(SUBSTITUTE(us_core_reqs[[#This Row],[Section]], "-", " ")),"Us ","US "), "Uscdi", "USCDI")</f>
        <v>Structuredefinition US Core Careplan: Mandatory And Must Support Data Elements</v>
      </c>
      <c r="U311" t="s">
        <v>32</v>
      </c>
      <c r="V311" t="s">
        <v>1171</v>
      </c>
      <c r="W311" t="s">
        <v>1171</v>
      </c>
      <c r="X311" t="s">
        <v>1171</v>
      </c>
      <c r="Y311" t="s">
        <v>1171</v>
      </c>
      <c r="Z311" t="s">
        <v>1171</v>
      </c>
      <c r="AA311" t="s">
        <v>1171</v>
      </c>
      <c r="AB311" t="s">
        <v>336</v>
      </c>
      <c r="AC311" t="s">
        <v>1171</v>
      </c>
      <c r="AD311" t="s">
        <v>1171</v>
      </c>
    </row>
    <row r="312" spans="1:30" ht="68" x14ac:dyDescent="0.2">
      <c r="A312" t="s">
        <v>1171</v>
      </c>
      <c r="B312" t="s">
        <v>1484</v>
      </c>
      <c r="C312" t="str">
        <f>"CONF-"&amp;TEXT(us_core_reqs[[#This Row],[ID*]], "0000")</f>
        <v>CONF-0311</v>
      </c>
      <c r="D312" s="11" t="s">
        <v>636</v>
      </c>
      <c r="E312" t="str">
        <f>SUBSTITUTE(us_core_reqs[[#This Row],[URL*]], "https://hl7.org/fhir/us/core/STU8/","")</f>
        <v>StructureDefinition-us-core-careplan.html#mandatory-and-must-support-data-elements</v>
      </c>
      <c r="F312" s="11" t="s">
        <v>1957</v>
      </c>
      <c r="G312" t="s">
        <v>32</v>
      </c>
      <c r="I312" t="s">
        <v>30</v>
      </c>
      <c r="J312" t="s">
        <v>1171</v>
      </c>
      <c r="K312" t="s">
        <v>1171</v>
      </c>
      <c r="L312" t="s">
        <v>1173</v>
      </c>
      <c r="M312" t="s">
        <v>1171</v>
      </c>
      <c r="N312" t="s">
        <v>1171</v>
      </c>
      <c r="O312" t="s">
        <v>1171</v>
      </c>
      <c r="P312" t="s">
        <v>1171</v>
      </c>
      <c r="Q312" t="s">
        <v>1171</v>
      </c>
      <c r="R312" t="str">
        <f>_xlfn.TEXTBEFORE(_xlfn.TEXTAFTER(us_core_reqs[[#This Row],[URL*]],"/",-1),".")</f>
        <v>StructureDefinition-us-core-careplan</v>
      </c>
      <c r="S312" t="str">
        <f>_xlfn.TEXTAFTER(us_core_reqs[[#This Row],[URL*]],"#",-1)</f>
        <v>mandatory-and-must-support-data-elements</v>
      </c>
      <c r="T312" t="str">
        <f>SUBSTITUTE(SUBSTITUTE(PROPER(SUBSTITUTE(us_core_reqs[[#This Row],[Page]], "-", " "))&amp;": "&amp;PROPER(SUBSTITUTE(us_core_reqs[[#This Row],[Section]], "-", " ")),"Us ","US "), "Uscdi", "USCDI")</f>
        <v>Structuredefinition US Core Careplan: Mandatory And Must Support Data Elements</v>
      </c>
      <c r="U312" t="s">
        <v>32</v>
      </c>
      <c r="V312" t="s">
        <v>1171</v>
      </c>
      <c r="W312" t="s">
        <v>1171</v>
      </c>
      <c r="X312" t="s">
        <v>1171</v>
      </c>
      <c r="Y312" t="s">
        <v>1171</v>
      </c>
      <c r="Z312" t="s">
        <v>1171</v>
      </c>
      <c r="AA312" t="s">
        <v>1171</v>
      </c>
      <c r="AB312" t="s">
        <v>336</v>
      </c>
      <c r="AC312" t="s">
        <v>1171</v>
      </c>
      <c r="AD312" t="s">
        <v>1171</v>
      </c>
    </row>
    <row r="313" spans="1:30" ht="68" x14ac:dyDescent="0.2">
      <c r="A313" t="s">
        <v>1171</v>
      </c>
      <c r="B313" t="s">
        <v>1485</v>
      </c>
      <c r="C313" t="str">
        <f>"CONF-"&amp;TEXT(us_core_reqs[[#This Row],[ID*]], "0000")</f>
        <v>CONF-0312</v>
      </c>
      <c r="D313" s="11" t="s">
        <v>636</v>
      </c>
      <c r="E313" t="str">
        <f>SUBSTITUTE(us_core_reqs[[#This Row],[URL*]], "https://hl7.org/fhir/us/core/STU8/","")</f>
        <v>StructureDefinition-us-core-careplan.html#mandatory-and-must-support-data-elements</v>
      </c>
      <c r="F313" s="11" t="s">
        <v>2035</v>
      </c>
      <c r="G313" t="s">
        <v>35</v>
      </c>
      <c r="I313" t="s">
        <v>30</v>
      </c>
      <c r="J313" t="s">
        <v>1171</v>
      </c>
      <c r="K313" t="s">
        <v>1171</v>
      </c>
      <c r="L313" t="s">
        <v>1173</v>
      </c>
      <c r="M313" t="s">
        <v>1171</v>
      </c>
      <c r="N313" t="s">
        <v>1171</v>
      </c>
      <c r="O313" t="s">
        <v>1171</v>
      </c>
      <c r="P313" t="s">
        <v>1171</v>
      </c>
      <c r="Q313" t="s">
        <v>1171</v>
      </c>
      <c r="R313" t="str">
        <f>_xlfn.TEXTBEFORE(_xlfn.TEXTAFTER(us_core_reqs[[#This Row],[URL*]],"/",-1),".")</f>
        <v>StructureDefinition-us-core-careplan</v>
      </c>
      <c r="S313" t="str">
        <f>_xlfn.TEXTAFTER(us_core_reqs[[#This Row],[URL*]],"#",-1)</f>
        <v>mandatory-and-must-support-data-elements</v>
      </c>
      <c r="T313" t="str">
        <f>SUBSTITUTE(SUBSTITUTE(PROPER(SUBSTITUTE(us_core_reqs[[#This Row],[Page]], "-", " "))&amp;": "&amp;PROPER(SUBSTITUTE(us_core_reqs[[#This Row],[Section]], "-", " ")),"Us ","US "), "Uscdi", "USCDI")</f>
        <v>Structuredefinition US Core Careplan: Mandatory And Must Support Data Elements</v>
      </c>
      <c r="U313" t="s">
        <v>35</v>
      </c>
      <c r="V313" t="s">
        <v>1171</v>
      </c>
      <c r="W313" t="s">
        <v>1171</v>
      </c>
      <c r="X313" t="s">
        <v>1171</v>
      </c>
      <c r="Y313" t="s">
        <v>1171</v>
      </c>
      <c r="Z313" t="s">
        <v>1171</v>
      </c>
      <c r="AA313" t="s">
        <v>1171</v>
      </c>
      <c r="AB313" t="s">
        <v>336</v>
      </c>
      <c r="AC313" t="s">
        <v>1171</v>
      </c>
      <c r="AD313" t="s">
        <v>1171</v>
      </c>
    </row>
    <row r="314" spans="1:30" ht="68" x14ac:dyDescent="0.2">
      <c r="A314" t="s">
        <v>1171</v>
      </c>
      <c r="B314" t="s">
        <v>1486</v>
      </c>
      <c r="C314" t="str">
        <f>"CONF-"&amp;TEXT(us_core_reqs[[#This Row],[ID*]], "0000")</f>
        <v>CONF-0313</v>
      </c>
      <c r="D314" s="11" t="s">
        <v>863</v>
      </c>
      <c r="E314" t="str">
        <f>SUBSTITUTE(us_core_reqs[[#This Row],[URL*]], "https://hl7.org/fhir/us/core/STU8/","")</f>
        <v>StructureDefinition-us-core-careteam.html#mandatory-and-must-support-data-elements</v>
      </c>
      <c r="F314" s="11" t="s">
        <v>2102</v>
      </c>
      <c r="G314" t="s">
        <v>29</v>
      </c>
      <c r="I314" t="s">
        <v>30</v>
      </c>
      <c r="J314" t="s">
        <v>1171</v>
      </c>
      <c r="K314" t="s">
        <v>1171</v>
      </c>
      <c r="L314" t="s">
        <v>1176</v>
      </c>
      <c r="M314" t="s">
        <v>339</v>
      </c>
      <c r="N314" t="s">
        <v>1171</v>
      </c>
      <c r="O314" t="s">
        <v>1171</v>
      </c>
      <c r="P314" t="s">
        <v>1171</v>
      </c>
      <c r="Q314" t="s">
        <v>1171</v>
      </c>
      <c r="R314" t="str">
        <f>_xlfn.TEXTBEFORE(_xlfn.TEXTAFTER(us_core_reqs[[#This Row],[URL*]],"/",-1),".")</f>
        <v>StructureDefinition-us-core-careteam</v>
      </c>
      <c r="S314" t="str">
        <f>_xlfn.TEXTAFTER(us_core_reqs[[#This Row],[URL*]],"#",-1)</f>
        <v>mandatory-and-must-support-data-elements</v>
      </c>
      <c r="T314" t="str">
        <f>SUBSTITUTE(SUBSTITUTE(PROPER(SUBSTITUTE(us_core_reqs[[#This Row],[Page]], "-", " "))&amp;": "&amp;PROPER(SUBSTITUTE(us_core_reqs[[#This Row],[Section]], "-", " ")),"Us ","US "), "Uscdi", "USCDI")</f>
        <v>Structuredefinition US Core Careteam: Mandatory And Must Support Data Elements</v>
      </c>
      <c r="U314" t="s">
        <v>29</v>
      </c>
      <c r="V314" t="s">
        <v>30</v>
      </c>
      <c r="W314" t="s">
        <v>1171</v>
      </c>
      <c r="X314" t="s">
        <v>1171</v>
      </c>
      <c r="Y314" t="s">
        <v>1171</v>
      </c>
      <c r="Z314" t="s">
        <v>1171</v>
      </c>
      <c r="AA314" t="s">
        <v>1171</v>
      </c>
      <c r="AB314" t="s">
        <v>1171</v>
      </c>
      <c r="AC314" t="s">
        <v>1140</v>
      </c>
      <c r="AD314" t="s">
        <v>1171</v>
      </c>
    </row>
    <row r="315" spans="1:30" ht="34" x14ac:dyDescent="0.2">
      <c r="A315" t="s">
        <v>1171</v>
      </c>
      <c r="B315" t="s">
        <v>1487</v>
      </c>
      <c r="C315" t="str">
        <f>"CONF-"&amp;TEXT(us_core_reqs[[#This Row],[ID*]], "0000")</f>
        <v>CONF-0314</v>
      </c>
      <c r="D315" s="11" t="s">
        <v>863</v>
      </c>
      <c r="E315" t="str">
        <f>SUBSTITUTE(us_core_reqs[[#This Row],[URL*]], "https://hl7.org/fhir/us/core/STU8/","")</f>
        <v>StructureDefinition-us-core-careteam.html#mandatory-and-must-support-data-elements</v>
      </c>
      <c r="F315" s="11" t="s">
        <v>1899</v>
      </c>
      <c r="G315" t="s">
        <v>29</v>
      </c>
      <c r="I315" t="s">
        <v>58</v>
      </c>
      <c r="J315" t="s">
        <v>1171</v>
      </c>
      <c r="K315" t="s">
        <v>1171</v>
      </c>
      <c r="L315" t="s">
        <v>1173</v>
      </c>
      <c r="M315" t="s">
        <v>1171</v>
      </c>
      <c r="N315" t="s">
        <v>1171</v>
      </c>
      <c r="O315" t="s">
        <v>1171</v>
      </c>
      <c r="P315" t="s">
        <v>1171</v>
      </c>
      <c r="Q315" t="s">
        <v>1171</v>
      </c>
      <c r="R315" t="str">
        <f>_xlfn.TEXTBEFORE(_xlfn.TEXTAFTER(us_core_reqs[[#This Row],[URL*]],"/",-1),".")</f>
        <v>StructureDefinition-us-core-careteam</v>
      </c>
      <c r="S315" t="str">
        <f>_xlfn.TEXTAFTER(us_core_reqs[[#This Row],[URL*]],"#",-1)</f>
        <v>mandatory-and-must-support-data-elements</v>
      </c>
      <c r="T315" t="str">
        <f>SUBSTITUTE(SUBSTITUTE(PROPER(SUBSTITUTE(us_core_reqs[[#This Row],[Page]], "-", " "))&amp;": "&amp;PROPER(SUBSTITUTE(us_core_reqs[[#This Row],[Section]], "-", " ")),"Us ","US "), "Uscdi", "USCDI")</f>
        <v>Structuredefinition US Core Careteam: Mandatory And Must Support Data Elements</v>
      </c>
      <c r="U315" t="s">
        <v>29</v>
      </c>
      <c r="V315" t="s">
        <v>1171</v>
      </c>
      <c r="W315" t="s">
        <v>1171</v>
      </c>
      <c r="X315" t="s">
        <v>1171</v>
      </c>
      <c r="Y315" t="s">
        <v>1171</v>
      </c>
      <c r="Z315" t="s">
        <v>1171</v>
      </c>
      <c r="AA315" t="s">
        <v>1171</v>
      </c>
      <c r="AB315" t="s">
        <v>1171</v>
      </c>
      <c r="AC315" t="s">
        <v>1171</v>
      </c>
      <c r="AD315" t="s">
        <v>1171</v>
      </c>
    </row>
    <row r="316" spans="1:30" ht="34" x14ac:dyDescent="0.2">
      <c r="A316" t="s">
        <v>1171</v>
      </c>
      <c r="B316" t="s">
        <v>1488</v>
      </c>
      <c r="C316" t="str">
        <f>"CONF-"&amp;TEXT(us_core_reqs[[#This Row],[ID*]], "0000")</f>
        <v>CONF-0315</v>
      </c>
      <c r="D316" s="11" t="s">
        <v>863</v>
      </c>
      <c r="E316" t="str">
        <f>SUBSTITUTE(us_core_reqs[[#This Row],[URL*]], "https://hl7.org/fhir/us/core/STU8/","")</f>
        <v>StructureDefinition-us-core-careteam.html#mandatory-and-must-support-data-elements</v>
      </c>
      <c r="F316" s="11" t="s">
        <v>2103</v>
      </c>
      <c r="G316" t="s">
        <v>29</v>
      </c>
      <c r="I316" t="s">
        <v>58</v>
      </c>
      <c r="J316" t="s">
        <v>1171</v>
      </c>
      <c r="K316" t="s">
        <v>1171</v>
      </c>
      <c r="L316" t="s">
        <v>1173</v>
      </c>
      <c r="M316" t="s">
        <v>1171</v>
      </c>
      <c r="N316" t="s">
        <v>1171</v>
      </c>
      <c r="O316" t="s">
        <v>1171</v>
      </c>
      <c r="P316" t="s">
        <v>1171</v>
      </c>
      <c r="Q316" t="s">
        <v>1171</v>
      </c>
      <c r="R316" t="str">
        <f>_xlfn.TEXTBEFORE(_xlfn.TEXTAFTER(us_core_reqs[[#This Row],[URL*]],"/",-1),".")</f>
        <v>StructureDefinition-us-core-careteam</v>
      </c>
      <c r="S316" t="str">
        <f>_xlfn.TEXTAFTER(us_core_reqs[[#This Row],[URL*]],"#",-1)</f>
        <v>mandatory-and-must-support-data-elements</v>
      </c>
      <c r="T316" t="str">
        <f>SUBSTITUTE(SUBSTITUTE(PROPER(SUBSTITUTE(us_core_reqs[[#This Row],[Page]], "-", " "))&amp;": "&amp;PROPER(SUBSTITUTE(us_core_reqs[[#This Row],[Section]], "-", " ")),"Us ","US "), "Uscdi", "USCDI")</f>
        <v>Structuredefinition US Core Careteam: Mandatory And Must Support Data Elements</v>
      </c>
      <c r="U316" t="s">
        <v>29</v>
      </c>
      <c r="V316" t="s">
        <v>1171</v>
      </c>
      <c r="W316" t="s">
        <v>1171</v>
      </c>
      <c r="X316" t="s">
        <v>1171</v>
      </c>
      <c r="Y316" t="s">
        <v>1171</v>
      </c>
      <c r="Z316" t="s">
        <v>1171</v>
      </c>
      <c r="AA316" t="s">
        <v>1171</v>
      </c>
      <c r="AB316" t="s">
        <v>1171</v>
      </c>
      <c r="AC316" t="s">
        <v>1171</v>
      </c>
      <c r="AD316" t="s">
        <v>1171</v>
      </c>
    </row>
    <row r="317" spans="1:30" ht="34" x14ac:dyDescent="0.2">
      <c r="A317" t="s">
        <v>1171</v>
      </c>
      <c r="B317" t="s">
        <v>1489</v>
      </c>
      <c r="C317" t="str">
        <f>"CONF-"&amp;TEXT(us_core_reqs[[#This Row],[ID*]], "0000")</f>
        <v>CONF-0316</v>
      </c>
      <c r="D317" s="11" t="s">
        <v>863</v>
      </c>
      <c r="E317" t="str">
        <f>SUBSTITUTE(us_core_reqs[[#This Row],[URL*]], "https://hl7.org/fhir/us/core/STU8/","")</f>
        <v>StructureDefinition-us-core-careteam.html#mandatory-and-must-support-data-elements</v>
      </c>
      <c r="F317" s="11" t="s">
        <v>2104</v>
      </c>
      <c r="G317" t="s">
        <v>29</v>
      </c>
      <c r="I317" t="s">
        <v>58</v>
      </c>
      <c r="J317" t="s">
        <v>1171</v>
      </c>
      <c r="K317" t="s">
        <v>1171</v>
      </c>
      <c r="L317" t="s">
        <v>1173</v>
      </c>
      <c r="M317" t="s">
        <v>1171</v>
      </c>
      <c r="N317" t="s">
        <v>1171</v>
      </c>
      <c r="O317" t="s">
        <v>1171</v>
      </c>
      <c r="P317" t="s">
        <v>1171</v>
      </c>
      <c r="Q317" t="s">
        <v>1171</v>
      </c>
      <c r="R317" t="str">
        <f>_xlfn.TEXTBEFORE(_xlfn.TEXTAFTER(us_core_reqs[[#This Row],[URL*]],"/",-1),".")</f>
        <v>StructureDefinition-us-core-careteam</v>
      </c>
      <c r="S317" t="str">
        <f>_xlfn.TEXTAFTER(us_core_reqs[[#This Row],[URL*]],"#",-1)</f>
        <v>mandatory-and-must-support-data-elements</v>
      </c>
      <c r="T317" t="str">
        <f>SUBSTITUTE(SUBSTITUTE(PROPER(SUBSTITUTE(us_core_reqs[[#This Row],[Page]], "-", " "))&amp;": "&amp;PROPER(SUBSTITUTE(us_core_reqs[[#This Row],[Section]], "-", " ")),"Us ","US "), "Uscdi", "USCDI")</f>
        <v>Structuredefinition US Core Careteam: Mandatory And Must Support Data Elements</v>
      </c>
      <c r="U317" t="s">
        <v>29</v>
      </c>
      <c r="V317" t="s">
        <v>1171</v>
      </c>
      <c r="W317" t="s">
        <v>1171</v>
      </c>
      <c r="X317" t="s">
        <v>1171</v>
      </c>
      <c r="Y317" t="s">
        <v>1171</v>
      </c>
      <c r="Z317" t="s">
        <v>1171</v>
      </c>
      <c r="AA317" t="s">
        <v>1171</v>
      </c>
      <c r="AB317" t="s">
        <v>1171</v>
      </c>
      <c r="AC317" t="s">
        <v>1171</v>
      </c>
      <c r="AD317" t="s">
        <v>1171</v>
      </c>
    </row>
    <row r="318" spans="1:30" ht="102" x14ac:dyDescent="0.2">
      <c r="A318" t="s">
        <v>1171</v>
      </c>
      <c r="B318" t="s">
        <v>1490</v>
      </c>
      <c r="C318" t="str">
        <f>"CONF-"&amp;TEXT(us_core_reqs[[#This Row],[ID*]], "0000")</f>
        <v>CONF-0317</v>
      </c>
      <c r="D318" s="11" t="s">
        <v>863</v>
      </c>
      <c r="E318" t="str">
        <f>SUBSTITUTE(us_core_reqs[[#This Row],[URL*]], "https://hl7.org/fhir/us/core/STU8/","")</f>
        <v>StructureDefinition-us-core-careteam.html#mandatory-and-must-support-data-elements</v>
      </c>
      <c r="F318" s="11" t="s">
        <v>1958</v>
      </c>
      <c r="G318" t="s">
        <v>32</v>
      </c>
      <c r="I318" t="s">
        <v>30</v>
      </c>
      <c r="J318" t="s">
        <v>1171</v>
      </c>
      <c r="K318" t="s">
        <v>1171</v>
      </c>
      <c r="L318" t="s">
        <v>1173</v>
      </c>
      <c r="M318" t="s">
        <v>1171</v>
      </c>
      <c r="N318" t="s">
        <v>1171</v>
      </c>
      <c r="O318" t="s">
        <v>1171</v>
      </c>
      <c r="P318" t="s">
        <v>1171</v>
      </c>
      <c r="Q318" t="s">
        <v>1171</v>
      </c>
      <c r="R318" t="str">
        <f>_xlfn.TEXTBEFORE(_xlfn.TEXTAFTER(us_core_reqs[[#This Row],[URL*]],"/",-1),".")</f>
        <v>StructureDefinition-us-core-careteam</v>
      </c>
      <c r="S318" t="str">
        <f>_xlfn.TEXTAFTER(us_core_reqs[[#This Row],[URL*]],"#",-1)</f>
        <v>mandatory-and-must-support-data-elements</v>
      </c>
      <c r="T318" t="str">
        <f>SUBSTITUTE(SUBSTITUTE(PROPER(SUBSTITUTE(us_core_reqs[[#This Row],[Page]], "-", " "))&amp;": "&amp;PROPER(SUBSTITUTE(us_core_reqs[[#This Row],[Section]], "-", " ")),"Us ","US "), "Uscdi", "USCDI")</f>
        <v>Structuredefinition US Core Careteam: Mandatory And Must Support Data Elements</v>
      </c>
      <c r="U318" t="s">
        <v>32</v>
      </c>
      <c r="V318" t="s">
        <v>30</v>
      </c>
      <c r="W318" t="s">
        <v>1171</v>
      </c>
      <c r="X318" t="s">
        <v>1171</v>
      </c>
      <c r="Y318" t="s">
        <v>1171</v>
      </c>
      <c r="Z318" t="s">
        <v>1171</v>
      </c>
      <c r="AA318" t="s">
        <v>1171</v>
      </c>
      <c r="AB318" t="s">
        <v>343</v>
      </c>
      <c r="AC318" t="s">
        <v>1171</v>
      </c>
      <c r="AD318" t="s">
        <v>1171</v>
      </c>
    </row>
    <row r="319" spans="1:30" ht="85" x14ac:dyDescent="0.2">
      <c r="A319" t="s">
        <v>1171</v>
      </c>
      <c r="B319" t="s">
        <v>1491</v>
      </c>
      <c r="C319" t="str">
        <f>"CONF-"&amp;TEXT(us_core_reqs[[#This Row],[ID*]], "0000")</f>
        <v>CONF-0318</v>
      </c>
      <c r="D319" s="11" t="s">
        <v>863</v>
      </c>
      <c r="E319" t="str">
        <f>SUBSTITUTE(us_core_reqs[[#This Row],[URL*]], "https://hl7.org/fhir/us/core/STU8/","")</f>
        <v>StructureDefinition-us-core-careteam.html#mandatory-and-must-support-data-elements</v>
      </c>
      <c r="F319" s="11" t="s">
        <v>2175</v>
      </c>
      <c r="G319" t="s">
        <v>29</v>
      </c>
      <c r="I319" t="s">
        <v>30</v>
      </c>
      <c r="J319" t="s">
        <v>1171</v>
      </c>
      <c r="K319" t="s">
        <v>1171</v>
      </c>
      <c r="L319" t="s">
        <v>1173</v>
      </c>
      <c r="M319" t="s">
        <v>1171</v>
      </c>
      <c r="N319" t="s">
        <v>1171</v>
      </c>
      <c r="O319" t="s">
        <v>1171</v>
      </c>
      <c r="P319" t="s">
        <v>1171</v>
      </c>
      <c r="Q319" t="s">
        <v>1171</v>
      </c>
      <c r="R319" t="str">
        <f>_xlfn.TEXTBEFORE(_xlfn.TEXTAFTER(us_core_reqs[[#This Row],[URL*]],"/",-1),".")</f>
        <v>StructureDefinition-us-core-careteam</v>
      </c>
      <c r="S319" t="str">
        <f>_xlfn.TEXTAFTER(us_core_reqs[[#This Row],[URL*]],"#",-1)</f>
        <v>mandatory-and-must-support-data-elements</v>
      </c>
      <c r="T319" t="str">
        <f>SUBSTITUTE(SUBSTITUTE(PROPER(SUBSTITUTE(us_core_reqs[[#This Row],[Page]], "-", " "))&amp;": "&amp;PROPER(SUBSTITUTE(us_core_reqs[[#This Row],[Section]], "-", " ")),"Us ","US "), "Uscdi", "USCDI")</f>
        <v>Structuredefinition US Core Careteam: Mandatory And Must Support Data Elements</v>
      </c>
      <c r="U319" t="s">
        <v>29</v>
      </c>
      <c r="V319" t="s">
        <v>30</v>
      </c>
      <c r="W319" t="s">
        <v>1171</v>
      </c>
      <c r="X319" t="s">
        <v>1171</v>
      </c>
      <c r="Y319" t="s">
        <v>1171</v>
      </c>
      <c r="Z319" t="s">
        <v>1171</v>
      </c>
      <c r="AA319" t="s">
        <v>1171</v>
      </c>
      <c r="AB319" t="s">
        <v>1171</v>
      </c>
      <c r="AC319" t="s">
        <v>1141</v>
      </c>
      <c r="AD319" t="s">
        <v>1171</v>
      </c>
    </row>
    <row r="320" spans="1:30" ht="85" x14ac:dyDescent="0.2">
      <c r="A320" t="s">
        <v>1171</v>
      </c>
      <c r="B320" t="s">
        <v>1492</v>
      </c>
      <c r="C320" t="str">
        <f>"CONF-"&amp;TEXT(us_core_reqs[[#This Row],[ID*]], "0000")</f>
        <v>CONF-0319</v>
      </c>
      <c r="D320" s="11" t="s">
        <v>863</v>
      </c>
      <c r="E320" t="str">
        <f>SUBSTITUTE(us_core_reqs[[#This Row],[URL*]], "https://hl7.org/fhir/us/core/STU8/","")</f>
        <v>StructureDefinition-us-core-careteam.html#mandatory-and-must-support-data-elements</v>
      </c>
      <c r="F320" s="11" t="s">
        <v>2176</v>
      </c>
      <c r="G320" t="s">
        <v>29</v>
      </c>
      <c r="I320" t="s">
        <v>30</v>
      </c>
      <c r="J320" t="s">
        <v>1171</v>
      </c>
      <c r="K320" t="s">
        <v>1171</v>
      </c>
      <c r="L320" t="s">
        <v>1173</v>
      </c>
      <c r="M320" t="s">
        <v>1171</v>
      </c>
      <c r="N320" t="s">
        <v>1171</v>
      </c>
      <c r="O320" t="s">
        <v>1171</v>
      </c>
      <c r="P320" t="s">
        <v>1171</v>
      </c>
      <c r="Q320" t="s">
        <v>1171</v>
      </c>
      <c r="R320" t="str">
        <f>_xlfn.TEXTBEFORE(_xlfn.TEXTAFTER(us_core_reqs[[#This Row],[URL*]],"/",-1),".")</f>
        <v>StructureDefinition-us-core-careteam</v>
      </c>
      <c r="S320" t="str">
        <f>_xlfn.TEXTAFTER(us_core_reqs[[#This Row],[URL*]],"#",-1)</f>
        <v>mandatory-and-must-support-data-elements</v>
      </c>
      <c r="T320" t="str">
        <f>SUBSTITUTE(SUBSTITUTE(PROPER(SUBSTITUTE(us_core_reqs[[#This Row],[Page]], "-", " "))&amp;": "&amp;PROPER(SUBSTITUTE(us_core_reqs[[#This Row],[Section]], "-", " ")),"Us ","US "), "Uscdi", "USCDI")</f>
        <v>Structuredefinition US Core Careteam: Mandatory And Must Support Data Elements</v>
      </c>
      <c r="U320" t="s">
        <v>29</v>
      </c>
      <c r="V320" t="s">
        <v>30</v>
      </c>
      <c r="W320" t="s">
        <v>1171</v>
      </c>
      <c r="X320" t="s">
        <v>1171</v>
      </c>
      <c r="Y320" t="s">
        <v>1171</v>
      </c>
      <c r="Z320" t="s">
        <v>1171</v>
      </c>
      <c r="AA320" t="s">
        <v>1171</v>
      </c>
      <c r="AB320" t="s">
        <v>1171</v>
      </c>
      <c r="AC320" t="s">
        <v>1141</v>
      </c>
      <c r="AD320" t="s">
        <v>1171</v>
      </c>
    </row>
    <row r="321" spans="1:30" ht="68" x14ac:dyDescent="0.2">
      <c r="A321" t="s">
        <v>1171</v>
      </c>
      <c r="B321" t="s">
        <v>1493</v>
      </c>
      <c r="C321" t="str">
        <f>"CONF-"&amp;TEXT(us_core_reqs[[#This Row],[ID*]], "0000")</f>
        <v>CONF-0320</v>
      </c>
      <c r="D321" s="11" t="s">
        <v>637</v>
      </c>
      <c r="E321" t="str">
        <f>SUBSTITUTE(us_core_reqs[[#This Row],[URL*]], "https://hl7.org/fhir/us/core/STU8/","")</f>
        <v>StructureDefinition-us-core-condition-encounter-diagnosis.html#mandatory-and-must-support-data-elements</v>
      </c>
      <c r="F321" s="11" t="s">
        <v>1959</v>
      </c>
      <c r="G321" t="s">
        <v>32</v>
      </c>
      <c r="H321" t="s">
        <v>2031</v>
      </c>
      <c r="I321" t="s">
        <v>30</v>
      </c>
      <c r="J321" t="s">
        <v>1171</v>
      </c>
      <c r="K321" t="s">
        <v>1171</v>
      </c>
      <c r="L321" t="s">
        <v>1176</v>
      </c>
      <c r="M321" t="s">
        <v>346</v>
      </c>
      <c r="N321" t="s">
        <v>1171</v>
      </c>
      <c r="O321" t="s">
        <v>1171</v>
      </c>
      <c r="P321" t="s">
        <v>1171</v>
      </c>
      <c r="Q321" t="s">
        <v>1171</v>
      </c>
      <c r="R321" t="str">
        <f>_xlfn.TEXTBEFORE(_xlfn.TEXTAFTER(us_core_reqs[[#This Row],[URL*]],"/",-1),".")</f>
        <v>StructureDefinition-us-core-condition-encounter-diagnosis</v>
      </c>
      <c r="S321" t="str">
        <f>_xlfn.TEXTAFTER(us_core_reqs[[#This Row],[URL*]],"#",-1)</f>
        <v>mandatory-and-must-support-data-elements</v>
      </c>
      <c r="T321" t="str">
        <f>SUBSTITUTE(SUBSTITUTE(PROPER(SUBSTITUTE(us_core_reqs[[#This Row],[Page]], "-", " "))&amp;": "&amp;PROPER(SUBSTITUTE(us_core_reqs[[#This Row],[Section]], "-", " ")),"Us ","US "), "Uscdi", "USCDI")</f>
        <v>Structuredefinition US Core Condition Encounter Diagnosis: Mandatory And Must Support Data Elements</v>
      </c>
      <c r="U321" t="s">
        <v>32</v>
      </c>
      <c r="V321" t="s">
        <v>1171</v>
      </c>
      <c r="W321" t="s">
        <v>1171</v>
      </c>
      <c r="X321" t="s">
        <v>1171</v>
      </c>
      <c r="Y321" t="s">
        <v>1171</v>
      </c>
      <c r="Z321" t="s">
        <v>1171</v>
      </c>
      <c r="AA321" t="s">
        <v>1171</v>
      </c>
      <c r="AB321" t="s">
        <v>1171</v>
      </c>
      <c r="AC321" t="s">
        <v>1171</v>
      </c>
      <c r="AD321" t="s">
        <v>1171</v>
      </c>
    </row>
    <row r="322" spans="1:30" ht="102" x14ac:dyDescent="0.2">
      <c r="A322" t="s">
        <v>1171</v>
      </c>
      <c r="B322" t="s">
        <v>1494</v>
      </c>
      <c r="C322" t="str">
        <f>"CONF-"&amp;TEXT(us_core_reqs[[#This Row],[ID*]], "0000")</f>
        <v>CONF-0321</v>
      </c>
      <c r="D322" s="11" t="s">
        <v>865</v>
      </c>
      <c r="E322" t="str">
        <f>SUBSTITUTE(us_core_reqs[[#This Row],[URL*]], "https://hl7.org/fhir/us/core/STU8/","")</f>
        <v>StructureDefinition-us-core-condition-encounter-diagnosis.html#mandatory-and-must-support-data-elements, StructureDefinition-us-core-condition-problems-health-concerns.html#mandatory-and-must-support-data-elements</v>
      </c>
      <c r="F322" s="11" t="s">
        <v>2223</v>
      </c>
      <c r="G322" t="s">
        <v>29</v>
      </c>
      <c r="I322" t="s">
        <v>30</v>
      </c>
      <c r="J322" t="s">
        <v>1171</v>
      </c>
      <c r="K322" t="s">
        <v>1171</v>
      </c>
      <c r="L322" t="s">
        <v>1176</v>
      </c>
      <c r="M322" t="s">
        <v>348</v>
      </c>
      <c r="N322" t="s">
        <v>1171</v>
      </c>
      <c r="O322" t="s">
        <v>1171</v>
      </c>
      <c r="P322" t="s">
        <v>1171</v>
      </c>
      <c r="Q322" t="s">
        <v>1171</v>
      </c>
      <c r="R322" t="str">
        <f>_xlfn.TEXTBEFORE(_xlfn.TEXTAFTER(us_core_reqs[[#This Row],[URL*]],"/",-1),".")</f>
        <v>StructureDefinition-us-core-condition-problems-health-concerns</v>
      </c>
      <c r="S322" t="str">
        <f>_xlfn.TEXTAFTER(us_core_reqs[[#This Row],[URL*]],"#",-1)</f>
        <v>mandatory-and-must-support-data-elements</v>
      </c>
      <c r="T322" t="str">
        <f>SUBSTITUTE(SUBSTITUTE(PROPER(SUBSTITUTE(us_core_reqs[[#This Row],[Page]], "-", " "))&amp;": "&amp;PROPER(SUBSTITUTE(us_core_reqs[[#This Row],[Section]], "-", " ")),"Us ","US "), "Uscdi", "USCDI")</f>
        <v>Structuredefinition US Core Condition Problems Health Concerns: Mandatory And Must Support Data Elements</v>
      </c>
      <c r="U322" t="s">
        <v>29</v>
      </c>
      <c r="V322" t="s">
        <v>1171</v>
      </c>
      <c r="W322" t="s">
        <v>1171</v>
      </c>
      <c r="X322" t="s">
        <v>1171</v>
      </c>
      <c r="Y322" t="s">
        <v>1171</v>
      </c>
      <c r="Z322" t="s">
        <v>1171</v>
      </c>
      <c r="AA322" t="s">
        <v>1171</v>
      </c>
      <c r="AB322" t="s">
        <v>1171</v>
      </c>
      <c r="AC322" t="s">
        <v>1140</v>
      </c>
      <c r="AD322" t="s">
        <v>1171</v>
      </c>
    </row>
    <row r="323" spans="1:30" ht="102" x14ac:dyDescent="0.2">
      <c r="A323" t="s">
        <v>1171</v>
      </c>
      <c r="B323" t="s">
        <v>1495</v>
      </c>
      <c r="C323" t="str">
        <f>"CONF-"&amp;TEXT(us_core_reqs[[#This Row],[ID*]], "0000")</f>
        <v>CONF-0322</v>
      </c>
      <c r="D323" s="11" t="s">
        <v>865</v>
      </c>
      <c r="E323" t="str">
        <f>SUBSTITUTE(us_core_reqs[[#This Row],[URL*]], "https://hl7.org/fhir/us/core/STU8/","")</f>
        <v>StructureDefinition-us-core-condition-encounter-diagnosis.html#mandatory-and-must-support-data-elements, StructureDefinition-us-core-condition-problems-health-concerns.html#mandatory-and-must-support-data-elements</v>
      </c>
      <c r="F323" s="11" t="s">
        <v>2195</v>
      </c>
      <c r="G323" t="s">
        <v>35</v>
      </c>
      <c r="I323" t="s">
        <v>30</v>
      </c>
      <c r="J323" t="s">
        <v>1171</v>
      </c>
      <c r="K323" t="s">
        <v>1171</v>
      </c>
      <c r="L323" t="s">
        <v>1176</v>
      </c>
      <c r="M323" t="s">
        <v>350</v>
      </c>
      <c r="N323" t="s">
        <v>1171</v>
      </c>
      <c r="O323" t="s">
        <v>1171</v>
      </c>
      <c r="P323" t="s">
        <v>1171</v>
      </c>
      <c r="Q323" t="s">
        <v>1171</v>
      </c>
      <c r="R323" t="str">
        <f>_xlfn.TEXTBEFORE(_xlfn.TEXTAFTER(us_core_reqs[[#This Row],[URL*]],"/",-1),".")</f>
        <v>StructureDefinition-us-core-condition-problems-health-concerns</v>
      </c>
      <c r="S323" t="str">
        <f>_xlfn.TEXTAFTER(us_core_reqs[[#This Row],[URL*]],"#",-1)</f>
        <v>mandatory-and-must-support-data-elements</v>
      </c>
      <c r="T323" t="str">
        <f>SUBSTITUTE(SUBSTITUTE(PROPER(SUBSTITUTE(us_core_reqs[[#This Row],[Page]], "-", " "))&amp;": "&amp;PROPER(SUBSTITUTE(us_core_reqs[[#This Row],[Section]], "-", " ")),"Us ","US "), "Uscdi", "USCDI")</f>
        <v>Structuredefinition US Core Condition Problems Health Concerns: Mandatory And Must Support Data Elements</v>
      </c>
      <c r="U323" t="s">
        <v>35</v>
      </c>
      <c r="V323" t="s">
        <v>1171</v>
      </c>
      <c r="W323" t="s">
        <v>1171</v>
      </c>
      <c r="X323" t="s">
        <v>1171</v>
      </c>
      <c r="Y323" t="s">
        <v>1171</v>
      </c>
      <c r="Z323" t="s">
        <v>1171</v>
      </c>
      <c r="AA323" t="s">
        <v>1171</v>
      </c>
      <c r="AB323" t="s">
        <v>1171</v>
      </c>
      <c r="AC323" t="s">
        <v>1171</v>
      </c>
      <c r="AD323" t="s">
        <v>1171</v>
      </c>
    </row>
    <row r="324" spans="1:30" ht="102" x14ac:dyDescent="0.2">
      <c r="A324" t="s">
        <v>1171</v>
      </c>
      <c r="B324" t="s">
        <v>1496</v>
      </c>
      <c r="C324" t="str">
        <f>"CONF-"&amp;TEXT(us_core_reqs[[#This Row],[ID*]], "0000")</f>
        <v>CONF-0323</v>
      </c>
      <c r="D324" s="11" t="s">
        <v>865</v>
      </c>
      <c r="E324" t="str">
        <f>SUBSTITUTE(us_core_reqs[[#This Row],[URL*]], "https://hl7.org/fhir/us/core/STU8/","")</f>
        <v>StructureDefinition-us-core-condition-encounter-diagnosis.html#mandatory-and-must-support-data-elements, StructureDefinition-us-core-condition-problems-health-concerns.html#mandatory-and-must-support-data-elements</v>
      </c>
      <c r="F324" s="11" t="s">
        <v>1960</v>
      </c>
      <c r="G324" t="s">
        <v>32</v>
      </c>
      <c r="I324" t="s">
        <v>30</v>
      </c>
      <c r="J324" t="s">
        <v>1171</v>
      </c>
      <c r="K324" t="s">
        <v>1171</v>
      </c>
      <c r="L324" t="s">
        <v>1173</v>
      </c>
      <c r="M324" t="s">
        <v>1171</v>
      </c>
      <c r="N324" t="s">
        <v>1171</v>
      </c>
      <c r="O324" t="s">
        <v>1171</v>
      </c>
      <c r="P324" t="s">
        <v>1171</v>
      </c>
      <c r="Q324" t="s">
        <v>1171</v>
      </c>
      <c r="R324" t="str">
        <f>_xlfn.TEXTBEFORE(_xlfn.TEXTAFTER(us_core_reqs[[#This Row],[URL*]],"/",-1),".")</f>
        <v>StructureDefinition-us-core-condition-problems-health-concerns</v>
      </c>
      <c r="S324" t="str">
        <f>_xlfn.TEXTAFTER(us_core_reqs[[#This Row],[URL*]],"#",-1)</f>
        <v>mandatory-and-must-support-data-elements</v>
      </c>
      <c r="T324" t="str">
        <f>SUBSTITUTE(SUBSTITUTE(PROPER(SUBSTITUTE(us_core_reqs[[#This Row],[Page]], "-", " "))&amp;": "&amp;PROPER(SUBSTITUTE(us_core_reqs[[#This Row],[Section]], "-", " ")),"Us ","US "), "Uscdi", "USCDI")</f>
        <v>Structuredefinition US Core Condition Problems Health Concerns: Mandatory And Must Support Data Elements</v>
      </c>
      <c r="U324" t="s">
        <v>32</v>
      </c>
      <c r="V324" t="s">
        <v>1171</v>
      </c>
      <c r="W324" t="s">
        <v>1171</v>
      </c>
      <c r="X324" t="s">
        <v>1171</v>
      </c>
      <c r="Y324" t="s">
        <v>1171</v>
      </c>
      <c r="Z324" t="s">
        <v>1171</v>
      </c>
      <c r="AA324" t="s">
        <v>1171</v>
      </c>
      <c r="AB324" t="s">
        <v>752</v>
      </c>
      <c r="AC324" t="s">
        <v>1171</v>
      </c>
      <c r="AD324" t="s">
        <v>1171</v>
      </c>
    </row>
    <row r="325" spans="1:30" ht="51" x14ac:dyDescent="0.2">
      <c r="A325" t="s">
        <v>1171</v>
      </c>
      <c r="B325" t="s">
        <v>1497</v>
      </c>
      <c r="C325" t="str">
        <f>"CONF-"&amp;TEXT(us_core_reqs[[#This Row],[ID*]], "0000")</f>
        <v>CONF-0324</v>
      </c>
      <c r="D325" s="11" t="s">
        <v>637</v>
      </c>
      <c r="E325" t="str">
        <f>SUBSTITUTE(us_core_reqs[[#This Row],[URL*]], "https://hl7.org/fhir/us/core/STU8/","")</f>
        <v>StructureDefinition-us-core-condition-encounter-diagnosis.html#mandatory-and-must-support-data-elements</v>
      </c>
      <c r="F325" s="11" t="s">
        <v>1961</v>
      </c>
      <c r="G325" t="s">
        <v>32</v>
      </c>
      <c r="I325" t="s">
        <v>30</v>
      </c>
      <c r="J325" t="s">
        <v>1171</v>
      </c>
      <c r="K325" t="s">
        <v>1171</v>
      </c>
      <c r="L325" t="s">
        <v>1173</v>
      </c>
      <c r="M325" t="s">
        <v>1171</v>
      </c>
      <c r="N325" t="s">
        <v>1171</v>
      </c>
      <c r="O325" t="s">
        <v>1171</v>
      </c>
      <c r="P325" t="s">
        <v>1171</v>
      </c>
      <c r="Q325" t="s">
        <v>1171</v>
      </c>
      <c r="R325" t="str">
        <f>_xlfn.TEXTBEFORE(_xlfn.TEXTAFTER(us_core_reqs[[#This Row],[URL*]],"/",-1),".")</f>
        <v>StructureDefinition-us-core-condition-encounter-diagnosis</v>
      </c>
      <c r="S325" t="str">
        <f>_xlfn.TEXTAFTER(us_core_reqs[[#This Row],[URL*]],"#",-1)</f>
        <v>mandatory-and-must-support-data-elements</v>
      </c>
      <c r="T325" t="str">
        <f>SUBSTITUTE(SUBSTITUTE(PROPER(SUBSTITUTE(us_core_reqs[[#This Row],[Page]], "-", " "))&amp;": "&amp;PROPER(SUBSTITUTE(us_core_reqs[[#This Row],[Section]], "-", " ")),"Us ","US "), "Uscdi", "USCDI")</f>
        <v>Structuredefinition US Core Condition Encounter Diagnosis: Mandatory And Must Support Data Elements</v>
      </c>
      <c r="U325" t="s">
        <v>32</v>
      </c>
      <c r="V325" t="s">
        <v>1171</v>
      </c>
      <c r="W325" t="s">
        <v>1171</v>
      </c>
      <c r="X325" t="s">
        <v>1171</v>
      </c>
      <c r="Y325" t="s">
        <v>1171</v>
      </c>
      <c r="Z325" t="s">
        <v>1171</v>
      </c>
      <c r="AA325" t="s">
        <v>1171</v>
      </c>
      <c r="AB325" t="s">
        <v>1171</v>
      </c>
      <c r="AC325" t="s">
        <v>1171</v>
      </c>
      <c r="AD325" t="s">
        <v>1171</v>
      </c>
    </row>
    <row r="326" spans="1:30" ht="102" x14ac:dyDescent="0.2">
      <c r="A326" t="s">
        <v>1171</v>
      </c>
      <c r="B326" t="s">
        <v>1498</v>
      </c>
      <c r="C326" t="str">
        <f>"CONF-"&amp;TEXT(us_core_reqs[[#This Row],[ID*]], "0000")</f>
        <v>CONF-0325</v>
      </c>
      <c r="D326" s="11" t="s">
        <v>865</v>
      </c>
      <c r="E326" t="str">
        <f>SUBSTITUTE(us_core_reqs[[#This Row],[URL*]], "https://hl7.org/fhir/us/core/STU8/","")</f>
        <v>StructureDefinition-us-core-condition-encounter-diagnosis.html#mandatory-and-must-support-data-elements, StructureDefinition-us-core-condition-problems-health-concerns.html#mandatory-and-must-support-data-elements</v>
      </c>
      <c r="F326" s="11" t="s">
        <v>2105</v>
      </c>
      <c r="G326" t="s">
        <v>64</v>
      </c>
      <c r="I326" t="s">
        <v>30</v>
      </c>
      <c r="J326" t="s">
        <v>1171</v>
      </c>
      <c r="K326" t="s">
        <v>1171</v>
      </c>
      <c r="L326" t="s">
        <v>1173</v>
      </c>
      <c r="M326" t="s">
        <v>1171</v>
      </c>
      <c r="N326" t="s">
        <v>1171</v>
      </c>
      <c r="O326" t="s">
        <v>1171</v>
      </c>
      <c r="P326" t="s">
        <v>1171</v>
      </c>
      <c r="Q326" t="s">
        <v>1171</v>
      </c>
      <c r="R326" t="str">
        <f>_xlfn.TEXTBEFORE(_xlfn.TEXTAFTER(us_core_reqs[[#This Row],[URL*]],"/",-1),".")</f>
        <v>StructureDefinition-us-core-condition-problems-health-concerns</v>
      </c>
      <c r="S326" t="str">
        <f>_xlfn.TEXTAFTER(us_core_reqs[[#This Row],[URL*]],"#",-1)</f>
        <v>mandatory-and-must-support-data-elements</v>
      </c>
      <c r="T326" t="str">
        <f>SUBSTITUTE(SUBSTITUTE(PROPER(SUBSTITUTE(us_core_reqs[[#This Row],[Page]], "-", " "))&amp;": "&amp;PROPER(SUBSTITUTE(us_core_reqs[[#This Row],[Section]], "-", " ")),"Us ","US "), "Uscdi", "USCDI")</f>
        <v>Structuredefinition US Core Condition Problems Health Concerns: Mandatory And Must Support Data Elements</v>
      </c>
      <c r="U326" t="s">
        <v>29</v>
      </c>
      <c r="V326" t="s">
        <v>30</v>
      </c>
      <c r="W326" t="s">
        <v>1171</v>
      </c>
      <c r="X326" t="s">
        <v>1171</v>
      </c>
      <c r="Y326" t="s">
        <v>1171</v>
      </c>
      <c r="Z326" t="s">
        <v>1171</v>
      </c>
      <c r="AA326" t="s">
        <v>1171</v>
      </c>
      <c r="AB326" t="s">
        <v>646</v>
      </c>
      <c r="AC326" t="s">
        <v>1171</v>
      </c>
      <c r="AD326" t="s">
        <v>1171</v>
      </c>
    </row>
    <row r="327" spans="1:30" ht="102" x14ac:dyDescent="0.2">
      <c r="A327" t="s">
        <v>1171</v>
      </c>
      <c r="B327" t="s">
        <v>1499</v>
      </c>
      <c r="C327" t="str">
        <f>"CONF-"&amp;TEXT(us_core_reqs[[#This Row],[ID*]], "0000")</f>
        <v>CONF-0326</v>
      </c>
      <c r="D327" s="11" t="s">
        <v>865</v>
      </c>
      <c r="E327" t="str">
        <f>SUBSTITUTE(us_core_reqs[[#This Row],[URL*]], "https://hl7.org/fhir/us/core/STU8/","")</f>
        <v>StructureDefinition-us-core-condition-encounter-diagnosis.html#mandatory-and-must-support-data-elements, StructureDefinition-us-core-condition-problems-health-concerns.html#mandatory-and-must-support-data-elements</v>
      </c>
      <c r="F327" s="11" t="s">
        <v>2106</v>
      </c>
      <c r="G327" t="s">
        <v>64</v>
      </c>
      <c r="I327" t="s">
        <v>30</v>
      </c>
      <c r="J327" t="s">
        <v>1171</v>
      </c>
      <c r="K327" t="s">
        <v>1171</v>
      </c>
      <c r="L327" t="s">
        <v>1176</v>
      </c>
      <c r="M327" t="s">
        <v>1044</v>
      </c>
      <c r="N327" t="s">
        <v>1171</v>
      </c>
      <c r="O327" t="s">
        <v>1171</v>
      </c>
      <c r="P327" t="s">
        <v>1171</v>
      </c>
      <c r="Q327" t="s">
        <v>1171</v>
      </c>
      <c r="R327" t="str">
        <f>_xlfn.TEXTBEFORE(_xlfn.TEXTAFTER(us_core_reqs[[#This Row],[URL*]],"/",-1),".")</f>
        <v>StructureDefinition-us-core-condition-problems-health-concerns</v>
      </c>
      <c r="S327" t="str">
        <f>_xlfn.TEXTAFTER(us_core_reqs[[#This Row],[URL*]],"#",-1)</f>
        <v>mandatory-and-must-support-data-elements</v>
      </c>
      <c r="T327" t="str">
        <f>SUBSTITUTE(SUBSTITUTE(PROPER(SUBSTITUTE(us_core_reqs[[#This Row],[Page]], "-", " "))&amp;": "&amp;PROPER(SUBSTITUTE(us_core_reqs[[#This Row],[Section]], "-", " ")),"Us ","US "), "Uscdi", "USCDI")</f>
        <v>Structuredefinition US Core Condition Problems Health Concerns: Mandatory And Must Support Data Elements</v>
      </c>
      <c r="U327" t="s">
        <v>29</v>
      </c>
      <c r="V327" t="s">
        <v>30</v>
      </c>
      <c r="W327" t="s">
        <v>1171</v>
      </c>
      <c r="X327" t="s">
        <v>1171</v>
      </c>
      <c r="Y327" t="s">
        <v>1171</v>
      </c>
      <c r="Z327" t="s">
        <v>1171</v>
      </c>
      <c r="AA327" t="s">
        <v>1171</v>
      </c>
      <c r="AB327" t="s">
        <v>646</v>
      </c>
      <c r="AC327" t="s">
        <v>1171</v>
      </c>
      <c r="AD327" t="s">
        <v>1171</v>
      </c>
    </row>
    <row r="328" spans="1:30" ht="102" x14ac:dyDescent="0.2">
      <c r="A328" t="s">
        <v>1171</v>
      </c>
      <c r="B328" t="s">
        <v>1500</v>
      </c>
      <c r="C328" t="str">
        <f>"CONF-"&amp;TEXT(us_core_reqs[[#This Row],[ID*]], "0000")</f>
        <v>CONF-0327</v>
      </c>
      <c r="D328" s="11" t="s">
        <v>865</v>
      </c>
      <c r="E328" t="str">
        <f>SUBSTITUTE(us_core_reqs[[#This Row],[URL*]], "https://hl7.org/fhir/us/core/STU8/","")</f>
        <v>StructureDefinition-us-core-condition-encounter-diagnosis.html#mandatory-and-must-support-data-elements, StructureDefinition-us-core-condition-problems-health-concerns.html#mandatory-and-must-support-data-elements</v>
      </c>
      <c r="F328" s="11" t="s">
        <v>2107</v>
      </c>
      <c r="G328" t="s">
        <v>64</v>
      </c>
      <c r="I328" t="s">
        <v>58</v>
      </c>
      <c r="J328" t="s">
        <v>1171</v>
      </c>
      <c r="K328" t="s">
        <v>1171</v>
      </c>
      <c r="L328" t="s">
        <v>1173</v>
      </c>
      <c r="M328" t="s">
        <v>1171</v>
      </c>
      <c r="N328" t="s">
        <v>1171</v>
      </c>
      <c r="O328" t="s">
        <v>1171</v>
      </c>
      <c r="P328" t="s">
        <v>1171</v>
      </c>
      <c r="Q328" t="s">
        <v>1171</v>
      </c>
      <c r="R328" t="str">
        <f>_xlfn.TEXTBEFORE(_xlfn.TEXTAFTER(us_core_reqs[[#This Row],[URL*]],"/",-1),".")</f>
        <v>StructureDefinition-us-core-condition-problems-health-concerns</v>
      </c>
      <c r="S328" t="str">
        <f>_xlfn.TEXTAFTER(us_core_reqs[[#This Row],[URL*]],"#",-1)</f>
        <v>mandatory-and-must-support-data-elements</v>
      </c>
      <c r="T328" t="str">
        <f>SUBSTITUTE(SUBSTITUTE(PROPER(SUBSTITUTE(us_core_reqs[[#This Row],[Page]], "-", " "))&amp;": "&amp;PROPER(SUBSTITUTE(us_core_reqs[[#This Row],[Section]], "-", " ")),"Us ","US "), "Uscdi", "USCDI")</f>
        <v>Structuredefinition US Core Condition Problems Health Concerns: Mandatory And Must Support Data Elements</v>
      </c>
      <c r="U328" t="s">
        <v>29</v>
      </c>
      <c r="V328" t="s">
        <v>58</v>
      </c>
      <c r="W328" t="s">
        <v>1171</v>
      </c>
      <c r="X328" t="s">
        <v>1171</v>
      </c>
      <c r="Y328" t="s">
        <v>1171</v>
      </c>
      <c r="Z328" t="s">
        <v>1171</v>
      </c>
      <c r="AA328" t="s">
        <v>1171</v>
      </c>
      <c r="AB328" t="s">
        <v>646</v>
      </c>
      <c r="AC328" t="s">
        <v>1171</v>
      </c>
      <c r="AD328" t="s">
        <v>1171</v>
      </c>
    </row>
    <row r="329" spans="1:30" ht="102" x14ac:dyDescent="0.2">
      <c r="A329" t="s">
        <v>1171</v>
      </c>
      <c r="B329" t="s">
        <v>1501</v>
      </c>
      <c r="C329" t="str">
        <f>"CONF-"&amp;TEXT(us_core_reqs[[#This Row],[ID*]], "0000")</f>
        <v>CONF-0328</v>
      </c>
      <c r="D329" s="11" t="s">
        <v>865</v>
      </c>
      <c r="E329" t="str">
        <f>SUBSTITUTE(us_core_reqs[[#This Row],[URL*]], "https://hl7.org/fhir/us/core/STU8/","")</f>
        <v>StructureDefinition-us-core-condition-encounter-diagnosis.html#mandatory-and-must-support-data-elements, StructureDefinition-us-core-condition-problems-health-concerns.html#mandatory-and-must-support-data-elements</v>
      </c>
      <c r="F329" s="11" t="s">
        <v>2108</v>
      </c>
      <c r="G329" t="s">
        <v>64</v>
      </c>
      <c r="I329" t="s">
        <v>58</v>
      </c>
      <c r="J329" t="s">
        <v>1171</v>
      </c>
      <c r="K329" t="s">
        <v>1171</v>
      </c>
      <c r="L329" t="s">
        <v>1173</v>
      </c>
      <c r="M329" t="s">
        <v>1171</v>
      </c>
      <c r="N329" t="s">
        <v>1171</v>
      </c>
      <c r="O329" t="s">
        <v>1171</v>
      </c>
      <c r="P329" t="s">
        <v>1171</v>
      </c>
      <c r="Q329" t="s">
        <v>1171</v>
      </c>
      <c r="R329" t="str">
        <f>_xlfn.TEXTBEFORE(_xlfn.TEXTAFTER(us_core_reqs[[#This Row],[URL*]],"/",-1),".")</f>
        <v>StructureDefinition-us-core-condition-problems-health-concerns</v>
      </c>
      <c r="S329" t="str">
        <f>_xlfn.TEXTAFTER(us_core_reqs[[#This Row],[URL*]],"#",-1)</f>
        <v>mandatory-and-must-support-data-elements</v>
      </c>
      <c r="T329" t="str">
        <f>SUBSTITUTE(SUBSTITUTE(PROPER(SUBSTITUTE(us_core_reqs[[#This Row],[Page]], "-", " "))&amp;": "&amp;PROPER(SUBSTITUTE(us_core_reqs[[#This Row],[Section]], "-", " ")),"Us ","US "), "Uscdi", "USCDI")</f>
        <v>Structuredefinition US Core Condition Problems Health Concerns: Mandatory And Must Support Data Elements</v>
      </c>
      <c r="U329" t="s">
        <v>29</v>
      </c>
      <c r="V329" t="s">
        <v>58</v>
      </c>
      <c r="W329" t="s">
        <v>1171</v>
      </c>
      <c r="X329" t="s">
        <v>1171</v>
      </c>
      <c r="Y329" t="s">
        <v>1171</v>
      </c>
      <c r="Z329" t="s">
        <v>1171</v>
      </c>
      <c r="AA329" t="s">
        <v>1171</v>
      </c>
      <c r="AB329" t="s">
        <v>646</v>
      </c>
      <c r="AC329" t="s">
        <v>1171</v>
      </c>
      <c r="AD329" t="s">
        <v>1171</v>
      </c>
    </row>
    <row r="330" spans="1:30" ht="102" x14ac:dyDescent="0.2">
      <c r="A330" t="s">
        <v>1171</v>
      </c>
      <c r="B330" t="s">
        <v>1502</v>
      </c>
      <c r="C330" t="str">
        <f>"CONF-"&amp;TEXT(us_core_reqs[[#This Row],[ID*]], "0000")</f>
        <v>CONF-0329</v>
      </c>
      <c r="D330" s="11" t="s">
        <v>865</v>
      </c>
      <c r="E330" t="str">
        <f>SUBSTITUTE(us_core_reqs[[#This Row],[URL*]], "https://hl7.org/fhir/us/core/STU8/","")</f>
        <v>StructureDefinition-us-core-condition-encounter-diagnosis.html#mandatory-and-must-support-data-elements, StructureDefinition-us-core-condition-problems-health-concerns.html#mandatory-and-must-support-data-elements</v>
      </c>
      <c r="F330" s="11" t="s">
        <v>2109</v>
      </c>
      <c r="G330" t="s">
        <v>64</v>
      </c>
      <c r="I330" t="s">
        <v>58</v>
      </c>
      <c r="J330" t="s">
        <v>1171</v>
      </c>
      <c r="K330" t="s">
        <v>1171</v>
      </c>
      <c r="L330" t="s">
        <v>1173</v>
      </c>
      <c r="M330" t="s">
        <v>1171</v>
      </c>
      <c r="N330" t="s">
        <v>1171</v>
      </c>
      <c r="O330" t="s">
        <v>1171</v>
      </c>
      <c r="P330" t="s">
        <v>1171</v>
      </c>
      <c r="Q330" t="s">
        <v>1171</v>
      </c>
      <c r="R330" t="str">
        <f>_xlfn.TEXTBEFORE(_xlfn.TEXTAFTER(us_core_reqs[[#This Row],[URL*]],"/",-1),".")</f>
        <v>StructureDefinition-us-core-condition-problems-health-concerns</v>
      </c>
      <c r="S330" t="str">
        <f>_xlfn.TEXTAFTER(us_core_reqs[[#This Row],[URL*]],"#",-1)</f>
        <v>mandatory-and-must-support-data-elements</v>
      </c>
      <c r="T330" t="str">
        <f>SUBSTITUTE(SUBSTITUTE(PROPER(SUBSTITUTE(us_core_reqs[[#This Row],[Page]], "-", " "))&amp;": "&amp;PROPER(SUBSTITUTE(us_core_reqs[[#This Row],[Section]], "-", " ")),"Us ","US "), "Uscdi", "USCDI")</f>
        <v>Structuredefinition US Core Condition Problems Health Concerns: Mandatory And Must Support Data Elements</v>
      </c>
      <c r="U330" t="s">
        <v>29</v>
      </c>
      <c r="V330" t="s">
        <v>58</v>
      </c>
      <c r="W330" t="s">
        <v>1171</v>
      </c>
      <c r="X330" t="s">
        <v>1171</v>
      </c>
      <c r="Y330" t="s">
        <v>1171</v>
      </c>
      <c r="Z330" t="s">
        <v>1171</v>
      </c>
      <c r="AA330" t="s">
        <v>1171</v>
      </c>
      <c r="AB330" t="s">
        <v>646</v>
      </c>
      <c r="AC330" t="s">
        <v>1171</v>
      </c>
      <c r="AD330" t="s">
        <v>1171</v>
      </c>
    </row>
    <row r="331" spans="1:30" ht="68" x14ac:dyDescent="0.2">
      <c r="A331" t="s">
        <v>1171</v>
      </c>
      <c r="B331" t="s">
        <v>1503</v>
      </c>
      <c r="C331" t="str">
        <f>"CONF-"&amp;TEXT(us_core_reqs[[#This Row],[ID*]], "0000")</f>
        <v>CONF-0330</v>
      </c>
      <c r="D331" s="11" t="s">
        <v>638</v>
      </c>
      <c r="E331" t="str">
        <f>SUBSTITUTE(us_core_reqs[[#This Row],[URL*]], "https://hl7.org/fhir/us/core/STU8/","")</f>
        <v>StructureDefinition-us-core-condition-problems-health-concerns.html#mandatory-and-must-support-data-elements</v>
      </c>
      <c r="F331" s="11" t="s">
        <v>1962</v>
      </c>
      <c r="G331" t="s">
        <v>32</v>
      </c>
      <c r="H331" t="s">
        <v>2031</v>
      </c>
      <c r="I331" t="s">
        <v>30</v>
      </c>
      <c r="J331" t="s">
        <v>1171</v>
      </c>
      <c r="K331" t="s">
        <v>1171</v>
      </c>
      <c r="L331" t="s">
        <v>1176</v>
      </c>
      <c r="M331" t="s">
        <v>352</v>
      </c>
      <c r="N331" t="s">
        <v>1171</v>
      </c>
      <c r="O331" t="s">
        <v>1171</v>
      </c>
      <c r="P331" t="s">
        <v>1171</v>
      </c>
      <c r="Q331" t="s">
        <v>1171</v>
      </c>
      <c r="R331" t="str">
        <f>_xlfn.TEXTBEFORE(_xlfn.TEXTAFTER(us_core_reqs[[#This Row],[URL*]],"/",-1),".")</f>
        <v>StructureDefinition-us-core-condition-problems-health-concerns</v>
      </c>
      <c r="S331" t="str">
        <f>_xlfn.TEXTAFTER(us_core_reqs[[#This Row],[URL*]],"#",-1)</f>
        <v>mandatory-and-must-support-data-elements</v>
      </c>
      <c r="T331" t="str">
        <f>SUBSTITUTE(SUBSTITUTE(PROPER(SUBSTITUTE(us_core_reqs[[#This Row],[Page]], "-", " "))&amp;": "&amp;PROPER(SUBSTITUTE(us_core_reqs[[#This Row],[Section]], "-", " ")),"Us ","US "), "Uscdi", "USCDI")</f>
        <v>Structuredefinition US Core Condition Problems Health Concerns: Mandatory And Must Support Data Elements</v>
      </c>
      <c r="U331" t="s">
        <v>32</v>
      </c>
      <c r="V331" t="s">
        <v>1171</v>
      </c>
      <c r="W331" t="s">
        <v>1171</v>
      </c>
      <c r="X331" t="s">
        <v>1171</v>
      </c>
      <c r="Y331" t="s">
        <v>1171</v>
      </c>
      <c r="Z331" t="s">
        <v>1171</v>
      </c>
      <c r="AA331" t="s">
        <v>1171</v>
      </c>
      <c r="AB331" t="s">
        <v>1171</v>
      </c>
      <c r="AC331" t="s">
        <v>1171</v>
      </c>
      <c r="AD331" t="s">
        <v>1171</v>
      </c>
    </row>
    <row r="332" spans="1:30" ht="51" x14ac:dyDescent="0.2">
      <c r="A332" t="s">
        <v>1171</v>
      </c>
      <c r="B332" t="s">
        <v>1504</v>
      </c>
      <c r="C332" t="str">
        <f>"CONF-"&amp;TEXT(us_core_reqs[[#This Row],[ID*]], "0000")</f>
        <v>CONF-0331</v>
      </c>
      <c r="D332" s="11" t="s">
        <v>638</v>
      </c>
      <c r="E332" t="str">
        <f>SUBSTITUTE(us_core_reqs[[#This Row],[URL*]], "https://hl7.org/fhir/us/core/STU8/","")</f>
        <v>StructureDefinition-us-core-condition-problems-health-concerns.html#mandatory-and-must-support-data-elements</v>
      </c>
      <c r="F332" s="11" t="s">
        <v>1963</v>
      </c>
      <c r="G332" t="s">
        <v>32</v>
      </c>
      <c r="I332" t="s">
        <v>30</v>
      </c>
      <c r="J332" t="s">
        <v>1171</v>
      </c>
      <c r="K332" t="s">
        <v>1171</v>
      </c>
      <c r="L332" t="s">
        <v>1176</v>
      </c>
      <c r="M332" t="s">
        <v>353</v>
      </c>
      <c r="N332" t="s">
        <v>1171</v>
      </c>
      <c r="O332" t="s">
        <v>1171</v>
      </c>
      <c r="P332" t="s">
        <v>1171</v>
      </c>
      <c r="Q332" t="s">
        <v>1171</v>
      </c>
      <c r="R332" t="str">
        <f>_xlfn.TEXTBEFORE(_xlfn.TEXTAFTER(us_core_reqs[[#This Row],[URL*]],"/",-1),".")</f>
        <v>StructureDefinition-us-core-condition-problems-health-concerns</v>
      </c>
      <c r="S332" t="str">
        <f>_xlfn.TEXTAFTER(us_core_reqs[[#This Row],[URL*]],"#",-1)</f>
        <v>mandatory-and-must-support-data-elements</v>
      </c>
      <c r="T332" t="str">
        <f>SUBSTITUTE(SUBSTITUTE(PROPER(SUBSTITUTE(us_core_reqs[[#This Row],[Page]], "-", " "))&amp;": "&amp;PROPER(SUBSTITUTE(us_core_reqs[[#This Row],[Section]], "-", " ")),"Us ","US "), "Uscdi", "USCDI")</f>
        <v>Structuredefinition US Core Condition Problems Health Concerns: Mandatory And Must Support Data Elements</v>
      </c>
      <c r="U332" t="s">
        <v>32</v>
      </c>
      <c r="V332" t="s">
        <v>1171</v>
      </c>
      <c r="W332" t="s">
        <v>1171</v>
      </c>
      <c r="X332" t="s">
        <v>1171</v>
      </c>
      <c r="Y332" t="s">
        <v>1171</v>
      </c>
      <c r="Z332" t="s">
        <v>1171</v>
      </c>
      <c r="AA332" t="s">
        <v>1171</v>
      </c>
      <c r="AB332" t="s">
        <v>759</v>
      </c>
      <c r="AC332" t="s">
        <v>1171</v>
      </c>
      <c r="AD332" t="s">
        <v>1171</v>
      </c>
    </row>
    <row r="333" spans="1:30" ht="51" x14ac:dyDescent="0.2">
      <c r="A333" t="s">
        <v>1171</v>
      </c>
      <c r="B333" t="s">
        <v>1505</v>
      </c>
      <c r="C333" t="str">
        <f>"CONF-"&amp;TEXT(us_core_reqs[[#This Row],[ID*]], "0000")</f>
        <v>CONF-0332</v>
      </c>
      <c r="D333" s="11" t="s">
        <v>638</v>
      </c>
      <c r="E333" t="str">
        <f>SUBSTITUTE(us_core_reqs[[#This Row],[URL*]], "https://hl7.org/fhir/us/core/STU8/","")</f>
        <v>StructureDefinition-us-core-condition-problems-health-concerns.html#mandatory-and-must-support-data-elements</v>
      </c>
      <c r="F333" s="11" t="s">
        <v>1964</v>
      </c>
      <c r="G333" t="s">
        <v>32</v>
      </c>
      <c r="I333" t="s">
        <v>30</v>
      </c>
      <c r="J333" t="s">
        <v>1171</v>
      </c>
      <c r="K333" t="s">
        <v>1171</v>
      </c>
      <c r="L333" t="s">
        <v>1173</v>
      </c>
      <c r="M333" t="s">
        <v>1171</v>
      </c>
      <c r="N333" t="s">
        <v>1171</v>
      </c>
      <c r="O333" t="s">
        <v>1171</v>
      </c>
      <c r="P333" t="s">
        <v>1171</v>
      </c>
      <c r="Q333" t="s">
        <v>1171</v>
      </c>
      <c r="R333" t="str">
        <f>_xlfn.TEXTBEFORE(_xlfn.TEXTAFTER(us_core_reqs[[#This Row],[URL*]],"/",-1),".")</f>
        <v>StructureDefinition-us-core-condition-problems-health-concerns</v>
      </c>
      <c r="S333" t="str">
        <f>_xlfn.TEXTAFTER(us_core_reqs[[#This Row],[URL*]],"#",-1)</f>
        <v>mandatory-and-must-support-data-elements</v>
      </c>
      <c r="T333" t="str">
        <f>SUBSTITUTE(SUBSTITUTE(PROPER(SUBSTITUTE(us_core_reqs[[#This Row],[Page]], "-", " "))&amp;": "&amp;PROPER(SUBSTITUTE(us_core_reqs[[#This Row],[Section]], "-", " ")),"Us ","US "), "Uscdi", "USCDI")</f>
        <v>Structuredefinition US Core Condition Problems Health Concerns: Mandatory And Must Support Data Elements</v>
      </c>
      <c r="U333" t="s">
        <v>32</v>
      </c>
      <c r="V333" t="s">
        <v>1171</v>
      </c>
      <c r="W333" t="s">
        <v>1171</v>
      </c>
      <c r="X333" t="s">
        <v>1171</v>
      </c>
      <c r="Y333" t="s">
        <v>1171</v>
      </c>
      <c r="Z333" t="s">
        <v>1171</v>
      </c>
      <c r="AA333" t="s">
        <v>1171</v>
      </c>
      <c r="AB333" t="s">
        <v>768</v>
      </c>
      <c r="AC333" t="s">
        <v>1171</v>
      </c>
      <c r="AD333" t="s">
        <v>1171</v>
      </c>
    </row>
    <row r="334" spans="1:30" ht="51" x14ac:dyDescent="0.2">
      <c r="A334" t="s">
        <v>1171</v>
      </c>
      <c r="B334" t="s">
        <v>1506</v>
      </c>
      <c r="C334" t="str">
        <f>"CONF-"&amp;TEXT(us_core_reqs[[#This Row],[ID*]], "0000")</f>
        <v>CONF-0333</v>
      </c>
      <c r="D334" s="11" t="s">
        <v>638</v>
      </c>
      <c r="E334" t="str">
        <f>SUBSTITUTE(us_core_reqs[[#This Row],[URL*]], "https://hl7.org/fhir/us/core/STU8/","")</f>
        <v>StructureDefinition-us-core-condition-problems-health-concerns.html#mandatory-and-must-support-data-elements</v>
      </c>
      <c r="F334" s="11" t="s">
        <v>2032</v>
      </c>
      <c r="G334" t="s">
        <v>32</v>
      </c>
      <c r="I334" t="s">
        <v>30</v>
      </c>
      <c r="J334" t="s">
        <v>1171</v>
      </c>
      <c r="K334" t="s">
        <v>1171</v>
      </c>
      <c r="L334" t="s">
        <v>1173</v>
      </c>
      <c r="M334" t="s">
        <v>1171</v>
      </c>
      <c r="N334" t="s">
        <v>1171</v>
      </c>
      <c r="O334" t="s">
        <v>1171</v>
      </c>
      <c r="P334" t="s">
        <v>1171</v>
      </c>
      <c r="Q334" t="s">
        <v>1171</v>
      </c>
      <c r="R334" t="str">
        <f>_xlfn.TEXTBEFORE(_xlfn.TEXTAFTER(us_core_reqs[[#This Row],[URL*]],"/",-1),".")</f>
        <v>StructureDefinition-us-core-condition-problems-health-concerns</v>
      </c>
      <c r="S334" t="str">
        <f>_xlfn.TEXTAFTER(us_core_reqs[[#This Row],[URL*]],"#",-1)</f>
        <v>mandatory-and-must-support-data-elements</v>
      </c>
      <c r="T334" t="str">
        <f>SUBSTITUTE(SUBSTITUTE(PROPER(SUBSTITUTE(us_core_reqs[[#This Row],[Page]], "-", " "))&amp;": "&amp;PROPER(SUBSTITUTE(us_core_reqs[[#This Row],[Section]], "-", " ")),"Us ","US "), "Uscdi", "USCDI")</f>
        <v>Structuredefinition US Core Condition Problems Health Concerns: Mandatory And Must Support Data Elements</v>
      </c>
      <c r="U334" t="s">
        <v>32</v>
      </c>
      <c r="V334" t="s">
        <v>1171</v>
      </c>
      <c r="W334" t="s">
        <v>1171</v>
      </c>
      <c r="X334" t="s">
        <v>1171</v>
      </c>
      <c r="Y334" t="s">
        <v>1171</v>
      </c>
      <c r="Z334" t="s">
        <v>1171</v>
      </c>
      <c r="AA334" t="s">
        <v>1171</v>
      </c>
      <c r="AB334" t="s">
        <v>768</v>
      </c>
      <c r="AC334" t="s">
        <v>1171</v>
      </c>
      <c r="AD334" t="s">
        <v>1171</v>
      </c>
    </row>
    <row r="335" spans="1:30" ht="68" x14ac:dyDescent="0.2">
      <c r="A335" t="s">
        <v>1171</v>
      </c>
      <c r="B335" t="s">
        <v>1507</v>
      </c>
      <c r="C335" t="str">
        <f>"CONF-"&amp;TEXT(us_core_reqs[[#This Row],[ID*]], "0000")</f>
        <v>CONF-0334</v>
      </c>
      <c r="D335" s="11" t="s">
        <v>639</v>
      </c>
      <c r="E335" t="str">
        <f>SUBSTITUTE(us_core_reqs[[#This Row],[URL*]], "https://hl7.org/fhir/us/core/STU8/","")</f>
        <v>StructureDefinition-us-core-coverage.html#mandatory-and-must-support-data-elements</v>
      </c>
      <c r="F335" s="11" t="s">
        <v>2036</v>
      </c>
      <c r="G335" t="s">
        <v>35</v>
      </c>
      <c r="I335" t="s">
        <v>30</v>
      </c>
      <c r="J335" t="s">
        <v>1171</v>
      </c>
      <c r="K335" t="s">
        <v>1171</v>
      </c>
      <c r="L335" t="s">
        <v>1173</v>
      </c>
      <c r="M335" t="s">
        <v>1171</v>
      </c>
      <c r="N335" t="s">
        <v>1171</v>
      </c>
      <c r="O335" t="s">
        <v>1171</v>
      </c>
      <c r="P335" t="s">
        <v>1171</v>
      </c>
      <c r="Q335" t="s">
        <v>1171</v>
      </c>
      <c r="R335" t="str">
        <f>_xlfn.TEXTBEFORE(_xlfn.TEXTAFTER(us_core_reqs[[#This Row],[URL*]],"/",-1),".")</f>
        <v>StructureDefinition-us-core-coverage</v>
      </c>
      <c r="S335" t="str">
        <f>_xlfn.TEXTAFTER(us_core_reqs[[#This Row],[URL*]],"#",-1)</f>
        <v>mandatory-and-must-support-data-elements</v>
      </c>
      <c r="T335" t="str">
        <f>SUBSTITUTE(SUBSTITUTE(PROPER(SUBSTITUTE(us_core_reqs[[#This Row],[Page]], "-", " "))&amp;": "&amp;PROPER(SUBSTITUTE(us_core_reqs[[#This Row],[Section]], "-", " ")),"Us ","US "), "Uscdi", "USCDI")</f>
        <v>Structuredefinition US Core Coverage: Mandatory And Must Support Data Elements</v>
      </c>
      <c r="U335" t="s">
        <v>35</v>
      </c>
      <c r="V335" t="s">
        <v>1171</v>
      </c>
      <c r="W335" t="s">
        <v>1171</v>
      </c>
      <c r="X335" t="s">
        <v>1171</v>
      </c>
      <c r="Y335" t="s">
        <v>1171</v>
      </c>
      <c r="Z335" t="s">
        <v>1171</v>
      </c>
      <c r="AA335" t="s">
        <v>1171</v>
      </c>
      <c r="AB335" t="s">
        <v>1171</v>
      </c>
      <c r="AC335" t="s">
        <v>1171</v>
      </c>
      <c r="AD335" t="s">
        <v>1171</v>
      </c>
    </row>
    <row r="336" spans="1:30" ht="68" x14ac:dyDescent="0.2">
      <c r="A336" t="s">
        <v>1171</v>
      </c>
      <c r="B336" t="s">
        <v>1508</v>
      </c>
      <c r="C336" t="str">
        <f>"CONF-"&amp;TEXT(us_core_reqs[[#This Row],[ID*]], "0000")</f>
        <v>CONF-0335</v>
      </c>
      <c r="D336" s="11" t="s">
        <v>639</v>
      </c>
      <c r="E336" t="str">
        <f>SUBSTITUTE(us_core_reqs[[#This Row],[URL*]], "https://hl7.org/fhir/us/core/STU8/","")</f>
        <v>StructureDefinition-us-core-coverage.html#mandatory-and-must-support-data-elements</v>
      </c>
      <c r="F336" s="11" t="s">
        <v>355</v>
      </c>
      <c r="G336" t="s">
        <v>32</v>
      </c>
      <c r="I336" t="s">
        <v>30</v>
      </c>
      <c r="J336" t="s">
        <v>1171</v>
      </c>
      <c r="K336" t="s">
        <v>1171</v>
      </c>
      <c r="L336" t="s">
        <v>1173</v>
      </c>
      <c r="M336" t="s">
        <v>1171</v>
      </c>
      <c r="N336" t="s">
        <v>1171</v>
      </c>
      <c r="O336" t="s">
        <v>1171</v>
      </c>
      <c r="P336" t="s">
        <v>1171</v>
      </c>
      <c r="Q336" t="s">
        <v>1171</v>
      </c>
      <c r="R336" t="str">
        <f>_xlfn.TEXTBEFORE(_xlfn.TEXTAFTER(us_core_reqs[[#This Row],[URL*]],"/",-1),".")</f>
        <v>StructureDefinition-us-core-coverage</v>
      </c>
      <c r="S336" t="str">
        <f>_xlfn.TEXTAFTER(us_core_reqs[[#This Row],[URL*]],"#",-1)</f>
        <v>mandatory-and-must-support-data-elements</v>
      </c>
      <c r="T336" t="str">
        <f>SUBSTITUTE(SUBSTITUTE(PROPER(SUBSTITUTE(us_core_reqs[[#This Row],[Page]], "-", " "))&amp;": "&amp;PROPER(SUBSTITUTE(us_core_reqs[[#This Row],[Section]], "-", " ")),"Us ","US "), "Uscdi", "USCDI")</f>
        <v>Structuredefinition US Core Coverage: Mandatory And Must Support Data Elements</v>
      </c>
      <c r="U336" t="s">
        <v>32</v>
      </c>
      <c r="V336" t="s">
        <v>1171</v>
      </c>
      <c r="W336" t="s">
        <v>1171</v>
      </c>
      <c r="X336" t="s">
        <v>1171</v>
      </c>
      <c r="Y336" t="s">
        <v>1171</v>
      </c>
      <c r="Z336" t="s">
        <v>1171</v>
      </c>
      <c r="AA336" t="s">
        <v>1171</v>
      </c>
      <c r="AB336" t="s">
        <v>1171</v>
      </c>
      <c r="AC336" t="s">
        <v>1171</v>
      </c>
      <c r="AD336" t="s">
        <v>1171</v>
      </c>
    </row>
    <row r="337" spans="1:30" ht="51" x14ac:dyDescent="0.2">
      <c r="A337" t="s">
        <v>1171</v>
      </c>
      <c r="B337" t="s">
        <v>1509</v>
      </c>
      <c r="C337" t="str">
        <f>"CONF-"&amp;TEXT(us_core_reqs[[#This Row],[ID*]], "0000")</f>
        <v>CONF-0336</v>
      </c>
      <c r="D337" s="11" t="s">
        <v>639</v>
      </c>
      <c r="E337" t="str">
        <f>SUBSTITUTE(us_core_reqs[[#This Row],[URL*]], "https://hl7.org/fhir/us/core/STU8/","")</f>
        <v>StructureDefinition-us-core-coverage.html#mandatory-and-must-support-data-elements</v>
      </c>
      <c r="F337" s="11" t="s">
        <v>356</v>
      </c>
      <c r="G337" t="s">
        <v>32</v>
      </c>
      <c r="I337" t="s">
        <v>30</v>
      </c>
      <c r="J337" t="s">
        <v>1171</v>
      </c>
      <c r="K337" t="s">
        <v>1171</v>
      </c>
      <c r="L337" t="s">
        <v>1173</v>
      </c>
      <c r="M337" t="s">
        <v>1171</v>
      </c>
      <c r="N337" t="s">
        <v>1171</v>
      </c>
      <c r="O337" t="s">
        <v>1171</v>
      </c>
      <c r="P337" t="s">
        <v>1171</v>
      </c>
      <c r="Q337" t="s">
        <v>1171</v>
      </c>
      <c r="R337" t="str">
        <f>_xlfn.TEXTBEFORE(_xlfn.TEXTAFTER(us_core_reqs[[#This Row],[URL*]],"/",-1),".")</f>
        <v>StructureDefinition-us-core-coverage</v>
      </c>
      <c r="S337" t="str">
        <f>_xlfn.TEXTAFTER(us_core_reqs[[#This Row],[URL*]],"#",-1)</f>
        <v>mandatory-and-must-support-data-elements</v>
      </c>
      <c r="T337" t="str">
        <f>SUBSTITUTE(SUBSTITUTE(PROPER(SUBSTITUTE(us_core_reqs[[#This Row],[Page]], "-", " "))&amp;": "&amp;PROPER(SUBSTITUTE(us_core_reqs[[#This Row],[Section]], "-", " ")),"Us ","US "), "Uscdi", "USCDI")</f>
        <v>Structuredefinition US Core Coverage: Mandatory And Must Support Data Elements</v>
      </c>
      <c r="U337" t="s">
        <v>1171</v>
      </c>
      <c r="V337" t="s">
        <v>1171</v>
      </c>
      <c r="W337" t="s">
        <v>1171</v>
      </c>
      <c r="X337" t="s">
        <v>1171</v>
      </c>
      <c r="Y337" t="s">
        <v>1171</v>
      </c>
      <c r="Z337" t="s">
        <v>1171</v>
      </c>
      <c r="AA337" t="s">
        <v>1171</v>
      </c>
      <c r="AB337" t="s">
        <v>1171</v>
      </c>
      <c r="AC337" t="s">
        <v>1171</v>
      </c>
      <c r="AD337" t="s">
        <v>1171</v>
      </c>
    </row>
    <row r="338" spans="1:30" ht="51" x14ac:dyDescent="0.2">
      <c r="A338" t="s">
        <v>1171</v>
      </c>
      <c r="B338" t="s">
        <v>1510</v>
      </c>
      <c r="C338" t="str">
        <f>"CONF-"&amp;TEXT(us_core_reqs[[#This Row],[ID*]], "0000")</f>
        <v>CONF-0337</v>
      </c>
      <c r="D338" s="11" t="s">
        <v>639</v>
      </c>
      <c r="E338" t="str">
        <f>SUBSTITUTE(us_core_reqs[[#This Row],[URL*]], "https://hl7.org/fhir/us/core/STU8/","")</f>
        <v>StructureDefinition-us-core-coverage.html#mandatory-and-must-support-data-elements</v>
      </c>
      <c r="F338" s="11" t="s">
        <v>357</v>
      </c>
      <c r="G338" t="s">
        <v>32</v>
      </c>
      <c r="I338" t="s">
        <v>30</v>
      </c>
      <c r="J338" t="s">
        <v>1171</v>
      </c>
      <c r="K338" t="s">
        <v>1171</v>
      </c>
      <c r="L338" t="s">
        <v>1173</v>
      </c>
      <c r="M338" t="s">
        <v>1171</v>
      </c>
      <c r="N338" t="s">
        <v>1171</v>
      </c>
      <c r="O338" t="s">
        <v>1171</v>
      </c>
      <c r="P338" t="s">
        <v>1171</v>
      </c>
      <c r="Q338" t="s">
        <v>1171</v>
      </c>
      <c r="R338" t="str">
        <f>_xlfn.TEXTBEFORE(_xlfn.TEXTAFTER(us_core_reqs[[#This Row],[URL*]],"/",-1),".")</f>
        <v>StructureDefinition-us-core-coverage</v>
      </c>
      <c r="S338" t="str">
        <f>_xlfn.TEXTAFTER(us_core_reqs[[#This Row],[URL*]],"#",-1)</f>
        <v>mandatory-and-must-support-data-elements</v>
      </c>
      <c r="T338" t="str">
        <f>SUBSTITUTE(SUBSTITUTE(PROPER(SUBSTITUTE(us_core_reqs[[#This Row],[Page]], "-", " "))&amp;": "&amp;PROPER(SUBSTITUTE(us_core_reqs[[#This Row],[Section]], "-", " ")),"Us ","US "), "Uscdi", "USCDI")</f>
        <v>Structuredefinition US Core Coverage: Mandatory And Must Support Data Elements</v>
      </c>
      <c r="U338" t="s">
        <v>1171</v>
      </c>
      <c r="V338" t="s">
        <v>1171</v>
      </c>
      <c r="W338" t="s">
        <v>1171</v>
      </c>
      <c r="X338" t="s">
        <v>1171</v>
      </c>
      <c r="Y338" t="s">
        <v>1171</v>
      </c>
      <c r="Z338" t="s">
        <v>1171</v>
      </c>
      <c r="AA338" t="s">
        <v>1171</v>
      </c>
      <c r="AB338" t="s">
        <v>1171</v>
      </c>
      <c r="AC338" t="s">
        <v>1171</v>
      </c>
      <c r="AD338" t="s">
        <v>1171</v>
      </c>
    </row>
    <row r="339" spans="1:30" ht="34" x14ac:dyDescent="0.2">
      <c r="A339" t="s">
        <v>1171</v>
      </c>
      <c r="B339" t="s">
        <v>1511</v>
      </c>
      <c r="C339" t="str">
        <f>"CONF-"&amp;TEXT(us_core_reqs[[#This Row],[ID*]], "0000")</f>
        <v>CONF-0338</v>
      </c>
      <c r="D339" s="11" t="s">
        <v>639</v>
      </c>
      <c r="E339" t="str">
        <f>SUBSTITUTE(us_core_reqs[[#This Row],[URL*]], "https://hl7.org/fhir/us/core/STU8/","")</f>
        <v>StructureDefinition-us-core-coverage.html#mandatory-and-must-support-data-elements</v>
      </c>
      <c r="F339" s="11" t="s">
        <v>358</v>
      </c>
      <c r="G339" t="s">
        <v>32</v>
      </c>
      <c r="I339" t="s">
        <v>30</v>
      </c>
      <c r="J339" t="s">
        <v>1171</v>
      </c>
      <c r="K339" t="s">
        <v>1171</v>
      </c>
      <c r="L339" t="s">
        <v>1173</v>
      </c>
      <c r="M339" t="s">
        <v>1171</v>
      </c>
      <c r="N339" t="s">
        <v>1171</v>
      </c>
      <c r="O339" t="s">
        <v>1171</v>
      </c>
      <c r="P339" t="s">
        <v>1171</v>
      </c>
      <c r="Q339" t="s">
        <v>1171</v>
      </c>
      <c r="R339" t="str">
        <f>_xlfn.TEXTBEFORE(_xlfn.TEXTAFTER(us_core_reqs[[#This Row],[URL*]],"/",-1),".")</f>
        <v>StructureDefinition-us-core-coverage</v>
      </c>
      <c r="S339" t="str">
        <f>_xlfn.TEXTAFTER(us_core_reqs[[#This Row],[URL*]],"#",-1)</f>
        <v>mandatory-and-must-support-data-elements</v>
      </c>
      <c r="T339" t="str">
        <f>SUBSTITUTE(SUBSTITUTE(PROPER(SUBSTITUTE(us_core_reqs[[#This Row],[Page]], "-", " "))&amp;": "&amp;PROPER(SUBSTITUTE(us_core_reqs[[#This Row],[Section]], "-", " ")),"Us ","US "), "Uscdi", "USCDI")</f>
        <v>Structuredefinition US Core Coverage: Mandatory And Must Support Data Elements</v>
      </c>
      <c r="U339" t="s">
        <v>1171</v>
      </c>
      <c r="V339" t="s">
        <v>1171</v>
      </c>
      <c r="W339" t="s">
        <v>1171</v>
      </c>
      <c r="X339" t="s">
        <v>1171</v>
      </c>
      <c r="Y339" t="s">
        <v>1171</v>
      </c>
      <c r="Z339" t="s">
        <v>1171</v>
      </c>
      <c r="AA339" t="s">
        <v>1171</v>
      </c>
      <c r="AB339" t="s">
        <v>1171</v>
      </c>
      <c r="AC339" t="s">
        <v>1171</v>
      </c>
      <c r="AD339" t="s">
        <v>1171</v>
      </c>
    </row>
    <row r="340" spans="1:30" ht="68" x14ac:dyDescent="0.2">
      <c r="A340" t="s">
        <v>1171</v>
      </c>
      <c r="B340" t="s">
        <v>1512</v>
      </c>
      <c r="C340" t="str">
        <f>"CONF-"&amp;TEXT(us_core_reqs[[#This Row],[ID*]], "0000")</f>
        <v>CONF-0339</v>
      </c>
      <c r="D340" s="11" t="s">
        <v>639</v>
      </c>
      <c r="E340" t="str">
        <f>SUBSTITUTE(us_core_reqs[[#This Row],[URL*]], "https://hl7.org/fhir/us/core/STU8/","")</f>
        <v>StructureDefinition-us-core-coverage.html#mandatory-and-must-support-data-elements</v>
      </c>
      <c r="F340" s="11" t="s">
        <v>359</v>
      </c>
      <c r="G340" t="s">
        <v>32</v>
      </c>
      <c r="I340" t="s">
        <v>30</v>
      </c>
      <c r="J340" t="s">
        <v>1171</v>
      </c>
      <c r="K340" t="s">
        <v>1171</v>
      </c>
      <c r="L340" t="s">
        <v>1176</v>
      </c>
      <c r="M340" t="s">
        <v>360</v>
      </c>
      <c r="N340" t="s">
        <v>1171</v>
      </c>
      <c r="O340" t="s">
        <v>1171</v>
      </c>
      <c r="P340" t="s">
        <v>1171</v>
      </c>
      <c r="Q340" t="s">
        <v>1171</v>
      </c>
      <c r="R340" t="str">
        <f>_xlfn.TEXTBEFORE(_xlfn.TEXTAFTER(us_core_reqs[[#This Row],[URL*]],"/",-1),".")</f>
        <v>StructureDefinition-us-core-coverage</v>
      </c>
      <c r="S340" t="str">
        <f>_xlfn.TEXTAFTER(us_core_reqs[[#This Row],[URL*]],"#",-1)</f>
        <v>mandatory-and-must-support-data-elements</v>
      </c>
      <c r="T340" t="str">
        <f>SUBSTITUTE(SUBSTITUTE(PROPER(SUBSTITUTE(us_core_reqs[[#This Row],[Page]], "-", " "))&amp;": "&amp;PROPER(SUBSTITUTE(us_core_reqs[[#This Row],[Section]], "-", " ")),"Us ","US "), "Uscdi", "USCDI")</f>
        <v>Structuredefinition US Core Coverage: Mandatory And Must Support Data Elements</v>
      </c>
      <c r="U340" t="s">
        <v>32</v>
      </c>
      <c r="V340" t="s">
        <v>1171</v>
      </c>
      <c r="W340" t="s">
        <v>1171</v>
      </c>
      <c r="X340" t="s">
        <v>1171</v>
      </c>
      <c r="Y340" t="s">
        <v>1171</v>
      </c>
      <c r="Z340" t="s">
        <v>1171</v>
      </c>
      <c r="AA340" t="s">
        <v>1171</v>
      </c>
      <c r="AB340" t="s">
        <v>1171</v>
      </c>
      <c r="AC340" t="s">
        <v>1171</v>
      </c>
      <c r="AD340" t="s">
        <v>1171</v>
      </c>
    </row>
    <row r="341" spans="1:30" ht="51" x14ac:dyDescent="0.2">
      <c r="A341" t="s">
        <v>1171</v>
      </c>
      <c r="B341" t="s">
        <v>1513</v>
      </c>
      <c r="C341" t="str">
        <f>"CONF-"&amp;TEXT(us_core_reqs[[#This Row],[ID*]], "0000")</f>
        <v>CONF-0340</v>
      </c>
      <c r="D341" s="11" t="s">
        <v>867</v>
      </c>
      <c r="E341" t="str">
        <f>SUBSTITUTE(us_core_reqs[[#This Row],[URL*]], "https://hl7.org/fhir/us/core/STU8/","")</f>
        <v>StructureDefinition-us-core-implantable-device.html#mandatory-and-must-support-data-elements</v>
      </c>
      <c r="F341" s="11" t="s">
        <v>361</v>
      </c>
      <c r="G341" t="s">
        <v>32</v>
      </c>
      <c r="I341" t="s">
        <v>30</v>
      </c>
      <c r="J341" t="s">
        <v>1171</v>
      </c>
      <c r="K341" t="s">
        <v>1171</v>
      </c>
      <c r="L341" t="s">
        <v>1173</v>
      </c>
      <c r="M341" t="s">
        <v>1171</v>
      </c>
      <c r="N341" t="s">
        <v>1171</v>
      </c>
      <c r="O341" t="s">
        <v>1171</v>
      </c>
      <c r="P341" t="s">
        <v>1171</v>
      </c>
      <c r="Q341" t="s">
        <v>1171</v>
      </c>
      <c r="R341" t="str">
        <f>_xlfn.TEXTBEFORE(_xlfn.TEXTAFTER(us_core_reqs[[#This Row],[URL*]],"/",-1),".")</f>
        <v>StructureDefinition-us-core-implantable-device</v>
      </c>
      <c r="S341" t="str">
        <f>_xlfn.TEXTAFTER(us_core_reqs[[#This Row],[URL*]],"#",-1)</f>
        <v>mandatory-and-must-support-data-elements</v>
      </c>
      <c r="T341" t="str">
        <f>SUBSTITUTE(SUBSTITUTE(PROPER(SUBSTITUTE(us_core_reqs[[#This Row],[Page]], "-", " "))&amp;": "&amp;PROPER(SUBSTITUTE(us_core_reqs[[#This Row],[Section]], "-", " ")),"Us ","US "), "Uscdi", "USCDI")</f>
        <v>Structuredefinition US Core Implantable Device: Mandatory And Must Support Data Elements</v>
      </c>
      <c r="U341" t="s">
        <v>1171</v>
      </c>
      <c r="V341" t="s">
        <v>1171</v>
      </c>
      <c r="W341" t="s">
        <v>1171</v>
      </c>
      <c r="X341" t="s">
        <v>1171</v>
      </c>
      <c r="Y341" t="s">
        <v>1171</v>
      </c>
      <c r="Z341" t="s">
        <v>1171</v>
      </c>
      <c r="AA341" t="s">
        <v>1171</v>
      </c>
      <c r="AB341" t="s">
        <v>1171</v>
      </c>
      <c r="AC341" t="s">
        <v>1171</v>
      </c>
      <c r="AD341" t="s">
        <v>1171</v>
      </c>
    </row>
    <row r="342" spans="1:30" ht="51" x14ac:dyDescent="0.2">
      <c r="A342" t="s">
        <v>1171</v>
      </c>
      <c r="B342" t="s">
        <v>1514</v>
      </c>
      <c r="C342" t="str">
        <f>"CONF-"&amp;TEXT(us_core_reqs[[#This Row],[ID*]], "0000")</f>
        <v>CONF-0341</v>
      </c>
      <c r="D342" s="11" t="s">
        <v>867</v>
      </c>
      <c r="E342" t="str">
        <f>SUBSTITUTE(us_core_reqs[[#This Row],[URL*]], "https://hl7.org/fhir/us/core/STU8/","")</f>
        <v>StructureDefinition-us-core-implantable-device.html#mandatory-and-must-support-data-elements</v>
      </c>
      <c r="F342" s="11" t="s">
        <v>362</v>
      </c>
      <c r="G342" t="s">
        <v>32</v>
      </c>
      <c r="I342" t="s">
        <v>30</v>
      </c>
      <c r="J342" t="s">
        <v>1171</v>
      </c>
      <c r="K342" t="s">
        <v>1171</v>
      </c>
      <c r="L342" t="s">
        <v>1173</v>
      </c>
      <c r="M342" t="s">
        <v>1171</v>
      </c>
      <c r="N342" t="s">
        <v>1171</v>
      </c>
      <c r="O342" t="s">
        <v>1171</v>
      </c>
      <c r="P342" t="s">
        <v>1171</v>
      </c>
      <c r="Q342" t="s">
        <v>1171</v>
      </c>
      <c r="R342" t="str">
        <f>_xlfn.TEXTBEFORE(_xlfn.TEXTAFTER(us_core_reqs[[#This Row],[URL*]],"/",-1),".")</f>
        <v>StructureDefinition-us-core-implantable-device</v>
      </c>
      <c r="S342" t="str">
        <f>_xlfn.TEXTAFTER(us_core_reqs[[#This Row],[URL*]],"#",-1)</f>
        <v>mandatory-and-must-support-data-elements</v>
      </c>
      <c r="T342" t="str">
        <f>SUBSTITUTE(SUBSTITUTE(PROPER(SUBSTITUTE(us_core_reqs[[#This Row],[Page]], "-", " "))&amp;": "&amp;PROPER(SUBSTITUTE(us_core_reqs[[#This Row],[Section]], "-", " ")),"Us ","US "), "Uscdi", "USCDI")</f>
        <v>Structuredefinition US Core Implantable Device: Mandatory And Must Support Data Elements</v>
      </c>
      <c r="U342" t="s">
        <v>1171</v>
      </c>
      <c r="V342" t="s">
        <v>1171</v>
      </c>
      <c r="W342" t="s">
        <v>1171</v>
      </c>
      <c r="X342" t="s">
        <v>1171</v>
      </c>
      <c r="Y342" t="s">
        <v>1171</v>
      </c>
      <c r="Z342" t="s">
        <v>1171</v>
      </c>
      <c r="AA342" t="s">
        <v>1171</v>
      </c>
      <c r="AB342" t="s">
        <v>1171</v>
      </c>
      <c r="AC342" t="s">
        <v>1171</v>
      </c>
      <c r="AD342" t="s">
        <v>1171</v>
      </c>
    </row>
    <row r="343" spans="1:30" ht="51" x14ac:dyDescent="0.2">
      <c r="A343" t="s">
        <v>1171</v>
      </c>
      <c r="B343" t="s">
        <v>1515</v>
      </c>
      <c r="C343" t="str">
        <f>"CONF-"&amp;TEXT(us_core_reqs[[#This Row],[ID*]], "0000")</f>
        <v>CONF-0342</v>
      </c>
      <c r="D343" s="11" t="s">
        <v>867</v>
      </c>
      <c r="E343" t="str">
        <f>SUBSTITUTE(us_core_reqs[[#This Row],[URL*]], "https://hl7.org/fhir/us/core/STU8/","")</f>
        <v>StructureDefinition-us-core-implantable-device.html#mandatory-and-must-support-data-elements</v>
      </c>
      <c r="F343" s="11" t="s">
        <v>2226</v>
      </c>
      <c r="G343" t="s">
        <v>29</v>
      </c>
      <c r="I343" t="s">
        <v>30</v>
      </c>
      <c r="J343" t="s">
        <v>1171</v>
      </c>
      <c r="K343" t="s">
        <v>1171</v>
      </c>
      <c r="L343" t="s">
        <v>1173</v>
      </c>
      <c r="M343" t="s">
        <v>1171</v>
      </c>
      <c r="N343" t="s">
        <v>1171</v>
      </c>
      <c r="O343" t="s">
        <v>1171</v>
      </c>
      <c r="P343" t="s">
        <v>1171</v>
      </c>
      <c r="Q343" t="s">
        <v>1171</v>
      </c>
      <c r="R343" t="str">
        <f>_xlfn.TEXTBEFORE(_xlfn.TEXTAFTER(us_core_reqs[[#This Row],[URL*]],"/",-1),".")</f>
        <v>StructureDefinition-us-core-implantable-device</v>
      </c>
      <c r="S343" t="str">
        <f>_xlfn.TEXTAFTER(us_core_reqs[[#This Row],[URL*]],"#",-1)</f>
        <v>mandatory-and-must-support-data-elements</v>
      </c>
      <c r="T343" t="str">
        <f>SUBSTITUTE(SUBSTITUTE(PROPER(SUBSTITUTE(us_core_reqs[[#This Row],[Page]], "-", " "))&amp;": "&amp;PROPER(SUBSTITUTE(us_core_reqs[[#This Row],[Section]], "-", " ")),"Us ","US "), "Uscdi", "USCDI")</f>
        <v>Structuredefinition US Core Implantable Device: Mandatory And Must Support Data Elements</v>
      </c>
      <c r="U343" t="s">
        <v>29</v>
      </c>
      <c r="V343" t="s">
        <v>1171</v>
      </c>
      <c r="W343" t="s">
        <v>1171</v>
      </c>
      <c r="X343" t="s">
        <v>1171</v>
      </c>
      <c r="Y343" t="s">
        <v>1171</v>
      </c>
      <c r="Z343" t="s">
        <v>1171</v>
      </c>
      <c r="AA343" t="s">
        <v>1171</v>
      </c>
      <c r="AB343" t="s">
        <v>1171</v>
      </c>
      <c r="AC343" t="s">
        <v>1140</v>
      </c>
      <c r="AD343" t="s">
        <v>1171</v>
      </c>
    </row>
    <row r="344" spans="1:30" ht="51" x14ac:dyDescent="0.2">
      <c r="A344" t="s">
        <v>1171</v>
      </c>
      <c r="B344" t="s">
        <v>1516</v>
      </c>
      <c r="C344" t="str">
        <f>"CONF-"&amp;TEXT(us_core_reqs[[#This Row],[ID*]], "0000")</f>
        <v>CONF-0343</v>
      </c>
      <c r="D344" s="11" t="s">
        <v>867</v>
      </c>
      <c r="E344" t="str">
        <f>SUBSTITUTE(us_core_reqs[[#This Row],[URL*]], "https://hl7.org/fhir/us/core/STU8/","")</f>
        <v>StructureDefinition-us-core-implantable-device.html#mandatory-and-must-support-data-elements</v>
      </c>
      <c r="F344" s="11" t="s">
        <v>2052</v>
      </c>
      <c r="G344" t="s">
        <v>29</v>
      </c>
      <c r="I344" t="s">
        <v>30</v>
      </c>
      <c r="J344" t="s">
        <v>1171</v>
      </c>
      <c r="K344" t="s">
        <v>1171</v>
      </c>
      <c r="L344" t="s">
        <v>1173</v>
      </c>
      <c r="M344" t="s">
        <v>1171</v>
      </c>
      <c r="N344" t="s">
        <v>1171</v>
      </c>
      <c r="O344" t="s">
        <v>1171</v>
      </c>
      <c r="P344" t="s">
        <v>1171</v>
      </c>
      <c r="Q344" t="s">
        <v>1171</v>
      </c>
      <c r="R344" t="str">
        <f>_xlfn.TEXTBEFORE(_xlfn.TEXTAFTER(us_core_reqs[[#This Row],[URL*]],"/",-1),".")</f>
        <v>StructureDefinition-us-core-implantable-device</v>
      </c>
      <c r="S344" t="str">
        <f>_xlfn.TEXTAFTER(us_core_reqs[[#This Row],[URL*]],"#",-1)</f>
        <v>mandatory-and-must-support-data-elements</v>
      </c>
      <c r="T344" t="str">
        <f>SUBSTITUTE(SUBSTITUTE(PROPER(SUBSTITUTE(us_core_reqs[[#This Row],[Page]], "-", " "))&amp;": "&amp;PROPER(SUBSTITUTE(us_core_reqs[[#This Row],[Section]], "-", " ")),"Us ","US "), "Uscdi", "USCDI")</f>
        <v>Structuredefinition US Core Implantable Device: Mandatory And Must Support Data Elements</v>
      </c>
      <c r="U344" t="s">
        <v>29</v>
      </c>
      <c r="V344" t="s">
        <v>1171</v>
      </c>
      <c r="W344" t="s">
        <v>1171</v>
      </c>
      <c r="X344" t="s">
        <v>1171</v>
      </c>
      <c r="Y344" t="s">
        <v>1171</v>
      </c>
      <c r="Z344" t="s">
        <v>1171</v>
      </c>
      <c r="AA344" t="s">
        <v>1171</v>
      </c>
      <c r="AB344" t="s">
        <v>1171</v>
      </c>
      <c r="AC344" t="s">
        <v>1140</v>
      </c>
      <c r="AD344" t="s">
        <v>1171</v>
      </c>
    </row>
    <row r="345" spans="1:30" ht="68" x14ac:dyDescent="0.2">
      <c r="A345" t="s">
        <v>1171</v>
      </c>
      <c r="B345" t="s">
        <v>1517</v>
      </c>
      <c r="C345" t="str">
        <f>"CONF-"&amp;TEXT(us_core_reqs[[#This Row],[ID*]], "0000")</f>
        <v>CONF-0344</v>
      </c>
      <c r="D345" s="11" t="s">
        <v>867</v>
      </c>
      <c r="E345" t="str">
        <f>SUBSTITUTE(us_core_reqs[[#This Row],[URL*]], "https://hl7.org/fhir/us/core/STU8/","")</f>
        <v>StructureDefinition-us-core-implantable-device.html#mandatory-and-must-support-data-elements</v>
      </c>
      <c r="F345" s="11" t="s">
        <v>1965</v>
      </c>
      <c r="G345" t="s">
        <v>32</v>
      </c>
      <c r="I345" t="s">
        <v>30</v>
      </c>
      <c r="J345" t="s">
        <v>1171</v>
      </c>
      <c r="K345" t="s">
        <v>1171</v>
      </c>
      <c r="L345" t="s">
        <v>1176</v>
      </c>
      <c r="M345" t="s">
        <v>366</v>
      </c>
      <c r="N345" t="s">
        <v>1171</v>
      </c>
      <c r="O345" t="s">
        <v>1171</v>
      </c>
      <c r="P345" t="s">
        <v>1171</v>
      </c>
      <c r="Q345" t="s">
        <v>1171</v>
      </c>
      <c r="R345" t="str">
        <f>_xlfn.TEXTBEFORE(_xlfn.TEXTAFTER(us_core_reqs[[#This Row],[URL*]],"/",-1),".")</f>
        <v>StructureDefinition-us-core-implantable-device</v>
      </c>
      <c r="S345" t="str">
        <f>_xlfn.TEXTAFTER(us_core_reqs[[#This Row],[URL*]],"#",-1)</f>
        <v>mandatory-and-must-support-data-elements</v>
      </c>
      <c r="T345" t="str">
        <f>SUBSTITUTE(SUBSTITUTE(PROPER(SUBSTITUTE(us_core_reqs[[#This Row],[Page]], "-", " "))&amp;": "&amp;PROPER(SUBSTITUTE(us_core_reqs[[#This Row],[Section]], "-", " ")),"Us ","US "), "Uscdi", "USCDI")</f>
        <v>Structuredefinition US Core Implantable Device: Mandatory And Must Support Data Elements</v>
      </c>
      <c r="U345" t="s">
        <v>32</v>
      </c>
      <c r="V345" t="s">
        <v>1171</v>
      </c>
      <c r="W345" t="s">
        <v>1171</v>
      </c>
      <c r="X345" t="s">
        <v>1171</v>
      </c>
      <c r="Y345" t="s">
        <v>1171</v>
      </c>
      <c r="Z345" t="s">
        <v>1171</v>
      </c>
      <c r="AA345" t="s">
        <v>1171</v>
      </c>
      <c r="AB345" t="s">
        <v>1171</v>
      </c>
      <c r="AC345" t="s">
        <v>1171</v>
      </c>
      <c r="AD345" t="s">
        <v>1171</v>
      </c>
    </row>
    <row r="346" spans="1:30" ht="51" x14ac:dyDescent="0.2">
      <c r="A346" t="s">
        <v>1171</v>
      </c>
      <c r="B346" t="s">
        <v>1518</v>
      </c>
      <c r="C346" t="str">
        <f>"CONF-"&amp;TEXT(us_core_reqs[[#This Row],[ID*]], "0000")</f>
        <v>CONF-0345</v>
      </c>
      <c r="D346" s="11" t="s">
        <v>867</v>
      </c>
      <c r="E346" t="str">
        <f>SUBSTITUTE(us_core_reqs[[#This Row],[URL*]], "https://hl7.org/fhir/us/core/STU8/","")</f>
        <v>StructureDefinition-us-core-implantable-device.html#mandatory-and-must-support-data-elements</v>
      </c>
      <c r="F346" s="11" t="s">
        <v>1966</v>
      </c>
      <c r="G346" t="s">
        <v>32</v>
      </c>
      <c r="I346" t="s">
        <v>30</v>
      </c>
      <c r="J346" t="s">
        <v>1171</v>
      </c>
      <c r="K346" t="s">
        <v>1171</v>
      </c>
      <c r="L346" t="s">
        <v>1176</v>
      </c>
      <c r="M346" t="s">
        <v>368</v>
      </c>
      <c r="N346" t="s">
        <v>1171</v>
      </c>
      <c r="O346" t="s">
        <v>1171</v>
      </c>
      <c r="P346" t="s">
        <v>1171</v>
      </c>
      <c r="Q346" t="s">
        <v>1171</v>
      </c>
      <c r="R346" t="str">
        <f>_xlfn.TEXTBEFORE(_xlfn.TEXTAFTER(us_core_reqs[[#This Row],[URL*]],"/",-1),".")</f>
        <v>StructureDefinition-us-core-implantable-device</v>
      </c>
      <c r="S346" t="str">
        <f>_xlfn.TEXTAFTER(us_core_reqs[[#This Row],[URL*]],"#",-1)</f>
        <v>mandatory-and-must-support-data-elements</v>
      </c>
      <c r="T346" t="str">
        <f>SUBSTITUTE(SUBSTITUTE(PROPER(SUBSTITUTE(us_core_reqs[[#This Row],[Page]], "-", " "))&amp;": "&amp;PROPER(SUBSTITUTE(us_core_reqs[[#This Row],[Section]], "-", " ")),"Us ","US "), "Uscdi", "USCDI")</f>
        <v>Structuredefinition US Core Implantable Device: Mandatory And Must Support Data Elements</v>
      </c>
      <c r="U346" t="s">
        <v>32</v>
      </c>
      <c r="V346" t="s">
        <v>1171</v>
      </c>
      <c r="W346" t="s">
        <v>1171</v>
      </c>
      <c r="X346" t="s">
        <v>1171</v>
      </c>
      <c r="Y346" t="s">
        <v>1171</v>
      </c>
      <c r="Z346" t="s">
        <v>1171</v>
      </c>
      <c r="AA346" t="s">
        <v>1171</v>
      </c>
      <c r="AB346" t="s">
        <v>1171</v>
      </c>
      <c r="AC346" t="s">
        <v>1171</v>
      </c>
      <c r="AD346" t="s">
        <v>1171</v>
      </c>
    </row>
    <row r="347" spans="1:30" ht="51" x14ac:dyDescent="0.2">
      <c r="A347" t="s">
        <v>1171</v>
      </c>
      <c r="B347" t="s">
        <v>1519</v>
      </c>
      <c r="C347" t="str">
        <f>"CONF-"&amp;TEXT(us_core_reqs[[#This Row],[ID*]], "0000")</f>
        <v>CONF-0346</v>
      </c>
      <c r="D347" s="11" t="s">
        <v>867</v>
      </c>
      <c r="E347" t="str">
        <f>SUBSTITUTE(us_core_reqs[[#This Row],[URL*]], "https://hl7.org/fhir/us/core/STU8/","")</f>
        <v>StructureDefinition-us-core-implantable-device.html#mandatory-and-must-support-data-elements</v>
      </c>
      <c r="F347" s="11" t="s">
        <v>937</v>
      </c>
      <c r="G347" t="s">
        <v>32</v>
      </c>
      <c r="I347" t="s">
        <v>30</v>
      </c>
      <c r="J347" t="s">
        <v>1171</v>
      </c>
      <c r="K347" t="s">
        <v>1171</v>
      </c>
      <c r="L347" t="s">
        <v>1173</v>
      </c>
      <c r="M347" t="s">
        <v>1171</v>
      </c>
      <c r="N347" t="s">
        <v>1171</v>
      </c>
      <c r="O347" t="s">
        <v>1171</v>
      </c>
      <c r="P347" t="s">
        <v>1171</v>
      </c>
      <c r="Q347" t="s">
        <v>1171</v>
      </c>
      <c r="R347" t="str">
        <f>_xlfn.TEXTBEFORE(_xlfn.TEXTAFTER(us_core_reqs[[#This Row],[URL*]],"/",-1),".")</f>
        <v>StructureDefinition-us-core-implantable-device</v>
      </c>
      <c r="S347" t="str">
        <f>_xlfn.TEXTAFTER(us_core_reqs[[#This Row],[URL*]],"#",-1)</f>
        <v>mandatory-and-must-support-data-elements</v>
      </c>
      <c r="T347" t="str">
        <f>SUBSTITUTE(SUBSTITUTE(PROPER(SUBSTITUTE(us_core_reqs[[#This Row],[Page]], "-", " "))&amp;": "&amp;PROPER(SUBSTITUTE(us_core_reqs[[#This Row],[Section]], "-", " ")),"Us ","US "), "Uscdi", "USCDI")</f>
        <v>Structuredefinition US Core Implantable Device: Mandatory And Must Support Data Elements</v>
      </c>
      <c r="U347" t="s">
        <v>32</v>
      </c>
      <c r="V347" t="s">
        <v>30</v>
      </c>
      <c r="W347" t="s">
        <v>1171</v>
      </c>
      <c r="X347" t="s">
        <v>1171</v>
      </c>
      <c r="Y347" t="s">
        <v>1171</v>
      </c>
      <c r="Z347" t="s">
        <v>1171</v>
      </c>
      <c r="AA347" t="s">
        <v>1171</v>
      </c>
      <c r="AB347" t="s">
        <v>1171</v>
      </c>
      <c r="AC347" t="s">
        <v>1171</v>
      </c>
      <c r="AD347" t="s">
        <v>1171</v>
      </c>
    </row>
    <row r="348" spans="1:30" ht="51" x14ac:dyDescent="0.2">
      <c r="A348" t="s">
        <v>1171</v>
      </c>
      <c r="B348" t="s">
        <v>1520</v>
      </c>
      <c r="C348" t="str">
        <f>"CONF-"&amp;TEXT(us_core_reqs[[#This Row],[ID*]], "0000")</f>
        <v>CONF-0347</v>
      </c>
      <c r="D348" s="11" t="s">
        <v>867</v>
      </c>
      <c r="E348" t="str">
        <f>SUBSTITUTE(us_core_reqs[[#This Row],[URL*]], "https://hl7.org/fhir/us/core/STU8/","")</f>
        <v>StructureDefinition-us-core-implantable-device.html#mandatory-and-must-support-data-elements</v>
      </c>
      <c r="F348" s="11" t="s">
        <v>2037</v>
      </c>
      <c r="G348" t="s">
        <v>35</v>
      </c>
      <c r="I348" t="s">
        <v>30</v>
      </c>
      <c r="J348" t="s">
        <v>1171</v>
      </c>
      <c r="K348" t="s">
        <v>1171</v>
      </c>
      <c r="L348" t="s">
        <v>1173</v>
      </c>
      <c r="M348" t="s">
        <v>1171</v>
      </c>
      <c r="N348" t="s">
        <v>1171</v>
      </c>
      <c r="O348" t="s">
        <v>1171</v>
      </c>
      <c r="P348" t="s">
        <v>1171</v>
      </c>
      <c r="Q348" t="s">
        <v>1171</v>
      </c>
      <c r="R348" t="str">
        <f>_xlfn.TEXTBEFORE(_xlfn.TEXTAFTER(us_core_reqs[[#This Row],[URL*]],"/",-1),".")</f>
        <v>StructureDefinition-us-core-implantable-device</v>
      </c>
      <c r="S348" t="str">
        <f>_xlfn.TEXTAFTER(us_core_reqs[[#This Row],[URL*]],"#",-1)</f>
        <v>mandatory-and-must-support-data-elements</v>
      </c>
      <c r="T348" t="str">
        <f>SUBSTITUTE(SUBSTITUTE(PROPER(SUBSTITUTE(us_core_reqs[[#This Row],[Page]], "-", " "))&amp;": "&amp;PROPER(SUBSTITUTE(us_core_reqs[[#This Row],[Section]], "-", " ")),"Us ","US "), "Uscdi", "USCDI")</f>
        <v>Structuredefinition US Core Implantable Device: Mandatory And Must Support Data Elements</v>
      </c>
      <c r="U348" t="s">
        <v>35</v>
      </c>
      <c r="V348" t="s">
        <v>1171</v>
      </c>
      <c r="W348" t="s">
        <v>1171</v>
      </c>
      <c r="X348" t="s">
        <v>1171</v>
      </c>
      <c r="Y348" t="s">
        <v>1171</v>
      </c>
      <c r="Z348" t="s">
        <v>1171</v>
      </c>
      <c r="AA348" t="s">
        <v>1171</v>
      </c>
      <c r="AB348" t="s">
        <v>1171</v>
      </c>
      <c r="AC348" t="s">
        <v>1171</v>
      </c>
      <c r="AD348" t="s">
        <v>1171</v>
      </c>
    </row>
    <row r="349" spans="1:30" ht="51" x14ac:dyDescent="0.2">
      <c r="A349" t="s">
        <v>1171</v>
      </c>
      <c r="B349" t="s">
        <v>1521</v>
      </c>
      <c r="C349" t="str">
        <f>"CONF-"&amp;TEXT(us_core_reqs[[#This Row],[ID*]], "0000")</f>
        <v>CONF-0348</v>
      </c>
      <c r="D349" s="11" t="s">
        <v>867</v>
      </c>
      <c r="E349" t="str">
        <f>SUBSTITUTE(us_core_reqs[[#This Row],[URL*]], "https://hl7.org/fhir/us/core/STU8/","")</f>
        <v>StructureDefinition-us-core-implantable-device.html#mandatory-and-must-support-data-elements</v>
      </c>
      <c r="F349" s="11" t="s">
        <v>2038</v>
      </c>
      <c r="G349" t="s">
        <v>35</v>
      </c>
      <c r="I349" t="s">
        <v>30</v>
      </c>
      <c r="J349" t="s">
        <v>1171</v>
      </c>
      <c r="K349" t="s">
        <v>1171</v>
      </c>
      <c r="L349" t="s">
        <v>1173</v>
      </c>
      <c r="M349" t="s">
        <v>1171</v>
      </c>
      <c r="N349" t="s">
        <v>1171</v>
      </c>
      <c r="O349" t="s">
        <v>1171</v>
      </c>
      <c r="P349" t="s">
        <v>1171</v>
      </c>
      <c r="Q349" t="s">
        <v>1171</v>
      </c>
      <c r="R349" t="str">
        <f>_xlfn.TEXTBEFORE(_xlfn.TEXTAFTER(us_core_reqs[[#This Row],[URL*]],"/",-1),".")</f>
        <v>StructureDefinition-us-core-implantable-device</v>
      </c>
      <c r="S349" t="str">
        <f>_xlfn.TEXTAFTER(us_core_reqs[[#This Row],[URL*]],"#",-1)</f>
        <v>mandatory-and-must-support-data-elements</v>
      </c>
      <c r="T349" t="str">
        <f>SUBSTITUTE(SUBSTITUTE(PROPER(SUBSTITUTE(us_core_reqs[[#This Row],[Page]], "-", " "))&amp;": "&amp;PROPER(SUBSTITUTE(us_core_reqs[[#This Row],[Section]], "-", " ")),"Us ","US "), "Uscdi", "USCDI")</f>
        <v>Structuredefinition US Core Implantable Device: Mandatory And Must Support Data Elements</v>
      </c>
      <c r="U349" t="s">
        <v>35</v>
      </c>
      <c r="V349" t="s">
        <v>1171</v>
      </c>
      <c r="W349" t="s">
        <v>1171</v>
      </c>
      <c r="X349" t="s">
        <v>1171</v>
      </c>
      <c r="Y349" t="s">
        <v>1171</v>
      </c>
      <c r="Z349" t="s">
        <v>1171</v>
      </c>
      <c r="AA349" t="s">
        <v>1171</v>
      </c>
      <c r="AB349" t="s">
        <v>1171</v>
      </c>
      <c r="AC349" t="s">
        <v>1171</v>
      </c>
      <c r="AD349" t="s">
        <v>1171</v>
      </c>
    </row>
    <row r="350" spans="1:30" ht="51" x14ac:dyDescent="0.2">
      <c r="A350" t="s">
        <v>1171</v>
      </c>
      <c r="B350" t="s">
        <v>1522</v>
      </c>
      <c r="C350" t="str">
        <f>"CONF-"&amp;TEXT(us_core_reqs[[#This Row],[ID*]], "0000")</f>
        <v>CONF-0349</v>
      </c>
      <c r="D350" s="11" t="s">
        <v>867</v>
      </c>
      <c r="E350" t="str">
        <f>SUBSTITUTE(us_core_reqs[[#This Row],[URL*]], "https://hl7.org/fhir/us/core/STU8/","")</f>
        <v>StructureDefinition-us-core-implantable-device.html#mandatory-and-must-support-data-elements</v>
      </c>
      <c r="F350" s="11" t="s">
        <v>2039</v>
      </c>
      <c r="G350" t="s">
        <v>35</v>
      </c>
      <c r="I350" t="s">
        <v>30</v>
      </c>
      <c r="J350" t="s">
        <v>1171</v>
      </c>
      <c r="K350" t="s">
        <v>1171</v>
      </c>
      <c r="L350" t="s">
        <v>1173</v>
      </c>
      <c r="M350" t="s">
        <v>1171</v>
      </c>
      <c r="N350" t="s">
        <v>1171</v>
      </c>
      <c r="O350" t="s">
        <v>1171</v>
      </c>
      <c r="P350" t="s">
        <v>1171</v>
      </c>
      <c r="Q350" t="s">
        <v>1171</v>
      </c>
      <c r="R350" t="str">
        <f>_xlfn.TEXTBEFORE(_xlfn.TEXTAFTER(us_core_reqs[[#This Row],[URL*]],"/",-1),".")</f>
        <v>StructureDefinition-us-core-implantable-device</v>
      </c>
      <c r="S350" t="str">
        <f>_xlfn.TEXTAFTER(us_core_reqs[[#This Row],[URL*]],"#",-1)</f>
        <v>mandatory-and-must-support-data-elements</v>
      </c>
      <c r="T350" t="str">
        <f>SUBSTITUTE(SUBSTITUTE(PROPER(SUBSTITUTE(us_core_reqs[[#This Row],[Page]], "-", " "))&amp;": "&amp;PROPER(SUBSTITUTE(us_core_reqs[[#This Row],[Section]], "-", " ")),"Us ","US "), "Uscdi", "USCDI")</f>
        <v>Structuredefinition US Core Implantable Device: Mandatory And Must Support Data Elements</v>
      </c>
      <c r="U350" t="s">
        <v>35</v>
      </c>
      <c r="V350" t="s">
        <v>1171</v>
      </c>
      <c r="W350" t="s">
        <v>1171</v>
      </c>
      <c r="X350" t="s">
        <v>1171</v>
      </c>
      <c r="Y350" t="s">
        <v>1171</v>
      </c>
      <c r="Z350" t="s">
        <v>1171</v>
      </c>
      <c r="AA350" t="s">
        <v>1171</v>
      </c>
      <c r="AB350" t="s">
        <v>1171</v>
      </c>
      <c r="AC350" t="s">
        <v>1171</v>
      </c>
      <c r="AD350" t="s">
        <v>1171</v>
      </c>
    </row>
    <row r="351" spans="1:30" ht="51" x14ac:dyDescent="0.2">
      <c r="A351" t="s">
        <v>1171</v>
      </c>
      <c r="B351" t="s">
        <v>1523</v>
      </c>
      <c r="C351" t="str">
        <f>"CONF-"&amp;TEXT(us_core_reqs[[#This Row],[ID*]], "0000")</f>
        <v>CONF-0350</v>
      </c>
      <c r="D351" s="11" t="s">
        <v>867</v>
      </c>
      <c r="E351" t="str">
        <f>SUBSTITUTE(us_core_reqs[[#This Row],[URL*]], "https://hl7.org/fhir/us/core/STU8/","")</f>
        <v>StructureDefinition-us-core-implantable-device.html#mandatory-and-must-support-data-elements</v>
      </c>
      <c r="F351" s="11" t="s">
        <v>2040</v>
      </c>
      <c r="G351" t="s">
        <v>35</v>
      </c>
      <c r="I351" t="s">
        <v>30</v>
      </c>
      <c r="J351" t="s">
        <v>1171</v>
      </c>
      <c r="K351" t="s">
        <v>1171</v>
      </c>
      <c r="L351" t="s">
        <v>1173</v>
      </c>
      <c r="M351" t="s">
        <v>1171</v>
      </c>
      <c r="N351" t="s">
        <v>1171</v>
      </c>
      <c r="O351" t="s">
        <v>1171</v>
      </c>
      <c r="P351" t="s">
        <v>1171</v>
      </c>
      <c r="Q351" t="s">
        <v>1171</v>
      </c>
      <c r="R351" t="str">
        <f>_xlfn.TEXTBEFORE(_xlfn.TEXTAFTER(us_core_reqs[[#This Row],[URL*]],"/",-1),".")</f>
        <v>StructureDefinition-us-core-implantable-device</v>
      </c>
      <c r="S351" t="str">
        <f>_xlfn.TEXTAFTER(us_core_reqs[[#This Row],[URL*]],"#",-1)</f>
        <v>mandatory-and-must-support-data-elements</v>
      </c>
      <c r="T351" t="str">
        <f>SUBSTITUTE(SUBSTITUTE(PROPER(SUBSTITUTE(us_core_reqs[[#This Row],[Page]], "-", " "))&amp;": "&amp;PROPER(SUBSTITUTE(us_core_reqs[[#This Row],[Section]], "-", " ")),"Us ","US "), "Uscdi", "USCDI")</f>
        <v>Structuredefinition US Core Implantable Device: Mandatory And Must Support Data Elements</v>
      </c>
      <c r="U351" t="s">
        <v>35</v>
      </c>
      <c r="V351" t="s">
        <v>1171</v>
      </c>
      <c r="W351" t="s">
        <v>1171</v>
      </c>
      <c r="X351" t="s">
        <v>1171</v>
      </c>
      <c r="Y351" t="s">
        <v>1171</v>
      </c>
      <c r="Z351" t="s">
        <v>1171</v>
      </c>
      <c r="AA351" t="s">
        <v>1171</v>
      </c>
      <c r="AB351" t="s">
        <v>1171</v>
      </c>
      <c r="AC351" t="s">
        <v>1171</v>
      </c>
      <c r="AD351" t="s">
        <v>1171</v>
      </c>
    </row>
    <row r="352" spans="1:30" ht="51" x14ac:dyDescent="0.2">
      <c r="A352" t="s">
        <v>1171</v>
      </c>
      <c r="B352" t="s">
        <v>1524</v>
      </c>
      <c r="C352" t="str">
        <f>"CONF-"&amp;TEXT(us_core_reqs[[#This Row],[ID*]], "0000")</f>
        <v>CONF-0351</v>
      </c>
      <c r="D352" s="11" t="s">
        <v>867</v>
      </c>
      <c r="E352" t="str">
        <f>SUBSTITUTE(us_core_reqs[[#This Row],[URL*]], "https://hl7.org/fhir/us/core/STU8/","")</f>
        <v>StructureDefinition-us-core-implantable-device.html#mandatory-and-must-support-data-elements</v>
      </c>
      <c r="F352" s="11" t="s">
        <v>2203</v>
      </c>
      <c r="G352" t="s">
        <v>35</v>
      </c>
      <c r="I352" t="s">
        <v>30</v>
      </c>
      <c r="J352" t="s">
        <v>1171</v>
      </c>
      <c r="K352" t="s">
        <v>1171</v>
      </c>
      <c r="L352" t="s">
        <v>1173</v>
      </c>
      <c r="M352" t="s">
        <v>1171</v>
      </c>
      <c r="N352" t="s">
        <v>1171</v>
      </c>
      <c r="O352" t="s">
        <v>1171</v>
      </c>
      <c r="P352" t="s">
        <v>1171</v>
      </c>
      <c r="Q352" t="s">
        <v>1171</v>
      </c>
      <c r="R352" t="str">
        <f>_xlfn.TEXTBEFORE(_xlfn.TEXTAFTER(us_core_reqs[[#This Row],[URL*]],"/",-1),".")</f>
        <v>StructureDefinition-us-core-implantable-device</v>
      </c>
      <c r="S352" t="str">
        <f>_xlfn.TEXTAFTER(us_core_reqs[[#This Row],[URL*]],"#",-1)</f>
        <v>mandatory-and-must-support-data-elements</v>
      </c>
      <c r="T352" t="str">
        <f>SUBSTITUTE(SUBSTITUTE(PROPER(SUBSTITUTE(us_core_reqs[[#This Row],[Page]], "-", " "))&amp;": "&amp;PROPER(SUBSTITUTE(us_core_reqs[[#This Row],[Section]], "-", " ")),"Us ","US "), "Uscdi", "USCDI")</f>
        <v>Structuredefinition US Core Implantable Device: Mandatory And Must Support Data Elements</v>
      </c>
      <c r="U352" t="s">
        <v>35</v>
      </c>
      <c r="V352" t="s">
        <v>1171</v>
      </c>
      <c r="W352" t="s">
        <v>1171</v>
      </c>
      <c r="X352" t="s">
        <v>1171</v>
      </c>
      <c r="Y352" t="s">
        <v>1171</v>
      </c>
      <c r="Z352" t="s">
        <v>1171</v>
      </c>
      <c r="AA352" t="s">
        <v>1171</v>
      </c>
      <c r="AB352" t="s">
        <v>1171</v>
      </c>
      <c r="AC352" t="s">
        <v>1171</v>
      </c>
      <c r="AD352" t="s">
        <v>1171</v>
      </c>
    </row>
    <row r="353" spans="1:30" ht="51" x14ac:dyDescent="0.2">
      <c r="A353" t="s">
        <v>1171</v>
      </c>
      <c r="B353" t="s">
        <v>1525</v>
      </c>
      <c r="C353" t="str">
        <f>"CONF-"&amp;TEXT(us_core_reqs[[#This Row],[ID*]], "0000")</f>
        <v>CONF-0352</v>
      </c>
      <c r="D353" s="11" t="s">
        <v>867</v>
      </c>
      <c r="E353" t="str">
        <f>SUBSTITUTE(us_core_reqs[[#This Row],[URL*]], "https://hl7.org/fhir/us/core/STU8/","")</f>
        <v>StructureDefinition-us-core-implantable-device.html#mandatory-and-must-support-data-elements</v>
      </c>
      <c r="F353" s="11" t="s">
        <v>2204</v>
      </c>
      <c r="G353" t="s">
        <v>35</v>
      </c>
      <c r="I353" t="s">
        <v>30</v>
      </c>
      <c r="J353" t="s">
        <v>1171</v>
      </c>
      <c r="K353" t="s">
        <v>1171</v>
      </c>
      <c r="L353" t="s">
        <v>1173</v>
      </c>
      <c r="M353" t="s">
        <v>1171</v>
      </c>
      <c r="N353" t="s">
        <v>1171</v>
      </c>
      <c r="O353" t="s">
        <v>1171</v>
      </c>
      <c r="P353" t="s">
        <v>1171</v>
      </c>
      <c r="Q353" t="s">
        <v>1171</v>
      </c>
      <c r="R353" t="str">
        <f>_xlfn.TEXTBEFORE(_xlfn.TEXTAFTER(us_core_reqs[[#This Row],[URL*]],"/",-1),".")</f>
        <v>StructureDefinition-us-core-implantable-device</v>
      </c>
      <c r="S353" t="str">
        <f>_xlfn.TEXTAFTER(us_core_reqs[[#This Row],[URL*]],"#",-1)</f>
        <v>mandatory-and-must-support-data-elements</v>
      </c>
      <c r="T353" t="str">
        <f>SUBSTITUTE(SUBSTITUTE(PROPER(SUBSTITUTE(us_core_reqs[[#This Row],[Page]], "-", " "))&amp;": "&amp;PROPER(SUBSTITUTE(us_core_reqs[[#This Row],[Section]], "-", " ")),"Us ","US "), "Uscdi", "USCDI")</f>
        <v>Structuredefinition US Core Implantable Device: Mandatory And Must Support Data Elements</v>
      </c>
      <c r="U353" t="s">
        <v>35</v>
      </c>
      <c r="V353" t="s">
        <v>1171</v>
      </c>
      <c r="W353" t="s">
        <v>1171</v>
      </c>
      <c r="X353" t="s">
        <v>1171</v>
      </c>
      <c r="Y353" t="s">
        <v>1171</v>
      </c>
      <c r="Z353" t="s">
        <v>1171</v>
      </c>
      <c r="AA353" t="s">
        <v>1171</v>
      </c>
      <c r="AB353" t="s">
        <v>1171</v>
      </c>
      <c r="AC353" t="s">
        <v>1171</v>
      </c>
      <c r="AD353" t="s">
        <v>1171</v>
      </c>
    </row>
    <row r="354" spans="1:30" ht="51" x14ac:dyDescent="0.2">
      <c r="A354" t="s">
        <v>1171</v>
      </c>
      <c r="B354" t="s">
        <v>1526</v>
      </c>
      <c r="C354" t="str">
        <f>"CONF-"&amp;TEXT(us_core_reqs[[#This Row],[ID*]], "0000")</f>
        <v>CONF-0353</v>
      </c>
      <c r="D354" s="11" t="s">
        <v>867</v>
      </c>
      <c r="E354" t="str">
        <f>SUBSTITUTE(us_core_reqs[[#This Row],[URL*]], "https://hl7.org/fhir/us/core/STU8/","")</f>
        <v>StructureDefinition-us-core-implantable-device.html#mandatory-and-must-support-data-elements</v>
      </c>
      <c r="F354" s="11" t="s">
        <v>2205</v>
      </c>
      <c r="G354" t="s">
        <v>35</v>
      </c>
      <c r="I354" t="s">
        <v>30</v>
      </c>
      <c r="J354" t="s">
        <v>1171</v>
      </c>
      <c r="K354" t="s">
        <v>1171</v>
      </c>
      <c r="L354" t="s">
        <v>1173</v>
      </c>
      <c r="M354" t="s">
        <v>1171</v>
      </c>
      <c r="N354" t="s">
        <v>1171</v>
      </c>
      <c r="O354" t="s">
        <v>1171</v>
      </c>
      <c r="P354" t="s">
        <v>1171</v>
      </c>
      <c r="Q354" t="s">
        <v>1171</v>
      </c>
      <c r="R354" t="str">
        <f>_xlfn.TEXTBEFORE(_xlfn.TEXTAFTER(us_core_reqs[[#This Row],[URL*]],"/",-1),".")</f>
        <v>StructureDefinition-us-core-implantable-device</v>
      </c>
      <c r="S354" t="str">
        <f>_xlfn.TEXTAFTER(us_core_reqs[[#This Row],[URL*]],"#",-1)</f>
        <v>mandatory-and-must-support-data-elements</v>
      </c>
      <c r="T354" t="str">
        <f>SUBSTITUTE(SUBSTITUTE(PROPER(SUBSTITUTE(us_core_reqs[[#This Row],[Page]], "-", " "))&amp;": "&amp;PROPER(SUBSTITUTE(us_core_reqs[[#This Row],[Section]], "-", " ")),"Us ","US "), "Uscdi", "USCDI")</f>
        <v>Structuredefinition US Core Implantable Device: Mandatory And Must Support Data Elements</v>
      </c>
      <c r="U354" t="s">
        <v>35</v>
      </c>
      <c r="V354" t="s">
        <v>1171</v>
      </c>
      <c r="W354" t="s">
        <v>1171</v>
      </c>
      <c r="X354" t="s">
        <v>1171</v>
      </c>
      <c r="Y354" t="s">
        <v>1171</v>
      </c>
      <c r="Z354" t="s">
        <v>1171</v>
      </c>
      <c r="AA354" t="s">
        <v>1171</v>
      </c>
      <c r="AB354" t="s">
        <v>1171</v>
      </c>
      <c r="AC354" t="s">
        <v>1171</v>
      </c>
      <c r="AD354" t="s">
        <v>1171</v>
      </c>
    </row>
    <row r="355" spans="1:30" ht="51" x14ac:dyDescent="0.2">
      <c r="A355" t="s">
        <v>1171</v>
      </c>
      <c r="B355" t="s">
        <v>1527</v>
      </c>
      <c r="C355" t="str">
        <f>"CONF-"&amp;TEXT(us_core_reqs[[#This Row],[ID*]], "0000")</f>
        <v>CONF-0354</v>
      </c>
      <c r="D355" s="11" t="s">
        <v>867</v>
      </c>
      <c r="E355" t="str">
        <f>SUBSTITUTE(us_core_reqs[[#This Row],[URL*]], "https://hl7.org/fhir/us/core/STU8/","")</f>
        <v>StructureDefinition-us-core-implantable-device.html#mandatory-and-must-support-data-elements</v>
      </c>
      <c r="F355" s="11" t="s">
        <v>2206</v>
      </c>
      <c r="G355" t="s">
        <v>35</v>
      </c>
      <c r="I355" t="s">
        <v>30</v>
      </c>
      <c r="J355" t="s">
        <v>1171</v>
      </c>
      <c r="K355" t="s">
        <v>1171</v>
      </c>
      <c r="L355" t="s">
        <v>1173</v>
      </c>
      <c r="M355" t="s">
        <v>1171</v>
      </c>
      <c r="N355" t="s">
        <v>1171</v>
      </c>
      <c r="O355" t="s">
        <v>1171</v>
      </c>
      <c r="P355" t="s">
        <v>1171</v>
      </c>
      <c r="Q355" t="s">
        <v>1171</v>
      </c>
      <c r="R355" t="str">
        <f>_xlfn.TEXTBEFORE(_xlfn.TEXTAFTER(us_core_reqs[[#This Row],[URL*]],"/",-1),".")</f>
        <v>StructureDefinition-us-core-implantable-device</v>
      </c>
      <c r="S355" t="str">
        <f>_xlfn.TEXTAFTER(us_core_reqs[[#This Row],[URL*]],"#",-1)</f>
        <v>mandatory-and-must-support-data-elements</v>
      </c>
      <c r="T355" t="str">
        <f>SUBSTITUTE(SUBSTITUTE(PROPER(SUBSTITUTE(us_core_reqs[[#This Row],[Page]], "-", " "))&amp;": "&amp;PROPER(SUBSTITUTE(us_core_reqs[[#This Row],[Section]], "-", " ")),"Us ","US "), "Uscdi", "USCDI")</f>
        <v>Structuredefinition US Core Implantable Device: Mandatory And Must Support Data Elements</v>
      </c>
      <c r="U355" t="s">
        <v>35</v>
      </c>
      <c r="V355" t="s">
        <v>1171</v>
      </c>
      <c r="W355" t="s">
        <v>1171</v>
      </c>
      <c r="X355" t="s">
        <v>1171</v>
      </c>
      <c r="Y355" t="s">
        <v>1171</v>
      </c>
      <c r="Z355" t="s">
        <v>1171</v>
      </c>
      <c r="AA355" t="s">
        <v>1171</v>
      </c>
      <c r="AB355" t="s">
        <v>1171</v>
      </c>
      <c r="AC355" t="s">
        <v>1171</v>
      </c>
      <c r="AD355" t="s">
        <v>1171</v>
      </c>
    </row>
    <row r="356" spans="1:30" ht="51" x14ac:dyDescent="0.2">
      <c r="A356" t="s">
        <v>1171</v>
      </c>
      <c r="B356" t="s">
        <v>1528</v>
      </c>
      <c r="C356" t="str">
        <f>"CONF-"&amp;TEXT(us_core_reqs[[#This Row],[ID*]], "0000")</f>
        <v>CONF-0355</v>
      </c>
      <c r="D356" s="11" t="s">
        <v>867</v>
      </c>
      <c r="E356" t="str">
        <f>SUBSTITUTE(us_core_reqs[[#This Row],[URL*]], "https://hl7.org/fhir/us/core/STU8/","")</f>
        <v>StructureDefinition-us-core-implantable-device.html#mandatory-and-must-support-data-elements</v>
      </c>
      <c r="F356" s="11" t="s">
        <v>2207</v>
      </c>
      <c r="G356" t="s">
        <v>35</v>
      </c>
      <c r="I356" t="s">
        <v>30</v>
      </c>
      <c r="J356" t="s">
        <v>1171</v>
      </c>
      <c r="K356" t="s">
        <v>1171</v>
      </c>
      <c r="L356" t="s">
        <v>1173</v>
      </c>
      <c r="M356" t="s">
        <v>1171</v>
      </c>
      <c r="N356" t="s">
        <v>1171</v>
      </c>
      <c r="O356" t="s">
        <v>1171</v>
      </c>
      <c r="P356" t="s">
        <v>1171</v>
      </c>
      <c r="Q356" t="s">
        <v>1171</v>
      </c>
      <c r="R356" t="str">
        <f>_xlfn.TEXTBEFORE(_xlfn.TEXTAFTER(us_core_reqs[[#This Row],[URL*]],"/",-1),".")</f>
        <v>StructureDefinition-us-core-implantable-device</v>
      </c>
      <c r="S356" t="str">
        <f>_xlfn.TEXTAFTER(us_core_reqs[[#This Row],[URL*]],"#",-1)</f>
        <v>mandatory-and-must-support-data-elements</v>
      </c>
      <c r="T356" t="str">
        <f>SUBSTITUTE(SUBSTITUTE(PROPER(SUBSTITUTE(us_core_reqs[[#This Row],[Page]], "-", " "))&amp;": "&amp;PROPER(SUBSTITUTE(us_core_reqs[[#This Row],[Section]], "-", " ")),"Us ","US "), "Uscdi", "USCDI")</f>
        <v>Structuredefinition US Core Implantable Device: Mandatory And Must Support Data Elements</v>
      </c>
      <c r="U356" t="s">
        <v>35</v>
      </c>
      <c r="V356" t="s">
        <v>1171</v>
      </c>
      <c r="W356" t="s">
        <v>1171</v>
      </c>
      <c r="X356" t="s">
        <v>1171</v>
      </c>
      <c r="Y356" t="s">
        <v>1171</v>
      </c>
      <c r="Z356" t="s">
        <v>1171</v>
      </c>
      <c r="AA356" t="s">
        <v>1171</v>
      </c>
      <c r="AB356" t="s">
        <v>1171</v>
      </c>
      <c r="AC356" t="s">
        <v>1171</v>
      </c>
      <c r="AD356" t="s">
        <v>1171</v>
      </c>
    </row>
    <row r="357" spans="1:30" ht="85" x14ac:dyDescent="0.2">
      <c r="A357" t="s">
        <v>1171</v>
      </c>
      <c r="B357" t="s">
        <v>1529</v>
      </c>
      <c r="C357" t="str">
        <f>"CONF-"&amp;TEXT(us_core_reqs[[#This Row],[ID*]], "0000")</f>
        <v>CONF-0356</v>
      </c>
      <c r="D357" s="11" t="s">
        <v>868</v>
      </c>
      <c r="E357" t="str">
        <f>SUBSTITUTE(us_core_reqs[[#This Row],[URL*]], "https://hl7.org/fhir/us/core/STU8/","")</f>
        <v>StructureDefinition-us-core-diagnosticreport-lab.html#mandatory-and-must-support-data-elements, StructureDefinition-us-core-diagnosticreport-note.html#mandatory-and-must-support-data-elements</v>
      </c>
      <c r="F357" s="11" t="s">
        <v>2053</v>
      </c>
      <c r="G357" t="s">
        <v>29</v>
      </c>
      <c r="I357" t="s">
        <v>30</v>
      </c>
      <c r="J357" t="s">
        <v>1171</v>
      </c>
      <c r="K357" t="s">
        <v>1171</v>
      </c>
      <c r="L357" t="s">
        <v>1176</v>
      </c>
      <c r="M357" t="s">
        <v>379</v>
      </c>
      <c r="N357" t="s">
        <v>1171</v>
      </c>
      <c r="O357" t="s">
        <v>1171</v>
      </c>
      <c r="P357" t="s">
        <v>1171</v>
      </c>
      <c r="Q357" t="s">
        <v>1171</v>
      </c>
      <c r="R357" t="str">
        <f>_xlfn.TEXTBEFORE(_xlfn.TEXTAFTER(us_core_reqs[[#This Row],[URL*]],"/",-1),".")</f>
        <v>StructureDefinition-us-core-diagnosticreport-note</v>
      </c>
      <c r="S357" t="str">
        <f>_xlfn.TEXTAFTER(us_core_reqs[[#This Row],[URL*]],"#",-1)</f>
        <v>mandatory-and-must-support-data-elements</v>
      </c>
      <c r="T357" t="str">
        <f>SUBSTITUTE(SUBSTITUTE(PROPER(SUBSTITUTE(us_core_reqs[[#This Row],[Page]], "-", " "))&amp;": "&amp;PROPER(SUBSTITUTE(us_core_reqs[[#This Row],[Section]], "-", " ")),"Us ","US "), "Uscdi", "USCDI")</f>
        <v>Structuredefinition US Core Diagnosticreport Note: Mandatory And Must Support Data Elements</v>
      </c>
      <c r="U357" t="s">
        <v>29</v>
      </c>
      <c r="V357" t="s">
        <v>1171</v>
      </c>
      <c r="W357" t="s">
        <v>1171</v>
      </c>
      <c r="X357" t="s">
        <v>1171</v>
      </c>
      <c r="Y357" t="s">
        <v>1171</v>
      </c>
      <c r="Z357" t="s">
        <v>1171</v>
      </c>
      <c r="AA357" t="s">
        <v>1171</v>
      </c>
      <c r="AB357" t="s">
        <v>1171</v>
      </c>
      <c r="AC357" t="s">
        <v>1140</v>
      </c>
      <c r="AD357" t="s">
        <v>1171</v>
      </c>
    </row>
    <row r="358" spans="1:30" ht="51" x14ac:dyDescent="0.2">
      <c r="A358" t="s">
        <v>1171</v>
      </c>
      <c r="B358" t="s">
        <v>1530</v>
      </c>
      <c r="C358" t="str">
        <f>"CONF-"&amp;TEXT(us_core_reqs[[#This Row],[ID*]], "0000")</f>
        <v>CONF-0357</v>
      </c>
      <c r="D358" s="11" t="s">
        <v>640</v>
      </c>
      <c r="E358" t="str">
        <f>SUBSTITUTE(us_core_reqs[[#This Row],[URL*]], "https://hl7.org/fhir/us/core/STU8/","")</f>
        <v>StructureDefinition-us-core-diagnosticreport-lab.html#mandatory-and-must-support-data-elements</v>
      </c>
      <c r="F358" s="11" t="s">
        <v>2054</v>
      </c>
      <c r="G358" t="s">
        <v>29</v>
      </c>
      <c r="I358" t="s">
        <v>30</v>
      </c>
      <c r="J358" t="s">
        <v>1171</v>
      </c>
      <c r="K358" t="s">
        <v>1171</v>
      </c>
      <c r="L358" t="s">
        <v>1176</v>
      </c>
      <c r="M358" t="s">
        <v>381</v>
      </c>
      <c r="N358" t="s">
        <v>1171</v>
      </c>
      <c r="O358" t="s">
        <v>1171</v>
      </c>
      <c r="P358" t="s">
        <v>1171</v>
      </c>
      <c r="Q358" t="s">
        <v>1171</v>
      </c>
      <c r="R358" t="str">
        <f>_xlfn.TEXTBEFORE(_xlfn.TEXTAFTER(us_core_reqs[[#This Row],[URL*]],"/",-1),".")</f>
        <v>StructureDefinition-us-core-diagnosticreport-lab</v>
      </c>
      <c r="S358" t="str">
        <f>_xlfn.TEXTAFTER(us_core_reqs[[#This Row],[URL*]],"#",-1)</f>
        <v>mandatory-and-must-support-data-elements</v>
      </c>
      <c r="T358" t="str">
        <f>SUBSTITUTE(SUBSTITUTE(PROPER(SUBSTITUTE(us_core_reqs[[#This Row],[Page]], "-", " "))&amp;": "&amp;PROPER(SUBSTITUTE(us_core_reqs[[#This Row],[Section]], "-", " ")),"Us ","US "), "Uscdi", "USCDI")</f>
        <v>Structuredefinition US Core Diagnosticreport Lab: Mandatory And Must Support Data Elements</v>
      </c>
      <c r="U358" t="s">
        <v>29</v>
      </c>
      <c r="V358" t="s">
        <v>1171</v>
      </c>
      <c r="W358" t="s">
        <v>1171</v>
      </c>
      <c r="X358" t="s">
        <v>1171</v>
      </c>
      <c r="Y358" t="s">
        <v>1171</v>
      </c>
      <c r="Z358" t="s">
        <v>1171</v>
      </c>
      <c r="AA358" t="s">
        <v>1171</v>
      </c>
      <c r="AB358" t="s">
        <v>1171</v>
      </c>
      <c r="AC358" t="s">
        <v>1140</v>
      </c>
      <c r="AD358" t="s">
        <v>1171</v>
      </c>
    </row>
    <row r="359" spans="1:30" ht="51" x14ac:dyDescent="0.2">
      <c r="A359" t="s">
        <v>1171</v>
      </c>
      <c r="B359" t="s">
        <v>1531</v>
      </c>
      <c r="C359" t="str">
        <f>"CONF-"&amp;TEXT(us_core_reqs[[#This Row],[ID*]], "0000")</f>
        <v>CONF-0358</v>
      </c>
      <c r="D359" s="11" t="s">
        <v>640</v>
      </c>
      <c r="E359" t="str">
        <f>SUBSTITUTE(us_core_reqs[[#This Row],[URL*]], "https://hl7.org/fhir/us/core/STU8/","")</f>
        <v>StructureDefinition-us-core-diagnosticreport-lab.html#mandatory-and-must-support-data-elements</v>
      </c>
      <c r="F359" s="11" t="s">
        <v>1967</v>
      </c>
      <c r="G359" t="s">
        <v>32</v>
      </c>
      <c r="I359" t="s">
        <v>30</v>
      </c>
      <c r="J359" t="s">
        <v>1171</v>
      </c>
      <c r="K359" t="s">
        <v>1171</v>
      </c>
      <c r="L359" t="s">
        <v>1173</v>
      </c>
      <c r="M359" t="s">
        <v>1171</v>
      </c>
      <c r="N359" t="s">
        <v>1171</v>
      </c>
      <c r="O359" t="s">
        <v>1171</v>
      </c>
      <c r="P359" t="s">
        <v>1171</v>
      </c>
      <c r="Q359" t="s">
        <v>1171</v>
      </c>
      <c r="R359" t="str">
        <f>_xlfn.TEXTBEFORE(_xlfn.TEXTAFTER(us_core_reqs[[#This Row],[URL*]],"/",-1),".")</f>
        <v>StructureDefinition-us-core-diagnosticreport-lab</v>
      </c>
      <c r="S359" t="str">
        <f>_xlfn.TEXTAFTER(us_core_reqs[[#This Row],[URL*]],"#",-1)</f>
        <v>mandatory-and-must-support-data-elements</v>
      </c>
      <c r="T359" t="str">
        <f>SUBSTITUTE(SUBSTITUTE(PROPER(SUBSTITUTE(us_core_reqs[[#This Row],[Page]], "-", " "))&amp;": "&amp;PROPER(SUBSTITUTE(us_core_reqs[[#This Row],[Section]], "-", " ")),"Us ","US "), "Uscdi", "USCDI")</f>
        <v>Structuredefinition US Core Diagnosticreport Lab: Mandatory And Must Support Data Elements</v>
      </c>
      <c r="U359" t="s">
        <v>32</v>
      </c>
      <c r="V359" t="s">
        <v>1171</v>
      </c>
      <c r="W359" t="s">
        <v>1171</v>
      </c>
      <c r="X359" t="s">
        <v>1171</v>
      </c>
      <c r="Y359" t="s">
        <v>1171</v>
      </c>
      <c r="Z359" t="s">
        <v>1171</v>
      </c>
      <c r="AA359" t="s">
        <v>1171</v>
      </c>
      <c r="AB359" t="s">
        <v>769</v>
      </c>
      <c r="AC359" t="s">
        <v>1171</v>
      </c>
      <c r="AD359" t="s">
        <v>1171</v>
      </c>
    </row>
    <row r="360" spans="1:30" ht="51" x14ac:dyDescent="0.2">
      <c r="A360" t="s">
        <v>1171</v>
      </c>
      <c r="B360" t="s">
        <v>1532</v>
      </c>
      <c r="C360" t="str">
        <f>"CONF-"&amp;TEXT(us_core_reqs[[#This Row],[ID*]], "0000")</f>
        <v>CONF-0359</v>
      </c>
      <c r="D360" s="11" t="s">
        <v>640</v>
      </c>
      <c r="E360" t="str">
        <f>SUBSTITUTE(us_core_reqs[[#This Row],[URL*]], "https://hl7.org/fhir/us/core/STU8/","")</f>
        <v>StructureDefinition-us-core-diagnosticreport-lab.html#mandatory-and-must-support-data-elements</v>
      </c>
      <c r="F360" s="11" t="s">
        <v>1968</v>
      </c>
      <c r="G360" t="s">
        <v>32</v>
      </c>
      <c r="I360" t="s">
        <v>30</v>
      </c>
      <c r="J360" t="s">
        <v>1171</v>
      </c>
      <c r="K360" t="s">
        <v>1171</v>
      </c>
      <c r="L360" t="s">
        <v>1173</v>
      </c>
      <c r="M360" t="s">
        <v>1171</v>
      </c>
      <c r="N360" t="s">
        <v>1171</v>
      </c>
      <c r="O360" t="s">
        <v>1171</v>
      </c>
      <c r="P360" t="s">
        <v>1171</v>
      </c>
      <c r="Q360" t="s">
        <v>1171</v>
      </c>
      <c r="R360" t="str">
        <f>_xlfn.TEXTBEFORE(_xlfn.TEXTAFTER(us_core_reqs[[#This Row],[URL*]],"/",-1),".")</f>
        <v>StructureDefinition-us-core-diagnosticreport-lab</v>
      </c>
      <c r="S360" t="str">
        <f>_xlfn.TEXTAFTER(us_core_reqs[[#This Row],[URL*]],"#",-1)</f>
        <v>mandatory-and-must-support-data-elements</v>
      </c>
      <c r="T360" t="str">
        <f>SUBSTITUTE(SUBSTITUTE(PROPER(SUBSTITUTE(us_core_reqs[[#This Row],[Page]], "-", " "))&amp;": "&amp;PROPER(SUBSTITUTE(us_core_reqs[[#This Row],[Section]], "-", " ")),"Us ","US "), "Uscdi", "USCDI")</f>
        <v>Structuredefinition US Core Diagnosticreport Lab: Mandatory And Must Support Data Elements</v>
      </c>
      <c r="U360" t="s">
        <v>32</v>
      </c>
      <c r="V360" t="s">
        <v>1171</v>
      </c>
      <c r="W360" t="s">
        <v>1171</v>
      </c>
      <c r="X360" t="s">
        <v>1171</v>
      </c>
      <c r="Y360" t="s">
        <v>1171</v>
      </c>
      <c r="Z360" t="s">
        <v>1171</v>
      </c>
      <c r="AA360" t="s">
        <v>1171</v>
      </c>
      <c r="AB360" t="s">
        <v>769</v>
      </c>
      <c r="AC360" t="s">
        <v>1171</v>
      </c>
      <c r="AD360" t="s">
        <v>1171</v>
      </c>
    </row>
    <row r="361" spans="1:30" ht="51" x14ac:dyDescent="0.2">
      <c r="A361" t="s">
        <v>1171</v>
      </c>
      <c r="B361" t="s">
        <v>1533</v>
      </c>
      <c r="C361" t="str">
        <f>"CONF-"&amp;TEXT(us_core_reqs[[#This Row],[ID*]], "0000")</f>
        <v>CONF-0360</v>
      </c>
      <c r="D361" s="11" t="s">
        <v>641</v>
      </c>
      <c r="E361" t="str">
        <f>SUBSTITUTE(us_core_reqs[[#This Row],[URL*]], "https://hl7.org/fhir/us/core/STU8/","")</f>
        <v>StructureDefinition-us-core-diagnosticreport-note.html#mandatory-and-must-support-data-elements</v>
      </c>
      <c r="F361" s="11" t="s">
        <v>382</v>
      </c>
      <c r="G361" t="s">
        <v>29</v>
      </c>
      <c r="I361" t="s">
        <v>30</v>
      </c>
      <c r="J361" t="s">
        <v>1171</v>
      </c>
      <c r="K361" t="s">
        <v>1171</v>
      </c>
      <c r="L361" t="s">
        <v>1173</v>
      </c>
      <c r="M361" t="s">
        <v>1171</v>
      </c>
      <c r="N361" t="s">
        <v>1171</v>
      </c>
      <c r="O361" t="s">
        <v>1171</v>
      </c>
      <c r="P361" t="s">
        <v>1171</v>
      </c>
      <c r="Q361" t="s">
        <v>1171</v>
      </c>
      <c r="R361" t="str">
        <f>_xlfn.TEXTBEFORE(_xlfn.TEXTAFTER(us_core_reqs[[#This Row],[URL*]],"/",-1),".")</f>
        <v>StructureDefinition-us-core-diagnosticreport-note</v>
      </c>
      <c r="S361" t="str">
        <f>_xlfn.TEXTAFTER(us_core_reqs[[#This Row],[URL*]],"#",-1)</f>
        <v>mandatory-and-must-support-data-elements</v>
      </c>
      <c r="T361" t="str">
        <f>SUBSTITUTE(SUBSTITUTE(PROPER(SUBSTITUTE(us_core_reqs[[#This Row],[Page]], "-", " "))&amp;": "&amp;PROPER(SUBSTITUTE(us_core_reqs[[#This Row],[Section]], "-", " ")),"Us ","US "), "Uscdi", "USCDI")</f>
        <v>Structuredefinition US Core Diagnosticreport Note: Mandatory And Must Support Data Elements</v>
      </c>
      <c r="U361" t="s">
        <v>1171</v>
      </c>
      <c r="V361" t="s">
        <v>1171</v>
      </c>
      <c r="W361" t="s">
        <v>1171</v>
      </c>
      <c r="X361" t="s">
        <v>1171</v>
      </c>
      <c r="Y361" t="s">
        <v>1171</v>
      </c>
      <c r="Z361" t="s">
        <v>1171</v>
      </c>
      <c r="AA361" t="s">
        <v>1171</v>
      </c>
      <c r="AB361" t="s">
        <v>1171</v>
      </c>
      <c r="AC361" t="s">
        <v>1140</v>
      </c>
      <c r="AD361" t="s">
        <v>1171</v>
      </c>
    </row>
    <row r="362" spans="1:30" ht="51" x14ac:dyDescent="0.2">
      <c r="A362" t="s">
        <v>1171</v>
      </c>
      <c r="B362" t="s">
        <v>1534</v>
      </c>
      <c r="C362" t="str">
        <f>"CONF-"&amp;TEXT(us_core_reqs[[#This Row],[ID*]], "0000")</f>
        <v>CONF-0361</v>
      </c>
      <c r="D362" s="11" t="s">
        <v>641</v>
      </c>
      <c r="E362" t="str">
        <f>SUBSTITUTE(us_core_reqs[[#This Row],[URL*]], "https://hl7.org/fhir/us/core/STU8/","")</f>
        <v>StructureDefinition-us-core-diagnosticreport-note.html#mandatory-and-must-support-data-elements</v>
      </c>
      <c r="F362" s="11" t="s">
        <v>383</v>
      </c>
      <c r="G362" t="s">
        <v>35</v>
      </c>
      <c r="I362" t="s">
        <v>30</v>
      </c>
      <c r="J362" t="s">
        <v>1171</v>
      </c>
      <c r="K362" t="s">
        <v>1171</v>
      </c>
      <c r="L362" t="s">
        <v>1173</v>
      </c>
      <c r="M362" t="s">
        <v>1171</v>
      </c>
      <c r="N362" t="s">
        <v>1171</v>
      </c>
      <c r="O362" t="s">
        <v>1171</v>
      </c>
      <c r="P362" t="s">
        <v>1171</v>
      </c>
      <c r="Q362" t="s">
        <v>1171</v>
      </c>
      <c r="R362" t="str">
        <f>_xlfn.TEXTBEFORE(_xlfn.TEXTAFTER(us_core_reqs[[#This Row],[URL*]],"/",-1),".")</f>
        <v>StructureDefinition-us-core-diagnosticreport-note</v>
      </c>
      <c r="S362" t="str">
        <f>_xlfn.TEXTAFTER(us_core_reqs[[#This Row],[URL*]],"#",-1)</f>
        <v>mandatory-and-must-support-data-elements</v>
      </c>
      <c r="T362" t="str">
        <f>SUBSTITUTE(SUBSTITUTE(PROPER(SUBSTITUTE(us_core_reqs[[#This Row],[Page]], "-", " "))&amp;": "&amp;PROPER(SUBSTITUTE(us_core_reqs[[#This Row],[Section]], "-", " ")),"Us ","US "), "Uscdi", "USCDI")</f>
        <v>Structuredefinition US Core Diagnosticreport Note: Mandatory And Must Support Data Elements</v>
      </c>
      <c r="U362" t="s">
        <v>35</v>
      </c>
      <c r="V362" t="s">
        <v>1171</v>
      </c>
      <c r="W362" t="s">
        <v>1171</v>
      </c>
      <c r="X362" t="s">
        <v>1171</v>
      </c>
      <c r="Y362" t="s">
        <v>1171</v>
      </c>
      <c r="Z362" t="s">
        <v>1171</v>
      </c>
      <c r="AA362" t="s">
        <v>1171</v>
      </c>
      <c r="AB362" t="s">
        <v>1171</v>
      </c>
      <c r="AC362" t="s">
        <v>1171</v>
      </c>
      <c r="AD362" t="s">
        <v>1171</v>
      </c>
    </row>
    <row r="363" spans="1:30" ht="51" x14ac:dyDescent="0.2">
      <c r="A363" t="s">
        <v>1171</v>
      </c>
      <c r="B363" t="s">
        <v>1535</v>
      </c>
      <c r="C363" t="str">
        <f>"CONF-"&amp;TEXT(us_core_reqs[[#This Row],[ID*]], "0000")</f>
        <v>CONF-0362</v>
      </c>
      <c r="D363" s="11" t="s">
        <v>641</v>
      </c>
      <c r="E363" t="str">
        <f>SUBSTITUTE(us_core_reqs[[#This Row],[URL*]], "https://hl7.org/fhir/us/core/STU8/","")</f>
        <v>StructureDefinition-us-core-diagnosticreport-note.html#mandatory-and-must-support-data-elements</v>
      </c>
      <c r="F363" s="11" t="s">
        <v>1045</v>
      </c>
      <c r="G363" t="s">
        <v>35</v>
      </c>
      <c r="I363" t="s">
        <v>30</v>
      </c>
      <c r="J363" t="s">
        <v>1171</v>
      </c>
      <c r="K363" t="s">
        <v>1171</v>
      </c>
      <c r="L363" t="s">
        <v>1173</v>
      </c>
      <c r="M363" t="s">
        <v>1171</v>
      </c>
      <c r="N363" t="s">
        <v>1171</v>
      </c>
      <c r="O363" t="s">
        <v>1171</v>
      </c>
      <c r="P363" t="s">
        <v>1171</v>
      </c>
      <c r="Q363" t="s">
        <v>1171</v>
      </c>
      <c r="R363" t="str">
        <f>_xlfn.TEXTBEFORE(_xlfn.TEXTAFTER(us_core_reqs[[#This Row],[URL*]],"/",-1),".")</f>
        <v>StructureDefinition-us-core-diagnosticreport-note</v>
      </c>
      <c r="S363" t="str">
        <f>_xlfn.TEXTAFTER(us_core_reqs[[#This Row],[URL*]],"#",-1)</f>
        <v>mandatory-and-must-support-data-elements</v>
      </c>
      <c r="T363" t="str">
        <f>SUBSTITUTE(SUBSTITUTE(PROPER(SUBSTITUTE(us_core_reqs[[#This Row],[Page]], "-", " "))&amp;": "&amp;PROPER(SUBSTITUTE(us_core_reqs[[#This Row],[Section]], "-", " ")),"Us ","US "), "Uscdi", "USCDI")</f>
        <v>Structuredefinition US Core Diagnosticreport Note: Mandatory And Must Support Data Elements</v>
      </c>
      <c r="U363" t="s">
        <v>35</v>
      </c>
      <c r="V363" t="s">
        <v>30</v>
      </c>
      <c r="W363" t="s">
        <v>1171</v>
      </c>
      <c r="X363" t="s">
        <v>1171</v>
      </c>
      <c r="Y363" t="s">
        <v>1171</v>
      </c>
      <c r="Z363" t="s">
        <v>1171</v>
      </c>
      <c r="AA363" t="s">
        <v>1171</v>
      </c>
      <c r="AB363" t="s">
        <v>1171</v>
      </c>
      <c r="AC363" t="s">
        <v>1171</v>
      </c>
      <c r="AD363" t="s">
        <v>1171</v>
      </c>
    </row>
    <row r="364" spans="1:30" ht="51" x14ac:dyDescent="0.2">
      <c r="A364" t="s">
        <v>1171</v>
      </c>
      <c r="B364" t="s">
        <v>1536</v>
      </c>
      <c r="C364" t="str">
        <f>"CONF-"&amp;TEXT(us_core_reqs[[#This Row],[ID*]], "0000")</f>
        <v>CONF-0363</v>
      </c>
      <c r="D364" s="11" t="s">
        <v>641</v>
      </c>
      <c r="E364" t="str">
        <f>SUBSTITUTE(us_core_reqs[[#This Row],[URL*]], "https://hl7.org/fhir/us/core/STU8/","")</f>
        <v>StructureDefinition-us-core-diagnosticreport-note.html#mandatory-and-must-support-data-elements</v>
      </c>
      <c r="F364" s="11" t="s">
        <v>1046</v>
      </c>
      <c r="G364" t="s">
        <v>64</v>
      </c>
      <c r="I364" t="s">
        <v>30</v>
      </c>
      <c r="J364" t="s">
        <v>1171</v>
      </c>
      <c r="K364" t="s">
        <v>1171</v>
      </c>
      <c r="L364" t="s">
        <v>1173</v>
      </c>
      <c r="M364" t="s">
        <v>1171</v>
      </c>
      <c r="N364" t="s">
        <v>1171</v>
      </c>
      <c r="O364" t="s">
        <v>1171</v>
      </c>
      <c r="P364" t="s">
        <v>1171</v>
      </c>
      <c r="Q364" t="s">
        <v>1171</v>
      </c>
      <c r="R364" t="str">
        <f>_xlfn.TEXTBEFORE(_xlfn.TEXTAFTER(us_core_reqs[[#This Row],[URL*]],"/",-1),".")</f>
        <v>StructureDefinition-us-core-diagnosticreport-note</v>
      </c>
      <c r="S364" t="str">
        <f>_xlfn.TEXTAFTER(us_core_reqs[[#This Row],[URL*]],"#",-1)</f>
        <v>mandatory-and-must-support-data-elements</v>
      </c>
      <c r="T364" t="str">
        <f>SUBSTITUTE(SUBSTITUTE(PROPER(SUBSTITUTE(us_core_reqs[[#This Row],[Page]], "-", " "))&amp;": "&amp;PROPER(SUBSTITUTE(us_core_reqs[[#This Row],[Section]], "-", " ")),"Us ","US "), "Uscdi", "USCDI")</f>
        <v>Structuredefinition US Core Diagnosticreport Note: Mandatory And Must Support Data Elements</v>
      </c>
      <c r="U364" t="s">
        <v>1171</v>
      </c>
      <c r="V364" t="s">
        <v>30</v>
      </c>
      <c r="W364" t="s">
        <v>1171</v>
      </c>
      <c r="X364" t="s">
        <v>1171</v>
      </c>
      <c r="Y364" t="s">
        <v>1171</v>
      </c>
      <c r="Z364" t="s">
        <v>1171</v>
      </c>
      <c r="AA364" t="s">
        <v>1171</v>
      </c>
      <c r="AB364" t="s">
        <v>938</v>
      </c>
      <c r="AC364" t="s">
        <v>1171</v>
      </c>
      <c r="AD364" t="s">
        <v>1171</v>
      </c>
    </row>
    <row r="365" spans="1:30" ht="85" x14ac:dyDescent="0.2">
      <c r="A365" t="s">
        <v>1171</v>
      </c>
      <c r="B365" t="s">
        <v>1537</v>
      </c>
      <c r="C365" t="str">
        <f>"CONF-"&amp;TEXT(us_core_reqs[[#This Row],[ID*]], "0000")</f>
        <v>CONF-0364</v>
      </c>
      <c r="D365" s="11" t="s">
        <v>641</v>
      </c>
      <c r="E365" t="str">
        <f>SUBSTITUTE(us_core_reqs[[#This Row],[URL*]], "https://hl7.org/fhir/us/core/STU8/","")</f>
        <v>StructureDefinition-us-core-diagnosticreport-note.html#mandatory-and-must-support-data-elements</v>
      </c>
      <c r="F365" s="11" t="s">
        <v>1969</v>
      </c>
      <c r="G365" t="s">
        <v>32</v>
      </c>
      <c r="I365" t="s">
        <v>30</v>
      </c>
      <c r="J365" t="s">
        <v>1171</v>
      </c>
      <c r="K365" t="s">
        <v>1171</v>
      </c>
      <c r="L365" t="s">
        <v>1176</v>
      </c>
      <c r="M365" t="s">
        <v>385</v>
      </c>
      <c r="N365" t="s">
        <v>1171</v>
      </c>
      <c r="O365" t="s">
        <v>1171</v>
      </c>
      <c r="P365" t="s">
        <v>1171</v>
      </c>
      <c r="Q365" t="s">
        <v>1171</v>
      </c>
      <c r="R365" t="str">
        <f>_xlfn.TEXTBEFORE(_xlfn.TEXTAFTER(us_core_reqs[[#This Row],[URL*]],"/",-1),".")</f>
        <v>StructureDefinition-us-core-diagnosticreport-note</v>
      </c>
      <c r="S365" t="str">
        <f>_xlfn.TEXTAFTER(us_core_reqs[[#This Row],[URL*]],"#",-1)</f>
        <v>mandatory-and-must-support-data-elements</v>
      </c>
      <c r="T365" t="str">
        <f>SUBSTITUTE(SUBSTITUTE(PROPER(SUBSTITUTE(us_core_reqs[[#This Row],[Page]], "-", " "))&amp;": "&amp;PROPER(SUBSTITUTE(us_core_reqs[[#This Row],[Section]], "-", " ")),"Us ","US "), "Uscdi", "USCDI")</f>
        <v>Structuredefinition US Core Diagnosticreport Note: Mandatory And Must Support Data Elements</v>
      </c>
      <c r="U365" t="s">
        <v>32</v>
      </c>
      <c r="V365" t="s">
        <v>1171</v>
      </c>
      <c r="W365" t="s">
        <v>1171</v>
      </c>
      <c r="X365" t="s">
        <v>1171</v>
      </c>
      <c r="Y365" t="s">
        <v>1171</v>
      </c>
      <c r="Z365" t="s">
        <v>1171</v>
      </c>
      <c r="AA365" t="s">
        <v>1171</v>
      </c>
      <c r="AB365" t="s">
        <v>386</v>
      </c>
      <c r="AC365" t="s">
        <v>1171</v>
      </c>
      <c r="AD365" t="s">
        <v>1171</v>
      </c>
    </row>
    <row r="366" spans="1:30" ht="85" x14ac:dyDescent="0.2">
      <c r="A366" t="s">
        <v>1171</v>
      </c>
      <c r="B366" t="s">
        <v>1538</v>
      </c>
      <c r="C366" t="str">
        <f>"CONF-"&amp;TEXT(us_core_reqs[[#This Row],[ID*]], "0000")</f>
        <v>CONF-0365</v>
      </c>
      <c r="D366" s="11" t="s">
        <v>869</v>
      </c>
      <c r="E366" t="str">
        <f>SUBSTITUTE(us_core_reqs[[#This Row],[URL*]], "https://hl7.org/fhir/us/core/STU8/","")</f>
        <v>StructureDefinition-us-core-documentreference.html#mandatory-and-must-support-data-elements</v>
      </c>
      <c r="F366" s="11" t="s">
        <v>763</v>
      </c>
      <c r="G366" t="s">
        <v>29</v>
      </c>
      <c r="I366" t="s">
        <v>30</v>
      </c>
      <c r="J366" t="s">
        <v>1171</v>
      </c>
      <c r="K366" t="s">
        <v>1171</v>
      </c>
      <c r="L366" t="s">
        <v>1173</v>
      </c>
      <c r="M366" t="s">
        <v>1171</v>
      </c>
      <c r="N366" t="s">
        <v>1171</v>
      </c>
      <c r="O366" t="s">
        <v>1171</v>
      </c>
      <c r="P366" t="s">
        <v>1171</v>
      </c>
      <c r="Q366" t="s">
        <v>1171</v>
      </c>
      <c r="R366" t="str">
        <f>_xlfn.TEXTBEFORE(_xlfn.TEXTAFTER(us_core_reqs[[#This Row],[URL*]],"/",-1),".")</f>
        <v>StructureDefinition-us-core-documentreference</v>
      </c>
      <c r="S366" t="str">
        <f>_xlfn.TEXTAFTER(us_core_reqs[[#This Row],[URL*]],"#",-1)</f>
        <v>mandatory-and-must-support-data-elements</v>
      </c>
      <c r="T366" t="str">
        <f>SUBSTITUTE(SUBSTITUTE(PROPER(SUBSTITUTE(us_core_reqs[[#This Row],[Page]], "-", " "))&amp;": "&amp;PROPER(SUBSTITUTE(us_core_reqs[[#This Row],[Section]], "-", " ")),"Us ","US "), "Uscdi", "USCDI")</f>
        <v>Structuredefinition US Core Documentreference: Mandatory And Must Support Data Elements</v>
      </c>
      <c r="U366" t="s">
        <v>1171</v>
      </c>
      <c r="V366" t="s">
        <v>1171</v>
      </c>
      <c r="W366" t="s">
        <v>1171</v>
      </c>
      <c r="X366" t="s">
        <v>1171</v>
      </c>
      <c r="Y366" t="s">
        <v>1171</v>
      </c>
      <c r="Z366" t="s">
        <v>1171</v>
      </c>
      <c r="AA366" t="s">
        <v>1171</v>
      </c>
      <c r="AB366" t="s">
        <v>764</v>
      </c>
      <c r="AC366" t="s">
        <v>1140</v>
      </c>
      <c r="AD366" t="s">
        <v>1171</v>
      </c>
    </row>
    <row r="367" spans="1:30" ht="68" x14ac:dyDescent="0.2">
      <c r="A367" t="s">
        <v>1171</v>
      </c>
      <c r="B367" t="s">
        <v>1539</v>
      </c>
      <c r="C367" t="str">
        <f>"CONF-"&amp;TEXT(us_core_reqs[[#This Row],[ID*]], "0000")</f>
        <v>CONF-0366</v>
      </c>
      <c r="D367" s="11" t="s">
        <v>869</v>
      </c>
      <c r="E367" t="str">
        <f>SUBSTITUTE(us_core_reqs[[#This Row],[URL*]], "https://hl7.org/fhir/us/core/STU8/","")</f>
        <v>StructureDefinition-us-core-documentreference.html#mandatory-and-must-support-data-elements</v>
      </c>
      <c r="F367" s="11" t="s">
        <v>870</v>
      </c>
      <c r="G367" t="s">
        <v>35</v>
      </c>
      <c r="I367" t="s">
        <v>30</v>
      </c>
      <c r="J367" t="s">
        <v>1171</v>
      </c>
      <c r="K367" t="s">
        <v>1171</v>
      </c>
      <c r="L367" t="s">
        <v>1173</v>
      </c>
      <c r="M367" t="s">
        <v>1171</v>
      </c>
      <c r="N367" t="s">
        <v>1171</v>
      </c>
      <c r="O367" t="s">
        <v>1171</v>
      </c>
      <c r="P367" t="s">
        <v>1171</v>
      </c>
      <c r="Q367" t="s">
        <v>1171</v>
      </c>
      <c r="R367" t="str">
        <f>_xlfn.TEXTBEFORE(_xlfn.TEXTAFTER(us_core_reqs[[#This Row],[URL*]],"/",-1),".")</f>
        <v>StructureDefinition-us-core-documentreference</v>
      </c>
      <c r="S367" t="str">
        <f>_xlfn.TEXTAFTER(us_core_reqs[[#This Row],[URL*]],"#",-1)</f>
        <v>mandatory-and-must-support-data-elements</v>
      </c>
      <c r="T367" t="str">
        <f>SUBSTITUTE(SUBSTITUTE(PROPER(SUBSTITUTE(us_core_reqs[[#This Row],[Page]], "-", " "))&amp;": "&amp;PROPER(SUBSTITUTE(us_core_reqs[[#This Row],[Section]], "-", " ")),"Us ","US "), "Uscdi", "USCDI")</f>
        <v>Structuredefinition US Core Documentreference: Mandatory And Must Support Data Elements</v>
      </c>
      <c r="U367" t="s">
        <v>35</v>
      </c>
      <c r="V367" t="s">
        <v>1171</v>
      </c>
      <c r="W367" t="s">
        <v>1171</v>
      </c>
      <c r="X367" t="s">
        <v>1171</v>
      </c>
      <c r="Y367" t="s">
        <v>1171</v>
      </c>
      <c r="Z367" t="s">
        <v>1171</v>
      </c>
      <c r="AA367" t="s">
        <v>1171</v>
      </c>
      <c r="AB367" t="s">
        <v>1171</v>
      </c>
      <c r="AC367" t="s">
        <v>1171</v>
      </c>
      <c r="AD367" t="s">
        <v>1171</v>
      </c>
    </row>
    <row r="368" spans="1:30" ht="102" x14ac:dyDescent="0.2">
      <c r="A368" t="s">
        <v>1171</v>
      </c>
      <c r="B368" t="s">
        <v>1540</v>
      </c>
      <c r="C368" t="str">
        <f>"CONF-"&amp;TEXT(us_core_reqs[[#This Row],[ID*]], "0000")</f>
        <v>CONF-0367</v>
      </c>
      <c r="D368" s="11" t="s">
        <v>869</v>
      </c>
      <c r="E368" t="str">
        <f>SUBSTITUTE(us_core_reqs[[#This Row],[URL*]], "https://hl7.org/fhir/us/core/STU8/","")</f>
        <v>StructureDefinition-us-core-documentreference.html#mandatory-and-must-support-data-elements</v>
      </c>
      <c r="F368" s="11" t="s">
        <v>387</v>
      </c>
      <c r="G368" t="s">
        <v>35</v>
      </c>
      <c r="I368" t="s">
        <v>30</v>
      </c>
      <c r="J368" t="s">
        <v>1171</v>
      </c>
      <c r="K368" t="s">
        <v>1171</v>
      </c>
      <c r="L368" t="s">
        <v>1173</v>
      </c>
      <c r="M368" t="s">
        <v>1171</v>
      </c>
      <c r="N368" t="s">
        <v>1171</v>
      </c>
      <c r="O368" t="s">
        <v>1171</v>
      </c>
      <c r="P368" t="s">
        <v>1171</v>
      </c>
      <c r="Q368" t="s">
        <v>1171</v>
      </c>
      <c r="R368" t="str">
        <f>_xlfn.TEXTBEFORE(_xlfn.TEXTAFTER(us_core_reqs[[#This Row],[URL*]],"/",-1),".")</f>
        <v>StructureDefinition-us-core-documentreference</v>
      </c>
      <c r="S368" t="str">
        <f>_xlfn.TEXTAFTER(us_core_reqs[[#This Row],[URL*]],"#",-1)</f>
        <v>mandatory-and-must-support-data-elements</v>
      </c>
      <c r="T368" t="str">
        <f>SUBSTITUTE(SUBSTITUTE(PROPER(SUBSTITUTE(us_core_reqs[[#This Row],[Page]], "-", " "))&amp;": "&amp;PROPER(SUBSTITUTE(us_core_reqs[[#This Row],[Section]], "-", " ")),"Us ","US "), "Uscdi", "USCDI")</f>
        <v>Structuredefinition US Core Documentreference: Mandatory And Must Support Data Elements</v>
      </c>
      <c r="U368" t="s">
        <v>35</v>
      </c>
      <c r="V368" t="s">
        <v>1171</v>
      </c>
      <c r="W368" t="s">
        <v>1171</v>
      </c>
      <c r="X368" t="s">
        <v>1171</v>
      </c>
      <c r="Y368" t="s">
        <v>1171</v>
      </c>
      <c r="Z368" t="s">
        <v>1171</v>
      </c>
      <c r="AA368" t="s">
        <v>1171</v>
      </c>
      <c r="AB368" t="s">
        <v>1171</v>
      </c>
      <c r="AC368" t="s">
        <v>1171</v>
      </c>
      <c r="AD368" t="s">
        <v>1171</v>
      </c>
    </row>
    <row r="369" spans="1:30" ht="85" x14ac:dyDescent="0.2">
      <c r="A369" t="s">
        <v>1171</v>
      </c>
      <c r="B369" t="s">
        <v>1541</v>
      </c>
      <c r="C369" t="str">
        <f>"CONF-"&amp;TEXT(us_core_reqs[[#This Row],[ID*]], "0000")</f>
        <v>CONF-0368</v>
      </c>
      <c r="D369" s="11" t="s">
        <v>869</v>
      </c>
      <c r="E369" t="str">
        <f>SUBSTITUTE(us_core_reqs[[#This Row],[URL*]], "https://hl7.org/fhir/us/core/STU8/","")</f>
        <v>StructureDefinition-us-core-documentreference.html#mandatory-and-must-support-data-elements</v>
      </c>
      <c r="F369" s="11" t="s">
        <v>2110</v>
      </c>
      <c r="G369" t="s">
        <v>29</v>
      </c>
      <c r="I369" t="s">
        <v>30</v>
      </c>
      <c r="J369" t="s">
        <v>1171</v>
      </c>
      <c r="K369" t="s">
        <v>1171</v>
      </c>
      <c r="L369" t="s">
        <v>1176</v>
      </c>
      <c r="M369" t="s">
        <v>388</v>
      </c>
      <c r="N369" t="s">
        <v>1171</v>
      </c>
      <c r="O369" t="s">
        <v>1171</v>
      </c>
      <c r="P369" t="s">
        <v>1171</v>
      </c>
      <c r="Q369" t="s">
        <v>1171</v>
      </c>
      <c r="R369" t="str">
        <f>_xlfn.TEXTBEFORE(_xlfn.TEXTAFTER(us_core_reqs[[#This Row],[URL*]],"/",-1),".")</f>
        <v>StructureDefinition-us-core-documentreference</v>
      </c>
      <c r="S369" t="str">
        <f>_xlfn.TEXTAFTER(us_core_reqs[[#This Row],[URL*]],"#",-1)</f>
        <v>mandatory-and-must-support-data-elements</v>
      </c>
      <c r="T369" t="str">
        <f>SUBSTITUTE(SUBSTITUTE(PROPER(SUBSTITUTE(us_core_reqs[[#This Row],[Page]], "-", " "))&amp;": "&amp;PROPER(SUBSTITUTE(us_core_reqs[[#This Row],[Section]], "-", " ")),"Us ","US "), "Uscdi", "USCDI")</f>
        <v>Structuredefinition US Core Documentreference: Mandatory And Must Support Data Elements</v>
      </c>
      <c r="U369" t="s">
        <v>29</v>
      </c>
      <c r="V369" t="s">
        <v>30</v>
      </c>
      <c r="W369" t="s">
        <v>1171</v>
      </c>
      <c r="X369" t="s">
        <v>1171</v>
      </c>
      <c r="Y369" t="s">
        <v>1171</v>
      </c>
      <c r="Z369" t="s">
        <v>1171</v>
      </c>
      <c r="AA369" t="s">
        <v>1171</v>
      </c>
      <c r="AB369" t="s">
        <v>1171</v>
      </c>
      <c r="AC369" t="s">
        <v>1140</v>
      </c>
      <c r="AD369" t="s">
        <v>1171</v>
      </c>
    </row>
    <row r="370" spans="1:30" ht="51" x14ac:dyDescent="0.2">
      <c r="A370" t="s">
        <v>1171</v>
      </c>
      <c r="B370" t="s">
        <v>1542</v>
      </c>
      <c r="C370" t="str">
        <f>"CONF-"&amp;TEXT(us_core_reqs[[#This Row],[ID*]], "0000")</f>
        <v>CONF-0369</v>
      </c>
      <c r="D370" s="11" t="s">
        <v>869</v>
      </c>
      <c r="E370" t="str">
        <f>SUBSTITUTE(us_core_reqs[[#This Row],[URL*]], "https://hl7.org/fhir/us/core/STU8/","")</f>
        <v>StructureDefinition-us-core-documentreference.html#mandatory-and-must-support-data-elements</v>
      </c>
      <c r="F370" s="11" t="s">
        <v>2111</v>
      </c>
      <c r="G370" t="s">
        <v>29</v>
      </c>
      <c r="I370" t="s">
        <v>58</v>
      </c>
      <c r="J370" t="s">
        <v>1171</v>
      </c>
      <c r="K370" t="s">
        <v>1171</v>
      </c>
      <c r="L370" t="s">
        <v>1173</v>
      </c>
      <c r="M370" t="s">
        <v>1171</v>
      </c>
      <c r="N370" t="s">
        <v>1171</v>
      </c>
      <c r="O370" t="s">
        <v>1171</v>
      </c>
      <c r="P370" t="s">
        <v>1171</v>
      </c>
      <c r="Q370" t="s">
        <v>1171</v>
      </c>
      <c r="R370" t="str">
        <f>_xlfn.TEXTBEFORE(_xlfn.TEXTAFTER(us_core_reqs[[#This Row],[URL*]],"/",-1),".")</f>
        <v>StructureDefinition-us-core-documentreference</v>
      </c>
      <c r="S370" t="str">
        <f>_xlfn.TEXTAFTER(us_core_reqs[[#This Row],[URL*]],"#",-1)</f>
        <v>mandatory-and-must-support-data-elements</v>
      </c>
      <c r="T370" t="str">
        <f>SUBSTITUTE(SUBSTITUTE(PROPER(SUBSTITUTE(us_core_reqs[[#This Row],[Page]], "-", " "))&amp;": "&amp;PROPER(SUBSTITUTE(us_core_reqs[[#This Row],[Section]], "-", " ")),"Us ","US "), "Uscdi", "USCDI")</f>
        <v>Structuredefinition US Core Documentreference: Mandatory And Must Support Data Elements</v>
      </c>
      <c r="U370" t="s">
        <v>29</v>
      </c>
      <c r="V370" t="s">
        <v>58</v>
      </c>
      <c r="W370" t="s">
        <v>1171</v>
      </c>
      <c r="X370" t="s">
        <v>1171</v>
      </c>
      <c r="Y370" t="s">
        <v>1171</v>
      </c>
      <c r="Z370" t="s">
        <v>1171</v>
      </c>
      <c r="AA370" t="s">
        <v>1171</v>
      </c>
      <c r="AB370" t="s">
        <v>1171</v>
      </c>
      <c r="AC370" t="s">
        <v>1171</v>
      </c>
      <c r="AD370" t="s">
        <v>1171</v>
      </c>
    </row>
    <row r="371" spans="1:30" ht="51" x14ac:dyDescent="0.2">
      <c r="A371" t="s">
        <v>1171</v>
      </c>
      <c r="B371" t="s">
        <v>1543</v>
      </c>
      <c r="C371" t="str">
        <f>"CONF-"&amp;TEXT(us_core_reqs[[#This Row],[ID*]], "0000")</f>
        <v>CONF-0370</v>
      </c>
      <c r="D371" s="11" t="s">
        <v>869</v>
      </c>
      <c r="E371" t="str">
        <f>SUBSTITUTE(us_core_reqs[[#This Row],[URL*]], "https://hl7.org/fhir/us/core/STU8/","")</f>
        <v>StructureDefinition-us-core-documentreference.html#mandatory-and-must-support-data-elements</v>
      </c>
      <c r="F371" s="11" t="s">
        <v>2112</v>
      </c>
      <c r="G371" t="s">
        <v>29</v>
      </c>
      <c r="I371" t="s">
        <v>58</v>
      </c>
      <c r="J371" t="s">
        <v>1171</v>
      </c>
      <c r="K371" t="s">
        <v>1171</v>
      </c>
      <c r="L371" t="s">
        <v>1173</v>
      </c>
      <c r="M371" t="s">
        <v>1171</v>
      </c>
      <c r="N371" t="s">
        <v>1171</v>
      </c>
      <c r="O371" t="s">
        <v>1171</v>
      </c>
      <c r="P371" t="s">
        <v>1171</v>
      </c>
      <c r="Q371" t="s">
        <v>1171</v>
      </c>
      <c r="R371" t="str">
        <f>_xlfn.TEXTBEFORE(_xlfn.TEXTAFTER(us_core_reqs[[#This Row],[URL*]],"/",-1),".")</f>
        <v>StructureDefinition-us-core-documentreference</v>
      </c>
      <c r="S371" t="str">
        <f>_xlfn.TEXTAFTER(us_core_reqs[[#This Row],[URL*]],"#",-1)</f>
        <v>mandatory-and-must-support-data-elements</v>
      </c>
      <c r="T371" t="str">
        <f>SUBSTITUTE(SUBSTITUTE(PROPER(SUBSTITUTE(us_core_reqs[[#This Row],[Page]], "-", " "))&amp;": "&amp;PROPER(SUBSTITUTE(us_core_reqs[[#This Row],[Section]], "-", " ")),"Us ","US "), "Uscdi", "USCDI")</f>
        <v>Structuredefinition US Core Documentreference: Mandatory And Must Support Data Elements</v>
      </c>
      <c r="U371" t="s">
        <v>29</v>
      </c>
      <c r="V371" t="s">
        <v>58</v>
      </c>
      <c r="W371" t="s">
        <v>1171</v>
      </c>
      <c r="X371" t="s">
        <v>1171</v>
      </c>
      <c r="Y371" t="s">
        <v>1171</v>
      </c>
      <c r="Z371" t="s">
        <v>1171</v>
      </c>
      <c r="AA371" t="s">
        <v>1171</v>
      </c>
      <c r="AB371" t="s">
        <v>1171</v>
      </c>
      <c r="AC371" t="s">
        <v>1171</v>
      </c>
      <c r="AD371" t="s">
        <v>1171</v>
      </c>
    </row>
    <row r="372" spans="1:30" ht="51" x14ac:dyDescent="0.2">
      <c r="A372" t="s">
        <v>1171</v>
      </c>
      <c r="B372" t="s">
        <v>1544</v>
      </c>
      <c r="C372" t="str">
        <f>"CONF-"&amp;TEXT(us_core_reqs[[#This Row],[ID*]], "0000")</f>
        <v>CONF-0371</v>
      </c>
      <c r="D372" s="11" t="s">
        <v>869</v>
      </c>
      <c r="E372" t="str">
        <f>SUBSTITUTE(us_core_reqs[[#This Row],[URL*]], "https://hl7.org/fhir/us/core/STU8/","")</f>
        <v>StructureDefinition-us-core-documentreference.html#mandatory-and-must-support-data-elements</v>
      </c>
      <c r="F372" s="11" t="s">
        <v>2028</v>
      </c>
      <c r="G372" t="s">
        <v>64</v>
      </c>
      <c r="I372" t="s">
        <v>30</v>
      </c>
      <c r="J372" t="s">
        <v>1171</v>
      </c>
      <c r="K372" t="s">
        <v>1171</v>
      </c>
      <c r="L372" t="s">
        <v>1173</v>
      </c>
      <c r="M372" t="s">
        <v>1171</v>
      </c>
      <c r="N372" t="s">
        <v>1171</v>
      </c>
      <c r="O372" t="s">
        <v>1171</v>
      </c>
      <c r="P372" t="s">
        <v>1171</v>
      </c>
      <c r="Q372" t="s">
        <v>1171</v>
      </c>
      <c r="R372" t="str">
        <f>_xlfn.TEXTBEFORE(_xlfn.TEXTAFTER(us_core_reqs[[#This Row],[URL*]],"/",-1),".")</f>
        <v>StructureDefinition-us-core-documentreference</v>
      </c>
      <c r="S372" t="str">
        <f>_xlfn.TEXTAFTER(us_core_reqs[[#This Row],[URL*]],"#",-1)</f>
        <v>mandatory-and-must-support-data-elements</v>
      </c>
      <c r="T372" t="str">
        <f>SUBSTITUTE(SUBSTITUTE(PROPER(SUBSTITUTE(us_core_reqs[[#This Row],[Page]], "-", " "))&amp;": "&amp;PROPER(SUBSTITUTE(us_core_reqs[[#This Row],[Section]], "-", " ")),"Us ","US "), "Uscdi", "USCDI")</f>
        <v>Structuredefinition US Core Documentreference: Mandatory And Must Support Data Elements</v>
      </c>
      <c r="U372" t="s">
        <v>32</v>
      </c>
      <c r="V372" t="s">
        <v>1171</v>
      </c>
      <c r="W372" t="s">
        <v>1171</v>
      </c>
      <c r="X372" t="s">
        <v>1171</v>
      </c>
      <c r="Y372" t="s">
        <v>1171</v>
      </c>
      <c r="Z372" t="s">
        <v>1171</v>
      </c>
      <c r="AA372" t="s">
        <v>1171</v>
      </c>
      <c r="AB372" t="s">
        <v>646</v>
      </c>
      <c r="AC372" t="s">
        <v>1171</v>
      </c>
      <c r="AD372" t="s">
        <v>1171</v>
      </c>
    </row>
    <row r="373" spans="1:30" ht="51" x14ac:dyDescent="0.2">
      <c r="A373" t="s">
        <v>1171</v>
      </c>
      <c r="B373" t="s">
        <v>1545</v>
      </c>
      <c r="C373" t="str">
        <f>"CONF-"&amp;TEXT(us_core_reqs[[#This Row],[ID*]], "0000")</f>
        <v>CONF-0372</v>
      </c>
      <c r="D373" s="11" t="s">
        <v>869</v>
      </c>
      <c r="E373" t="str">
        <f>SUBSTITUTE(us_core_reqs[[#This Row],[URL*]], "https://hl7.org/fhir/us/core/STU8/","")</f>
        <v>StructureDefinition-us-core-documentreference.html#mandatory-and-must-support-data-elements</v>
      </c>
      <c r="F373" s="11" t="s">
        <v>2214</v>
      </c>
      <c r="G373" t="s">
        <v>29</v>
      </c>
      <c r="I373" t="s">
        <v>30</v>
      </c>
      <c r="J373" t="s">
        <v>1171</v>
      </c>
      <c r="K373" t="s">
        <v>1171</v>
      </c>
      <c r="L373" t="s">
        <v>1173</v>
      </c>
      <c r="M373" t="s">
        <v>1171</v>
      </c>
      <c r="N373" t="s">
        <v>1171</v>
      </c>
      <c r="O373" t="s">
        <v>1171</v>
      </c>
      <c r="P373" t="s">
        <v>1171</v>
      </c>
      <c r="Q373" t="s">
        <v>1171</v>
      </c>
      <c r="R373" t="str">
        <f>_xlfn.TEXTBEFORE(_xlfn.TEXTAFTER(us_core_reqs[[#This Row],[URL*]],"/",-1),".")</f>
        <v>StructureDefinition-us-core-documentreference</v>
      </c>
      <c r="S373" t="str">
        <f>_xlfn.TEXTAFTER(us_core_reqs[[#This Row],[URL*]],"#",-1)</f>
        <v>mandatory-and-must-support-data-elements</v>
      </c>
      <c r="T373" t="str">
        <f>SUBSTITUTE(SUBSTITUTE(PROPER(SUBSTITUTE(us_core_reqs[[#This Row],[Page]], "-", " "))&amp;": "&amp;PROPER(SUBSTITUTE(us_core_reqs[[#This Row],[Section]], "-", " ")),"Us ","US "), "Uscdi", "USCDI")</f>
        <v>Structuredefinition US Core Documentreference: Mandatory And Must Support Data Elements</v>
      </c>
      <c r="U373" t="s">
        <v>29</v>
      </c>
      <c r="V373" t="s">
        <v>1171</v>
      </c>
      <c r="W373" t="s">
        <v>1171</v>
      </c>
      <c r="X373" t="s">
        <v>1171</v>
      </c>
      <c r="Y373" t="s">
        <v>1171</v>
      </c>
      <c r="Z373" t="s">
        <v>1171</v>
      </c>
      <c r="AA373" t="s">
        <v>1171</v>
      </c>
      <c r="AB373" t="s">
        <v>1171</v>
      </c>
      <c r="AC373" t="s">
        <v>1141</v>
      </c>
      <c r="AD373" t="s">
        <v>1171</v>
      </c>
    </row>
    <row r="374" spans="1:30" ht="51" x14ac:dyDescent="0.2">
      <c r="A374" t="s">
        <v>1171</v>
      </c>
      <c r="B374" t="s">
        <v>1546</v>
      </c>
      <c r="C374" t="str">
        <f>"CONF-"&amp;TEXT(us_core_reqs[[#This Row],[ID*]], "0000")</f>
        <v>CONF-0373</v>
      </c>
      <c r="D374" s="11" t="s">
        <v>869</v>
      </c>
      <c r="E374" t="str">
        <f>SUBSTITUTE(us_core_reqs[[#This Row],[URL*]], "https://hl7.org/fhir/us/core/STU8/","")</f>
        <v>StructureDefinition-us-core-documentreference.html#mandatory-and-must-support-data-elements</v>
      </c>
      <c r="F374" s="11" t="s">
        <v>2077</v>
      </c>
      <c r="G374" t="s">
        <v>1833</v>
      </c>
      <c r="I374" t="s">
        <v>30</v>
      </c>
      <c r="J374" t="s">
        <v>1171</v>
      </c>
      <c r="K374" t="s">
        <v>1171</v>
      </c>
      <c r="L374" t="s">
        <v>1173</v>
      </c>
      <c r="M374" t="s">
        <v>1171</v>
      </c>
      <c r="N374" t="s">
        <v>1171</v>
      </c>
      <c r="O374" t="s">
        <v>1171</v>
      </c>
      <c r="P374" t="s">
        <v>1171</v>
      </c>
      <c r="Q374" t="s">
        <v>1171</v>
      </c>
      <c r="R374" t="str">
        <f>_xlfn.TEXTBEFORE(_xlfn.TEXTAFTER(us_core_reqs[[#This Row],[URL*]],"/",-1),".")</f>
        <v>StructureDefinition-us-core-documentreference</v>
      </c>
      <c r="S374" t="str">
        <f>_xlfn.TEXTAFTER(us_core_reqs[[#This Row],[URL*]],"#",-1)</f>
        <v>mandatory-and-must-support-data-elements</v>
      </c>
      <c r="T374" t="str">
        <f>SUBSTITUTE(SUBSTITUTE(PROPER(SUBSTITUTE(us_core_reqs[[#This Row],[Page]], "-", " "))&amp;": "&amp;PROPER(SUBSTITUTE(us_core_reqs[[#This Row],[Section]], "-", " ")),"Us ","US "), "Uscdi", "USCDI")</f>
        <v>Structuredefinition US Core Documentreference: Mandatory And Must Support Data Elements</v>
      </c>
      <c r="U374" t="s">
        <v>29</v>
      </c>
      <c r="V374" t="s">
        <v>1171</v>
      </c>
      <c r="W374" t="s">
        <v>1171</v>
      </c>
      <c r="X374" t="s">
        <v>1171</v>
      </c>
      <c r="Y374" t="s">
        <v>1171</v>
      </c>
      <c r="Z374" t="s">
        <v>1171</v>
      </c>
      <c r="AA374" t="s">
        <v>1171</v>
      </c>
      <c r="AB374" t="s">
        <v>1171</v>
      </c>
      <c r="AC374" t="s">
        <v>1141</v>
      </c>
      <c r="AD374" t="s">
        <v>1171</v>
      </c>
    </row>
    <row r="375" spans="1:30" ht="85" x14ac:dyDescent="0.2">
      <c r="A375" t="s">
        <v>1171</v>
      </c>
      <c r="B375" t="s">
        <v>1547</v>
      </c>
      <c r="C375" t="str">
        <f>"CONF-"&amp;TEXT(us_core_reqs[[#This Row],[ID*]], "0000")</f>
        <v>CONF-0374</v>
      </c>
      <c r="D375" s="11" t="s">
        <v>869</v>
      </c>
      <c r="E375" t="str">
        <f>SUBSTITUTE(us_core_reqs[[#This Row],[URL*]], "https://hl7.org/fhir/us/core/STU8/","")</f>
        <v>StructureDefinition-us-core-documentreference.html#mandatory-and-must-support-data-elements</v>
      </c>
      <c r="F375" s="11" t="s">
        <v>2055</v>
      </c>
      <c r="G375" t="s">
        <v>29</v>
      </c>
      <c r="I375" t="s">
        <v>30</v>
      </c>
      <c r="J375" t="s">
        <v>1171</v>
      </c>
      <c r="K375" t="s">
        <v>1171</v>
      </c>
      <c r="L375" t="s">
        <v>1173</v>
      </c>
      <c r="M375" t="s">
        <v>1171</v>
      </c>
      <c r="N375" t="s">
        <v>1171</v>
      </c>
      <c r="O375" t="s">
        <v>1171</v>
      </c>
      <c r="P375" t="s">
        <v>1171</v>
      </c>
      <c r="Q375" t="s">
        <v>1171</v>
      </c>
      <c r="R375" t="str">
        <f>_xlfn.TEXTBEFORE(_xlfn.TEXTAFTER(us_core_reqs[[#This Row],[URL*]],"/",-1),".")</f>
        <v>StructureDefinition-us-core-documentreference</v>
      </c>
      <c r="S375" t="str">
        <f>_xlfn.TEXTAFTER(us_core_reqs[[#This Row],[URL*]],"#",-1)</f>
        <v>mandatory-and-must-support-data-elements</v>
      </c>
      <c r="T375" t="str">
        <f>SUBSTITUTE(SUBSTITUTE(PROPER(SUBSTITUTE(us_core_reqs[[#This Row],[Page]], "-", " "))&amp;": "&amp;PROPER(SUBSTITUTE(us_core_reqs[[#This Row],[Section]], "-", " ")),"Us ","US "), "Uscdi", "USCDI")</f>
        <v>Structuredefinition US Core Documentreference: Mandatory And Must Support Data Elements</v>
      </c>
      <c r="U375" t="s">
        <v>29</v>
      </c>
      <c r="V375" t="s">
        <v>1171</v>
      </c>
      <c r="W375" t="s">
        <v>1171</v>
      </c>
      <c r="X375" t="s">
        <v>1171</v>
      </c>
      <c r="Y375" t="s">
        <v>1171</v>
      </c>
      <c r="Z375" t="s">
        <v>1171</v>
      </c>
      <c r="AA375" t="s">
        <v>1171</v>
      </c>
      <c r="AB375" t="s">
        <v>1171</v>
      </c>
      <c r="AC375" t="s">
        <v>1140</v>
      </c>
      <c r="AD375" t="s">
        <v>1171</v>
      </c>
    </row>
    <row r="376" spans="1:30" ht="68" x14ac:dyDescent="0.2">
      <c r="A376" t="s">
        <v>1171</v>
      </c>
      <c r="B376" t="s">
        <v>1548</v>
      </c>
      <c r="C376" t="str">
        <f>"CONF-"&amp;TEXT(us_core_reqs[[#This Row],[ID*]], "0000")</f>
        <v>CONF-0375</v>
      </c>
      <c r="D376" s="11" t="s">
        <v>765</v>
      </c>
      <c r="E376" t="str">
        <f>SUBSTITUTE(us_core_reqs[[#This Row],[URL*]], "https://hl7.org/fhir/us/core/STU8/","")</f>
        <v>StructureDefinition-us-core-encounter.html#mandatory-and-must-support-data-elements</v>
      </c>
      <c r="F376" s="11" t="s">
        <v>2113</v>
      </c>
      <c r="G376" t="s">
        <v>29</v>
      </c>
      <c r="I376" t="s">
        <v>30</v>
      </c>
      <c r="J376" t="s">
        <v>1171</v>
      </c>
      <c r="K376" t="s">
        <v>1171</v>
      </c>
      <c r="L376" t="s">
        <v>1176</v>
      </c>
      <c r="M376" t="s">
        <v>393</v>
      </c>
      <c r="N376" t="s">
        <v>1171</v>
      </c>
      <c r="O376" t="s">
        <v>1171</v>
      </c>
      <c r="P376" t="s">
        <v>1171</v>
      </c>
      <c r="Q376" t="s">
        <v>1171</v>
      </c>
      <c r="R376" t="str">
        <f>_xlfn.TEXTBEFORE(_xlfn.TEXTAFTER(us_core_reqs[[#This Row],[URL*]],"/",-1),".")</f>
        <v>StructureDefinition-us-core-encounter</v>
      </c>
      <c r="S376" t="str">
        <f>_xlfn.TEXTAFTER(us_core_reqs[[#This Row],[URL*]],"#",-1)</f>
        <v>mandatory-and-must-support-data-elements</v>
      </c>
      <c r="T376" t="str">
        <f>SUBSTITUTE(SUBSTITUTE(PROPER(SUBSTITUTE(us_core_reqs[[#This Row],[Page]], "-", " "))&amp;": "&amp;PROPER(SUBSTITUTE(us_core_reqs[[#This Row],[Section]], "-", " ")),"Us ","US "), "Uscdi", "USCDI")</f>
        <v>Structuredefinition US Core Encounter: Mandatory And Must Support Data Elements</v>
      </c>
      <c r="U376" t="s">
        <v>29</v>
      </c>
      <c r="V376" t="s">
        <v>30</v>
      </c>
      <c r="W376" t="s">
        <v>1171</v>
      </c>
      <c r="X376" t="s">
        <v>1171</v>
      </c>
      <c r="Y376" t="s">
        <v>1171</v>
      </c>
      <c r="Z376" t="s">
        <v>1171</v>
      </c>
      <c r="AA376" t="s">
        <v>1171</v>
      </c>
      <c r="AB376" t="s">
        <v>1171</v>
      </c>
      <c r="AC376" t="s">
        <v>1140</v>
      </c>
      <c r="AD376" t="s">
        <v>1171</v>
      </c>
    </row>
    <row r="377" spans="1:30" ht="34" x14ac:dyDescent="0.2">
      <c r="A377" t="s">
        <v>1171</v>
      </c>
      <c r="B377" t="s">
        <v>1549</v>
      </c>
      <c r="C377" t="str">
        <f>"CONF-"&amp;TEXT(us_core_reqs[[#This Row],[ID*]], "0000")</f>
        <v>CONF-0376</v>
      </c>
      <c r="D377" s="11" t="s">
        <v>765</v>
      </c>
      <c r="E377" t="str">
        <f>SUBSTITUTE(us_core_reqs[[#This Row],[URL*]], "https://hl7.org/fhir/us/core/STU8/","")</f>
        <v>StructureDefinition-us-core-encounter.html#mandatory-and-must-support-data-elements</v>
      </c>
      <c r="F377" s="11" t="s">
        <v>2114</v>
      </c>
      <c r="G377" t="s">
        <v>29</v>
      </c>
      <c r="I377" t="s">
        <v>58</v>
      </c>
      <c r="J377" t="s">
        <v>1171</v>
      </c>
      <c r="K377" t="s">
        <v>1171</v>
      </c>
      <c r="L377" t="s">
        <v>1173</v>
      </c>
      <c r="M377" t="s">
        <v>394</v>
      </c>
      <c r="N377" t="s">
        <v>1171</v>
      </c>
      <c r="O377" t="s">
        <v>1171</v>
      </c>
      <c r="P377" t="s">
        <v>1171</v>
      </c>
      <c r="Q377" t="s">
        <v>1171</v>
      </c>
      <c r="R377" t="str">
        <f>_xlfn.TEXTBEFORE(_xlfn.TEXTAFTER(us_core_reqs[[#This Row],[URL*]],"/",-1),".")</f>
        <v>StructureDefinition-us-core-encounter</v>
      </c>
      <c r="S377" t="str">
        <f>_xlfn.TEXTAFTER(us_core_reqs[[#This Row],[URL*]],"#",-1)</f>
        <v>mandatory-and-must-support-data-elements</v>
      </c>
      <c r="T377" t="str">
        <f>SUBSTITUTE(SUBSTITUTE(PROPER(SUBSTITUTE(us_core_reqs[[#This Row],[Page]], "-", " "))&amp;": "&amp;PROPER(SUBSTITUTE(us_core_reqs[[#This Row],[Section]], "-", " ")),"Us ","US "), "Uscdi", "USCDI")</f>
        <v>Structuredefinition US Core Encounter: Mandatory And Must Support Data Elements</v>
      </c>
      <c r="U377" t="s">
        <v>29</v>
      </c>
      <c r="V377" t="s">
        <v>58</v>
      </c>
      <c r="W377" t="s">
        <v>1171</v>
      </c>
      <c r="X377" t="s">
        <v>1171</v>
      </c>
      <c r="Y377" t="s">
        <v>1171</v>
      </c>
      <c r="Z377" t="s">
        <v>1171</v>
      </c>
      <c r="AA377" t="s">
        <v>1171</v>
      </c>
      <c r="AB377" t="s">
        <v>1171</v>
      </c>
      <c r="AC377" t="s">
        <v>1171</v>
      </c>
      <c r="AD377" t="s">
        <v>1171</v>
      </c>
    </row>
    <row r="378" spans="1:30" ht="34" x14ac:dyDescent="0.2">
      <c r="A378" t="s">
        <v>1171</v>
      </c>
      <c r="B378" t="s">
        <v>1550</v>
      </c>
      <c r="C378" t="str">
        <f>"CONF-"&amp;TEXT(us_core_reqs[[#This Row],[ID*]], "0000")</f>
        <v>CONF-0377</v>
      </c>
      <c r="D378" s="11" t="s">
        <v>765</v>
      </c>
      <c r="E378" t="str">
        <f>SUBSTITUTE(us_core_reqs[[#This Row],[URL*]], "https://hl7.org/fhir/us/core/STU8/","")</f>
        <v>StructureDefinition-us-core-encounter.html#mandatory-and-must-support-data-elements</v>
      </c>
      <c r="F378" s="11" t="s">
        <v>2115</v>
      </c>
      <c r="G378" t="s">
        <v>29</v>
      </c>
      <c r="I378" t="s">
        <v>58</v>
      </c>
      <c r="J378" t="s">
        <v>1171</v>
      </c>
      <c r="K378" t="s">
        <v>1171</v>
      </c>
      <c r="L378" t="s">
        <v>1173</v>
      </c>
      <c r="M378" t="s">
        <v>1171</v>
      </c>
      <c r="N378" t="s">
        <v>1171</v>
      </c>
      <c r="O378" t="s">
        <v>1171</v>
      </c>
      <c r="P378" t="s">
        <v>1171</v>
      </c>
      <c r="Q378" t="s">
        <v>1171</v>
      </c>
      <c r="R378" t="str">
        <f>_xlfn.TEXTBEFORE(_xlfn.TEXTAFTER(us_core_reqs[[#This Row],[URL*]],"/",-1),".")</f>
        <v>StructureDefinition-us-core-encounter</v>
      </c>
      <c r="S378" t="str">
        <f>_xlfn.TEXTAFTER(us_core_reqs[[#This Row],[URL*]],"#",-1)</f>
        <v>mandatory-and-must-support-data-elements</v>
      </c>
      <c r="T378" t="str">
        <f>SUBSTITUTE(SUBSTITUTE(PROPER(SUBSTITUTE(us_core_reqs[[#This Row],[Page]], "-", " "))&amp;": "&amp;PROPER(SUBSTITUTE(us_core_reqs[[#This Row],[Section]], "-", " ")),"Us ","US "), "Uscdi", "USCDI")</f>
        <v>Structuredefinition US Core Encounter: Mandatory And Must Support Data Elements</v>
      </c>
      <c r="U378" t="s">
        <v>29</v>
      </c>
      <c r="V378" t="s">
        <v>58</v>
      </c>
      <c r="W378" t="s">
        <v>1171</v>
      </c>
      <c r="X378" t="s">
        <v>1171</v>
      </c>
      <c r="Y378" t="s">
        <v>1171</v>
      </c>
      <c r="Z378" t="s">
        <v>1171</v>
      </c>
      <c r="AA378" t="s">
        <v>1171</v>
      </c>
      <c r="AB378" t="s">
        <v>1171</v>
      </c>
      <c r="AC378" t="s">
        <v>1171</v>
      </c>
      <c r="AD378" t="s">
        <v>1171</v>
      </c>
    </row>
    <row r="379" spans="1:30" ht="51" x14ac:dyDescent="0.2">
      <c r="A379" t="s">
        <v>1171</v>
      </c>
      <c r="B379" t="s">
        <v>1551</v>
      </c>
      <c r="C379" t="str">
        <f>"CONF-"&amp;TEXT(us_core_reqs[[#This Row],[ID*]], "0000")</f>
        <v>CONF-0378</v>
      </c>
      <c r="D379" s="11" t="s">
        <v>765</v>
      </c>
      <c r="E379" t="str">
        <f>SUBSTITUTE(us_core_reqs[[#This Row],[URL*]], "https://hl7.org/fhir/us/core/STU8/","")</f>
        <v>StructureDefinition-us-core-encounter.html#mandatory-and-must-support-data-elements</v>
      </c>
      <c r="F379" s="11" t="s">
        <v>1970</v>
      </c>
      <c r="G379" t="s">
        <v>32</v>
      </c>
      <c r="I379" t="s">
        <v>30</v>
      </c>
      <c r="J379" t="s">
        <v>1171</v>
      </c>
      <c r="K379" t="s">
        <v>1171</v>
      </c>
      <c r="L379" t="s">
        <v>1176</v>
      </c>
      <c r="M379" t="s">
        <v>396</v>
      </c>
      <c r="N379" t="s">
        <v>1171</v>
      </c>
      <c r="O379" t="s">
        <v>1171</v>
      </c>
      <c r="P379" t="s">
        <v>1171</v>
      </c>
      <c r="Q379" t="s">
        <v>1171</v>
      </c>
      <c r="R379" t="str">
        <f>_xlfn.TEXTBEFORE(_xlfn.TEXTAFTER(us_core_reqs[[#This Row],[URL*]],"/",-1),".")</f>
        <v>StructureDefinition-us-core-encounter</v>
      </c>
      <c r="S379" t="str">
        <f>_xlfn.TEXTAFTER(us_core_reqs[[#This Row],[URL*]],"#",-1)</f>
        <v>mandatory-and-must-support-data-elements</v>
      </c>
      <c r="T379" t="str">
        <f>SUBSTITUTE(SUBSTITUTE(PROPER(SUBSTITUTE(us_core_reqs[[#This Row],[Page]], "-", " "))&amp;": "&amp;PROPER(SUBSTITUTE(us_core_reqs[[#This Row],[Section]], "-", " ")),"Us ","US "), "Uscdi", "USCDI")</f>
        <v>Structuredefinition US Core Encounter: Mandatory And Must Support Data Elements</v>
      </c>
      <c r="U379" t="s">
        <v>32</v>
      </c>
      <c r="V379" t="s">
        <v>1171</v>
      </c>
      <c r="W379" t="s">
        <v>1171</v>
      </c>
      <c r="X379" t="s">
        <v>1171</v>
      </c>
      <c r="Y379" t="s">
        <v>1171</v>
      </c>
      <c r="Z379" t="s">
        <v>1171</v>
      </c>
      <c r="AA379" t="s">
        <v>1171</v>
      </c>
      <c r="AB379" t="s">
        <v>1171</v>
      </c>
      <c r="AC379" t="s">
        <v>1171</v>
      </c>
      <c r="AD379" t="s">
        <v>1171</v>
      </c>
    </row>
    <row r="380" spans="1:30" ht="68" x14ac:dyDescent="0.2">
      <c r="A380" t="s">
        <v>1171</v>
      </c>
      <c r="B380" t="s">
        <v>1552</v>
      </c>
      <c r="C380" t="str">
        <f>"CONF-"&amp;TEXT(us_core_reqs[[#This Row],[ID*]], "0000")</f>
        <v>CONF-0379</v>
      </c>
      <c r="D380" s="11" t="s">
        <v>765</v>
      </c>
      <c r="E380" t="str">
        <f>SUBSTITUTE(us_core_reqs[[#This Row],[URL*]], "https://hl7.org/fhir/us/core/STU8/","")</f>
        <v>StructureDefinition-us-core-encounter.html#mandatory-and-must-support-data-elements</v>
      </c>
      <c r="F380" s="11" t="s">
        <v>2116</v>
      </c>
      <c r="G380" t="s">
        <v>29</v>
      </c>
      <c r="I380" t="s">
        <v>30</v>
      </c>
      <c r="J380" t="s">
        <v>1171</v>
      </c>
      <c r="K380" t="s">
        <v>1171</v>
      </c>
      <c r="L380" t="s">
        <v>1176</v>
      </c>
      <c r="M380" t="s">
        <v>397</v>
      </c>
      <c r="N380" t="s">
        <v>1171</v>
      </c>
      <c r="O380" t="s">
        <v>1171</v>
      </c>
      <c r="P380" t="s">
        <v>1171</v>
      </c>
      <c r="Q380" t="s">
        <v>1171</v>
      </c>
      <c r="R380" t="str">
        <f>_xlfn.TEXTBEFORE(_xlfn.TEXTAFTER(us_core_reqs[[#This Row],[URL*]],"/",-1),".")</f>
        <v>StructureDefinition-us-core-encounter</v>
      </c>
      <c r="S380" t="str">
        <f>_xlfn.TEXTAFTER(us_core_reqs[[#This Row],[URL*]],"#",-1)</f>
        <v>mandatory-and-must-support-data-elements</v>
      </c>
      <c r="T380" t="str">
        <f>SUBSTITUTE(SUBSTITUTE(PROPER(SUBSTITUTE(us_core_reqs[[#This Row],[Page]], "-", " "))&amp;": "&amp;PROPER(SUBSTITUTE(us_core_reqs[[#This Row],[Section]], "-", " ")),"Us ","US "), "Uscdi", "USCDI")</f>
        <v>Structuredefinition US Core Encounter: Mandatory And Must Support Data Elements</v>
      </c>
      <c r="U380" t="s">
        <v>29</v>
      </c>
      <c r="V380" t="s">
        <v>30</v>
      </c>
      <c r="W380" t="s">
        <v>1171</v>
      </c>
      <c r="X380" t="s">
        <v>1171</v>
      </c>
      <c r="Y380" t="s">
        <v>1171</v>
      </c>
      <c r="Z380" t="s">
        <v>1171</v>
      </c>
      <c r="AA380" t="s">
        <v>1171</v>
      </c>
      <c r="AB380" t="s">
        <v>1171</v>
      </c>
      <c r="AC380" t="s">
        <v>1140</v>
      </c>
      <c r="AD380" t="s">
        <v>1171</v>
      </c>
    </row>
    <row r="381" spans="1:30" ht="34" x14ac:dyDescent="0.2">
      <c r="A381" t="s">
        <v>1171</v>
      </c>
      <c r="B381" t="s">
        <v>1553</v>
      </c>
      <c r="C381" t="str">
        <f>"CONF-"&amp;TEXT(us_core_reqs[[#This Row],[ID*]], "0000")</f>
        <v>CONF-0380</v>
      </c>
      <c r="D381" s="11" t="s">
        <v>765</v>
      </c>
      <c r="E381" t="str">
        <f>SUBSTITUTE(us_core_reqs[[#This Row],[URL*]], "https://hl7.org/fhir/us/core/STU8/","")</f>
        <v>StructureDefinition-us-core-encounter.html#mandatory-and-must-support-data-elements</v>
      </c>
      <c r="F381" s="11" t="s">
        <v>2117</v>
      </c>
      <c r="G381" t="s">
        <v>29</v>
      </c>
      <c r="I381" t="s">
        <v>58</v>
      </c>
      <c r="J381" t="s">
        <v>1171</v>
      </c>
      <c r="K381" t="s">
        <v>1171</v>
      </c>
      <c r="L381" t="s">
        <v>1173</v>
      </c>
      <c r="M381" t="s">
        <v>1171</v>
      </c>
      <c r="N381" t="s">
        <v>1171</v>
      </c>
      <c r="O381" t="s">
        <v>1171</v>
      </c>
      <c r="P381" t="s">
        <v>1171</v>
      </c>
      <c r="Q381" t="s">
        <v>1171</v>
      </c>
      <c r="R381" t="str">
        <f>_xlfn.TEXTBEFORE(_xlfn.TEXTAFTER(us_core_reqs[[#This Row],[URL*]],"/",-1),".")</f>
        <v>StructureDefinition-us-core-encounter</v>
      </c>
      <c r="S381" t="str">
        <f>_xlfn.TEXTAFTER(us_core_reqs[[#This Row],[URL*]],"#",-1)</f>
        <v>mandatory-and-must-support-data-elements</v>
      </c>
      <c r="T381" t="str">
        <f>SUBSTITUTE(SUBSTITUTE(PROPER(SUBSTITUTE(us_core_reqs[[#This Row],[Page]], "-", " "))&amp;": "&amp;PROPER(SUBSTITUTE(us_core_reqs[[#This Row],[Section]], "-", " ")),"Us ","US "), "Uscdi", "USCDI")</f>
        <v>Structuredefinition US Core Encounter: Mandatory And Must Support Data Elements</v>
      </c>
      <c r="U381" t="s">
        <v>29</v>
      </c>
      <c r="V381" t="s">
        <v>58</v>
      </c>
      <c r="W381" t="s">
        <v>1171</v>
      </c>
      <c r="X381" t="s">
        <v>1171</v>
      </c>
      <c r="Y381" t="s">
        <v>1171</v>
      </c>
      <c r="Z381" t="s">
        <v>1171</v>
      </c>
      <c r="AA381" t="s">
        <v>1171</v>
      </c>
      <c r="AB381" t="s">
        <v>1171</v>
      </c>
      <c r="AC381" t="s">
        <v>1171</v>
      </c>
      <c r="AD381" t="s">
        <v>1171</v>
      </c>
    </row>
    <row r="382" spans="1:30" ht="34" x14ac:dyDescent="0.2">
      <c r="A382" t="s">
        <v>1171</v>
      </c>
      <c r="B382" t="s">
        <v>1554</v>
      </c>
      <c r="C382" t="str">
        <f>"CONF-"&amp;TEXT(us_core_reqs[[#This Row],[ID*]], "0000")</f>
        <v>CONF-0381</v>
      </c>
      <c r="D382" s="11" t="s">
        <v>765</v>
      </c>
      <c r="E382" t="str">
        <f>SUBSTITUTE(us_core_reqs[[#This Row],[URL*]], "https://hl7.org/fhir/us/core/STU8/","")</f>
        <v>StructureDefinition-us-core-encounter.html#mandatory-and-must-support-data-elements</v>
      </c>
      <c r="F382" s="11" t="s">
        <v>2118</v>
      </c>
      <c r="G382" t="s">
        <v>29</v>
      </c>
      <c r="I382" t="s">
        <v>58</v>
      </c>
      <c r="J382" t="s">
        <v>1171</v>
      </c>
      <c r="K382" t="s">
        <v>1171</v>
      </c>
      <c r="L382" t="s">
        <v>1173</v>
      </c>
      <c r="M382" t="s">
        <v>1171</v>
      </c>
      <c r="N382" t="s">
        <v>1171</v>
      </c>
      <c r="O382" t="s">
        <v>1171</v>
      </c>
      <c r="P382" t="s">
        <v>1171</v>
      </c>
      <c r="Q382" t="s">
        <v>1171</v>
      </c>
      <c r="R382" t="str">
        <f>_xlfn.TEXTBEFORE(_xlfn.TEXTAFTER(us_core_reqs[[#This Row],[URL*]],"/",-1),".")</f>
        <v>StructureDefinition-us-core-encounter</v>
      </c>
      <c r="S382" t="str">
        <f>_xlfn.TEXTAFTER(us_core_reqs[[#This Row],[URL*]],"#",-1)</f>
        <v>mandatory-and-must-support-data-elements</v>
      </c>
      <c r="T382" t="str">
        <f>SUBSTITUTE(SUBSTITUTE(PROPER(SUBSTITUTE(us_core_reqs[[#This Row],[Page]], "-", " "))&amp;": "&amp;PROPER(SUBSTITUTE(us_core_reqs[[#This Row],[Section]], "-", " ")),"Us ","US "), "Uscdi", "USCDI")</f>
        <v>Structuredefinition US Core Encounter: Mandatory And Must Support Data Elements</v>
      </c>
      <c r="U382" t="s">
        <v>29</v>
      </c>
      <c r="V382" t="s">
        <v>58</v>
      </c>
      <c r="W382" t="s">
        <v>1171</v>
      </c>
      <c r="X382" t="s">
        <v>1171</v>
      </c>
      <c r="Y382" t="s">
        <v>1171</v>
      </c>
      <c r="Z382" t="s">
        <v>1171</v>
      </c>
      <c r="AA382" t="s">
        <v>1171</v>
      </c>
      <c r="AB382" t="s">
        <v>1171</v>
      </c>
      <c r="AC382" t="s">
        <v>1171</v>
      </c>
      <c r="AD382" t="s">
        <v>1171</v>
      </c>
    </row>
    <row r="383" spans="1:30" ht="68" x14ac:dyDescent="0.2">
      <c r="A383" t="s">
        <v>1171</v>
      </c>
      <c r="B383" t="s">
        <v>1555</v>
      </c>
      <c r="C383" t="str">
        <f>"CONF-"&amp;TEXT(us_core_reqs[[#This Row],[ID*]], "0000")</f>
        <v>CONF-0382</v>
      </c>
      <c r="D383" s="11" t="s">
        <v>871</v>
      </c>
      <c r="E383" t="str">
        <f>SUBSTITUTE(us_core_reqs[[#This Row],[URL*]], "https://hl7.org/fhir/us/core/STU8/","")</f>
        <v>StructureDefinition-us-core-encounter.html#mandatory-and-must-support-data-elements, StructureDefinition-us-core-location.html#mandatory-and-must-support-data-elements</v>
      </c>
      <c r="F383" s="11" t="s">
        <v>1971</v>
      </c>
      <c r="G383" t="s">
        <v>29</v>
      </c>
      <c r="I383" t="s">
        <v>30</v>
      </c>
      <c r="J383" t="s">
        <v>1171</v>
      </c>
      <c r="K383" t="s">
        <v>1171</v>
      </c>
      <c r="L383" t="s">
        <v>1176</v>
      </c>
      <c r="M383" t="s">
        <v>399</v>
      </c>
      <c r="N383" t="s">
        <v>1171</v>
      </c>
      <c r="O383" t="s">
        <v>1171</v>
      </c>
      <c r="P383" t="s">
        <v>1171</v>
      </c>
      <c r="Q383" t="s">
        <v>1171</v>
      </c>
      <c r="R383" t="str">
        <f>_xlfn.TEXTBEFORE(_xlfn.TEXTAFTER(us_core_reqs[[#This Row],[URL*]],"/",-1),".")</f>
        <v>StructureDefinition-us-core-location</v>
      </c>
      <c r="S383" t="str">
        <f>_xlfn.TEXTAFTER(us_core_reqs[[#This Row],[URL*]],"#",-1)</f>
        <v>mandatory-and-must-support-data-elements</v>
      </c>
      <c r="T383" t="str">
        <f>SUBSTITUTE(SUBSTITUTE(PROPER(SUBSTITUTE(us_core_reqs[[#This Row],[Page]], "-", " "))&amp;": "&amp;PROPER(SUBSTITUTE(us_core_reqs[[#This Row],[Section]], "-", " ")),"Us ","US "), "Uscdi", "USCDI")</f>
        <v>Structuredefinition US Core Location: Mandatory And Must Support Data Elements</v>
      </c>
      <c r="U383" t="s">
        <v>32</v>
      </c>
      <c r="V383" t="s">
        <v>1171</v>
      </c>
      <c r="W383" t="s">
        <v>1171</v>
      </c>
      <c r="X383" t="s">
        <v>1171</v>
      </c>
      <c r="Y383" t="s">
        <v>1171</v>
      </c>
      <c r="Z383" t="s">
        <v>1171</v>
      </c>
      <c r="AA383" t="s">
        <v>1171</v>
      </c>
      <c r="AB383" t="s">
        <v>1171</v>
      </c>
      <c r="AC383" t="s">
        <v>1141</v>
      </c>
      <c r="AD383" t="s">
        <v>1171</v>
      </c>
    </row>
    <row r="384" spans="1:30" ht="68" x14ac:dyDescent="0.2">
      <c r="A384" t="s">
        <v>1171</v>
      </c>
      <c r="B384" t="s">
        <v>1556</v>
      </c>
      <c r="C384" t="str">
        <f>"CONF-"&amp;TEXT(us_core_reqs[[#This Row],[ID*]], "0000")</f>
        <v>CONF-0383</v>
      </c>
      <c r="D384" s="11" t="s">
        <v>871</v>
      </c>
      <c r="E384" t="str">
        <f>SUBSTITUTE(us_core_reqs[[#This Row],[URL*]], "https://hl7.org/fhir/us/core/STU8/","")</f>
        <v>StructureDefinition-us-core-encounter.html#mandatory-and-must-support-data-elements, StructureDefinition-us-core-location.html#mandatory-and-must-support-data-elements</v>
      </c>
      <c r="F384" s="11" t="s">
        <v>2229</v>
      </c>
      <c r="G384" t="s">
        <v>29</v>
      </c>
      <c r="I384" t="s">
        <v>30</v>
      </c>
      <c r="J384" t="s">
        <v>1171</v>
      </c>
      <c r="K384" t="s">
        <v>1171</v>
      </c>
      <c r="L384" t="s">
        <v>1176</v>
      </c>
      <c r="M384" t="s">
        <v>399</v>
      </c>
      <c r="N384" t="s">
        <v>1171</v>
      </c>
      <c r="O384" t="s">
        <v>1171</v>
      </c>
      <c r="P384" t="s">
        <v>1171</v>
      </c>
      <c r="Q384" t="s">
        <v>1171</v>
      </c>
      <c r="R384" t="str">
        <f>_xlfn.TEXTBEFORE(_xlfn.TEXTAFTER(us_core_reqs[[#This Row],[URL*]],"/",-1),".")</f>
        <v>StructureDefinition-us-core-location</v>
      </c>
      <c r="S384" t="str">
        <f>_xlfn.TEXTAFTER(us_core_reqs[[#This Row],[URL*]],"#",-1)</f>
        <v>mandatory-and-must-support-data-elements</v>
      </c>
      <c r="T384" t="str">
        <f>SUBSTITUTE(SUBSTITUTE(PROPER(SUBSTITUTE(us_core_reqs[[#This Row],[Page]], "-", " "))&amp;": "&amp;PROPER(SUBSTITUTE(us_core_reqs[[#This Row],[Section]], "-", " ")),"Us ","US "), "Uscdi", "USCDI")</f>
        <v>Structuredefinition US Core Location: Mandatory And Must Support Data Elements</v>
      </c>
      <c r="U384" t="s">
        <v>29</v>
      </c>
      <c r="V384" t="s">
        <v>1171</v>
      </c>
      <c r="W384" t="s">
        <v>1171</v>
      </c>
      <c r="X384" t="s">
        <v>1171</v>
      </c>
      <c r="Y384" t="s">
        <v>1171</v>
      </c>
      <c r="Z384" t="s">
        <v>1171</v>
      </c>
      <c r="AA384" t="s">
        <v>1171</v>
      </c>
      <c r="AB384" t="s">
        <v>1171</v>
      </c>
      <c r="AC384" t="s">
        <v>1141</v>
      </c>
      <c r="AD384" t="s">
        <v>1171</v>
      </c>
    </row>
    <row r="385" spans="1:30" ht="85" x14ac:dyDescent="0.2">
      <c r="A385" t="s">
        <v>1171</v>
      </c>
      <c r="B385" t="s">
        <v>1557</v>
      </c>
      <c r="C385" t="str">
        <f>"CONF-"&amp;TEXT(us_core_reqs[[#This Row],[ID*]], "0000")</f>
        <v>CONF-0384</v>
      </c>
      <c r="D385" s="11" t="s">
        <v>871</v>
      </c>
      <c r="E385" t="str">
        <f>SUBSTITUTE(us_core_reqs[[#This Row],[URL*]], "https://hl7.org/fhir/us/core/STU8/","")</f>
        <v>StructureDefinition-us-core-encounter.html#mandatory-and-must-support-data-elements, StructureDefinition-us-core-location.html#mandatory-and-must-support-data-elements</v>
      </c>
      <c r="F385" s="11" t="s">
        <v>2202</v>
      </c>
      <c r="G385" t="s">
        <v>35</v>
      </c>
      <c r="I385" t="s">
        <v>30</v>
      </c>
      <c r="J385" t="s">
        <v>1171</v>
      </c>
      <c r="K385" t="s">
        <v>1171</v>
      </c>
      <c r="L385" t="s">
        <v>1176</v>
      </c>
      <c r="M385" t="s">
        <v>399</v>
      </c>
      <c r="N385" t="s">
        <v>1171</v>
      </c>
      <c r="O385" t="s">
        <v>1171</v>
      </c>
      <c r="P385" t="s">
        <v>1171</v>
      </c>
      <c r="Q385" t="s">
        <v>1171</v>
      </c>
      <c r="R385" t="str">
        <f>_xlfn.TEXTBEFORE(_xlfn.TEXTAFTER(us_core_reqs[[#This Row],[URL*]],"/",-1),".")</f>
        <v>StructureDefinition-us-core-location</v>
      </c>
      <c r="S385" t="str">
        <f>_xlfn.TEXTAFTER(us_core_reqs[[#This Row],[URL*]],"#",-1)</f>
        <v>mandatory-and-must-support-data-elements</v>
      </c>
      <c r="T385" t="str">
        <f>SUBSTITUTE(SUBSTITUTE(PROPER(SUBSTITUTE(us_core_reqs[[#This Row],[Page]], "-", " "))&amp;": "&amp;PROPER(SUBSTITUTE(us_core_reqs[[#This Row],[Section]], "-", " ")),"Us ","US "), "Uscdi", "USCDI")</f>
        <v>Structuredefinition US Core Location: Mandatory And Must Support Data Elements</v>
      </c>
      <c r="U385" t="s">
        <v>35</v>
      </c>
      <c r="V385" t="s">
        <v>1171</v>
      </c>
      <c r="W385" t="s">
        <v>1171</v>
      </c>
      <c r="X385" t="s">
        <v>1171</v>
      </c>
      <c r="Y385" t="s">
        <v>1171</v>
      </c>
      <c r="Z385" t="s">
        <v>1171</v>
      </c>
      <c r="AA385" t="s">
        <v>1171</v>
      </c>
      <c r="AB385" t="s">
        <v>1171</v>
      </c>
      <c r="AC385" t="s">
        <v>1171</v>
      </c>
      <c r="AD385" t="s">
        <v>1171</v>
      </c>
    </row>
    <row r="386" spans="1:30" ht="34" x14ac:dyDescent="0.2">
      <c r="A386" t="s">
        <v>1171</v>
      </c>
      <c r="B386" t="s">
        <v>1558</v>
      </c>
      <c r="C386" t="str">
        <f>"CONF-"&amp;TEXT(us_core_reqs[[#This Row],[ID*]], "0000")</f>
        <v>CONF-0385</v>
      </c>
      <c r="D386" s="11" t="s">
        <v>765</v>
      </c>
      <c r="E386" t="str">
        <f>SUBSTITUTE(us_core_reqs[[#This Row],[URL*]], "https://hl7.org/fhir/us/core/STU8/","")</f>
        <v>StructureDefinition-us-core-encounter.html#mandatory-and-must-support-data-elements</v>
      </c>
      <c r="F386" s="11" t="s">
        <v>1972</v>
      </c>
      <c r="G386" t="s">
        <v>32</v>
      </c>
      <c r="I386" t="s">
        <v>30</v>
      </c>
      <c r="J386" t="s">
        <v>1171</v>
      </c>
      <c r="K386" t="s">
        <v>1171</v>
      </c>
      <c r="L386" t="s">
        <v>1173</v>
      </c>
      <c r="M386" t="s">
        <v>1171</v>
      </c>
      <c r="N386" t="s">
        <v>1171</v>
      </c>
      <c r="O386" t="s">
        <v>1171</v>
      </c>
      <c r="P386" t="s">
        <v>1171</v>
      </c>
      <c r="Q386" t="s">
        <v>1171</v>
      </c>
      <c r="R386" t="str">
        <f>_xlfn.TEXTBEFORE(_xlfn.TEXTAFTER(us_core_reqs[[#This Row],[URL*]],"/",-1),".")</f>
        <v>StructureDefinition-us-core-encounter</v>
      </c>
      <c r="S386" t="str">
        <f>_xlfn.TEXTAFTER(us_core_reqs[[#This Row],[URL*]],"#",-1)</f>
        <v>mandatory-and-must-support-data-elements</v>
      </c>
      <c r="T386" t="str">
        <f>SUBSTITUTE(SUBSTITUTE(PROPER(SUBSTITUTE(us_core_reqs[[#This Row],[Page]], "-", " "))&amp;": "&amp;PROPER(SUBSTITUTE(us_core_reqs[[#This Row],[Section]], "-", " ")),"Us ","US "), "Uscdi", "USCDI")</f>
        <v>Structuredefinition US Core Encounter: Mandatory And Must Support Data Elements</v>
      </c>
      <c r="U386" t="s">
        <v>32</v>
      </c>
      <c r="V386" t="s">
        <v>1171</v>
      </c>
      <c r="W386" t="s">
        <v>1171</v>
      </c>
      <c r="X386" t="s">
        <v>1171</v>
      </c>
      <c r="Y386" t="s">
        <v>1171</v>
      </c>
      <c r="Z386" t="s">
        <v>1171</v>
      </c>
      <c r="AA386" t="s">
        <v>1171</v>
      </c>
      <c r="AB386" t="s">
        <v>767</v>
      </c>
      <c r="AC386" t="s">
        <v>1171</v>
      </c>
      <c r="AD386" t="s">
        <v>1171</v>
      </c>
    </row>
    <row r="387" spans="1:30" ht="51" x14ac:dyDescent="0.2">
      <c r="A387" t="s">
        <v>1171</v>
      </c>
      <c r="B387" t="s">
        <v>1559</v>
      </c>
      <c r="C387" t="str">
        <f>"CONF-"&amp;TEXT(us_core_reqs[[#This Row],[ID*]], "0000")</f>
        <v>CONF-0386</v>
      </c>
      <c r="D387" s="11" t="s">
        <v>765</v>
      </c>
      <c r="E387" t="str">
        <f>SUBSTITUTE(us_core_reqs[[#This Row],[URL*]], "https://hl7.org/fhir/us/core/STU8/","")</f>
        <v>StructureDefinition-us-core-encounter.html#mandatory-and-must-support-data-elements</v>
      </c>
      <c r="F387" s="11" t="s">
        <v>1973</v>
      </c>
      <c r="G387" t="s">
        <v>32</v>
      </c>
      <c r="I387" t="s">
        <v>30</v>
      </c>
      <c r="J387" t="s">
        <v>1171</v>
      </c>
      <c r="K387" t="s">
        <v>1171</v>
      </c>
      <c r="L387" t="s">
        <v>1173</v>
      </c>
      <c r="M387" t="s">
        <v>1171</v>
      </c>
      <c r="N387" t="s">
        <v>1171</v>
      </c>
      <c r="O387" t="s">
        <v>1171</v>
      </c>
      <c r="P387" t="s">
        <v>1171</v>
      </c>
      <c r="Q387" t="s">
        <v>1171</v>
      </c>
      <c r="R387" t="str">
        <f>_xlfn.TEXTBEFORE(_xlfn.TEXTAFTER(us_core_reqs[[#This Row],[URL*]],"/",-1),".")</f>
        <v>StructureDefinition-us-core-encounter</v>
      </c>
      <c r="S387" t="str">
        <f>_xlfn.TEXTAFTER(us_core_reqs[[#This Row],[URL*]],"#",-1)</f>
        <v>mandatory-and-must-support-data-elements</v>
      </c>
      <c r="T387" t="str">
        <f>SUBSTITUTE(SUBSTITUTE(PROPER(SUBSTITUTE(us_core_reqs[[#This Row],[Page]], "-", " "))&amp;": "&amp;PROPER(SUBSTITUTE(us_core_reqs[[#This Row],[Section]], "-", " ")),"Us ","US "), "Uscdi", "USCDI")</f>
        <v>Structuredefinition US Core Encounter: Mandatory And Must Support Data Elements</v>
      </c>
      <c r="U387" t="s">
        <v>32</v>
      </c>
      <c r="V387" t="s">
        <v>1171</v>
      </c>
      <c r="W387" t="s">
        <v>1171</v>
      </c>
      <c r="X387" t="s">
        <v>1171</v>
      </c>
      <c r="Y387" t="s">
        <v>1171</v>
      </c>
      <c r="Z387" t="s">
        <v>1171</v>
      </c>
      <c r="AA387" t="s">
        <v>1171</v>
      </c>
      <c r="AB387" t="s">
        <v>767</v>
      </c>
      <c r="AC387" t="s">
        <v>1171</v>
      </c>
      <c r="AD387" t="s">
        <v>1171</v>
      </c>
    </row>
    <row r="388" spans="1:30" ht="51" x14ac:dyDescent="0.2">
      <c r="A388" t="s">
        <v>1171</v>
      </c>
      <c r="B388" t="s">
        <v>1560</v>
      </c>
      <c r="C388" t="str">
        <f>"CONF-"&amp;TEXT(us_core_reqs[[#This Row],[ID*]], "0000")</f>
        <v>CONF-0387</v>
      </c>
      <c r="D388" s="11" t="s">
        <v>872</v>
      </c>
      <c r="E388" t="str">
        <f>SUBSTITUTE(us_core_reqs[[#This Row],[URL*]], "https://hl7.org/fhir/us/core/STU8/","")</f>
        <v>StructureDefinition-us-core-goal.html#mandatory-and-must-support-data-elements</v>
      </c>
      <c r="F388" s="11" t="s">
        <v>2119</v>
      </c>
      <c r="G388" t="s">
        <v>29</v>
      </c>
      <c r="I388" t="s">
        <v>30</v>
      </c>
      <c r="J388" t="s">
        <v>1171</v>
      </c>
      <c r="K388" t="s">
        <v>1171</v>
      </c>
      <c r="L388" t="s">
        <v>1176</v>
      </c>
      <c r="M388" t="s">
        <v>1171</v>
      </c>
      <c r="N388" t="s">
        <v>1171</v>
      </c>
      <c r="O388" t="s">
        <v>1171</v>
      </c>
      <c r="P388" t="s">
        <v>1171</v>
      </c>
      <c r="Q388" t="s">
        <v>1171</v>
      </c>
      <c r="R388" t="str">
        <f>_xlfn.TEXTBEFORE(_xlfn.TEXTAFTER(us_core_reqs[[#This Row],[URL*]],"/",-1),".")</f>
        <v>StructureDefinition-us-core-goal</v>
      </c>
      <c r="S388" t="str">
        <f>_xlfn.TEXTAFTER(us_core_reqs[[#This Row],[URL*]],"#",-1)</f>
        <v>mandatory-and-must-support-data-elements</v>
      </c>
      <c r="T388" t="str">
        <f>SUBSTITUTE(SUBSTITUTE(PROPER(SUBSTITUTE(us_core_reqs[[#This Row],[Page]], "-", " "))&amp;": "&amp;PROPER(SUBSTITUTE(us_core_reqs[[#This Row],[Section]], "-", " ")),"Us ","US "), "Uscdi", "USCDI")</f>
        <v>Structuredefinition US Core Goal: Mandatory And Must Support Data Elements</v>
      </c>
      <c r="U388" t="s">
        <v>29</v>
      </c>
      <c r="V388" t="s">
        <v>30</v>
      </c>
      <c r="W388" t="s">
        <v>1171</v>
      </c>
      <c r="X388" t="s">
        <v>1171</v>
      </c>
      <c r="Y388" t="s">
        <v>1171</v>
      </c>
      <c r="Z388" t="s">
        <v>1171</v>
      </c>
      <c r="AA388" t="s">
        <v>1171</v>
      </c>
      <c r="AB388" t="s">
        <v>1171</v>
      </c>
      <c r="AC388" t="s">
        <v>1140</v>
      </c>
      <c r="AD388" t="s">
        <v>1171</v>
      </c>
    </row>
    <row r="389" spans="1:30" ht="34" x14ac:dyDescent="0.2">
      <c r="A389" t="s">
        <v>1171</v>
      </c>
      <c r="B389" t="s">
        <v>1561</v>
      </c>
      <c r="C389" t="str">
        <f>"CONF-"&amp;TEXT(us_core_reqs[[#This Row],[ID*]], "0000")</f>
        <v>CONF-0388</v>
      </c>
      <c r="D389" s="11" t="s">
        <v>872</v>
      </c>
      <c r="E389" t="str">
        <f>SUBSTITUTE(us_core_reqs[[#This Row],[URL*]], "https://hl7.org/fhir/us/core/STU8/","")</f>
        <v>StructureDefinition-us-core-goal.html#mandatory-and-must-support-data-elements</v>
      </c>
      <c r="F389" s="11" t="s">
        <v>2120</v>
      </c>
      <c r="G389" t="s">
        <v>29</v>
      </c>
      <c r="I389" t="s">
        <v>58</v>
      </c>
      <c r="J389" t="s">
        <v>1171</v>
      </c>
      <c r="K389" t="s">
        <v>1171</v>
      </c>
      <c r="L389" t="s">
        <v>1173</v>
      </c>
      <c r="M389" t="s">
        <v>1171</v>
      </c>
      <c r="N389" t="s">
        <v>1171</v>
      </c>
      <c r="O389" t="s">
        <v>1171</v>
      </c>
      <c r="P389" t="s">
        <v>1171</v>
      </c>
      <c r="Q389" t="s">
        <v>1171</v>
      </c>
      <c r="R389" t="str">
        <f>_xlfn.TEXTBEFORE(_xlfn.TEXTAFTER(us_core_reqs[[#This Row],[URL*]],"/",-1),".")</f>
        <v>StructureDefinition-us-core-goal</v>
      </c>
      <c r="S389" t="str">
        <f>_xlfn.TEXTAFTER(us_core_reqs[[#This Row],[URL*]],"#",-1)</f>
        <v>mandatory-and-must-support-data-elements</v>
      </c>
      <c r="T389" t="str">
        <f>SUBSTITUTE(SUBSTITUTE(PROPER(SUBSTITUTE(us_core_reqs[[#This Row],[Page]], "-", " "))&amp;": "&amp;PROPER(SUBSTITUTE(us_core_reqs[[#This Row],[Section]], "-", " ")),"Us ","US "), "Uscdi", "USCDI")</f>
        <v>Structuredefinition US Core Goal: Mandatory And Must Support Data Elements</v>
      </c>
      <c r="U389" t="s">
        <v>29</v>
      </c>
      <c r="V389" t="s">
        <v>58</v>
      </c>
      <c r="W389" t="s">
        <v>1171</v>
      </c>
      <c r="X389" t="s">
        <v>1171</v>
      </c>
      <c r="Y389" t="s">
        <v>1171</v>
      </c>
      <c r="Z389" t="s">
        <v>1171</v>
      </c>
      <c r="AA389" t="s">
        <v>1171</v>
      </c>
      <c r="AB389" t="s">
        <v>1171</v>
      </c>
      <c r="AC389" t="s">
        <v>1171</v>
      </c>
      <c r="AD389" t="s">
        <v>1171</v>
      </c>
    </row>
    <row r="390" spans="1:30" ht="34" x14ac:dyDescent="0.2">
      <c r="A390" t="s">
        <v>1171</v>
      </c>
      <c r="B390" t="s">
        <v>1562</v>
      </c>
      <c r="C390" t="str">
        <f>"CONF-"&amp;TEXT(us_core_reqs[[#This Row],[ID*]], "0000")</f>
        <v>CONF-0389</v>
      </c>
      <c r="D390" s="11" t="s">
        <v>872</v>
      </c>
      <c r="E390" t="str">
        <f>SUBSTITUTE(us_core_reqs[[#This Row],[URL*]], "https://hl7.org/fhir/us/core/STU8/","")</f>
        <v>StructureDefinition-us-core-goal.html#mandatory-and-must-support-data-elements</v>
      </c>
      <c r="F390" s="11" t="s">
        <v>2121</v>
      </c>
      <c r="G390" t="s">
        <v>29</v>
      </c>
      <c r="I390" t="s">
        <v>58</v>
      </c>
      <c r="J390" t="s">
        <v>1171</v>
      </c>
      <c r="K390" t="s">
        <v>1171</v>
      </c>
      <c r="L390" t="s">
        <v>1173</v>
      </c>
      <c r="M390" t="s">
        <v>1171</v>
      </c>
      <c r="N390" t="s">
        <v>1171</v>
      </c>
      <c r="O390" t="s">
        <v>1171</v>
      </c>
      <c r="P390" t="s">
        <v>1171</v>
      </c>
      <c r="Q390" t="s">
        <v>1171</v>
      </c>
      <c r="R390" t="str">
        <f>_xlfn.TEXTBEFORE(_xlfn.TEXTAFTER(us_core_reqs[[#This Row],[URL*]],"/",-1),".")</f>
        <v>StructureDefinition-us-core-goal</v>
      </c>
      <c r="S390" t="str">
        <f>_xlfn.TEXTAFTER(us_core_reqs[[#This Row],[URL*]],"#",-1)</f>
        <v>mandatory-and-must-support-data-elements</v>
      </c>
      <c r="T390" t="str">
        <f>SUBSTITUTE(SUBSTITUTE(PROPER(SUBSTITUTE(us_core_reqs[[#This Row],[Page]], "-", " "))&amp;": "&amp;PROPER(SUBSTITUTE(us_core_reqs[[#This Row],[Section]], "-", " ")),"Us ","US "), "Uscdi", "USCDI")</f>
        <v>Structuredefinition US Core Goal: Mandatory And Must Support Data Elements</v>
      </c>
      <c r="U390" t="s">
        <v>29</v>
      </c>
      <c r="V390" t="s">
        <v>58</v>
      </c>
      <c r="W390" t="s">
        <v>1171</v>
      </c>
      <c r="X390" t="s">
        <v>1171</v>
      </c>
      <c r="Y390" t="s">
        <v>1171</v>
      </c>
      <c r="Z390" t="s">
        <v>1171</v>
      </c>
      <c r="AA390" t="s">
        <v>1171</v>
      </c>
      <c r="AB390" t="s">
        <v>1171</v>
      </c>
      <c r="AC390" t="s">
        <v>1171</v>
      </c>
      <c r="AD390" t="s">
        <v>1171</v>
      </c>
    </row>
    <row r="391" spans="1:30" ht="51" x14ac:dyDescent="0.2">
      <c r="A391" t="s">
        <v>1171</v>
      </c>
      <c r="B391" t="s">
        <v>1563</v>
      </c>
      <c r="C391" t="str">
        <f>"CONF-"&amp;TEXT(us_core_reqs[[#This Row],[ID*]], "0000")</f>
        <v>CONF-0390</v>
      </c>
      <c r="D391" s="11" t="s">
        <v>773</v>
      </c>
      <c r="E391" t="str">
        <f>SUBSTITUTE(us_core_reqs[[#This Row],[URL*]], "https://hl7.org/fhir/us/core/STU8/","")</f>
        <v>StructureDefinition-us-core-immunization.html#mandatory-and-must-support-data-elements</v>
      </c>
      <c r="F391" s="11" t="s">
        <v>402</v>
      </c>
      <c r="G391" t="s">
        <v>29</v>
      </c>
      <c r="I391" t="s">
        <v>30</v>
      </c>
      <c r="J391" t="s">
        <v>1171</v>
      </c>
      <c r="K391" t="s">
        <v>1171</v>
      </c>
      <c r="L391" t="s">
        <v>1173</v>
      </c>
      <c r="M391" t="s">
        <v>1171</v>
      </c>
      <c r="N391" t="s">
        <v>1171</v>
      </c>
      <c r="O391" t="s">
        <v>1171</v>
      </c>
      <c r="P391" t="s">
        <v>1171</v>
      </c>
      <c r="Q391" t="s">
        <v>1171</v>
      </c>
      <c r="R391" t="str">
        <f>_xlfn.TEXTBEFORE(_xlfn.TEXTAFTER(us_core_reqs[[#This Row],[URL*]],"/",-1),".")</f>
        <v>StructureDefinition-us-core-immunization</v>
      </c>
      <c r="S391" t="str">
        <f>_xlfn.TEXTAFTER(us_core_reqs[[#This Row],[URL*]],"#",-1)</f>
        <v>mandatory-and-must-support-data-elements</v>
      </c>
      <c r="T391" t="str">
        <f>SUBSTITUTE(SUBSTITUTE(PROPER(SUBSTITUTE(us_core_reqs[[#This Row],[Page]], "-", " "))&amp;": "&amp;PROPER(SUBSTITUTE(us_core_reqs[[#This Row],[Section]], "-", " ")),"Us ","US "), "Uscdi", "USCDI")</f>
        <v>Structuredefinition US Core Immunization: Mandatory And Must Support Data Elements</v>
      </c>
      <c r="U391" t="s">
        <v>29</v>
      </c>
      <c r="V391" t="s">
        <v>30</v>
      </c>
      <c r="W391" t="s">
        <v>1171</v>
      </c>
      <c r="X391" t="s">
        <v>1171</v>
      </c>
      <c r="Y391" t="s">
        <v>1171</v>
      </c>
      <c r="Z391" t="s">
        <v>1171</v>
      </c>
      <c r="AA391" t="s">
        <v>1171</v>
      </c>
      <c r="AB391" t="s">
        <v>1171</v>
      </c>
      <c r="AC391" t="s">
        <v>1141</v>
      </c>
      <c r="AD391" t="s">
        <v>1171</v>
      </c>
    </row>
    <row r="392" spans="1:30" ht="68" x14ac:dyDescent="0.2">
      <c r="A392" t="s">
        <v>1171</v>
      </c>
      <c r="B392" t="s">
        <v>1564</v>
      </c>
      <c r="C392" t="str">
        <f>"CONF-"&amp;TEXT(us_core_reqs[[#This Row],[ID*]], "0000")</f>
        <v>CONF-0391</v>
      </c>
      <c r="D392" s="11" t="s">
        <v>773</v>
      </c>
      <c r="E392" t="str">
        <f>SUBSTITUTE(us_core_reqs[[#This Row],[URL*]], "https://hl7.org/fhir/us/core/STU8/","")</f>
        <v>StructureDefinition-us-core-immunization.html#mandatory-and-must-support-data-elements</v>
      </c>
      <c r="F392" s="11" t="s">
        <v>403</v>
      </c>
      <c r="G392" t="s">
        <v>29</v>
      </c>
      <c r="I392" t="s">
        <v>30</v>
      </c>
      <c r="J392" t="s">
        <v>1171</v>
      </c>
      <c r="K392" t="s">
        <v>1171</v>
      </c>
      <c r="L392" t="s">
        <v>1176</v>
      </c>
      <c r="M392" t="s">
        <v>404</v>
      </c>
      <c r="N392" t="s">
        <v>1171</v>
      </c>
      <c r="O392" t="s">
        <v>1171</v>
      </c>
      <c r="P392" t="s">
        <v>1171</v>
      </c>
      <c r="Q392" t="s">
        <v>1171</v>
      </c>
      <c r="R392" t="str">
        <f>_xlfn.TEXTBEFORE(_xlfn.TEXTAFTER(us_core_reqs[[#This Row],[URL*]],"/",-1),".")</f>
        <v>StructureDefinition-us-core-immunization</v>
      </c>
      <c r="S392" t="str">
        <f>_xlfn.TEXTAFTER(us_core_reqs[[#This Row],[URL*]],"#",-1)</f>
        <v>mandatory-and-must-support-data-elements</v>
      </c>
      <c r="T392" t="str">
        <f>SUBSTITUTE(SUBSTITUTE(PROPER(SUBSTITUTE(us_core_reqs[[#This Row],[Page]], "-", " "))&amp;": "&amp;PROPER(SUBSTITUTE(us_core_reqs[[#This Row],[Section]], "-", " ")),"Us ","US "), "Uscdi", "USCDI")</f>
        <v>Structuredefinition US Core Immunization: Mandatory And Must Support Data Elements</v>
      </c>
      <c r="U392" t="s">
        <v>1171</v>
      </c>
      <c r="V392" t="s">
        <v>1171</v>
      </c>
      <c r="W392" t="s">
        <v>1171</v>
      </c>
      <c r="X392" t="s">
        <v>1171</v>
      </c>
      <c r="Y392" t="s">
        <v>1171</v>
      </c>
      <c r="Z392" t="s">
        <v>1171</v>
      </c>
      <c r="AA392" t="s">
        <v>1171</v>
      </c>
      <c r="AB392" t="s">
        <v>405</v>
      </c>
      <c r="AC392" t="s">
        <v>1140</v>
      </c>
      <c r="AD392" t="s">
        <v>1171</v>
      </c>
    </row>
    <row r="393" spans="1:30" ht="102" x14ac:dyDescent="0.2">
      <c r="A393" t="s">
        <v>1171</v>
      </c>
      <c r="B393" t="s">
        <v>1565</v>
      </c>
      <c r="C393" t="str">
        <f>"CONF-"&amp;TEXT(us_core_reqs[[#This Row],[ID*]], "0000")</f>
        <v>CONF-0392</v>
      </c>
      <c r="D393" s="11" t="s">
        <v>773</v>
      </c>
      <c r="E393" t="str">
        <f>SUBSTITUTE(us_core_reqs[[#This Row],[URL*]], "https://hl7.org/fhir/us/core/STU8/","")</f>
        <v>StructureDefinition-us-core-immunization.html#mandatory-and-must-support-data-elements</v>
      </c>
      <c r="F393" s="11" t="s">
        <v>1974</v>
      </c>
      <c r="G393" t="s">
        <v>32</v>
      </c>
      <c r="I393" t="s">
        <v>30</v>
      </c>
      <c r="J393" t="s">
        <v>1171</v>
      </c>
      <c r="K393" t="s">
        <v>1171</v>
      </c>
      <c r="L393" t="s">
        <v>1173</v>
      </c>
      <c r="M393" t="s">
        <v>1171</v>
      </c>
      <c r="N393" t="s">
        <v>1171</v>
      </c>
      <c r="O393" t="s">
        <v>1171</v>
      </c>
      <c r="P393" t="s">
        <v>1171</v>
      </c>
      <c r="Q393" t="s">
        <v>1171</v>
      </c>
      <c r="R393" t="str">
        <f>_xlfn.TEXTBEFORE(_xlfn.TEXTAFTER(us_core_reqs[[#This Row],[URL*]],"/",-1),".")</f>
        <v>StructureDefinition-us-core-immunization</v>
      </c>
      <c r="S393" t="str">
        <f>_xlfn.TEXTAFTER(us_core_reqs[[#This Row],[URL*]],"#",-1)</f>
        <v>mandatory-and-must-support-data-elements</v>
      </c>
      <c r="T393" t="str">
        <f>SUBSTITUTE(SUBSTITUTE(PROPER(SUBSTITUTE(us_core_reqs[[#This Row],[Page]], "-", " "))&amp;": "&amp;PROPER(SUBSTITUTE(us_core_reqs[[#This Row],[Section]], "-", " ")),"Us ","US "), "Uscdi", "USCDI")</f>
        <v>Structuredefinition US Core Immunization: Mandatory And Must Support Data Elements</v>
      </c>
      <c r="U393" t="s">
        <v>32</v>
      </c>
      <c r="V393" t="s">
        <v>1171</v>
      </c>
      <c r="W393" t="s">
        <v>1171</v>
      </c>
      <c r="X393" t="s">
        <v>1171</v>
      </c>
      <c r="Y393" t="s">
        <v>1171</v>
      </c>
      <c r="Z393" t="s">
        <v>1171</v>
      </c>
      <c r="AA393" t="s">
        <v>1171</v>
      </c>
      <c r="AB393" t="s">
        <v>771</v>
      </c>
      <c r="AC393" t="s">
        <v>1171</v>
      </c>
      <c r="AD393" t="s">
        <v>1171</v>
      </c>
    </row>
    <row r="394" spans="1:30" ht="51" x14ac:dyDescent="0.2">
      <c r="A394" t="s">
        <v>1171</v>
      </c>
      <c r="B394" t="s">
        <v>1566</v>
      </c>
      <c r="C394" t="str">
        <f>"CONF-"&amp;TEXT(us_core_reqs[[#This Row],[ID*]], "0000")</f>
        <v>CONF-0393</v>
      </c>
      <c r="D394" s="11" t="s">
        <v>773</v>
      </c>
      <c r="E394" t="str">
        <f>SUBSTITUTE(us_core_reqs[[#This Row],[URL*]], "https://hl7.org/fhir/us/core/STU8/","")</f>
        <v>StructureDefinition-us-core-immunization.html#mandatory-and-must-support-data-elements</v>
      </c>
      <c r="F394" s="11" t="s">
        <v>406</v>
      </c>
      <c r="G394" t="s">
        <v>32</v>
      </c>
      <c r="I394" t="s">
        <v>30</v>
      </c>
      <c r="J394" t="s">
        <v>1171</v>
      </c>
      <c r="K394" t="s">
        <v>1171</v>
      </c>
      <c r="L394" t="s">
        <v>1173</v>
      </c>
      <c r="M394" t="s">
        <v>1171</v>
      </c>
      <c r="N394" t="s">
        <v>1171</v>
      </c>
      <c r="O394" t="s">
        <v>1171</v>
      </c>
      <c r="P394" t="s">
        <v>1171</v>
      </c>
      <c r="Q394" t="s">
        <v>1171</v>
      </c>
      <c r="R394" t="str">
        <f>_xlfn.TEXTBEFORE(_xlfn.TEXTAFTER(us_core_reqs[[#This Row],[URL*]],"/",-1),".")</f>
        <v>StructureDefinition-us-core-immunization</v>
      </c>
      <c r="S394" t="str">
        <f>_xlfn.TEXTAFTER(us_core_reqs[[#This Row],[URL*]],"#",-1)</f>
        <v>mandatory-and-must-support-data-elements</v>
      </c>
      <c r="T394" t="str">
        <f>SUBSTITUTE(SUBSTITUTE(PROPER(SUBSTITUTE(us_core_reqs[[#This Row],[Page]], "-", " "))&amp;": "&amp;PROPER(SUBSTITUTE(us_core_reqs[[#This Row],[Section]], "-", " ")),"Us ","US "), "Uscdi", "USCDI")</f>
        <v>Structuredefinition US Core Immunization: Mandatory And Must Support Data Elements</v>
      </c>
      <c r="U394" t="s">
        <v>1171</v>
      </c>
      <c r="V394" t="s">
        <v>1171</v>
      </c>
      <c r="W394" t="s">
        <v>1171</v>
      </c>
      <c r="X394" t="s">
        <v>1171</v>
      </c>
      <c r="Y394" t="s">
        <v>1171</v>
      </c>
      <c r="Z394" t="s">
        <v>1171</v>
      </c>
      <c r="AA394" t="s">
        <v>1171</v>
      </c>
      <c r="AB394" t="s">
        <v>1171</v>
      </c>
      <c r="AC394" t="s">
        <v>1171</v>
      </c>
      <c r="AD394" t="s">
        <v>1171</v>
      </c>
    </row>
    <row r="395" spans="1:30" ht="51" x14ac:dyDescent="0.2">
      <c r="A395" t="s">
        <v>1171</v>
      </c>
      <c r="B395" t="s">
        <v>1567</v>
      </c>
      <c r="C395" t="str">
        <f>"CONF-"&amp;TEXT(us_core_reqs[[#This Row],[ID*]], "0000")</f>
        <v>CONF-0394</v>
      </c>
      <c r="D395" s="11" t="s">
        <v>773</v>
      </c>
      <c r="E395" t="str">
        <f>SUBSTITUTE(us_core_reqs[[#This Row],[URL*]], "https://hl7.org/fhir/us/core/STU8/","")</f>
        <v>StructureDefinition-us-core-immunization.html#mandatory-and-must-support-data-elements</v>
      </c>
      <c r="F395" s="11" t="s">
        <v>407</v>
      </c>
      <c r="G395" t="s">
        <v>32</v>
      </c>
      <c r="I395" t="s">
        <v>30</v>
      </c>
      <c r="J395" t="s">
        <v>1171</v>
      </c>
      <c r="K395" t="s">
        <v>1171</v>
      </c>
      <c r="L395" t="s">
        <v>1173</v>
      </c>
      <c r="M395" t="s">
        <v>1171</v>
      </c>
      <c r="N395" t="s">
        <v>1171</v>
      </c>
      <c r="O395" t="s">
        <v>1171</v>
      </c>
      <c r="P395" t="s">
        <v>1171</v>
      </c>
      <c r="Q395" t="s">
        <v>1171</v>
      </c>
      <c r="R395" t="str">
        <f>_xlfn.TEXTBEFORE(_xlfn.TEXTAFTER(us_core_reqs[[#This Row],[URL*]],"/",-1),".")</f>
        <v>StructureDefinition-us-core-immunization</v>
      </c>
      <c r="S395" t="str">
        <f>_xlfn.TEXTAFTER(us_core_reqs[[#This Row],[URL*]],"#",-1)</f>
        <v>mandatory-and-must-support-data-elements</v>
      </c>
      <c r="T395" t="str">
        <f>SUBSTITUTE(SUBSTITUTE(PROPER(SUBSTITUTE(us_core_reqs[[#This Row],[Page]], "-", " "))&amp;": "&amp;PROPER(SUBSTITUTE(us_core_reqs[[#This Row],[Section]], "-", " ")),"Us ","US "), "Uscdi", "USCDI")</f>
        <v>Structuredefinition US Core Immunization: Mandatory And Must Support Data Elements</v>
      </c>
      <c r="U395" t="s">
        <v>1171</v>
      </c>
      <c r="V395" t="s">
        <v>1171</v>
      </c>
      <c r="W395" t="s">
        <v>1171</v>
      </c>
      <c r="X395" t="s">
        <v>1171</v>
      </c>
      <c r="Y395" t="s">
        <v>1171</v>
      </c>
      <c r="Z395" t="s">
        <v>1171</v>
      </c>
      <c r="AA395" t="s">
        <v>1171</v>
      </c>
      <c r="AB395" t="s">
        <v>1171</v>
      </c>
      <c r="AC395" t="s">
        <v>1171</v>
      </c>
      <c r="AD395" t="s">
        <v>1171</v>
      </c>
    </row>
    <row r="396" spans="1:30" ht="102" x14ac:dyDescent="0.2">
      <c r="A396" t="s">
        <v>1171</v>
      </c>
      <c r="B396" t="s">
        <v>1568</v>
      </c>
      <c r="C396" t="str">
        <f>"CONF-"&amp;TEXT(us_core_reqs[[#This Row],[ID*]], "0000")</f>
        <v>CONF-0395</v>
      </c>
      <c r="D396" s="11" t="s">
        <v>873</v>
      </c>
      <c r="E396" t="str">
        <f>SUBSTITUTE(us_core_reqs[[#This Row],[URL*]], "https://hl7.org/fhir/us/core/STU8/","")</f>
        <v>StructureDefinition-us-core-location.html#mandatory-and-must-support-data-elements</v>
      </c>
      <c r="F396" s="11" t="s">
        <v>1975</v>
      </c>
      <c r="G396" t="s">
        <v>32</v>
      </c>
      <c r="I396" t="s">
        <v>30</v>
      </c>
      <c r="J396" t="s">
        <v>1171</v>
      </c>
      <c r="K396" t="s">
        <v>1171</v>
      </c>
      <c r="L396" t="s">
        <v>1173</v>
      </c>
      <c r="M396" t="s">
        <v>1171</v>
      </c>
      <c r="N396" t="s">
        <v>1171</v>
      </c>
      <c r="O396" t="s">
        <v>1171</v>
      </c>
      <c r="P396" t="s">
        <v>1171</v>
      </c>
      <c r="Q396" t="s">
        <v>1171</v>
      </c>
      <c r="R396" t="str">
        <f>_xlfn.TEXTBEFORE(_xlfn.TEXTAFTER(us_core_reqs[[#This Row],[URL*]],"/",-1),".")</f>
        <v>StructureDefinition-us-core-location</v>
      </c>
      <c r="S396" t="str">
        <f>_xlfn.TEXTAFTER(us_core_reqs[[#This Row],[URL*]],"#",-1)</f>
        <v>mandatory-and-must-support-data-elements</v>
      </c>
      <c r="T396" t="str">
        <f>SUBSTITUTE(SUBSTITUTE(PROPER(SUBSTITUTE(us_core_reqs[[#This Row],[Page]], "-", " "))&amp;": "&amp;PROPER(SUBSTITUTE(us_core_reqs[[#This Row],[Section]], "-", " ")),"Us ","US "), "Uscdi", "USCDI")</f>
        <v>Structuredefinition US Core Location: Mandatory And Must Support Data Elements</v>
      </c>
      <c r="U396" t="s">
        <v>32</v>
      </c>
      <c r="V396" t="s">
        <v>1171</v>
      </c>
      <c r="W396" t="s">
        <v>1171</v>
      </c>
      <c r="X396" t="s">
        <v>1171</v>
      </c>
      <c r="Y396" t="s">
        <v>1171</v>
      </c>
      <c r="Z396" t="s">
        <v>1171</v>
      </c>
      <c r="AA396" t="s">
        <v>1171</v>
      </c>
      <c r="AB396" t="s">
        <v>1171</v>
      </c>
      <c r="AC396" t="s">
        <v>1171</v>
      </c>
      <c r="AD396" t="s">
        <v>1171</v>
      </c>
    </row>
    <row r="397" spans="1:30" ht="102" x14ac:dyDescent="0.2">
      <c r="A397" t="s">
        <v>1171</v>
      </c>
      <c r="B397" t="s">
        <v>1569</v>
      </c>
      <c r="C397" t="str">
        <f>"CONF-"&amp;TEXT(us_core_reqs[[#This Row],[ID*]], "0000")</f>
        <v>CONF-0396</v>
      </c>
      <c r="D397" s="11" t="s">
        <v>873</v>
      </c>
      <c r="E397" t="str">
        <f>SUBSTITUTE(us_core_reqs[[#This Row],[URL*]], "https://hl7.org/fhir/us/core/STU8/","")</f>
        <v>StructureDefinition-us-core-location.html#mandatory-and-must-support-data-elements</v>
      </c>
      <c r="F397" s="11" t="s">
        <v>1976</v>
      </c>
      <c r="G397" t="s">
        <v>32</v>
      </c>
      <c r="I397" t="s">
        <v>30</v>
      </c>
      <c r="J397" t="s">
        <v>1171</v>
      </c>
      <c r="K397" t="s">
        <v>1171</v>
      </c>
      <c r="L397" t="s">
        <v>1173</v>
      </c>
      <c r="M397" t="s">
        <v>1171</v>
      </c>
      <c r="N397" t="s">
        <v>1171</v>
      </c>
      <c r="O397" t="s">
        <v>1171</v>
      </c>
      <c r="P397" t="s">
        <v>1171</v>
      </c>
      <c r="Q397" t="s">
        <v>1171</v>
      </c>
      <c r="R397" t="str">
        <f>_xlfn.TEXTBEFORE(_xlfn.TEXTAFTER(us_core_reqs[[#This Row],[URL*]],"/",-1),".")</f>
        <v>StructureDefinition-us-core-location</v>
      </c>
      <c r="S397" t="str">
        <f>_xlfn.TEXTAFTER(us_core_reqs[[#This Row],[URL*]],"#",-1)</f>
        <v>mandatory-and-must-support-data-elements</v>
      </c>
      <c r="T397" t="str">
        <f>SUBSTITUTE(SUBSTITUTE(PROPER(SUBSTITUTE(us_core_reqs[[#This Row],[Page]], "-", " "))&amp;": "&amp;PROPER(SUBSTITUTE(us_core_reqs[[#This Row],[Section]], "-", " ")),"Us ","US "), "Uscdi", "USCDI")</f>
        <v>Structuredefinition US Core Location: Mandatory And Must Support Data Elements</v>
      </c>
      <c r="U397" t="s">
        <v>32</v>
      </c>
      <c r="V397" t="s">
        <v>1171</v>
      </c>
      <c r="W397" t="s">
        <v>1171</v>
      </c>
      <c r="X397" t="s">
        <v>1171</v>
      </c>
      <c r="Y397" t="s">
        <v>1171</v>
      </c>
      <c r="Z397" t="s">
        <v>1171</v>
      </c>
      <c r="AA397" t="s">
        <v>1171</v>
      </c>
      <c r="AB397" t="s">
        <v>1171</v>
      </c>
      <c r="AC397" t="s">
        <v>1171</v>
      </c>
      <c r="AD397" t="s">
        <v>1171</v>
      </c>
    </row>
    <row r="398" spans="1:30" ht="85" x14ac:dyDescent="0.2">
      <c r="A398" t="s">
        <v>1171</v>
      </c>
      <c r="B398" t="s">
        <v>1570</v>
      </c>
      <c r="C398" t="str">
        <f>"CONF-"&amp;TEXT(us_core_reqs[[#This Row],[ID*]], "0000")</f>
        <v>CONF-0397</v>
      </c>
      <c r="D398" s="11" t="s">
        <v>874</v>
      </c>
      <c r="E398" t="str">
        <f>SUBSTITUTE(us_core_reqs[[#This Row],[URL*]], "https://hl7.org/fhir/us/core/STU8/","")</f>
        <v>StructureDefinition-us-core-medicationdispense.html#mandatory-and-must-support-data-elements, StructureDefinition-us-core-medicationrequest.html#mandatory-and-must-support-data-elements</v>
      </c>
      <c r="F398" s="11" t="s">
        <v>410</v>
      </c>
      <c r="G398" t="s">
        <v>29</v>
      </c>
      <c r="I398" t="s">
        <v>30</v>
      </c>
      <c r="J398" t="s">
        <v>1171</v>
      </c>
      <c r="K398" t="s">
        <v>1171</v>
      </c>
      <c r="L398" t="s">
        <v>1176</v>
      </c>
      <c r="M398" t="s">
        <v>411</v>
      </c>
      <c r="N398" t="s">
        <v>1171</v>
      </c>
      <c r="O398" t="s">
        <v>1171</v>
      </c>
      <c r="P398" t="s">
        <v>1171</v>
      </c>
      <c r="Q398" t="s">
        <v>1171</v>
      </c>
      <c r="R398" t="str">
        <f>_xlfn.TEXTBEFORE(_xlfn.TEXTAFTER(us_core_reqs[[#This Row],[URL*]],"/",-1),".")</f>
        <v>StructureDefinition-us-core-medicationrequest</v>
      </c>
      <c r="S398" t="str">
        <f>_xlfn.TEXTAFTER(us_core_reqs[[#This Row],[URL*]],"#",-1)</f>
        <v>mandatory-and-must-support-data-elements</v>
      </c>
      <c r="T398" t="str">
        <f>SUBSTITUTE(SUBSTITUTE(PROPER(SUBSTITUTE(us_core_reqs[[#This Row],[Page]], "-", " "))&amp;": "&amp;PROPER(SUBSTITUTE(us_core_reqs[[#This Row],[Section]], "-", " ")),"Us ","US "), "Uscdi", "USCDI")</f>
        <v>Structuredefinition US Core Medicationrequest: Mandatory And Must Support Data Elements</v>
      </c>
      <c r="U398" t="s">
        <v>1171</v>
      </c>
      <c r="V398" t="s">
        <v>1171</v>
      </c>
      <c r="W398" t="s">
        <v>1171</v>
      </c>
      <c r="X398" t="s">
        <v>1171</v>
      </c>
      <c r="Y398" t="s">
        <v>1171</v>
      </c>
      <c r="Z398" t="s">
        <v>1171</v>
      </c>
      <c r="AA398" t="s">
        <v>1171</v>
      </c>
      <c r="AB398" t="s">
        <v>1171</v>
      </c>
      <c r="AC398" t="s">
        <v>1140</v>
      </c>
      <c r="AD398" t="s">
        <v>1171</v>
      </c>
    </row>
    <row r="399" spans="1:30" ht="85" x14ac:dyDescent="0.2">
      <c r="A399" t="s">
        <v>1171</v>
      </c>
      <c r="B399" t="s">
        <v>1571</v>
      </c>
      <c r="C399" t="str">
        <f>"CONF-"&amp;TEXT(us_core_reqs[[#This Row],[ID*]], "0000")</f>
        <v>CONF-0398</v>
      </c>
      <c r="D399" s="11" t="s">
        <v>874</v>
      </c>
      <c r="E399" t="str">
        <f>SUBSTITUTE(us_core_reqs[[#This Row],[URL*]], "https://hl7.org/fhir/us/core/STU8/","")</f>
        <v>StructureDefinition-us-core-medicationdispense.html#mandatory-and-must-support-data-elements, StructureDefinition-us-core-medicationrequest.html#mandatory-and-must-support-data-elements</v>
      </c>
      <c r="F399" s="11" t="s">
        <v>412</v>
      </c>
      <c r="G399" t="s">
        <v>35</v>
      </c>
      <c r="I399" t="s">
        <v>30</v>
      </c>
      <c r="J399" t="s">
        <v>1171</v>
      </c>
      <c r="K399" t="s">
        <v>1171</v>
      </c>
      <c r="L399" t="s">
        <v>1176</v>
      </c>
      <c r="M399" t="s">
        <v>411</v>
      </c>
      <c r="N399" t="s">
        <v>1171</v>
      </c>
      <c r="O399" t="s">
        <v>1171</v>
      </c>
      <c r="P399" t="s">
        <v>1171</v>
      </c>
      <c r="Q399" t="s">
        <v>1171</v>
      </c>
      <c r="R399" t="str">
        <f>_xlfn.TEXTBEFORE(_xlfn.TEXTAFTER(us_core_reqs[[#This Row],[URL*]],"/",-1),".")</f>
        <v>StructureDefinition-us-core-medicationrequest</v>
      </c>
      <c r="S399" t="str">
        <f>_xlfn.TEXTAFTER(us_core_reqs[[#This Row],[URL*]],"#",-1)</f>
        <v>mandatory-and-must-support-data-elements</v>
      </c>
      <c r="T399" t="str">
        <f>SUBSTITUTE(SUBSTITUTE(PROPER(SUBSTITUTE(us_core_reqs[[#This Row],[Page]], "-", " "))&amp;": "&amp;PROPER(SUBSTITUTE(us_core_reqs[[#This Row],[Section]], "-", " ")),"Us ","US "), "Uscdi", "USCDI")</f>
        <v>Structuredefinition US Core Medicationrequest: Mandatory And Must Support Data Elements</v>
      </c>
      <c r="U399" t="s">
        <v>1171</v>
      </c>
      <c r="V399" t="s">
        <v>1171</v>
      </c>
      <c r="W399" t="s">
        <v>1171</v>
      </c>
      <c r="X399" t="s">
        <v>1171</v>
      </c>
      <c r="Y399" t="s">
        <v>1171</v>
      </c>
      <c r="Z399" t="s">
        <v>1171</v>
      </c>
      <c r="AA399" t="s">
        <v>1171</v>
      </c>
      <c r="AB399" t="s">
        <v>1171</v>
      </c>
      <c r="AC399" t="s">
        <v>1171</v>
      </c>
      <c r="AD399" t="s">
        <v>1171</v>
      </c>
    </row>
    <row r="400" spans="1:30" ht="85" x14ac:dyDescent="0.2">
      <c r="A400" t="s">
        <v>1171</v>
      </c>
      <c r="B400" t="s">
        <v>1572</v>
      </c>
      <c r="C400" t="str">
        <f>"CONF-"&amp;TEXT(us_core_reqs[[#This Row],[ID*]], "0000")</f>
        <v>CONF-0399</v>
      </c>
      <c r="D400" s="11" t="s">
        <v>874</v>
      </c>
      <c r="E400" t="str">
        <f>SUBSTITUTE(us_core_reqs[[#This Row],[URL*]], "https://hl7.org/fhir/us/core/STU8/","")</f>
        <v>StructureDefinition-us-core-medicationdispense.html#mandatory-and-must-support-data-elements, StructureDefinition-us-core-medicationrequest.html#mandatory-and-must-support-data-elements</v>
      </c>
      <c r="F400" s="11" t="s">
        <v>413</v>
      </c>
      <c r="G400" t="s">
        <v>35</v>
      </c>
      <c r="I400" t="s">
        <v>30</v>
      </c>
      <c r="J400" t="s">
        <v>1171</v>
      </c>
      <c r="K400" t="s">
        <v>1171</v>
      </c>
      <c r="L400" t="s">
        <v>1173</v>
      </c>
      <c r="M400" t="s">
        <v>1171</v>
      </c>
      <c r="N400" t="s">
        <v>1171</v>
      </c>
      <c r="O400" t="s">
        <v>1171</v>
      </c>
      <c r="P400" t="s">
        <v>1171</v>
      </c>
      <c r="Q400" t="s">
        <v>1171</v>
      </c>
      <c r="R400" t="str">
        <f>_xlfn.TEXTBEFORE(_xlfn.TEXTAFTER(us_core_reqs[[#This Row],[URL*]],"/",-1),".")</f>
        <v>StructureDefinition-us-core-medicationrequest</v>
      </c>
      <c r="S400" t="str">
        <f>_xlfn.TEXTAFTER(us_core_reqs[[#This Row],[URL*]],"#",-1)</f>
        <v>mandatory-and-must-support-data-elements</v>
      </c>
      <c r="T400" t="str">
        <f>SUBSTITUTE(SUBSTITUTE(PROPER(SUBSTITUTE(us_core_reqs[[#This Row],[Page]], "-", " "))&amp;": "&amp;PROPER(SUBSTITUTE(us_core_reqs[[#This Row],[Section]], "-", " ")),"Us ","US "), "Uscdi", "USCDI")</f>
        <v>Structuredefinition US Core Medicationrequest: Mandatory And Must Support Data Elements</v>
      </c>
      <c r="U400" t="s">
        <v>35</v>
      </c>
      <c r="V400" t="s">
        <v>1171</v>
      </c>
      <c r="W400" t="s">
        <v>1171</v>
      </c>
      <c r="X400" t="s">
        <v>1171</v>
      </c>
      <c r="Y400" t="s">
        <v>1171</v>
      </c>
      <c r="Z400" t="s">
        <v>1171</v>
      </c>
      <c r="AA400" t="s">
        <v>1171</v>
      </c>
      <c r="AB400" t="s">
        <v>1171</v>
      </c>
      <c r="AC400" t="s">
        <v>1171</v>
      </c>
      <c r="AD400" t="s">
        <v>1171</v>
      </c>
    </row>
    <row r="401" spans="1:30" ht="85" x14ac:dyDescent="0.2">
      <c r="A401" t="s">
        <v>1171</v>
      </c>
      <c r="B401" t="s">
        <v>1573</v>
      </c>
      <c r="C401" t="str">
        <f>"CONF-"&amp;TEXT(us_core_reqs[[#This Row],[ID*]], "0000")</f>
        <v>CONF-0400</v>
      </c>
      <c r="D401" s="11" t="s">
        <v>874</v>
      </c>
      <c r="E401" t="str">
        <f>SUBSTITUTE(us_core_reqs[[#This Row],[URL*]], "https://hl7.org/fhir/us/core/STU8/","")</f>
        <v>StructureDefinition-us-core-medicationdispense.html#mandatory-and-must-support-data-elements, StructureDefinition-us-core-medicationrequest.html#mandatory-and-must-support-data-elements</v>
      </c>
      <c r="F401" s="11" t="s">
        <v>414</v>
      </c>
      <c r="G401" t="s">
        <v>35</v>
      </c>
      <c r="I401" t="s">
        <v>30</v>
      </c>
      <c r="J401" t="s">
        <v>1171</v>
      </c>
      <c r="K401" t="s">
        <v>1171</v>
      </c>
      <c r="L401" t="s">
        <v>1173</v>
      </c>
      <c r="M401" t="s">
        <v>1171</v>
      </c>
      <c r="N401" t="s">
        <v>1171</v>
      </c>
      <c r="O401" t="s">
        <v>1171</v>
      </c>
      <c r="P401" t="s">
        <v>1171</v>
      </c>
      <c r="Q401" t="s">
        <v>1171</v>
      </c>
      <c r="R401" t="str">
        <f>_xlfn.TEXTBEFORE(_xlfn.TEXTAFTER(us_core_reqs[[#This Row],[URL*]],"/",-1),".")</f>
        <v>StructureDefinition-us-core-medicationrequest</v>
      </c>
      <c r="S401" t="str">
        <f>_xlfn.TEXTAFTER(us_core_reqs[[#This Row],[URL*]],"#",-1)</f>
        <v>mandatory-and-must-support-data-elements</v>
      </c>
      <c r="T401" t="str">
        <f>SUBSTITUTE(SUBSTITUTE(PROPER(SUBSTITUTE(us_core_reqs[[#This Row],[Page]], "-", " "))&amp;": "&amp;PROPER(SUBSTITUTE(us_core_reqs[[#This Row],[Section]], "-", " ")),"Us ","US "), "Uscdi", "USCDI")</f>
        <v>Structuredefinition US Core Medicationrequest: Mandatory And Must Support Data Elements</v>
      </c>
      <c r="U401" t="s">
        <v>35</v>
      </c>
      <c r="V401" t="s">
        <v>1171</v>
      </c>
      <c r="W401" t="s">
        <v>1171</v>
      </c>
      <c r="X401" t="s">
        <v>1171</v>
      </c>
      <c r="Y401" t="s">
        <v>1171</v>
      </c>
      <c r="Z401" t="s">
        <v>1171</v>
      </c>
      <c r="AA401" t="s">
        <v>1171</v>
      </c>
      <c r="AB401" t="s">
        <v>1171</v>
      </c>
      <c r="AC401" t="s">
        <v>1171</v>
      </c>
      <c r="AD401" t="s">
        <v>1171</v>
      </c>
    </row>
    <row r="402" spans="1:30" ht="85" x14ac:dyDescent="0.2">
      <c r="A402" t="s">
        <v>1171</v>
      </c>
      <c r="B402" t="s">
        <v>1574</v>
      </c>
      <c r="C402" t="str">
        <f>"CONF-"&amp;TEXT(us_core_reqs[[#This Row],[ID*]], "0000")</f>
        <v>CONF-0401</v>
      </c>
      <c r="D402" s="11" t="s">
        <v>874</v>
      </c>
      <c r="E402" t="str">
        <f>SUBSTITUTE(us_core_reqs[[#This Row],[URL*]], "https://hl7.org/fhir/us/core/STU8/","")</f>
        <v>StructureDefinition-us-core-medicationdispense.html#mandatory-and-must-support-data-elements, StructureDefinition-us-core-medicationrequest.html#mandatory-and-must-support-data-elements</v>
      </c>
      <c r="F402" s="11" t="s">
        <v>2122</v>
      </c>
      <c r="G402" t="s">
        <v>29</v>
      </c>
      <c r="I402" t="s">
        <v>30</v>
      </c>
      <c r="J402" t="s">
        <v>1171</v>
      </c>
      <c r="K402" t="s">
        <v>1171</v>
      </c>
      <c r="L402" t="s">
        <v>1176</v>
      </c>
      <c r="M402" t="s">
        <v>415</v>
      </c>
      <c r="N402" t="s">
        <v>1171</v>
      </c>
      <c r="O402" t="s">
        <v>1171</v>
      </c>
      <c r="P402" t="s">
        <v>1171</v>
      </c>
      <c r="Q402" t="s">
        <v>1171</v>
      </c>
      <c r="R402" t="str">
        <f>_xlfn.TEXTBEFORE(_xlfn.TEXTAFTER(us_core_reqs[[#This Row],[URL*]],"/",-1),".")</f>
        <v>StructureDefinition-us-core-medicationrequest</v>
      </c>
      <c r="S402" t="str">
        <f>_xlfn.TEXTAFTER(us_core_reqs[[#This Row],[URL*]],"#",-1)</f>
        <v>mandatory-and-must-support-data-elements</v>
      </c>
      <c r="T402" t="str">
        <f>SUBSTITUTE(SUBSTITUTE(PROPER(SUBSTITUTE(us_core_reqs[[#This Row],[Page]], "-", " "))&amp;": "&amp;PROPER(SUBSTITUTE(us_core_reqs[[#This Row],[Section]], "-", " ")),"Us ","US "), "Uscdi", "USCDI")</f>
        <v>Structuredefinition US Core Medicationrequest: Mandatory And Must Support Data Elements</v>
      </c>
      <c r="U402" t="s">
        <v>29</v>
      </c>
      <c r="V402" t="s">
        <v>30</v>
      </c>
      <c r="W402" t="s">
        <v>1171</v>
      </c>
      <c r="X402" t="s">
        <v>1171</v>
      </c>
      <c r="Y402" t="s">
        <v>1171</v>
      </c>
      <c r="Z402" t="s">
        <v>1171</v>
      </c>
      <c r="AA402" t="s">
        <v>1171</v>
      </c>
      <c r="AB402" t="s">
        <v>1171</v>
      </c>
      <c r="AC402" t="s">
        <v>1140</v>
      </c>
      <c r="AD402" t="s">
        <v>1171</v>
      </c>
    </row>
    <row r="403" spans="1:30" ht="85" x14ac:dyDescent="0.2">
      <c r="A403" t="s">
        <v>1171</v>
      </c>
      <c r="B403" t="s">
        <v>1575</v>
      </c>
      <c r="C403" t="str">
        <f>"CONF-"&amp;TEXT(us_core_reqs[[#This Row],[ID*]], "0000")</f>
        <v>CONF-0402</v>
      </c>
      <c r="D403" s="11" t="s">
        <v>874</v>
      </c>
      <c r="E403" t="str">
        <f>SUBSTITUTE(us_core_reqs[[#This Row],[URL*]], "https://hl7.org/fhir/us/core/STU8/","")</f>
        <v>StructureDefinition-us-core-medicationdispense.html#mandatory-and-must-support-data-elements, StructureDefinition-us-core-medicationrequest.html#mandatory-and-must-support-data-elements</v>
      </c>
      <c r="F403" s="11" t="s">
        <v>2123</v>
      </c>
      <c r="G403" t="s">
        <v>29</v>
      </c>
      <c r="I403" t="s">
        <v>30</v>
      </c>
      <c r="J403" t="s">
        <v>1171</v>
      </c>
      <c r="K403" t="s">
        <v>1171</v>
      </c>
      <c r="L403" t="s">
        <v>1176</v>
      </c>
      <c r="M403" t="s">
        <v>416</v>
      </c>
      <c r="N403" t="s">
        <v>1171</v>
      </c>
      <c r="O403" t="s">
        <v>1171</v>
      </c>
      <c r="P403" t="s">
        <v>1171</v>
      </c>
      <c r="Q403" t="s">
        <v>1171</v>
      </c>
      <c r="R403" t="str">
        <f>_xlfn.TEXTBEFORE(_xlfn.TEXTAFTER(us_core_reqs[[#This Row],[URL*]],"/",-1),".")</f>
        <v>StructureDefinition-us-core-medicationrequest</v>
      </c>
      <c r="S403" t="str">
        <f>_xlfn.TEXTAFTER(us_core_reqs[[#This Row],[URL*]],"#",-1)</f>
        <v>mandatory-and-must-support-data-elements</v>
      </c>
      <c r="T403" t="str">
        <f>SUBSTITUTE(SUBSTITUTE(PROPER(SUBSTITUTE(us_core_reqs[[#This Row],[Page]], "-", " "))&amp;": "&amp;PROPER(SUBSTITUTE(us_core_reqs[[#This Row],[Section]], "-", " ")),"Us ","US "), "Uscdi", "USCDI")</f>
        <v>Structuredefinition US Core Medicationrequest: Mandatory And Must Support Data Elements</v>
      </c>
      <c r="U403" t="s">
        <v>29</v>
      </c>
      <c r="V403" t="s">
        <v>30</v>
      </c>
      <c r="W403" t="s">
        <v>1171</v>
      </c>
      <c r="X403" t="s">
        <v>1171</v>
      </c>
      <c r="Y403" t="s">
        <v>1171</v>
      </c>
      <c r="Z403" t="s">
        <v>1171</v>
      </c>
      <c r="AA403" t="s">
        <v>1171</v>
      </c>
      <c r="AB403" t="s">
        <v>1171</v>
      </c>
      <c r="AC403" t="s">
        <v>1140</v>
      </c>
      <c r="AD403" t="s">
        <v>1171</v>
      </c>
    </row>
    <row r="404" spans="1:30" ht="85" x14ac:dyDescent="0.2">
      <c r="A404" t="s">
        <v>1171</v>
      </c>
      <c r="B404" t="s">
        <v>1576</v>
      </c>
      <c r="C404" t="str">
        <f>"CONF-"&amp;TEXT(us_core_reqs[[#This Row],[ID*]], "0000")</f>
        <v>CONF-0403</v>
      </c>
      <c r="D404" s="11" t="s">
        <v>874</v>
      </c>
      <c r="E404" t="str">
        <f>SUBSTITUTE(us_core_reqs[[#This Row],[URL*]], "https://hl7.org/fhir/us/core/STU8/","")</f>
        <v>StructureDefinition-us-core-medicationdispense.html#mandatory-and-must-support-data-elements, StructureDefinition-us-core-medicationrequest.html#mandatory-and-must-support-data-elements</v>
      </c>
      <c r="F404" s="11" t="s">
        <v>2124</v>
      </c>
      <c r="G404" t="s">
        <v>29</v>
      </c>
      <c r="I404" t="s">
        <v>58</v>
      </c>
      <c r="J404" t="s">
        <v>1171</v>
      </c>
      <c r="K404" t="s">
        <v>1171</v>
      </c>
      <c r="L404" t="s">
        <v>1173</v>
      </c>
      <c r="M404" t="s">
        <v>1171</v>
      </c>
      <c r="N404" t="s">
        <v>1171</v>
      </c>
      <c r="O404" t="s">
        <v>1171</v>
      </c>
      <c r="P404" t="s">
        <v>1171</v>
      </c>
      <c r="Q404" t="s">
        <v>1171</v>
      </c>
      <c r="R404" t="str">
        <f>_xlfn.TEXTBEFORE(_xlfn.TEXTAFTER(us_core_reqs[[#This Row],[URL*]],"/",-1),".")</f>
        <v>StructureDefinition-us-core-medicationrequest</v>
      </c>
      <c r="S404" t="str">
        <f>_xlfn.TEXTAFTER(us_core_reqs[[#This Row],[URL*]],"#",-1)</f>
        <v>mandatory-and-must-support-data-elements</v>
      </c>
      <c r="T404" t="str">
        <f>SUBSTITUTE(SUBSTITUTE(PROPER(SUBSTITUTE(us_core_reqs[[#This Row],[Page]], "-", " "))&amp;": "&amp;PROPER(SUBSTITUTE(us_core_reqs[[#This Row],[Section]], "-", " ")),"Us ","US "), "Uscdi", "USCDI")</f>
        <v>Structuredefinition US Core Medicationrequest: Mandatory And Must Support Data Elements</v>
      </c>
      <c r="U404" t="s">
        <v>29</v>
      </c>
      <c r="V404" t="s">
        <v>58</v>
      </c>
      <c r="W404" t="s">
        <v>1171</v>
      </c>
      <c r="X404" t="s">
        <v>1171</v>
      </c>
      <c r="Y404" t="s">
        <v>1171</v>
      </c>
      <c r="Z404" t="s">
        <v>1171</v>
      </c>
      <c r="AA404" t="s">
        <v>1171</v>
      </c>
      <c r="AB404" t="s">
        <v>1171</v>
      </c>
      <c r="AC404" t="s">
        <v>1171</v>
      </c>
      <c r="AD404" t="s">
        <v>1171</v>
      </c>
    </row>
    <row r="405" spans="1:30" ht="85" x14ac:dyDescent="0.2">
      <c r="A405" t="s">
        <v>1171</v>
      </c>
      <c r="B405" t="s">
        <v>1577</v>
      </c>
      <c r="C405" t="str">
        <f>"CONF-"&amp;TEXT(us_core_reqs[[#This Row],[ID*]], "0000")</f>
        <v>CONF-0404</v>
      </c>
      <c r="D405" s="11" t="s">
        <v>874</v>
      </c>
      <c r="E405" t="str">
        <f>SUBSTITUTE(us_core_reqs[[#This Row],[URL*]], "https://hl7.org/fhir/us/core/STU8/","")</f>
        <v>StructureDefinition-us-core-medicationdispense.html#mandatory-and-must-support-data-elements, StructureDefinition-us-core-medicationrequest.html#mandatory-and-must-support-data-elements</v>
      </c>
      <c r="F405" s="11" t="s">
        <v>2125</v>
      </c>
      <c r="G405" t="s">
        <v>29</v>
      </c>
      <c r="I405" t="s">
        <v>58</v>
      </c>
      <c r="J405" t="s">
        <v>1171</v>
      </c>
      <c r="K405" t="s">
        <v>1171</v>
      </c>
      <c r="L405" t="s">
        <v>1173</v>
      </c>
      <c r="M405" t="s">
        <v>1171</v>
      </c>
      <c r="N405" t="s">
        <v>1171</v>
      </c>
      <c r="O405" t="s">
        <v>1171</v>
      </c>
      <c r="P405" t="s">
        <v>1171</v>
      </c>
      <c r="Q405" t="s">
        <v>1171</v>
      </c>
      <c r="R405" t="str">
        <f>_xlfn.TEXTBEFORE(_xlfn.TEXTAFTER(us_core_reqs[[#This Row],[URL*]],"/",-1),".")</f>
        <v>StructureDefinition-us-core-medicationrequest</v>
      </c>
      <c r="S405" t="str">
        <f>_xlfn.TEXTAFTER(us_core_reqs[[#This Row],[URL*]],"#",-1)</f>
        <v>mandatory-and-must-support-data-elements</v>
      </c>
      <c r="T405" t="str">
        <f>SUBSTITUTE(SUBSTITUTE(PROPER(SUBSTITUTE(us_core_reqs[[#This Row],[Page]], "-", " "))&amp;": "&amp;PROPER(SUBSTITUTE(us_core_reqs[[#This Row],[Section]], "-", " ")),"Us ","US "), "Uscdi", "USCDI")</f>
        <v>Structuredefinition US Core Medicationrequest: Mandatory And Must Support Data Elements</v>
      </c>
      <c r="U405" t="s">
        <v>29</v>
      </c>
      <c r="V405" t="s">
        <v>58</v>
      </c>
      <c r="W405" t="s">
        <v>1171</v>
      </c>
      <c r="X405" t="s">
        <v>1171</v>
      </c>
      <c r="Y405" t="s">
        <v>1171</v>
      </c>
      <c r="Z405" t="s">
        <v>1171</v>
      </c>
      <c r="AA405" t="s">
        <v>1171</v>
      </c>
      <c r="AB405" t="s">
        <v>1171</v>
      </c>
      <c r="AC405" t="s">
        <v>1171</v>
      </c>
      <c r="AD405" t="s">
        <v>1171</v>
      </c>
    </row>
    <row r="406" spans="1:30" ht="85" x14ac:dyDescent="0.2">
      <c r="A406" t="s">
        <v>1171</v>
      </c>
      <c r="B406" t="s">
        <v>1578</v>
      </c>
      <c r="C406" t="str">
        <f>"CONF-"&amp;TEXT(us_core_reqs[[#This Row],[ID*]], "0000")</f>
        <v>CONF-0405</v>
      </c>
      <c r="D406" s="11" t="s">
        <v>775</v>
      </c>
      <c r="E406" t="str">
        <f>SUBSTITUTE(us_core_reqs[[#This Row],[URL*]], "https://hl7.org/fhir/us/core/STU8/","")</f>
        <v>StructureDefinition-us-core-medicationrequest.html#mandatory-and-must-support-data-elements</v>
      </c>
      <c r="F406" s="11" t="s">
        <v>2126</v>
      </c>
      <c r="G406" t="s">
        <v>29</v>
      </c>
      <c r="I406" t="s">
        <v>30</v>
      </c>
      <c r="J406" t="s">
        <v>1171</v>
      </c>
      <c r="K406" t="s">
        <v>1171</v>
      </c>
      <c r="L406" t="s">
        <v>1176</v>
      </c>
      <c r="M406" t="s">
        <v>404</v>
      </c>
      <c r="N406" t="s">
        <v>1171</v>
      </c>
      <c r="O406" t="s">
        <v>1171</v>
      </c>
      <c r="P406" t="s">
        <v>1171</v>
      </c>
      <c r="Q406" t="s">
        <v>1171</v>
      </c>
      <c r="R406" t="str">
        <f>_xlfn.TEXTBEFORE(_xlfn.TEXTAFTER(us_core_reqs[[#This Row],[URL*]],"/",-1),".")</f>
        <v>StructureDefinition-us-core-medicationrequest</v>
      </c>
      <c r="S406" t="str">
        <f>_xlfn.TEXTAFTER(us_core_reqs[[#This Row],[URL*]],"#",-1)</f>
        <v>mandatory-and-must-support-data-elements</v>
      </c>
      <c r="T406" t="str">
        <f>SUBSTITUTE(SUBSTITUTE(PROPER(SUBSTITUTE(us_core_reqs[[#This Row],[Page]], "-", " "))&amp;": "&amp;PROPER(SUBSTITUTE(us_core_reqs[[#This Row],[Section]], "-", " ")),"Us ","US "), "Uscdi", "USCDI")</f>
        <v>Structuredefinition US Core Medicationrequest: Mandatory And Must Support Data Elements</v>
      </c>
      <c r="U406" t="s">
        <v>29</v>
      </c>
      <c r="V406" t="s">
        <v>30</v>
      </c>
      <c r="W406" t="s">
        <v>1171</v>
      </c>
      <c r="X406" t="s">
        <v>1171</v>
      </c>
      <c r="Y406" t="s">
        <v>1171</v>
      </c>
      <c r="Z406" t="s">
        <v>1171</v>
      </c>
      <c r="AA406" t="s">
        <v>1171</v>
      </c>
      <c r="AB406" t="s">
        <v>405</v>
      </c>
      <c r="AC406" t="s">
        <v>1140</v>
      </c>
      <c r="AD406" t="s">
        <v>1171</v>
      </c>
    </row>
    <row r="407" spans="1:30" ht="85" x14ac:dyDescent="0.2">
      <c r="A407" t="s">
        <v>1171</v>
      </c>
      <c r="B407" t="s">
        <v>1579</v>
      </c>
      <c r="C407" t="str">
        <f>"CONF-"&amp;TEXT(us_core_reqs[[#This Row],[ID*]], "0000")</f>
        <v>CONF-0406</v>
      </c>
      <c r="D407" s="11" t="s">
        <v>775</v>
      </c>
      <c r="E407" t="str">
        <f>SUBSTITUTE(us_core_reqs[[#This Row],[URL*]], "https://hl7.org/fhir/us/core/STU8/","")</f>
        <v>StructureDefinition-us-core-medicationrequest.html#mandatory-and-must-support-data-elements</v>
      </c>
      <c r="F407" s="11" t="s">
        <v>2127</v>
      </c>
      <c r="G407" t="s">
        <v>29</v>
      </c>
      <c r="I407" t="s">
        <v>30</v>
      </c>
      <c r="J407" t="s">
        <v>1171</v>
      </c>
      <c r="K407" t="s">
        <v>1171</v>
      </c>
      <c r="L407" t="s">
        <v>1176</v>
      </c>
      <c r="M407" t="s">
        <v>404</v>
      </c>
      <c r="N407" t="s">
        <v>1171</v>
      </c>
      <c r="O407" t="s">
        <v>1171</v>
      </c>
      <c r="P407" t="s">
        <v>1171</v>
      </c>
      <c r="Q407" t="s">
        <v>1171</v>
      </c>
      <c r="R407" t="str">
        <f>_xlfn.TEXTBEFORE(_xlfn.TEXTAFTER(us_core_reqs[[#This Row],[URL*]],"/",-1),".")</f>
        <v>StructureDefinition-us-core-medicationrequest</v>
      </c>
      <c r="S407" t="str">
        <f>_xlfn.TEXTAFTER(us_core_reqs[[#This Row],[URL*]],"#",-1)</f>
        <v>mandatory-and-must-support-data-elements</v>
      </c>
      <c r="T407" t="str">
        <f>SUBSTITUTE(SUBSTITUTE(PROPER(SUBSTITUTE(us_core_reqs[[#This Row],[Page]], "-", " "))&amp;": "&amp;PROPER(SUBSTITUTE(us_core_reqs[[#This Row],[Section]], "-", " ")),"Us ","US "), "Uscdi", "USCDI")</f>
        <v>Structuredefinition US Core Medicationrequest: Mandatory And Must Support Data Elements</v>
      </c>
      <c r="U407" t="s">
        <v>29</v>
      </c>
      <c r="V407" t="s">
        <v>30</v>
      </c>
      <c r="W407" t="s">
        <v>1171</v>
      </c>
      <c r="X407" t="s">
        <v>1171</v>
      </c>
      <c r="Y407" t="s">
        <v>1171</v>
      </c>
      <c r="Z407" t="s">
        <v>1171</v>
      </c>
      <c r="AA407" t="s">
        <v>1171</v>
      </c>
      <c r="AB407" t="s">
        <v>405</v>
      </c>
      <c r="AC407" t="s">
        <v>1140</v>
      </c>
      <c r="AD407" t="s">
        <v>1171</v>
      </c>
    </row>
    <row r="408" spans="1:30" ht="51" x14ac:dyDescent="0.2">
      <c r="A408" t="s">
        <v>1171</v>
      </c>
      <c r="B408" t="s">
        <v>1580</v>
      </c>
      <c r="C408" t="str">
        <f>"CONF-"&amp;TEXT(us_core_reqs[[#This Row],[ID*]], "0000")</f>
        <v>CONF-0407</v>
      </c>
      <c r="D408" s="11" t="s">
        <v>775</v>
      </c>
      <c r="E408" t="str">
        <f>SUBSTITUTE(us_core_reqs[[#This Row],[URL*]], "https://hl7.org/fhir/us/core/STU8/","")</f>
        <v>StructureDefinition-us-core-medicationrequest.html#mandatory-and-must-support-data-elements</v>
      </c>
      <c r="F408" s="11" t="s">
        <v>1977</v>
      </c>
      <c r="G408" t="s">
        <v>32</v>
      </c>
      <c r="I408" t="s">
        <v>30</v>
      </c>
      <c r="J408" t="s">
        <v>1171</v>
      </c>
      <c r="K408" t="s">
        <v>1171</v>
      </c>
      <c r="L408" t="s">
        <v>1173</v>
      </c>
      <c r="M408" t="s">
        <v>1171</v>
      </c>
      <c r="N408" t="s">
        <v>1171</v>
      </c>
      <c r="O408" t="s">
        <v>1171</v>
      </c>
      <c r="P408" t="s">
        <v>1171</v>
      </c>
      <c r="Q408" t="s">
        <v>1171</v>
      </c>
      <c r="R408" t="str">
        <f>_xlfn.TEXTBEFORE(_xlfn.TEXTAFTER(us_core_reqs[[#This Row],[URL*]],"/",-1),".")</f>
        <v>StructureDefinition-us-core-medicationrequest</v>
      </c>
      <c r="S408" t="str">
        <f>_xlfn.TEXTAFTER(us_core_reqs[[#This Row],[URL*]],"#",-1)</f>
        <v>mandatory-and-must-support-data-elements</v>
      </c>
      <c r="T408" t="str">
        <f>SUBSTITUTE(SUBSTITUTE(PROPER(SUBSTITUTE(us_core_reqs[[#This Row],[Page]], "-", " "))&amp;": "&amp;PROPER(SUBSTITUTE(us_core_reqs[[#This Row],[Section]], "-", " ")),"Us ","US "), "Uscdi", "USCDI")</f>
        <v>Structuredefinition US Core Medicationrequest: Mandatory And Must Support Data Elements</v>
      </c>
      <c r="U408" t="s">
        <v>32</v>
      </c>
      <c r="V408" t="s">
        <v>1171</v>
      </c>
      <c r="W408" t="s">
        <v>1171</v>
      </c>
      <c r="X408" t="s">
        <v>1171</v>
      </c>
      <c r="Y408" t="s">
        <v>1171</v>
      </c>
      <c r="Z408" t="s">
        <v>1171</v>
      </c>
      <c r="AA408" t="s">
        <v>1171</v>
      </c>
      <c r="AB408" t="s">
        <v>1171</v>
      </c>
      <c r="AC408" t="s">
        <v>1171</v>
      </c>
      <c r="AD408" t="s">
        <v>1171</v>
      </c>
    </row>
    <row r="409" spans="1:30" ht="68" x14ac:dyDescent="0.2">
      <c r="A409" t="s">
        <v>1171</v>
      </c>
      <c r="B409" t="s">
        <v>1581</v>
      </c>
      <c r="C409" t="str">
        <f>"CONF-"&amp;TEXT(us_core_reqs[[#This Row],[ID*]], "0000")</f>
        <v>CONF-0408</v>
      </c>
      <c r="D409" s="11" t="s">
        <v>775</v>
      </c>
      <c r="E409" t="str">
        <f>SUBSTITUTE(us_core_reqs[[#This Row],[URL*]], "https://hl7.org/fhir/us/core/STU8/","")</f>
        <v>StructureDefinition-us-core-medicationrequest.html#mandatory-and-must-support-data-elements</v>
      </c>
      <c r="F409" s="11" t="s">
        <v>2128</v>
      </c>
      <c r="G409" t="s">
        <v>29</v>
      </c>
      <c r="I409" t="s">
        <v>30</v>
      </c>
      <c r="J409" t="s">
        <v>1171</v>
      </c>
      <c r="K409" t="s">
        <v>1171</v>
      </c>
      <c r="L409" t="s">
        <v>1176</v>
      </c>
      <c r="M409" t="s">
        <v>418</v>
      </c>
      <c r="N409" t="s">
        <v>1171</v>
      </c>
      <c r="O409" t="s">
        <v>1171</v>
      </c>
      <c r="P409" t="s">
        <v>1171</v>
      </c>
      <c r="Q409" t="s">
        <v>1171</v>
      </c>
      <c r="R409" t="str">
        <f>_xlfn.TEXTBEFORE(_xlfn.TEXTAFTER(us_core_reqs[[#This Row],[URL*]],"/",-1),".")</f>
        <v>StructureDefinition-us-core-medicationrequest</v>
      </c>
      <c r="S409" t="str">
        <f>_xlfn.TEXTAFTER(us_core_reqs[[#This Row],[URL*]],"#",-1)</f>
        <v>mandatory-and-must-support-data-elements</v>
      </c>
      <c r="T409" t="str">
        <f>SUBSTITUTE(SUBSTITUTE(PROPER(SUBSTITUTE(us_core_reqs[[#This Row],[Page]], "-", " "))&amp;": "&amp;PROPER(SUBSTITUTE(us_core_reqs[[#This Row],[Section]], "-", " ")),"Us ","US "), "Uscdi", "USCDI")</f>
        <v>Structuredefinition US Core Medicationrequest: Mandatory And Must Support Data Elements</v>
      </c>
      <c r="U409" t="s">
        <v>29</v>
      </c>
      <c r="V409" t="s">
        <v>30</v>
      </c>
      <c r="W409" t="s">
        <v>1171</v>
      </c>
      <c r="X409" t="s">
        <v>1171</v>
      </c>
      <c r="Y409" t="s">
        <v>1171</v>
      </c>
      <c r="Z409" t="s">
        <v>1171</v>
      </c>
      <c r="AA409" t="s">
        <v>1171</v>
      </c>
      <c r="AB409" t="s">
        <v>1171</v>
      </c>
      <c r="AC409" t="s">
        <v>1140</v>
      </c>
      <c r="AD409" t="s">
        <v>1171</v>
      </c>
    </row>
    <row r="410" spans="1:30" ht="51" x14ac:dyDescent="0.2">
      <c r="A410" t="s">
        <v>1171</v>
      </c>
      <c r="B410" t="s">
        <v>1582</v>
      </c>
      <c r="C410" t="str">
        <f>"CONF-"&amp;TEXT(us_core_reqs[[#This Row],[ID*]], "0000")</f>
        <v>CONF-0409</v>
      </c>
      <c r="D410" s="11" t="s">
        <v>775</v>
      </c>
      <c r="E410" t="str">
        <f>SUBSTITUTE(us_core_reqs[[#This Row],[URL*]], "https://hl7.org/fhir/us/core/STU8/","")</f>
        <v>StructureDefinition-us-core-medicationrequest.html#mandatory-and-must-support-data-elements</v>
      </c>
      <c r="F410" s="11" t="s">
        <v>2129</v>
      </c>
      <c r="G410" t="s">
        <v>29</v>
      </c>
      <c r="I410" t="s">
        <v>58</v>
      </c>
      <c r="J410" t="s">
        <v>1171</v>
      </c>
      <c r="K410" t="s">
        <v>1171</v>
      </c>
      <c r="L410" t="s">
        <v>1173</v>
      </c>
      <c r="M410" t="s">
        <v>1171</v>
      </c>
      <c r="N410" t="s">
        <v>1171</v>
      </c>
      <c r="O410" t="s">
        <v>1171</v>
      </c>
      <c r="P410" t="s">
        <v>1171</v>
      </c>
      <c r="Q410" t="s">
        <v>1171</v>
      </c>
      <c r="R410" t="str">
        <f>_xlfn.TEXTBEFORE(_xlfn.TEXTAFTER(us_core_reqs[[#This Row],[URL*]],"/",-1),".")</f>
        <v>StructureDefinition-us-core-medicationrequest</v>
      </c>
      <c r="S410" t="str">
        <f>_xlfn.TEXTAFTER(us_core_reqs[[#This Row],[URL*]],"#",-1)</f>
        <v>mandatory-and-must-support-data-elements</v>
      </c>
      <c r="T410" t="str">
        <f>SUBSTITUTE(SUBSTITUTE(PROPER(SUBSTITUTE(us_core_reqs[[#This Row],[Page]], "-", " "))&amp;": "&amp;PROPER(SUBSTITUTE(us_core_reqs[[#This Row],[Section]], "-", " ")),"Us ","US "), "Uscdi", "USCDI")</f>
        <v>Structuredefinition US Core Medicationrequest: Mandatory And Must Support Data Elements</v>
      </c>
      <c r="U410" t="s">
        <v>29</v>
      </c>
      <c r="V410" t="s">
        <v>58</v>
      </c>
      <c r="W410" t="s">
        <v>1171</v>
      </c>
      <c r="X410" t="s">
        <v>1171</v>
      </c>
      <c r="Y410" t="s">
        <v>1171</v>
      </c>
      <c r="Z410" t="s">
        <v>1171</v>
      </c>
      <c r="AA410" t="s">
        <v>1171</v>
      </c>
      <c r="AB410" t="s">
        <v>1171</v>
      </c>
      <c r="AC410" t="s">
        <v>1171</v>
      </c>
      <c r="AD410" t="s">
        <v>1171</v>
      </c>
    </row>
    <row r="411" spans="1:30" ht="51" x14ac:dyDescent="0.2">
      <c r="A411" t="s">
        <v>1171</v>
      </c>
      <c r="B411" t="s">
        <v>1583</v>
      </c>
      <c r="C411" t="str">
        <f>"CONF-"&amp;TEXT(us_core_reqs[[#This Row],[ID*]], "0000")</f>
        <v>CONF-0410</v>
      </c>
      <c r="D411" s="11" t="s">
        <v>775</v>
      </c>
      <c r="E411" t="str">
        <f>SUBSTITUTE(us_core_reqs[[#This Row],[URL*]], "https://hl7.org/fhir/us/core/STU8/","")</f>
        <v>StructureDefinition-us-core-medicationrequest.html#mandatory-and-must-support-data-elements</v>
      </c>
      <c r="F411" s="11" t="s">
        <v>2130</v>
      </c>
      <c r="G411" t="s">
        <v>29</v>
      </c>
      <c r="I411" t="s">
        <v>58</v>
      </c>
      <c r="J411" t="s">
        <v>1171</v>
      </c>
      <c r="K411" t="s">
        <v>1171</v>
      </c>
      <c r="L411" t="s">
        <v>1173</v>
      </c>
      <c r="M411" t="s">
        <v>1171</v>
      </c>
      <c r="N411" t="s">
        <v>1171</v>
      </c>
      <c r="O411" t="s">
        <v>1171</v>
      </c>
      <c r="P411" t="s">
        <v>1171</v>
      </c>
      <c r="Q411" t="s">
        <v>1171</v>
      </c>
      <c r="R411" t="str">
        <f>_xlfn.TEXTBEFORE(_xlfn.TEXTAFTER(us_core_reqs[[#This Row],[URL*]],"/",-1),".")</f>
        <v>StructureDefinition-us-core-medicationrequest</v>
      </c>
      <c r="S411" t="str">
        <f>_xlfn.TEXTAFTER(us_core_reqs[[#This Row],[URL*]],"#",-1)</f>
        <v>mandatory-and-must-support-data-elements</v>
      </c>
      <c r="T411" t="str">
        <f>SUBSTITUTE(SUBSTITUTE(PROPER(SUBSTITUTE(us_core_reqs[[#This Row],[Page]], "-", " "))&amp;": "&amp;PROPER(SUBSTITUTE(us_core_reqs[[#This Row],[Section]], "-", " ")),"Us ","US "), "Uscdi", "USCDI")</f>
        <v>Structuredefinition US Core Medicationrequest: Mandatory And Must Support Data Elements</v>
      </c>
      <c r="U411" t="s">
        <v>29</v>
      </c>
      <c r="V411" t="s">
        <v>58</v>
      </c>
      <c r="W411" t="s">
        <v>1171</v>
      </c>
      <c r="X411" t="s">
        <v>1171</v>
      </c>
      <c r="Y411" t="s">
        <v>1171</v>
      </c>
      <c r="Z411" t="s">
        <v>1171</v>
      </c>
      <c r="AA411" t="s">
        <v>1171</v>
      </c>
      <c r="AB411" t="s">
        <v>1171</v>
      </c>
      <c r="AC411" t="s">
        <v>1171</v>
      </c>
      <c r="AD411" t="s">
        <v>1171</v>
      </c>
    </row>
    <row r="412" spans="1:30" ht="102" x14ac:dyDescent="0.2">
      <c r="A412" t="s">
        <v>1171</v>
      </c>
      <c r="B412" t="s">
        <v>1584</v>
      </c>
      <c r="C412" t="str">
        <f>"CONF-"&amp;TEXT(us_core_reqs[[#This Row],[ID*]], "0000")</f>
        <v>CONF-0411</v>
      </c>
      <c r="D412" s="11" t="s">
        <v>775</v>
      </c>
      <c r="E412" t="str">
        <f>SUBSTITUTE(us_core_reqs[[#This Row],[URL*]], "https://hl7.org/fhir/us/core/STU8/","")</f>
        <v>StructureDefinition-us-core-medicationrequest.html#mandatory-and-must-support-data-elements</v>
      </c>
      <c r="F412" s="11" t="s">
        <v>2131</v>
      </c>
      <c r="G412" t="s">
        <v>29</v>
      </c>
      <c r="I412" t="s">
        <v>30</v>
      </c>
      <c r="J412" t="s">
        <v>1171</v>
      </c>
      <c r="K412" t="s">
        <v>1171</v>
      </c>
      <c r="L412" t="s">
        <v>1176</v>
      </c>
      <c r="M412" t="s">
        <v>1057</v>
      </c>
      <c r="N412" t="s">
        <v>1171</v>
      </c>
      <c r="O412" t="s">
        <v>1171</v>
      </c>
      <c r="P412" t="s">
        <v>1171</v>
      </c>
      <c r="Q412" t="s">
        <v>1171</v>
      </c>
      <c r="R412" t="str">
        <f>_xlfn.TEXTBEFORE(_xlfn.TEXTAFTER(us_core_reqs[[#This Row],[URL*]],"/",-1),".")</f>
        <v>StructureDefinition-us-core-medicationrequest</v>
      </c>
      <c r="S412" t="str">
        <f>_xlfn.TEXTAFTER(us_core_reqs[[#This Row],[URL*]],"#",-1)</f>
        <v>mandatory-and-must-support-data-elements</v>
      </c>
      <c r="T412" t="str">
        <f>SUBSTITUTE(SUBSTITUTE(PROPER(SUBSTITUTE(us_core_reqs[[#This Row],[Page]], "-", " "))&amp;": "&amp;PROPER(SUBSTITUTE(us_core_reqs[[#This Row],[Section]], "-", " ")),"Us ","US "), "Uscdi", "USCDI")</f>
        <v>Structuredefinition US Core Medicationrequest: Mandatory And Must Support Data Elements</v>
      </c>
      <c r="U412" t="s">
        <v>29</v>
      </c>
      <c r="V412" t="s">
        <v>30</v>
      </c>
      <c r="W412" t="s">
        <v>1171</v>
      </c>
      <c r="X412" t="s">
        <v>1171</v>
      </c>
      <c r="Y412" t="s">
        <v>1171</v>
      </c>
      <c r="Z412" t="s">
        <v>1171</v>
      </c>
      <c r="AA412" t="s">
        <v>1171</v>
      </c>
      <c r="AB412" t="s">
        <v>405</v>
      </c>
      <c r="AC412" t="s">
        <v>1140</v>
      </c>
      <c r="AD412" t="s">
        <v>1171</v>
      </c>
    </row>
    <row r="413" spans="1:30" ht="51" x14ac:dyDescent="0.2">
      <c r="A413" t="s">
        <v>1171</v>
      </c>
      <c r="B413" t="s">
        <v>1585</v>
      </c>
      <c r="C413" t="str">
        <f>"CONF-"&amp;TEXT(us_core_reqs[[#This Row],[ID*]], "0000")</f>
        <v>CONF-0412</v>
      </c>
      <c r="D413" s="11" t="s">
        <v>775</v>
      </c>
      <c r="E413" t="str">
        <f>SUBSTITUTE(us_core_reqs[[#This Row],[URL*]], "https://hl7.org/fhir/us/core/STU8/","")</f>
        <v>StructureDefinition-us-core-medicationrequest.html#mandatory-and-must-support-data-elements</v>
      </c>
      <c r="F413" s="11" t="s">
        <v>2132</v>
      </c>
      <c r="G413" t="s">
        <v>29</v>
      </c>
      <c r="I413" t="s">
        <v>58</v>
      </c>
      <c r="J413" t="s">
        <v>1171</v>
      </c>
      <c r="K413" t="s">
        <v>1171</v>
      </c>
      <c r="L413" t="s">
        <v>1176</v>
      </c>
      <c r="M413" t="s">
        <v>404</v>
      </c>
      <c r="N413" t="s">
        <v>1171</v>
      </c>
      <c r="O413" t="s">
        <v>1171</v>
      </c>
      <c r="P413" t="s">
        <v>1171</v>
      </c>
      <c r="Q413" t="s">
        <v>1171</v>
      </c>
      <c r="R413" t="str">
        <f>_xlfn.TEXTBEFORE(_xlfn.TEXTAFTER(us_core_reqs[[#This Row],[URL*]],"/",-1),".")</f>
        <v>StructureDefinition-us-core-medicationrequest</v>
      </c>
      <c r="S413" t="str">
        <f>_xlfn.TEXTAFTER(us_core_reqs[[#This Row],[URL*]],"#",-1)</f>
        <v>mandatory-and-must-support-data-elements</v>
      </c>
      <c r="T413" t="str">
        <f>SUBSTITUTE(SUBSTITUTE(PROPER(SUBSTITUTE(us_core_reqs[[#This Row],[Page]], "-", " "))&amp;": "&amp;PROPER(SUBSTITUTE(us_core_reqs[[#This Row],[Section]], "-", " ")),"Us ","US "), "Uscdi", "USCDI")</f>
        <v>Structuredefinition US Core Medicationrequest: Mandatory And Must Support Data Elements</v>
      </c>
      <c r="U413" t="s">
        <v>29</v>
      </c>
      <c r="V413" t="s">
        <v>58</v>
      </c>
      <c r="W413" t="s">
        <v>1171</v>
      </c>
      <c r="X413" t="s">
        <v>1171</v>
      </c>
      <c r="Y413" t="s">
        <v>1171</v>
      </c>
      <c r="Z413" t="s">
        <v>1171</v>
      </c>
      <c r="AA413" t="s">
        <v>1171</v>
      </c>
      <c r="AB413" t="s">
        <v>405</v>
      </c>
      <c r="AC413" t="s">
        <v>1171</v>
      </c>
      <c r="AD413" t="s">
        <v>1171</v>
      </c>
    </row>
    <row r="414" spans="1:30" ht="51" x14ac:dyDescent="0.2">
      <c r="A414" t="s">
        <v>1171</v>
      </c>
      <c r="B414" t="s">
        <v>1586</v>
      </c>
      <c r="C414" t="str">
        <f>"CONF-"&amp;TEXT(us_core_reqs[[#This Row],[ID*]], "0000")</f>
        <v>CONF-0413</v>
      </c>
      <c r="D414" s="11" t="s">
        <v>775</v>
      </c>
      <c r="E414" t="str">
        <f>SUBSTITUTE(us_core_reqs[[#This Row],[URL*]], "https://hl7.org/fhir/us/core/STU8/","")</f>
        <v>StructureDefinition-us-core-medicationrequest.html#mandatory-and-must-support-data-elements</v>
      </c>
      <c r="F414" s="11" t="s">
        <v>2133</v>
      </c>
      <c r="G414" t="s">
        <v>29</v>
      </c>
      <c r="I414" t="s">
        <v>58</v>
      </c>
      <c r="J414" t="s">
        <v>1171</v>
      </c>
      <c r="K414" t="s">
        <v>1171</v>
      </c>
      <c r="L414" t="s">
        <v>1176</v>
      </c>
      <c r="M414" t="s">
        <v>404</v>
      </c>
      <c r="N414" t="s">
        <v>1171</v>
      </c>
      <c r="O414" t="s">
        <v>1171</v>
      </c>
      <c r="P414" t="s">
        <v>1171</v>
      </c>
      <c r="Q414" t="s">
        <v>1171</v>
      </c>
      <c r="R414" t="str">
        <f>_xlfn.TEXTBEFORE(_xlfn.TEXTAFTER(us_core_reqs[[#This Row],[URL*]],"/",-1),".")</f>
        <v>StructureDefinition-us-core-medicationrequest</v>
      </c>
      <c r="S414" t="str">
        <f>_xlfn.TEXTAFTER(us_core_reqs[[#This Row],[URL*]],"#",-1)</f>
        <v>mandatory-and-must-support-data-elements</v>
      </c>
      <c r="T414" t="str">
        <f>SUBSTITUTE(SUBSTITUTE(PROPER(SUBSTITUTE(us_core_reqs[[#This Row],[Page]], "-", " "))&amp;": "&amp;PROPER(SUBSTITUTE(us_core_reqs[[#This Row],[Section]], "-", " ")),"Us ","US "), "Uscdi", "USCDI")</f>
        <v>Structuredefinition US Core Medicationrequest: Mandatory And Must Support Data Elements</v>
      </c>
      <c r="U414" t="s">
        <v>29</v>
      </c>
      <c r="V414" t="s">
        <v>58</v>
      </c>
      <c r="W414" t="s">
        <v>1171</v>
      </c>
      <c r="X414" t="s">
        <v>1171</v>
      </c>
      <c r="Y414" t="s">
        <v>1171</v>
      </c>
      <c r="Z414" t="s">
        <v>1171</v>
      </c>
      <c r="AA414" t="s">
        <v>1171</v>
      </c>
      <c r="AB414" t="s">
        <v>405</v>
      </c>
      <c r="AC414" t="s">
        <v>1171</v>
      </c>
      <c r="AD414" t="s">
        <v>1171</v>
      </c>
    </row>
    <row r="415" spans="1:30" ht="68" x14ac:dyDescent="0.2">
      <c r="A415" t="s">
        <v>1171</v>
      </c>
      <c r="B415" t="s">
        <v>1587</v>
      </c>
      <c r="C415" t="str">
        <f>"CONF-"&amp;TEXT(us_core_reqs[[#This Row],[ID*]], "0000")</f>
        <v>CONF-0414</v>
      </c>
      <c r="D415" s="11" t="s">
        <v>775</v>
      </c>
      <c r="E415" t="str">
        <f>SUBSTITUTE(us_core_reqs[[#This Row],[URL*]], "https://hl7.org/fhir/us/core/STU8/","")</f>
        <v>StructureDefinition-us-core-medicationrequest.html#mandatory-and-must-support-data-elements</v>
      </c>
      <c r="F415" s="11" t="s">
        <v>2134</v>
      </c>
      <c r="G415" t="s">
        <v>29</v>
      </c>
      <c r="I415" t="s">
        <v>30</v>
      </c>
      <c r="J415" t="s">
        <v>1171</v>
      </c>
      <c r="K415" t="s">
        <v>1171</v>
      </c>
      <c r="L415" t="s">
        <v>1176</v>
      </c>
      <c r="M415" t="s">
        <v>419</v>
      </c>
      <c r="N415" t="s">
        <v>1171</v>
      </c>
      <c r="O415" t="s">
        <v>1171</v>
      </c>
      <c r="P415" t="s">
        <v>1171</v>
      </c>
      <c r="Q415" t="s">
        <v>1171</v>
      </c>
      <c r="R415" t="str">
        <f>_xlfn.TEXTBEFORE(_xlfn.TEXTAFTER(us_core_reqs[[#This Row],[URL*]],"/",-1),".")</f>
        <v>StructureDefinition-us-core-medicationrequest</v>
      </c>
      <c r="S415" t="str">
        <f>_xlfn.TEXTAFTER(us_core_reqs[[#This Row],[URL*]],"#",-1)</f>
        <v>mandatory-and-must-support-data-elements</v>
      </c>
      <c r="T415" t="str">
        <f>SUBSTITUTE(SUBSTITUTE(PROPER(SUBSTITUTE(us_core_reqs[[#This Row],[Page]], "-", " "))&amp;": "&amp;PROPER(SUBSTITUTE(us_core_reqs[[#This Row],[Section]], "-", " ")),"Us ","US "), "Uscdi", "USCDI")</f>
        <v>Structuredefinition US Core Medicationrequest: Mandatory And Must Support Data Elements</v>
      </c>
      <c r="U415" t="s">
        <v>29</v>
      </c>
      <c r="V415" t="s">
        <v>30</v>
      </c>
      <c r="W415" t="s">
        <v>1171</v>
      </c>
      <c r="X415" t="s">
        <v>1171</v>
      </c>
      <c r="Y415" t="s">
        <v>1171</v>
      </c>
      <c r="Z415" t="s">
        <v>1171</v>
      </c>
      <c r="AA415" t="s">
        <v>1171</v>
      </c>
      <c r="AB415" t="s">
        <v>405</v>
      </c>
      <c r="AC415" t="s">
        <v>1140</v>
      </c>
      <c r="AD415" t="s">
        <v>1171</v>
      </c>
    </row>
    <row r="416" spans="1:30" ht="51" x14ac:dyDescent="0.2">
      <c r="A416" t="s">
        <v>1171</v>
      </c>
      <c r="B416" t="s">
        <v>1588</v>
      </c>
      <c r="C416" t="str">
        <f>"CONF-"&amp;TEXT(us_core_reqs[[#This Row],[ID*]], "0000")</f>
        <v>CONF-0415</v>
      </c>
      <c r="D416" s="11" t="s">
        <v>775</v>
      </c>
      <c r="E416" t="str">
        <f>SUBSTITUTE(us_core_reqs[[#This Row],[URL*]], "https://hl7.org/fhir/us/core/STU8/","")</f>
        <v>StructureDefinition-us-core-medicationrequest.html#mandatory-and-must-support-data-elements</v>
      </c>
      <c r="F416" s="11" t="s">
        <v>2135</v>
      </c>
      <c r="G416" t="s">
        <v>29</v>
      </c>
      <c r="I416" t="s">
        <v>58</v>
      </c>
      <c r="J416" t="s">
        <v>1171</v>
      </c>
      <c r="K416" t="s">
        <v>1171</v>
      </c>
      <c r="L416" t="s">
        <v>1176</v>
      </c>
      <c r="M416" t="s">
        <v>404</v>
      </c>
      <c r="N416" t="s">
        <v>1171</v>
      </c>
      <c r="O416" t="s">
        <v>1171</v>
      </c>
      <c r="P416" t="s">
        <v>1171</v>
      </c>
      <c r="Q416" t="s">
        <v>1171</v>
      </c>
      <c r="R416" t="str">
        <f>_xlfn.TEXTBEFORE(_xlfn.TEXTAFTER(us_core_reqs[[#This Row],[URL*]],"/",-1),".")</f>
        <v>StructureDefinition-us-core-medicationrequest</v>
      </c>
      <c r="S416" t="str">
        <f>_xlfn.TEXTAFTER(us_core_reqs[[#This Row],[URL*]],"#",-1)</f>
        <v>mandatory-and-must-support-data-elements</v>
      </c>
      <c r="T416" t="str">
        <f>SUBSTITUTE(SUBSTITUTE(PROPER(SUBSTITUTE(us_core_reqs[[#This Row],[Page]], "-", " "))&amp;": "&amp;PROPER(SUBSTITUTE(us_core_reqs[[#This Row],[Section]], "-", " ")),"Us ","US "), "Uscdi", "USCDI")</f>
        <v>Structuredefinition US Core Medicationrequest: Mandatory And Must Support Data Elements</v>
      </c>
      <c r="U416" t="s">
        <v>29</v>
      </c>
      <c r="V416" t="s">
        <v>58</v>
      </c>
      <c r="W416" t="s">
        <v>1171</v>
      </c>
      <c r="X416" t="s">
        <v>1171</v>
      </c>
      <c r="Y416" t="s">
        <v>1171</v>
      </c>
      <c r="Z416" t="s">
        <v>1171</v>
      </c>
      <c r="AA416" t="s">
        <v>1171</v>
      </c>
      <c r="AB416" t="s">
        <v>405</v>
      </c>
      <c r="AC416" t="s">
        <v>1171</v>
      </c>
      <c r="AD416" t="s">
        <v>1171</v>
      </c>
    </row>
    <row r="417" spans="1:30" ht="85" x14ac:dyDescent="0.2">
      <c r="A417" t="s">
        <v>1171</v>
      </c>
      <c r="B417" t="s">
        <v>1589</v>
      </c>
      <c r="C417" t="str">
        <f>"CONF-"&amp;TEXT(us_core_reqs[[#This Row],[ID*]], "0000")</f>
        <v>CONF-0416</v>
      </c>
      <c r="D417" s="11" t="s">
        <v>775</v>
      </c>
      <c r="E417" t="str">
        <f>SUBSTITUTE(us_core_reqs[[#This Row],[URL*]], "https://hl7.org/fhir/us/core/STU8/","")</f>
        <v>StructureDefinition-us-core-medicationrequest.html#mandatory-and-must-support-data-elements</v>
      </c>
      <c r="F417" s="11" t="s">
        <v>1978</v>
      </c>
      <c r="G417" t="s">
        <v>32</v>
      </c>
      <c r="I417" t="s">
        <v>30</v>
      </c>
      <c r="J417" t="s">
        <v>1171</v>
      </c>
      <c r="K417" t="s">
        <v>1171</v>
      </c>
      <c r="L417" t="s">
        <v>1176</v>
      </c>
      <c r="M417" t="s">
        <v>404</v>
      </c>
      <c r="N417" t="s">
        <v>1171</v>
      </c>
      <c r="O417" t="s">
        <v>1171</v>
      </c>
      <c r="P417" t="s">
        <v>1171</v>
      </c>
      <c r="Q417" t="s">
        <v>1171</v>
      </c>
      <c r="R417" t="str">
        <f>_xlfn.TEXTBEFORE(_xlfn.TEXTAFTER(us_core_reqs[[#This Row],[URL*]],"/",-1),".")</f>
        <v>StructureDefinition-us-core-medicationrequest</v>
      </c>
      <c r="S417" t="str">
        <f>_xlfn.TEXTAFTER(us_core_reqs[[#This Row],[URL*]],"#",-1)</f>
        <v>mandatory-and-must-support-data-elements</v>
      </c>
      <c r="T417" t="str">
        <f>SUBSTITUTE(SUBSTITUTE(PROPER(SUBSTITUTE(us_core_reqs[[#This Row],[Page]], "-", " "))&amp;": "&amp;PROPER(SUBSTITUTE(us_core_reqs[[#This Row],[Section]], "-", " ")),"Us ","US "), "Uscdi", "USCDI")</f>
        <v>Structuredefinition US Core Medicationrequest: Mandatory And Must Support Data Elements</v>
      </c>
      <c r="U417" t="s">
        <v>32</v>
      </c>
      <c r="V417" t="s">
        <v>1171</v>
      </c>
      <c r="W417" t="s">
        <v>1171</v>
      </c>
      <c r="X417" t="s">
        <v>1171</v>
      </c>
      <c r="Y417" t="s">
        <v>1171</v>
      </c>
      <c r="Z417" t="s">
        <v>1171</v>
      </c>
      <c r="AA417" t="s">
        <v>1171</v>
      </c>
      <c r="AB417" t="s">
        <v>405</v>
      </c>
      <c r="AC417" t="s">
        <v>1171</v>
      </c>
      <c r="AD417" t="s">
        <v>1171</v>
      </c>
    </row>
    <row r="418" spans="1:30" ht="51" x14ac:dyDescent="0.2">
      <c r="A418" t="s">
        <v>1171</v>
      </c>
      <c r="B418" t="s">
        <v>1590</v>
      </c>
      <c r="C418" t="str">
        <f>"CONF-"&amp;TEXT(us_core_reqs[[#This Row],[ID*]], "0000")</f>
        <v>CONF-0417</v>
      </c>
      <c r="D418" s="11" t="s">
        <v>775</v>
      </c>
      <c r="E418" t="str">
        <f>SUBSTITUTE(us_core_reqs[[#This Row],[URL*]], "https://hl7.org/fhir/us/core/STU8/","")</f>
        <v>StructureDefinition-us-core-medicationrequest.html#mandatory-and-must-support-data-elements</v>
      </c>
      <c r="F418" s="11" t="s">
        <v>1979</v>
      </c>
      <c r="G418" t="s">
        <v>32</v>
      </c>
      <c r="I418" t="s">
        <v>30</v>
      </c>
      <c r="J418" t="s">
        <v>1171</v>
      </c>
      <c r="K418" t="s">
        <v>1171</v>
      </c>
      <c r="L418" t="s">
        <v>1173</v>
      </c>
      <c r="M418" t="s">
        <v>1171</v>
      </c>
      <c r="N418" t="s">
        <v>1171</v>
      </c>
      <c r="O418" t="s">
        <v>1171</v>
      </c>
      <c r="P418" t="s">
        <v>1171</v>
      </c>
      <c r="Q418" t="s">
        <v>1171</v>
      </c>
      <c r="R418" t="str">
        <f>_xlfn.TEXTBEFORE(_xlfn.TEXTAFTER(us_core_reqs[[#This Row],[URL*]],"/",-1),".")</f>
        <v>StructureDefinition-us-core-medicationrequest</v>
      </c>
      <c r="S418" t="str">
        <f>_xlfn.TEXTAFTER(us_core_reqs[[#This Row],[URL*]],"#",-1)</f>
        <v>mandatory-and-must-support-data-elements</v>
      </c>
      <c r="T418" t="str">
        <f>SUBSTITUTE(SUBSTITUTE(PROPER(SUBSTITUTE(us_core_reqs[[#This Row],[Page]], "-", " "))&amp;": "&amp;PROPER(SUBSTITUTE(us_core_reqs[[#This Row],[Section]], "-", " ")),"Us ","US "), "Uscdi", "USCDI")</f>
        <v>Structuredefinition US Core Medicationrequest: Mandatory And Must Support Data Elements</v>
      </c>
      <c r="U418" t="s">
        <v>32</v>
      </c>
      <c r="V418" t="s">
        <v>1171</v>
      </c>
      <c r="W418" t="s">
        <v>1171</v>
      </c>
      <c r="X418" t="s">
        <v>1171</v>
      </c>
      <c r="Y418" t="s">
        <v>1171</v>
      </c>
      <c r="Z418" t="s">
        <v>1171</v>
      </c>
      <c r="AA418" t="s">
        <v>1171</v>
      </c>
      <c r="AB418" t="s">
        <v>1171</v>
      </c>
      <c r="AC418" t="s">
        <v>1171</v>
      </c>
      <c r="AD418" t="s">
        <v>1171</v>
      </c>
    </row>
    <row r="419" spans="1:30" ht="51" x14ac:dyDescent="0.2">
      <c r="A419" t="s">
        <v>1171</v>
      </c>
      <c r="B419" t="s">
        <v>1591</v>
      </c>
      <c r="C419" t="str">
        <f>"CONF-"&amp;TEXT(us_core_reqs[[#This Row],[ID*]], "0000")</f>
        <v>CONF-0418</v>
      </c>
      <c r="D419" s="11" t="s">
        <v>775</v>
      </c>
      <c r="E419" t="str">
        <f>SUBSTITUTE(us_core_reqs[[#This Row],[URL*]], "https://hl7.org/fhir/us/core/STU8/","")</f>
        <v>StructureDefinition-us-core-medicationrequest.html#mandatory-and-must-support-data-elements</v>
      </c>
      <c r="F419" s="11" t="s">
        <v>2222</v>
      </c>
      <c r="G419" t="s">
        <v>64</v>
      </c>
      <c r="I419" t="s">
        <v>30</v>
      </c>
      <c r="J419" t="s">
        <v>1171</v>
      </c>
      <c r="K419" t="s">
        <v>1107</v>
      </c>
      <c r="L419" t="s">
        <v>1173</v>
      </c>
      <c r="M419" t="s">
        <v>1171</v>
      </c>
      <c r="N419" t="s">
        <v>1171</v>
      </c>
      <c r="O419" t="s">
        <v>1171</v>
      </c>
      <c r="P419" t="s">
        <v>1171</v>
      </c>
      <c r="Q419" t="s">
        <v>1171</v>
      </c>
      <c r="R419" t="str">
        <f>_xlfn.TEXTBEFORE(_xlfn.TEXTAFTER(us_core_reqs[[#This Row],[URL*]],"/",-1),".")</f>
        <v>StructureDefinition-us-core-medicationrequest</v>
      </c>
      <c r="S419" t="str">
        <f>_xlfn.TEXTAFTER(us_core_reqs[[#This Row],[URL*]],"#",-1)</f>
        <v>mandatory-and-must-support-data-elements</v>
      </c>
      <c r="T419" t="str">
        <f>SUBSTITUTE(SUBSTITUTE(PROPER(SUBSTITUTE(us_core_reqs[[#This Row],[Page]], "-", " "))&amp;": "&amp;PROPER(SUBSTITUTE(us_core_reqs[[#This Row],[Section]], "-", " ")),"Us ","US "), "Uscdi", "USCDI")</f>
        <v>Structuredefinition US Core Medicationrequest: Mandatory And Must Support Data Elements</v>
      </c>
      <c r="U419" t="s">
        <v>29</v>
      </c>
      <c r="V419" t="s">
        <v>30</v>
      </c>
      <c r="W419" t="s">
        <v>1171</v>
      </c>
      <c r="X419" t="s">
        <v>1171</v>
      </c>
      <c r="Y419" t="s">
        <v>1171</v>
      </c>
      <c r="Z419" t="s">
        <v>1171</v>
      </c>
      <c r="AA419" t="s">
        <v>1171</v>
      </c>
      <c r="AB419" t="s">
        <v>646</v>
      </c>
      <c r="AC419" t="s">
        <v>1140</v>
      </c>
      <c r="AD419" t="s">
        <v>1171</v>
      </c>
    </row>
    <row r="420" spans="1:30" ht="136" x14ac:dyDescent="0.2">
      <c r="A420" t="s">
        <v>1171</v>
      </c>
      <c r="B420" t="s">
        <v>1592</v>
      </c>
      <c r="C420" t="str">
        <f>"CONF-"&amp;TEXT(us_core_reqs[[#This Row],[ID*]], "0000")</f>
        <v>CONF-0419</v>
      </c>
      <c r="D420" s="11" t="s">
        <v>876</v>
      </c>
      <c r="E420" t="str">
        <f>SUBSTITUTE(us_core_reqs[[#This Row],[URL*]], "https://hl7.org/fhir/us/core/STU8/","")</f>
        <v>StructureDefinition-us-core-average-blood-pressure.html#mandatory-and-must-support-data-elements, StructureDefinition-us-core-vital-signs.html#mandatory-and-must-support-data-elements, StructureDefinition-us-core-treatment-intervention-preference.html#mandatory-and-must-support-data-elements</v>
      </c>
      <c r="F420" s="11" t="s">
        <v>2196</v>
      </c>
      <c r="G420" t="s">
        <v>35</v>
      </c>
      <c r="I420" t="s">
        <v>30</v>
      </c>
      <c r="J420" t="s">
        <v>1171</v>
      </c>
      <c r="K420" t="s">
        <v>1171</v>
      </c>
      <c r="L420" t="s">
        <v>1173</v>
      </c>
      <c r="M420" t="s">
        <v>1171</v>
      </c>
      <c r="N420" t="s">
        <v>1171</v>
      </c>
      <c r="O420" t="s">
        <v>1171</v>
      </c>
      <c r="P420" t="s">
        <v>1171</v>
      </c>
      <c r="Q420" t="s">
        <v>1171</v>
      </c>
      <c r="R420" t="str">
        <f>_xlfn.TEXTBEFORE(_xlfn.TEXTAFTER(us_core_reqs[[#This Row],[URL*]],"/",-1),".")</f>
        <v>StructureDefinition-us-core-treatment-intervention-preference</v>
      </c>
      <c r="S420" t="str">
        <f>_xlfn.TEXTAFTER(us_core_reqs[[#This Row],[URL*]],"#",-1)</f>
        <v>mandatory-and-must-support-data-elements</v>
      </c>
      <c r="T420" t="str">
        <f>SUBSTITUTE(SUBSTITUTE(PROPER(SUBSTITUTE(us_core_reqs[[#This Row],[Page]], "-", " "))&amp;": "&amp;PROPER(SUBSTITUTE(us_core_reqs[[#This Row],[Section]], "-", " ")),"Us ","US "), "Uscdi", "USCDI")</f>
        <v>Structuredefinition US Core Treatment Intervention Preference: Mandatory And Must Support Data Elements</v>
      </c>
      <c r="U420" t="s">
        <v>35</v>
      </c>
      <c r="V420" t="s">
        <v>1171</v>
      </c>
      <c r="W420" t="s">
        <v>1171</v>
      </c>
      <c r="X420" t="s">
        <v>1171</v>
      </c>
      <c r="Y420" t="s">
        <v>1171</v>
      </c>
      <c r="Z420" t="s">
        <v>1171</v>
      </c>
      <c r="AA420" t="s">
        <v>1171</v>
      </c>
      <c r="AB420" t="s">
        <v>1171</v>
      </c>
      <c r="AC420" t="s">
        <v>1171</v>
      </c>
      <c r="AD420" t="s">
        <v>1171</v>
      </c>
    </row>
    <row r="421" spans="1:30" ht="136" x14ac:dyDescent="0.2">
      <c r="A421" t="s">
        <v>1171</v>
      </c>
      <c r="B421" t="s">
        <v>1593</v>
      </c>
      <c r="C421" t="str">
        <f>"CONF-"&amp;TEXT(us_core_reqs[[#This Row],[ID*]], "0000")</f>
        <v>CONF-0420</v>
      </c>
      <c r="D421" s="11" t="s">
        <v>876</v>
      </c>
      <c r="E421" t="str">
        <f>SUBSTITUTE(us_core_reqs[[#This Row],[URL*]], "https://hl7.org/fhir/us/core/STU8/","")</f>
        <v>StructureDefinition-us-core-average-blood-pressure.html#mandatory-and-must-support-data-elements, StructureDefinition-us-core-vital-signs.html#mandatory-and-must-support-data-elements, StructureDefinition-us-core-treatment-intervention-preference.html#mandatory-and-must-support-data-elements</v>
      </c>
      <c r="F421" s="11" t="s">
        <v>1980</v>
      </c>
      <c r="G421" t="s">
        <v>32</v>
      </c>
      <c r="I421" t="s">
        <v>30</v>
      </c>
      <c r="J421" t="s">
        <v>1171</v>
      </c>
      <c r="K421" t="s">
        <v>1171</v>
      </c>
      <c r="L421" t="s">
        <v>1173</v>
      </c>
      <c r="M421" t="s">
        <v>1171</v>
      </c>
      <c r="N421" t="s">
        <v>1171</v>
      </c>
      <c r="O421" t="s">
        <v>1171</v>
      </c>
      <c r="P421" t="s">
        <v>1171</v>
      </c>
      <c r="Q421" t="s">
        <v>1171</v>
      </c>
      <c r="R421" t="str">
        <f>_xlfn.TEXTBEFORE(_xlfn.TEXTAFTER(us_core_reqs[[#This Row],[URL*]],"/",-1),".")</f>
        <v>StructureDefinition-us-core-treatment-intervention-preference</v>
      </c>
      <c r="S421" t="str">
        <f>_xlfn.TEXTAFTER(us_core_reqs[[#This Row],[URL*]],"#",-1)</f>
        <v>mandatory-and-must-support-data-elements</v>
      </c>
      <c r="T421" t="str">
        <f>SUBSTITUTE(SUBSTITUTE(PROPER(SUBSTITUTE(us_core_reqs[[#This Row],[Page]], "-", " "))&amp;": "&amp;PROPER(SUBSTITUTE(us_core_reqs[[#This Row],[Section]], "-", " ")),"Us ","US "), "Uscdi", "USCDI")</f>
        <v>Structuredefinition US Core Treatment Intervention Preference: Mandatory And Must Support Data Elements</v>
      </c>
      <c r="U421" t="s">
        <v>32</v>
      </c>
      <c r="V421" t="s">
        <v>1171</v>
      </c>
      <c r="W421" t="s">
        <v>1171</v>
      </c>
      <c r="X421" t="s">
        <v>1171</v>
      </c>
      <c r="Y421" t="s">
        <v>1171</v>
      </c>
      <c r="Z421" t="s">
        <v>1171</v>
      </c>
      <c r="AA421" t="s">
        <v>1171</v>
      </c>
      <c r="AB421" t="s">
        <v>1171</v>
      </c>
      <c r="AC421" t="s">
        <v>1171</v>
      </c>
      <c r="AD421" t="s">
        <v>1171</v>
      </c>
    </row>
    <row r="422" spans="1:30" ht="68" x14ac:dyDescent="0.2">
      <c r="A422" t="s">
        <v>1171</v>
      </c>
      <c r="B422" t="s">
        <v>1594</v>
      </c>
      <c r="C422" t="str">
        <f>"CONF-"&amp;TEXT(us_core_reqs[[#This Row],[ID*]], "0000")</f>
        <v>CONF-0421</v>
      </c>
      <c r="D422" s="11" t="s">
        <v>635</v>
      </c>
      <c r="E422" t="str">
        <f>SUBSTITUTE(us_core_reqs[[#This Row],[URL*]], "https://hl7.org/fhir/us/core/STU8/","")</f>
        <v>StructureDefinition-us-core-average-blood-pressure.html#mandatory-and-must-support-data-elements</v>
      </c>
      <c r="F422" s="11" t="s">
        <v>2056</v>
      </c>
      <c r="G422" t="s">
        <v>29</v>
      </c>
      <c r="I422" t="s">
        <v>30</v>
      </c>
      <c r="J422" t="s">
        <v>1171</v>
      </c>
      <c r="K422" t="s">
        <v>1171</v>
      </c>
      <c r="L422" t="s">
        <v>1176</v>
      </c>
      <c r="M422" t="s">
        <v>425</v>
      </c>
      <c r="N422" t="s">
        <v>1171</v>
      </c>
      <c r="O422" t="s">
        <v>1171</v>
      </c>
      <c r="P422" t="s">
        <v>1171</v>
      </c>
      <c r="Q422" t="s">
        <v>1171</v>
      </c>
      <c r="R422" t="str">
        <f>_xlfn.TEXTBEFORE(_xlfn.TEXTAFTER(us_core_reqs[[#This Row],[URL*]],"/",-1),".")</f>
        <v>StructureDefinition-us-core-average-blood-pressure</v>
      </c>
      <c r="S422" t="str">
        <f>_xlfn.TEXTAFTER(us_core_reqs[[#This Row],[URL*]],"#",-1)</f>
        <v>mandatory-and-must-support-data-elements</v>
      </c>
      <c r="T422" t="str">
        <f>SUBSTITUTE(SUBSTITUTE(PROPER(SUBSTITUTE(us_core_reqs[[#This Row],[Page]], "-", " "))&amp;": "&amp;PROPER(SUBSTITUTE(us_core_reqs[[#This Row],[Section]], "-", " ")),"Us ","US "), "Uscdi", "USCDI")</f>
        <v>Structuredefinition US Core Average Blood Pressure: Mandatory And Must Support Data Elements</v>
      </c>
      <c r="U422" t="s">
        <v>29</v>
      </c>
      <c r="V422" t="s">
        <v>1171</v>
      </c>
      <c r="W422" t="s">
        <v>1171</v>
      </c>
      <c r="X422" t="s">
        <v>1171</v>
      </c>
      <c r="Y422" t="s">
        <v>1171</v>
      </c>
      <c r="Z422" t="s">
        <v>1171</v>
      </c>
      <c r="AA422" t="s">
        <v>1171</v>
      </c>
      <c r="AB422" t="s">
        <v>1171</v>
      </c>
      <c r="AC422" t="s">
        <v>1140</v>
      </c>
      <c r="AD422" t="s">
        <v>1171</v>
      </c>
    </row>
    <row r="423" spans="1:30" ht="51" x14ac:dyDescent="0.2">
      <c r="A423" t="s">
        <v>1171</v>
      </c>
      <c r="B423" t="s">
        <v>1595</v>
      </c>
      <c r="C423" t="str">
        <f>"CONF-"&amp;TEXT(us_core_reqs[[#This Row],[ID*]], "0000")</f>
        <v>CONF-0422</v>
      </c>
      <c r="D423" s="11" t="s">
        <v>877</v>
      </c>
      <c r="E423" t="str">
        <f>SUBSTITUTE(us_core_reqs[[#This Row],[URL*]], "https://hl7.org/fhir/us/core/STU8/","")</f>
        <v>StructureDefinition-us-core-care-experience-preference.html#mandatory-and-must-support-data-elements</v>
      </c>
      <c r="F423" s="11" t="s">
        <v>1981</v>
      </c>
      <c r="G423" t="s">
        <v>32</v>
      </c>
      <c r="I423" t="s">
        <v>30</v>
      </c>
      <c r="J423" t="s">
        <v>1171</v>
      </c>
      <c r="K423" t="s">
        <v>1171</v>
      </c>
      <c r="L423" t="s">
        <v>1176</v>
      </c>
      <c r="M423" t="s">
        <v>427</v>
      </c>
      <c r="N423" t="s">
        <v>1171</v>
      </c>
      <c r="O423" t="s">
        <v>1171</v>
      </c>
      <c r="P423" t="s">
        <v>1171</v>
      </c>
      <c r="Q423" t="s">
        <v>1171</v>
      </c>
      <c r="R423" t="str">
        <f>_xlfn.TEXTBEFORE(_xlfn.TEXTAFTER(us_core_reqs[[#This Row],[URL*]],"/",-1),".")</f>
        <v>StructureDefinition-us-core-care-experience-preference</v>
      </c>
      <c r="S423" t="str">
        <f>_xlfn.TEXTAFTER(us_core_reqs[[#This Row],[URL*]],"#",-1)</f>
        <v>mandatory-and-must-support-data-elements</v>
      </c>
      <c r="T423" t="str">
        <f>SUBSTITUTE(SUBSTITUTE(PROPER(SUBSTITUTE(us_core_reqs[[#This Row],[Page]], "-", " "))&amp;": "&amp;PROPER(SUBSTITUTE(us_core_reqs[[#This Row],[Section]], "-", " ")),"Us ","US "), "Uscdi", "USCDI")</f>
        <v>Structuredefinition US Core Care Experience Preference: Mandatory And Must Support Data Elements</v>
      </c>
      <c r="U423" t="s">
        <v>32</v>
      </c>
      <c r="V423" t="s">
        <v>1171</v>
      </c>
      <c r="W423" t="s">
        <v>1171</v>
      </c>
      <c r="X423" t="s">
        <v>1171</v>
      </c>
      <c r="Y423" t="s">
        <v>1171</v>
      </c>
      <c r="Z423" t="s">
        <v>1171</v>
      </c>
      <c r="AA423" t="s">
        <v>1171</v>
      </c>
      <c r="AB423" t="s">
        <v>1171</v>
      </c>
      <c r="AC423" t="s">
        <v>1171</v>
      </c>
      <c r="AD423" t="s">
        <v>1171</v>
      </c>
    </row>
    <row r="424" spans="1:30" ht="51" x14ac:dyDescent="0.2">
      <c r="A424" t="s">
        <v>1171</v>
      </c>
      <c r="B424" t="s">
        <v>1596</v>
      </c>
      <c r="C424" t="str">
        <f>"CONF-"&amp;TEXT(us_core_reqs[[#This Row],[ID*]], "0000")</f>
        <v>CONF-0423</v>
      </c>
      <c r="D424" s="11" t="s">
        <v>428</v>
      </c>
      <c r="E424" t="str">
        <f>SUBSTITUTE(us_core_reqs[[#This Row],[URL*]], "https://hl7.org/fhir/us/core/STU8/","")</f>
        <v>https://hl7.org/fhir/us/core/StructureDefinition-us-core-observation-clinical-result.html#mandatory-and-must-support-data-elements</v>
      </c>
      <c r="F424" s="11" t="s">
        <v>1982</v>
      </c>
      <c r="G424" t="s">
        <v>32</v>
      </c>
      <c r="I424" t="s">
        <v>30</v>
      </c>
      <c r="J424" t="s">
        <v>1171</v>
      </c>
      <c r="K424" t="s">
        <v>1171</v>
      </c>
      <c r="L424" t="s">
        <v>1176</v>
      </c>
      <c r="M424" t="s">
        <v>430</v>
      </c>
      <c r="N424" t="s">
        <v>1171</v>
      </c>
      <c r="O424" t="s">
        <v>1171</v>
      </c>
      <c r="P424" t="s">
        <v>1171</v>
      </c>
      <c r="Q424" t="s">
        <v>1171</v>
      </c>
      <c r="R424" t="str">
        <f>_xlfn.TEXTBEFORE(_xlfn.TEXTAFTER(us_core_reqs[[#This Row],[URL*]],"/",-1),".")</f>
        <v>StructureDefinition-us-core-observation-clinical-result</v>
      </c>
      <c r="S424" t="str">
        <f>_xlfn.TEXTAFTER(us_core_reqs[[#This Row],[URL*]],"#",-1)</f>
        <v>mandatory-and-must-support-data-elements</v>
      </c>
      <c r="T424" t="str">
        <f>SUBSTITUTE(SUBSTITUTE(PROPER(SUBSTITUTE(us_core_reqs[[#This Row],[Page]], "-", " "))&amp;": "&amp;PROPER(SUBSTITUTE(us_core_reqs[[#This Row],[Section]], "-", " ")),"Us ","US "), "Uscdi", "USCDI")</f>
        <v>Structuredefinition US Core Observation Clinical Result: Mandatory And Must Support Data Elements</v>
      </c>
      <c r="U424" t="s">
        <v>32</v>
      </c>
      <c r="V424" t="s">
        <v>30</v>
      </c>
      <c r="W424" t="s">
        <v>1171</v>
      </c>
      <c r="X424" t="s">
        <v>1171</v>
      </c>
      <c r="Y424" t="s">
        <v>1171</v>
      </c>
      <c r="Z424" t="s">
        <v>1171</v>
      </c>
      <c r="AA424" t="s">
        <v>1171</v>
      </c>
      <c r="AB424" t="s">
        <v>1171</v>
      </c>
      <c r="AC424" t="s">
        <v>1171</v>
      </c>
      <c r="AD424" t="s">
        <v>1171</v>
      </c>
    </row>
    <row r="425" spans="1:30" ht="85" x14ac:dyDescent="0.2">
      <c r="A425" t="s">
        <v>1171</v>
      </c>
      <c r="B425" t="s">
        <v>1597</v>
      </c>
      <c r="C425" t="str">
        <f>"CONF-"&amp;TEXT(us_core_reqs[[#This Row],[ID*]], "0000")</f>
        <v>CONF-0424</v>
      </c>
      <c r="D425" s="11" t="s">
        <v>431</v>
      </c>
      <c r="E425" t="str">
        <f>SUBSTITUTE(us_core_reqs[[#This Row],[URL*]], "https://hl7.org/fhir/us/core/STU8/","")</f>
        <v>https://hl7.org/fhir/us/core/StructureDefinition-us-core-observation-clinical-result.html#mandatory-and-must-support-data-elements, https://hl7.org/fhir/us/core/StructureDefinition-us-core-observation-lab.html#mandatory-and-must-support-data-elements</v>
      </c>
      <c r="F425" s="11" t="s">
        <v>1983</v>
      </c>
      <c r="G425" t="s">
        <v>32</v>
      </c>
      <c r="I425" t="s">
        <v>30</v>
      </c>
      <c r="J425" t="s">
        <v>1171</v>
      </c>
      <c r="K425" t="s">
        <v>1171</v>
      </c>
      <c r="L425" t="s">
        <v>1176</v>
      </c>
      <c r="M425" t="s">
        <v>433</v>
      </c>
      <c r="N425" t="s">
        <v>1171</v>
      </c>
      <c r="O425" t="s">
        <v>1171</v>
      </c>
      <c r="P425" t="s">
        <v>1171</v>
      </c>
      <c r="Q425" t="s">
        <v>1171</v>
      </c>
      <c r="R425" t="str">
        <f>_xlfn.TEXTBEFORE(_xlfn.TEXTAFTER(us_core_reqs[[#This Row],[URL*]],"/",-1),".")</f>
        <v>StructureDefinition-us-core-observation-lab</v>
      </c>
      <c r="S425" t="str">
        <f>_xlfn.TEXTAFTER(us_core_reqs[[#This Row],[URL*]],"#",-1)</f>
        <v>mandatory-and-must-support-data-elements</v>
      </c>
      <c r="T425" t="str">
        <f>SUBSTITUTE(SUBSTITUTE(PROPER(SUBSTITUTE(us_core_reqs[[#This Row],[Page]], "-", " "))&amp;": "&amp;PROPER(SUBSTITUTE(us_core_reqs[[#This Row],[Section]], "-", " ")),"Us ","US "), "Uscdi", "USCDI")</f>
        <v>Structuredefinition US Core Observation Lab: Mandatory And Must Support Data Elements</v>
      </c>
      <c r="U425" t="s">
        <v>32</v>
      </c>
      <c r="V425" t="s">
        <v>1171</v>
      </c>
      <c r="W425" t="s">
        <v>1171</v>
      </c>
      <c r="X425" t="s">
        <v>1171</v>
      </c>
      <c r="Y425" t="s">
        <v>1171</v>
      </c>
      <c r="Z425" t="s">
        <v>1171</v>
      </c>
      <c r="AA425" t="s">
        <v>1171</v>
      </c>
      <c r="AB425" t="s">
        <v>1171</v>
      </c>
      <c r="AC425" t="s">
        <v>1171</v>
      </c>
      <c r="AD425" t="s">
        <v>1171</v>
      </c>
    </row>
    <row r="426" spans="1:30" ht="170" x14ac:dyDescent="0.2">
      <c r="A426" t="s">
        <v>1171</v>
      </c>
      <c r="B426" t="s">
        <v>1598</v>
      </c>
      <c r="C426" t="str">
        <f>"CONF-"&amp;TEXT(us_core_reqs[[#This Row],[ID*]], "0000")</f>
        <v>CONF-0425</v>
      </c>
      <c r="D426" s="11" t="s">
        <v>434</v>
      </c>
      <c r="E426" t="str">
        <f>SUBSTITUTE(us_core_reqs[[#This Row],[URL*]], "https://hl7.org/fhir/us/core/STU8/","")</f>
        <v>https://hl7.org/fhir/us/core/StructureDefinition-us-core-observation-clinical-result.html#mandatory-and-must-support-data-elements, https://hl7.org/fhir/us/core/StructureDefinition-us-core-observation-lab.html#mandatory-and-must-support-data-elements, https://hl7.org/fhir/us/core/StructureDefinition-us-core-observation-screening-assessment.html#mandatory-and-must-support-data-elements, https://hl7.org/fhir/us/core/StructureDefinition-us-core-observation-lab.html#mandatory-and-must-support-data-elements</v>
      </c>
      <c r="F426" s="11" t="s">
        <v>2182</v>
      </c>
      <c r="G426" t="s">
        <v>29</v>
      </c>
      <c r="I426" t="s">
        <v>30</v>
      </c>
      <c r="J426" t="s">
        <v>1171</v>
      </c>
      <c r="K426" t="s">
        <v>1171</v>
      </c>
      <c r="L426" t="s">
        <v>1176</v>
      </c>
      <c r="M426" t="s">
        <v>436</v>
      </c>
      <c r="N426" t="s">
        <v>1171</v>
      </c>
      <c r="O426" t="s">
        <v>1171</v>
      </c>
      <c r="P426" t="s">
        <v>1171</v>
      </c>
      <c r="Q426" t="s">
        <v>1171</v>
      </c>
      <c r="R426" t="str">
        <f>_xlfn.TEXTBEFORE(_xlfn.TEXTAFTER(us_core_reqs[[#This Row],[URL*]],"/",-1),".")</f>
        <v>StructureDefinition-us-core-observation-lab</v>
      </c>
      <c r="S426" t="str">
        <f>_xlfn.TEXTAFTER(us_core_reqs[[#This Row],[URL*]],"#",-1)</f>
        <v>mandatory-and-must-support-data-elements</v>
      </c>
      <c r="T426" t="str">
        <f>SUBSTITUTE(SUBSTITUTE(PROPER(SUBSTITUTE(us_core_reqs[[#This Row],[Page]], "-", " "))&amp;": "&amp;PROPER(SUBSTITUTE(us_core_reqs[[#This Row],[Section]], "-", " ")),"Us ","US "), "Uscdi", "USCDI")</f>
        <v>Structuredefinition US Core Observation Lab: Mandatory And Must Support Data Elements</v>
      </c>
      <c r="U426" t="s">
        <v>29</v>
      </c>
      <c r="V426" t="s">
        <v>1171</v>
      </c>
      <c r="W426" t="s">
        <v>1171</v>
      </c>
      <c r="X426" t="s">
        <v>1171</v>
      </c>
      <c r="Y426" t="s">
        <v>1171</v>
      </c>
      <c r="Z426" t="s">
        <v>1171</v>
      </c>
      <c r="AA426" t="s">
        <v>1171</v>
      </c>
      <c r="AB426" t="s">
        <v>1171</v>
      </c>
      <c r="AC426" t="s">
        <v>1140</v>
      </c>
      <c r="AD426" t="s">
        <v>1171</v>
      </c>
    </row>
    <row r="427" spans="1:30" ht="153" x14ac:dyDescent="0.2">
      <c r="A427" t="s">
        <v>1171</v>
      </c>
      <c r="B427" t="s">
        <v>1599</v>
      </c>
      <c r="C427" t="str">
        <f>"CONF-"&amp;TEXT(us_core_reqs[[#This Row],[ID*]], "0000")</f>
        <v>CONF-0426</v>
      </c>
      <c r="D427" s="11" t="s">
        <v>878</v>
      </c>
      <c r="E427" t="str">
        <f>SUBSTITUTE(us_core_reqs[[#This Row],[URL*]], "https://hl7.org/fhir/us/core/STU8/","")</f>
        <v>https://hl7.org/fhir/us/core/StructureDefinition-us-core-observation-clinical-result.html#mandatory-and-must-support-data-elements, https://hl7.org/fhir/us/core/StructureDefinition-us-core-observation-lab.html#mandatory-and-must-support-data-elements, https://hl7.org/fhir/us/core/StructureDefinition-us-core-observation-screening-assessment.html#mandatory-and-must-support-data-elements, StructureDefinition-us-core-vital-signs.html#mandatory-and-must-support-data-elements</v>
      </c>
      <c r="F427" s="11" t="s">
        <v>437</v>
      </c>
      <c r="G427" t="s">
        <v>35</v>
      </c>
      <c r="I427" t="s">
        <v>30</v>
      </c>
      <c r="J427" t="s">
        <v>1171</v>
      </c>
      <c r="K427" t="s">
        <v>1171</v>
      </c>
      <c r="L427" t="s">
        <v>1176</v>
      </c>
      <c r="M427" t="s">
        <v>438</v>
      </c>
      <c r="N427" t="s">
        <v>1171</v>
      </c>
      <c r="O427" t="s">
        <v>1171</v>
      </c>
      <c r="P427" t="s">
        <v>1171</v>
      </c>
      <c r="Q427" t="s">
        <v>1171</v>
      </c>
      <c r="R427" t="str">
        <f>_xlfn.TEXTBEFORE(_xlfn.TEXTAFTER(us_core_reqs[[#This Row],[URL*]],"/",-1),".")</f>
        <v>StructureDefinition-us-core-vital-signs</v>
      </c>
      <c r="S427" t="str">
        <f>_xlfn.TEXTAFTER(us_core_reqs[[#This Row],[URL*]],"#",-1)</f>
        <v>mandatory-and-must-support-data-elements</v>
      </c>
      <c r="T427" t="str">
        <f>SUBSTITUTE(SUBSTITUTE(PROPER(SUBSTITUTE(us_core_reqs[[#This Row],[Page]], "-", " "))&amp;": "&amp;PROPER(SUBSTITUTE(us_core_reqs[[#This Row],[Section]], "-", " ")),"Us ","US "), "Uscdi", "USCDI")</f>
        <v>Structuredefinition US Core Vital Signs: Mandatory And Must Support Data Elements</v>
      </c>
      <c r="U427" t="s">
        <v>35</v>
      </c>
      <c r="V427" t="s">
        <v>1171</v>
      </c>
      <c r="W427" t="s">
        <v>1171</v>
      </c>
      <c r="X427" t="s">
        <v>1171</v>
      </c>
      <c r="Y427" t="s">
        <v>1171</v>
      </c>
      <c r="Z427" t="s">
        <v>1171</v>
      </c>
      <c r="AA427" t="s">
        <v>1171</v>
      </c>
      <c r="AB427" t="s">
        <v>1171</v>
      </c>
      <c r="AC427" t="s">
        <v>1171</v>
      </c>
      <c r="AD427" t="s">
        <v>1171</v>
      </c>
    </row>
    <row r="428" spans="1:30" ht="153" x14ac:dyDescent="0.2">
      <c r="A428" t="s">
        <v>1171</v>
      </c>
      <c r="B428" t="s">
        <v>1600</v>
      </c>
      <c r="C428" t="str">
        <f>"CONF-"&amp;TEXT(us_core_reqs[[#This Row],[ID*]], "0000")</f>
        <v>CONF-0427</v>
      </c>
      <c r="D428" s="11" t="s">
        <v>878</v>
      </c>
      <c r="E428" t="str">
        <f>SUBSTITUTE(us_core_reqs[[#This Row],[URL*]], "https://hl7.org/fhir/us/core/STU8/","")</f>
        <v>https://hl7.org/fhir/us/core/StructureDefinition-us-core-observation-clinical-result.html#mandatory-and-must-support-data-elements, https://hl7.org/fhir/us/core/StructureDefinition-us-core-observation-lab.html#mandatory-and-must-support-data-elements, https://hl7.org/fhir/us/core/StructureDefinition-us-core-observation-screening-assessment.html#mandatory-and-must-support-data-elements, StructureDefinition-us-core-vital-signs.html#mandatory-and-must-support-data-elements</v>
      </c>
      <c r="F428" s="11" t="s">
        <v>2183</v>
      </c>
      <c r="G428" t="s">
        <v>29</v>
      </c>
      <c r="I428" t="s">
        <v>30</v>
      </c>
      <c r="J428" t="s">
        <v>1171</v>
      </c>
      <c r="K428" t="s">
        <v>1171</v>
      </c>
      <c r="L428" t="s">
        <v>1176</v>
      </c>
      <c r="M428" t="s">
        <v>440</v>
      </c>
      <c r="N428" t="s">
        <v>1171</v>
      </c>
      <c r="O428" t="s">
        <v>1171</v>
      </c>
      <c r="P428" t="s">
        <v>1171</v>
      </c>
      <c r="Q428" t="s">
        <v>1171</v>
      </c>
      <c r="R428" t="str">
        <f>_xlfn.TEXTBEFORE(_xlfn.TEXTAFTER(us_core_reqs[[#This Row],[URL*]],"/",-1),".")</f>
        <v>StructureDefinition-us-core-vital-signs</v>
      </c>
      <c r="S428" t="str">
        <f>_xlfn.TEXTAFTER(us_core_reqs[[#This Row],[URL*]],"#",-1)</f>
        <v>mandatory-and-must-support-data-elements</v>
      </c>
      <c r="T428" t="str">
        <f>SUBSTITUTE(SUBSTITUTE(PROPER(SUBSTITUTE(us_core_reqs[[#This Row],[Page]], "-", " "))&amp;": "&amp;PROPER(SUBSTITUTE(us_core_reqs[[#This Row],[Section]], "-", " ")),"Us ","US "), "Uscdi", "USCDI")</f>
        <v>Structuredefinition US Core Vital Signs: Mandatory And Must Support Data Elements</v>
      </c>
      <c r="U428" t="s">
        <v>29</v>
      </c>
      <c r="V428" t="s">
        <v>1171</v>
      </c>
      <c r="W428" t="s">
        <v>1171</v>
      </c>
      <c r="X428" t="s">
        <v>1171</v>
      </c>
      <c r="Y428" t="s">
        <v>1171</v>
      </c>
      <c r="Z428" t="s">
        <v>1171</v>
      </c>
      <c r="AA428" t="s">
        <v>1171</v>
      </c>
      <c r="AB428" t="s">
        <v>1171</v>
      </c>
      <c r="AC428" t="s">
        <v>1140</v>
      </c>
      <c r="AD428" t="s">
        <v>1171</v>
      </c>
    </row>
    <row r="429" spans="1:30" ht="153" x14ac:dyDescent="0.2">
      <c r="A429" t="s">
        <v>1171</v>
      </c>
      <c r="B429" t="s">
        <v>1601</v>
      </c>
      <c r="C429" t="str">
        <f>"CONF-"&amp;TEXT(us_core_reqs[[#This Row],[ID*]], "0000")</f>
        <v>CONF-0428</v>
      </c>
      <c r="D429" s="11" t="s">
        <v>878</v>
      </c>
      <c r="E429" t="str">
        <f>SUBSTITUTE(us_core_reqs[[#This Row],[URL*]], "https://hl7.org/fhir/us/core/STU8/","")</f>
        <v>https://hl7.org/fhir/us/core/StructureDefinition-us-core-observation-clinical-result.html#mandatory-and-must-support-data-elements, https://hl7.org/fhir/us/core/StructureDefinition-us-core-observation-lab.html#mandatory-and-must-support-data-elements, https://hl7.org/fhir/us/core/StructureDefinition-us-core-observation-screening-assessment.html#mandatory-and-must-support-data-elements, StructureDefinition-us-core-vital-signs.html#mandatory-and-must-support-data-elements</v>
      </c>
      <c r="F429" s="11" t="s">
        <v>2210</v>
      </c>
      <c r="G429" t="s">
        <v>35</v>
      </c>
      <c r="I429" t="s">
        <v>30</v>
      </c>
      <c r="J429" t="s">
        <v>1171</v>
      </c>
      <c r="K429" t="s">
        <v>1171</v>
      </c>
      <c r="L429" t="s">
        <v>1176</v>
      </c>
      <c r="M429" t="s">
        <v>442</v>
      </c>
      <c r="N429" t="s">
        <v>1171</v>
      </c>
      <c r="O429" t="s">
        <v>1171</v>
      </c>
      <c r="P429" t="s">
        <v>1171</v>
      </c>
      <c r="Q429" t="s">
        <v>1171</v>
      </c>
      <c r="R429" t="str">
        <f>_xlfn.TEXTBEFORE(_xlfn.TEXTAFTER(us_core_reqs[[#This Row],[URL*]],"/",-1),".")</f>
        <v>StructureDefinition-us-core-vital-signs</v>
      </c>
      <c r="S429" t="str">
        <f>_xlfn.TEXTAFTER(us_core_reqs[[#This Row],[URL*]],"#",-1)</f>
        <v>mandatory-and-must-support-data-elements</v>
      </c>
      <c r="T429" t="str">
        <f>SUBSTITUTE(SUBSTITUTE(PROPER(SUBSTITUTE(us_core_reqs[[#This Row],[Page]], "-", " "))&amp;": "&amp;PROPER(SUBSTITUTE(us_core_reqs[[#This Row],[Section]], "-", " ")),"Us ","US "), "Uscdi", "USCDI")</f>
        <v>Structuredefinition US Core Vital Signs: Mandatory And Must Support Data Elements</v>
      </c>
      <c r="U429" t="s">
        <v>35</v>
      </c>
      <c r="V429" t="s">
        <v>1171</v>
      </c>
      <c r="W429" t="s">
        <v>1171</v>
      </c>
      <c r="X429" t="s">
        <v>1171</v>
      </c>
      <c r="Y429" t="s">
        <v>1171</v>
      </c>
      <c r="Z429" t="s">
        <v>1171</v>
      </c>
      <c r="AA429" t="s">
        <v>1171</v>
      </c>
      <c r="AB429" t="s">
        <v>1171</v>
      </c>
      <c r="AC429" t="s">
        <v>1171</v>
      </c>
      <c r="AD429" t="s">
        <v>1171</v>
      </c>
    </row>
    <row r="430" spans="1:30" ht="153" x14ac:dyDescent="0.2">
      <c r="A430" t="s">
        <v>1171</v>
      </c>
      <c r="B430" t="s">
        <v>1602</v>
      </c>
      <c r="C430" t="str">
        <f>"CONF-"&amp;TEXT(us_core_reqs[[#This Row],[ID*]], "0000")</f>
        <v>CONF-0429</v>
      </c>
      <c r="D430" s="11" t="s">
        <v>878</v>
      </c>
      <c r="E430" t="str">
        <f>SUBSTITUTE(us_core_reqs[[#This Row],[URL*]], "https://hl7.org/fhir/us/core/STU8/","")</f>
        <v>https://hl7.org/fhir/us/core/StructureDefinition-us-core-observation-clinical-result.html#mandatory-and-must-support-data-elements, https://hl7.org/fhir/us/core/StructureDefinition-us-core-observation-lab.html#mandatory-and-must-support-data-elements, https://hl7.org/fhir/us/core/StructureDefinition-us-core-observation-screening-assessment.html#mandatory-and-must-support-data-elements, StructureDefinition-us-core-vital-signs.html#mandatory-and-must-support-data-elements</v>
      </c>
      <c r="F430" s="11" t="s">
        <v>443</v>
      </c>
      <c r="G430" t="s">
        <v>35</v>
      </c>
      <c r="I430" t="s">
        <v>30</v>
      </c>
      <c r="J430" t="s">
        <v>1171</v>
      </c>
      <c r="K430" t="s">
        <v>1171</v>
      </c>
      <c r="L430" t="s">
        <v>1176</v>
      </c>
      <c r="M430" t="s">
        <v>444</v>
      </c>
      <c r="N430" t="s">
        <v>1171</v>
      </c>
      <c r="O430" t="s">
        <v>1171</v>
      </c>
      <c r="P430" t="s">
        <v>1171</v>
      </c>
      <c r="Q430" t="s">
        <v>1171</v>
      </c>
      <c r="R430" t="str">
        <f>_xlfn.TEXTBEFORE(_xlfn.TEXTAFTER(us_core_reqs[[#This Row],[URL*]],"/",-1),".")</f>
        <v>StructureDefinition-us-core-vital-signs</v>
      </c>
      <c r="S430" t="str">
        <f>_xlfn.TEXTAFTER(us_core_reqs[[#This Row],[URL*]],"#",-1)</f>
        <v>mandatory-and-must-support-data-elements</v>
      </c>
      <c r="T430" t="str">
        <f>SUBSTITUTE(SUBSTITUTE(PROPER(SUBSTITUTE(us_core_reqs[[#This Row],[Page]], "-", " "))&amp;": "&amp;PROPER(SUBSTITUTE(us_core_reqs[[#This Row],[Section]], "-", " ")),"Us ","US "), "Uscdi", "USCDI")</f>
        <v>Structuredefinition US Core Vital Signs: Mandatory And Must Support Data Elements</v>
      </c>
      <c r="U430" t="s">
        <v>35</v>
      </c>
      <c r="V430" t="s">
        <v>1171</v>
      </c>
      <c r="W430" t="s">
        <v>1171</v>
      </c>
      <c r="X430" t="s">
        <v>1171</v>
      </c>
      <c r="Y430" t="s">
        <v>1171</v>
      </c>
      <c r="Z430" t="s">
        <v>1171</v>
      </c>
      <c r="AA430" t="s">
        <v>1171</v>
      </c>
      <c r="AB430" t="s">
        <v>1171</v>
      </c>
      <c r="AC430" t="s">
        <v>1171</v>
      </c>
      <c r="AD430" t="s">
        <v>1171</v>
      </c>
    </row>
    <row r="431" spans="1:30" ht="51" x14ac:dyDescent="0.2">
      <c r="A431" t="s">
        <v>1171</v>
      </c>
      <c r="B431" t="s">
        <v>1603</v>
      </c>
      <c r="C431" t="str">
        <f>"CONF-"&amp;TEXT(us_core_reqs[[#This Row],[ID*]], "0000")</f>
        <v>CONF-0430</v>
      </c>
      <c r="D431" s="11" t="s">
        <v>445</v>
      </c>
      <c r="E431" t="str">
        <f>SUBSTITUTE(us_core_reqs[[#This Row],[URL*]], "https://hl7.org/fhir/us/core/STU8/","")</f>
        <v>https://hl7.org/fhir/us/core/StructureDefinition-us-core-observation-lab.html#mandatory-and-must-support-data-elements</v>
      </c>
      <c r="F431" s="11" t="s">
        <v>1984</v>
      </c>
      <c r="G431" t="s">
        <v>32</v>
      </c>
      <c r="I431" t="s">
        <v>30</v>
      </c>
      <c r="J431" t="s">
        <v>1171</v>
      </c>
      <c r="K431" t="s">
        <v>1171</v>
      </c>
      <c r="L431" t="s">
        <v>1176</v>
      </c>
      <c r="M431" t="s">
        <v>446</v>
      </c>
      <c r="N431" t="s">
        <v>1171</v>
      </c>
      <c r="O431" t="s">
        <v>1171</v>
      </c>
      <c r="P431" t="s">
        <v>1171</v>
      </c>
      <c r="Q431" t="s">
        <v>1171</v>
      </c>
      <c r="R431" t="str">
        <f>_xlfn.TEXTBEFORE(_xlfn.TEXTAFTER(us_core_reqs[[#This Row],[URL*]],"/",-1),".")</f>
        <v>StructureDefinition-us-core-observation-lab</v>
      </c>
      <c r="S431" t="str">
        <f>_xlfn.TEXTAFTER(us_core_reqs[[#This Row],[URL*]],"#",-1)</f>
        <v>mandatory-and-must-support-data-elements</v>
      </c>
      <c r="T431" t="str">
        <f>SUBSTITUTE(SUBSTITUTE(PROPER(SUBSTITUTE(us_core_reqs[[#This Row],[Page]], "-", " "))&amp;": "&amp;PROPER(SUBSTITUTE(us_core_reqs[[#This Row],[Section]], "-", " ")),"Us ","US "), "Uscdi", "USCDI")</f>
        <v>Structuredefinition US Core Observation Lab: Mandatory And Must Support Data Elements</v>
      </c>
      <c r="U431" t="s">
        <v>32</v>
      </c>
      <c r="V431" t="s">
        <v>1171</v>
      </c>
      <c r="W431" t="s">
        <v>1171</v>
      </c>
      <c r="X431" t="s">
        <v>1171</v>
      </c>
      <c r="Y431" t="s">
        <v>1171</v>
      </c>
      <c r="Z431" t="s">
        <v>1171</v>
      </c>
      <c r="AA431" t="s">
        <v>1171</v>
      </c>
      <c r="AB431" t="s">
        <v>1171</v>
      </c>
      <c r="AC431" t="s">
        <v>1171</v>
      </c>
      <c r="AD431" t="s">
        <v>1171</v>
      </c>
    </row>
    <row r="432" spans="1:30" ht="68" x14ac:dyDescent="0.2">
      <c r="A432" t="s">
        <v>1171</v>
      </c>
      <c r="B432" t="s">
        <v>1604</v>
      </c>
      <c r="C432" t="str">
        <f>"CONF-"&amp;TEXT(us_core_reqs[[#This Row],[ID*]], "0000")</f>
        <v>CONF-0431</v>
      </c>
      <c r="D432" s="11" t="s">
        <v>445</v>
      </c>
      <c r="E432" t="str">
        <f>SUBSTITUTE(us_core_reqs[[#This Row],[URL*]], "https://hl7.org/fhir/us/core/STU8/","")</f>
        <v>https://hl7.org/fhir/us/core/StructureDefinition-us-core-observation-lab.html#mandatory-and-must-support-data-elements</v>
      </c>
      <c r="F432" s="11" t="s">
        <v>1985</v>
      </c>
      <c r="G432" t="s">
        <v>32</v>
      </c>
      <c r="I432" t="s">
        <v>30</v>
      </c>
      <c r="J432" t="s">
        <v>1171</v>
      </c>
      <c r="K432" t="s">
        <v>1171</v>
      </c>
      <c r="L432" t="s">
        <v>1176</v>
      </c>
      <c r="M432" t="s">
        <v>446</v>
      </c>
      <c r="N432" t="s">
        <v>1171</v>
      </c>
      <c r="O432" t="s">
        <v>1171</v>
      </c>
      <c r="P432" t="s">
        <v>1171</v>
      </c>
      <c r="Q432" t="s">
        <v>1171</v>
      </c>
      <c r="R432" t="str">
        <f>_xlfn.TEXTBEFORE(_xlfn.TEXTAFTER(us_core_reqs[[#This Row],[URL*]],"/",-1),".")</f>
        <v>StructureDefinition-us-core-observation-lab</v>
      </c>
      <c r="S432" t="str">
        <f>_xlfn.TEXTAFTER(us_core_reqs[[#This Row],[URL*]],"#",-1)</f>
        <v>mandatory-and-must-support-data-elements</v>
      </c>
      <c r="T432" t="str">
        <f>SUBSTITUTE(SUBSTITUTE(PROPER(SUBSTITUTE(us_core_reqs[[#This Row],[Page]], "-", " "))&amp;": "&amp;PROPER(SUBSTITUTE(us_core_reqs[[#This Row],[Section]], "-", " ")),"Us ","US "), "Uscdi", "USCDI")</f>
        <v>Structuredefinition US Core Observation Lab: Mandatory And Must Support Data Elements</v>
      </c>
      <c r="U432" t="s">
        <v>32</v>
      </c>
      <c r="V432" t="s">
        <v>1171</v>
      </c>
      <c r="W432" t="s">
        <v>1171</v>
      </c>
      <c r="X432" t="s">
        <v>1171</v>
      </c>
      <c r="Y432" t="s">
        <v>1171</v>
      </c>
      <c r="Z432" t="s">
        <v>1171</v>
      </c>
      <c r="AA432" t="s">
        <v>1171</v>
      </c>
      <c r="AB432" t="s">
        <v>1171</v>
      </c>
      <c r="AC432" t="s">
        <v>1171</v>
      </c>
      <c r="AD432" t="s">
        <v>1171</v>
      </c>
    </row>
    <row r="433" spans="1:30" ht="51" x14ac:dyDescent="0.2">
      <c r="A433" t="s">
        <v>1171</v>
      </c>
      <c r="B433" t="s">
        <v>1605</v>
      </c>
      <c r="C433" t="str">
        <f>"CONF-"&amp;TEXT(us_core_reqs[[#This Row],[ID*]], "0000")</f>
        <v>CONF-0432</v>
      </c>
      <c r="D433" s="11" t="s">
        <v>447</v>
      </c>
      <c r="E433" t="str">
        <f>SUBSTITUTE(us_core_reqs[[#This Row],[URL*]], "https://hl7.org/fhir/us/core/STU8/","")</f>
        <v>https://hl7.org/fhir/us/core/StructureDefinition-us-core-observation-occupation.html#mandatory-and-must-support-data-elements</v>
      </c>
      <c r="F433" s="11" t="s">
        <v>1059</v>
      </c>
      <c r="G433" t="s">
        <v>29</v>
      </c>
      <c r="I433" t="s">
        <v>30</v>
      </c>
      <c r="J433" t="s">
        <v>1171</v>
      </c>
      <c r="K433" t="s">
        <v>1171</v>
      </c>
      <c r="L433" t="s">
        <v>1176</v>
      </c>
      <c r="M433" t="s">
        <v>448</v>
      </c>
      <c r="N433" t="s">
        <v>1171</v>
      </c>
      <c r="O433" t="s">
        <v>1171</v>
      </c>
      <c r="P433" t="s">
        <v>1171</v>
      </c>
      <c r="Q433" t="s">
        <v>1171</v>
      </c>
      <c r="R433" t="str">
        <f>_xlfn.TEXTBEFORE(_xlfn.TEXTAFTER(us_core_reqs[[#This Row],[URL*]],"/",-1),".")</f>
        <v>StructureDefinition-us-core-observation-occupation</v>
      </c>
      <c r="S433" t="str">
        <f>_xlfn.TEXTAFTER(us_core_reqs[[#This Row],[URL*]],"#",-1)</f>
        <v>mandatory-and-must-support-data-elements</v>
      </c>
      <c r="T433" t="str">
        <f>SUBSTITUTE(SUBSTITUTE(PROPER(SUBSTITUTE(us_core_reqs[[#This Row],[Page]], "-", " "))&amp;": "&amp;PROPER(SUBSTITUTE(us_core_reqs[[#This Row],[Section]], "-", " ")),"Us ","US "), "Uscdi", "USCDI")</f>
        <v>Structuredefinition US Core Observation Occupation: Mandatory And Must Support Data Elements</v>
      </c>
      <c r="U433" t="s">
        <v>29</v>
      </c>
      <c r="V433" t="s">
        <v>30</v>
      </c>
      <c r="W433" t="s">
        <v>1171</v>
      </c>
      <c r="X433" t="s">
        <v>1171</v>
      </c>
      <c r="Y433" t="s">
        <v>1171</v>
      </c>
      <c r="Z433" t="s">
        <v>1171</v>
      </c>
      <c r="AA433" t="s">
        <v>1171</v>
      </c>
      <c r="AB433" t="s">
        <v>1171</v>
      </c>
      <c r="AC433" t="s">
        <v>1141</v>
      </c>
      <c r="AD433" t="s">
        <v>1171</v>
      </c>
    </row>
    <row r="434" spans="1:30" ht="68" x14ac:dyDescent="0.2">
      <c r="A434" t="s">
        <v>1171</v>
      </c>
      <c r="B434" t="s">
        <v>1606</v>
      </c>
      <c r="C434" t="str">
        <f>"CONF-"&amp;TEXT(us_core_reqs[[#This Row],[ID*]], "0000")</f>
        <v>CONF-0433</v>
      </c>
      <c r="D434" s="11" t="s">
        <v>447</v>
      </c>
      <c r="E434" t="str">
        <f>SUBSTITUTE(us_core_reqs[[#This Row],[URL*]], "https://hl7.org/fhir/us/core/STU8/","")</f>
        <v>https://hl7.org/fhir/us/core/StructureDefinition-us-core-observation-occupation.html#mandatory-and-must-support-data-elements</v>
      </c>
      <c r="F434" s="11" t="s">
        <v>1060</v>
      </c>
      <c r="G434" t="s">
        <v>29</v>
      </c>
      <c r="I434" t="s">
        <v>30</v>
      </c>
      <c r="J434" t="s">
        <v>1171</v>
      </c>
      <c r="K434" t="s">
        <v>1171</v>
      </c>
      <c r="L434" t="s">
        <v>1173</v>
      </c>
      <c r="M434" t="s">
        <v>1171</v>
      </c>
      <c r="N434" t="s">
        <v>1171</v>
      </c>
      <c r="O434" t="s">
        <v>1171</v>
      </c>
      <c r="P434" t="s">
        <v>1171</v>
      </c>
      <c r="Q434" t="s">
        <v>1171</v>
      </c>
      <c r="R434" t="str">
        <f>_xlfn.TEXTBEFORE(_xlfn.TEXTAFTER(us_core_reqs[[#This Row],[URL*]],"/",-1),".")</f>
        <v>StructureDefinition-us-core-observation-occupation</v>
      </c>
      <c r="S434" t="str">
        <f>_xlfn.TEXTAFTER(us_core_reqs[[#This Row],[URL*]],"#",-1)</f>
        <v>mandatory-and-must-support-data-elements</v>
      </c>
      <c r="T434" t="str">
        <f>SUBSTITUTE(SUBSTITUTE(PROPER(SUBSTITUTE(us_core_reqs[[#This Row],[Page]], "-", " "))&amp;": "&amp;PROPER(SUBSTITUTE(us_core_reqs[[#This Row],[Section]], "-", " ")),"Us ","US "), "Uscdi", "USCDI")</f>
        <v>Structuredefinition US Core Observation Occupation: Mandatory And Must Support Data Elements</v>
      </c>
      <c r="U434" t="s">
        <v>29</v>
      </c>
      <c r="V434" t="s">
        <v>30</v>
      </c>
      <c r="W434" t="s">
        <v>1171</v>
      </c>
      <c r="X434" t="s">
        <v>1171</v>
      </c>
      <c r="Y434" t="s">
        <v>1171</v>
      </c>
      <c r="Z434" t="s">
        <v>1171</v>
      </c>
      <c r="AA434" t="s">
        <v>1171</v>
      </c>
      <c r="AB434" t="s">
        <v>1171</v>
      </c>
      <c r="AC434" t="s">
        <v>1141</v>
      </c>
      <c r="AD434" t="s">
        <v>1171</v>
      </c>
    </row>
    <row r="435" spans="1:30" ht="51" x14ac:dyDescent="0.2">
      <c r="A435" t="s">
        <v>1171</v>
      </c>
      <c r="B435" t="s">
        <v>1607</v>
      </c>
      <c r="C435" t="str">
        <f>"CONF-"&amp;TEXT(us_core_reqs[[#This Row],[ID*]], "0000")</f>
        <v>CONF-0434</v>
      </c>
      <c r="D435" s="11" t="s">
        <v>447</v>
      </c>
      <c r="E435" t="str">
        <f>SUBSTITUTE(us_core_reqs[[#This Row],[URL*]], "https://hl7.org/fhir/us/core/STU8/","")</f>
        <v>https://hl7.org/fhir/us/core/StructureDefinition-us-core-observation-occupation.html#mandatory-and-must-support-data-elements</v>
      </c>
      <c r="F435" s="11" t="s">
        <v>1061</v>
      </c>
      <c r="G435" t="s">
        <v>29</v>
      </c>
      <c r="I435" t="s">
        <v>30</v>
      </c>
      <c r="J435" t="s">
        <v>1171</v>
      </c>
      <c r="K435" t="s">
        <v>1171</v>
      </c>
      <c r="L435" t="s">
        <v>1173</v>
      </c>
      <c r="M435" t="s">
        <v>1171</v>
      </c>
      <c r="N435" t="s">
        <v>1171</v>
      </c>
      <c r="O435" t="s">
        <v>1171</v>
      </c>
      <c r="P435" t="s">
        <v>1171</v>
      </c>
      <c r="Q435" t="s">
        <v>1171</v>
      </c>
      <c r="R435" t="str">
        <f>_xlfn.TEXTBEFORE(_xlfn.TEXTAFTER(us_core_reqs[[#This Row],[URL*]],"/",-1),".")</f>
        <v>StructureDefinition-us-core-observation-occupation</v>
      </c>
      <c r="S435" t="str">
        <f>_xlfn.TEXTAFTER(us_core_reqs[[#This Row],[URL*]],"#",-1)</f>
        <v>mandatory-and-must-support-data-elements</v>
      </c>
      <c r="T435" t="str">
        <f>SUBSTITUTE(SUBSTITUTE(PROPER(SUBSTITUTE(us_core_reqs[[#This Row],[Page]], "-", " "))&amp;": "&amp;PROPER(SUBSTITUTE(us_core_reqs[[#This Row],[Section]], "-", " ")),"Us ","US "), "Uscdi", "USCDI")</f>
        <v>Structuredefinition US Core Observation Occupation: Mandatory And Must Support Data Elements</v>
      </c>
      <c r="U435" t="s">
        <v>29</v>
      </c>
      <c r="V435" t="s">
        <v>30</v>
      </c>
      <c r="W435" t="s">
        <v>1171</v>
      </c>
      <c r="X435" t="s">
        <v>1171</v>
      </c>
      <c r="Y435" t="s">
        <v>1171</v>
      </c>
      <c r="Z435" t="s">
        <v>1171</v>
      </c>
      <c r="AA435" t="s">
        <v>1171</v>
      </c>
      <c r="AB435" t="s">
        <v>1171</v>
      </c>
      <c r="AC435" t="s">
        <v>1141</v>
      </c>
      <c r="AD435" t="s">
        <v>1171</v>
      </c>
    </row>
    <row r="436" spans="1:30" ht="68" x14ac:dyDescent="0.2">
      <c r="A436" t="s">
        <v>1171</v>
      </c>
      <c r="B436" t="s">
        <v>1608</v>
      </c>
      <c r="C436" t="str">
        <f>"CONF-"&amp;TEXT(us_core_reqs[[#This Row],[ID*]], "0000")</f>
        <v>CONF-0435</v>
      </c>
      <c r="D436" s="11" t="s">
        <v>449</v>
      </c>
      <c r="E436" t="str">
        <f>SUBSTITUTE(us_core_reqs[[#This Row],[URL*]], "https://hl7.org/fhir/us/core/STU8/","")</f>
        <v>https://hl7.org/fhir/us/core/StructureDefinition-us-core-observation-pregnancyintent.html#mandatory-and-must-support-data-elements</v>
      </c>
      <c r="F436" s="11" t="s">
        <v>1062</v>
      </c>
      <c r="G436" t="s">
        <v>29</v>
      </c>
      <c r="I436" t="s">
        <v>30</v>
      </c>
      <c r="J436" t="s">
        <v>1171</v>
      </c>
      <c r="K436" t="s">
        <v>1171</v>
      </c>
      <c r="L436" t="s">
        <v>1173</v>
      </c>
      <c r="M436" t="s">
        <v>1171</v>
      </c>
      <c r="N436" t="s">
        <v>1171</v>
      </c>
      <c r="O436" t="s">
        <v>1171</v>
      </c>
      <c r="P436" t="s">
        <v>1171</v>
      </c>
      <c r="Q436" t="s">
        <v>1171</v>
      </c>
      <c r="R436" t="str">
        <f>_xlfn.TEXTBEFORE(_xlfn.TEXTAFTER(us_core_reqs[[#This Row],[URL*]],"/",-1),".")</f>
        <v>StructureDefinition-us-core-observation-pregnancyintent</v>
      </c>
      <c r="S436" t="str">
        <f>_xlfn.TEXTAFTER(us_core_reqs[[#This Row],[URL*]],"#",-1)</f>
        <v>mandatory-and-must-support-data-elements</v>
      </c>
      <c r="T436" t="str">
        <f>SUBSTITUTE(SUBSTITUTE(PROPER(SUBSTITUTE(us_core_reqs[[#This Row],[Page]], "-", " "))&amp;": "&amp;PROPER(SUBSTITUTE(us_core_reqs[[#This Row],[Section]], "-", " ")),"Us ","US "), "Uscdi", "USCDI")</f>
        <v>Structuredefinition US Core Observation Pregnancyintent: Mandatory And Must Support Data Elements</v>
      </c>
      <c r="U436" t="s">
        <v>29</v>
      </c>
      <c r="V436" t="s">
        <v>30</v>
      </c>
      <c r="W436" t="s">
        <v>1171</v>
      </c>
      <c r="X436" t="s">
        <v>1171</v>
      </c>
      <c r="Y436" t="s">
        <v>1171</v>
      </c>
      <c r="Z436" t="s">
        <v>1171</v>
      </c>
      <c r="AA436" t="s">
        <v>1171</v>
      </c>
      <c r="AB436" t="s">
        <v>1171</v>
      </c>
      <c r="AC436" t="s">
        <v>1140</v>
      </c>
      <c r="AD436" t="s">
        <v>1171</v>
      </c>
    </row>
    <row r="437" spans="1:30" ht="68" x14ac:dyDescent="0.2">
      <c r="A437" t="s">
        <v>1171</v>
      </c>
      <c r="B437" t="s">
        <v>1609</v>
      </c>
      <c r="C437" t="str">
        <f>"CONF-"&amp;TEXT(us_core_reqs[[#This Row],[ID*]], "0000")</f>
        <v>CONF-0436</v>
      </c>
      <c r="D437" s="11" t="s">
        <v>450</v>
      </c>
      <c r="E437" t="str">
        <f>SUBSTITUTE(us_core_reqs[[#This Row],[URL*]], "https://hl7.org/fhir/us/core/STU8/","")</f>
        <v>https://hl7.org/fhir/us/core/StructureDefinition-us-core-observation-pregnancystatus.html#mandatory-and-must-support-data-elements</v>
      </c>
      <c r="F437" s="11" t="s">
        <v>1063</v>
      </c>
      <c r="G437" t="s">
        <v>29</v>
      </c>
      <c r="I437" t="s">
        <v>30</v>
      </c>
      <c r="J437" t="s">
        <v>1171</v>
      </c>
      <c r="K437" t="s">
        <v>1171</v>
      </c>
      <c r="L437" t="s">
        <v>1173</v>
      </c>
      <c r="M437" t="s">
        <v>1171</v>
      </c>
      <c r="N437" t="s">
        <v>1171</v>
      </c>
      <c r="O437" t="s">
        <v>1171</v>
      </c>
      <c r="P437" t="s">
        <v>1171</v>
      </c>
      <c r="Q437" t="s">
        <v>1171</v>
      </c>
      <c r="R437" t="str">
        <f>_xlfn.TEXTBEFORE(_xlfn.TEXTAFTER(us_core_reqs[[#This Row],[URL*]],"/",-1),".")</f>
        <v>StructureDefinition-us-core-observation-pregnancystatus</v>
      </c>
      <c r="S437" t="str">
        <f>_xlfn.TEXTAFTER(us_core_reqs[[#This Row],[URL*]],"#",-1)</f>
        <v>mandatory-and-must-support-data-elements</v>
      </c>
      <c r="T437" t="str">
        <f>SUBSTITUTE(SUBSTITUTE(PROPER(SUBSTITUTE(us_core_reqs[[#This Row],[Page]], "-", " "))&amp;": "&amp;PROPER(SUBSTITUTE(us_core_reqs[[#This Row],[Section]], "-", " ")),"Us ","US "), "Uscdi", "USCDI")</f>
        <v>Structuredefinition US Core Observation Pregnancystatus: Mandatory And Must Support Data Elements</v>
      </c>
      <c r="U437" t="s">
        <v>29</v>
      </c>
      <c r="V437" t="s">
        <v>30</v>
      </c>
      <c r="W437" t="s">
        <v>1171</v>
      </c>
      <c r="X437" t="s">
        <v>1171</v>
      </c>
      <c r="Y437" t="s">
        <v>1171</v>
      </c>
      <c r="Z437" t="s">
        <v>1171</v>
      </c>
      <c r="AA437" t="s">
        <v>1171</v>
      </c>
      <c r="AB437" t="s">
        <v>1171</v>
      </c>
      <c r="AC437" t="s">
        <v>1140</v>
      </c>
      <c r="AD437" t="s">
        <v>1171</v>
      </c>
    </row>
    <row r="438" spans="1:30" ht="51" x14ac:dyDescent="0.2">
      <c r="A438" t="s">
        <v>1171</v>
      </c>
      <c r="B438" t="s">
        <v>1610</v>
      </c>
      <c r="C438" t="str">
        <f>"CONF-"&amp;TEXT(us_core_reqs[[#This Row],[ID*]], "0000")</f>
        <v>CONF-0437</v>
      </c>
      <c r="D438" s="11" t="s">
        <v>451</v>
      </c>
      <c r="E438" t="str">
        <f>SUBSTITUTE(us_core_reqs[[#This Row],[URL*]], "https://hl7.org/fhir/us/core/STU8/","")</f>
        <v>https://hl7.org/fhir/us/core/StructureDefinition-us-core-observation-screening-assessment.html#mandatory-and-must-support-data-elements</v>
      </c>
      <c r="F438" s="11" t="s">
        <v>1986</v>
      </c>
      <c r="G438" t="s">
        <v>32</v>
      </c>
      <c r="I438" t="s">
        <v>30</v>
      </c>
      <c r="J438" t="s">
        <v>1171</v>
      </c>
      <c r="K438" t="s">
        <v>1171</v>
      </c>
      <c r="L438" t="s">
        <v>1176</v>
      </c>
      <c r="M438" t="s">
        <v>453</v>
      </c>
      <c r="N438" t="s">
        <v>1171</v>
      </c>
      <c r="O438" t="s">
        <v>1171</v>
      </c>
      <c r="P438" t="s">
        <v>1171</v>
      </c>
      <c r="Q438" t="s">
        <v>1171</v>
      </c>
      <c r="R438" t="str">
        <f>_xlfn.TEXTBEFORE(_xlfn.TEXTAFTER(us_core_reqs[[#This Row],[URL*]],"/",-1),".")</f>
        <v>StructureDefinition-us-core-observation-screening-assessment</v>
      </c>
      <c r="S438" t="str">
        <f>_xlfn.TEXTAFTER(us_core_reqs[[#This Row],[URL*]],"#",-1)</f>
        <v>mandatory-and-must-support-data-elements</v>
      </c>
      <c r="T438" t="str">
        <f>SUBSTITUTE(SUBSTITUTE(PROPER(SUBSTITUTE(us_core_reqs[[#This Row],[Page]], "-", " "))&amp;": "&amp;PROPER(SUBSTITUTE(us_core_reqs[[#This Row],[Section]], "-", " ")),"Us ","US "), "Uscdi", "USCDI")</f>
        <v>Structuredefinition US Core Observation Screening Assessment: Mandatory And Must Support Data Elements</v>
      </c>
      <c r="U438" t="s">
        <v>32</v>
      </c>
      <c r="V438" t="s">
        <v>1171</v>
      </c>
      <c r="W438" t="s">
        <v>1171</v>
      </c>
      <c r="X438" t="s">
        <v>1171</v>
      </c>
      <c r="Y438" t="s">
        <v>1171</v>
      </c>
      <c r="Z438" t="s">
        <v>1171</v>
      </c>
      <c r="AA438" t="s">
        <v>1171</v>
      </c>
      <c r="AB438" t="s">
        <v>1171</v>
      </c>
      <c r="AC438" t="s">
        <v>1171</v>
      </c>
      <c r="AD438" t="s">
        <v>1171</v>
      </c>
    </row>
    <row r="439" spans="1:30" ht="102" x14ac:dyDescent="0.2">
      <c r="A439" t="s">
        <v>1171</v>
      </c>
      <c r="B439" t="s">
        <v>1611</v>
      </c>
      <c r="C439" t="str">
        <f>"CONF-"&amp;TEXT(us_core_reqs[[#This Row],[ID*]], "0000")</f>
        <v>CONF-0438</v>
      </c>
      <c r="D439" s="11" t="s">
        <v>451</v>
      </c>
      <c r="E439" t="str">
        <f>SUBSTITUTE(us_core_reqs[[#This Row],[URL*]], "https://hl7.org/fhir/us/core/STU8/","")</f>
        <v>https://hl7.org/fhir/us/core/StructureDefinition-us-core-observation-screening-assessment.html#mandatory-and-must-support-data-elements</v>
      </c>
      <c r="F439" s="11" t="s">
        <v>454</v>
      </c>
      <c r="G439" t="s">
        <v>32</v>
      </c>
      <c r="I439" t="s">
        <v>30</v>
      </c>
      <c r="J439" t="s">
        <v>1171</v>
      </c>
      <c r="K439" t="s">
        <v>1171</v>
      </c>
      <c r="L439" t="s">
        <v>1176</v>
      </c>
      <c r="M439" t="s">
        <v>455</v>
      </c>
      <c r="N439" t="s">
        <v>1171</v>
      </c>
      <c r="O439" t="s">
        <v>1171</v>
      </c>
      <c r="P439" t="s">
        <v>1171</v>
      </c>
      <c r="Q439" t="s">
        <v>1171</v>
      </c>
      <c r="R439" t="str">
        <f>_xlfn.TEXTBEFORE(_xlfn.TEXTAFTER(us_core_reqs[[#This Row],[URL*]],"/",-1),".")</f>
        <v>StructureDefinition-us-core-observation-screening-assessment</v>
      </c>
      <c r="S439" t="str">
        <f>_xlfn.TEXTAFTER(us_core_reqs[[#This Row],[URL*]],"#",-1)</f>
        <v>mandatory-and-must-support-data-elements</v>
      </c>
      <c r="T439" t="str">
        <f>SUBSTITUTE(SUBSTITUTE(PROPER(SUBSTITUTE(us_core_reqs[[#This Row],[Page]], "-", " "))&amp;": "&amp;PROPER(SUBSTITUTE(us_core_reqs[[#This Row],[Section]], "-", " ")),"Us ","US "), "Uscdi", "USCDI")</f>
        <v>Structuredefinition US Core Observation Screening Assessment: Mandatory And Must Support Data Elements</v>
      </c>
      <c r="U439" t="s">
        <v>32</v>
      </c>
      <c r="V439" t="s">
        <v>1171</v>
      </c>
      <c r="W439" t="s">
        <v>1171</v>
      </c>
      <c r="X439" t="s">
        <v>1171</v>
      </c>
      <c r="Y439" t="s">
        <v>1171</v>
      </c>
      <c r="Z439" t="s">
        <v>1171</v>
      </c>
      <c r="AA439" t="s">
        <v>1171</v>
      </c>
      <c r="AB439" t="s">
        <v>1171</v>
      </c>
      <c r="AC439" t="s">
        <v>1171</v>
      </c>
      <c r="AD439" t="s">
        <v>1171</v>
      </c>
    </row>
    <row r="440" spans="1:30" ht="51" x14ac:dyDescent="0.2">
      <c r="A440" t="s">
        <v>1171</v>
      </c>
      <c r="B440" t="s">
        <v>1612</v>
      </c>
      <c r="C440" t="str">
        <f>"CONF-"&amp;TEXT(us_core_reqs[[#This Row],[ID*]], "0000")</f>
        <v>CONF-0439</v>
      </c>
      <c r="D440" s="11" t="s">
        <v>451</v>
      </c>
      <c r="E440" t="str">
        <f>SUBSTITUTE(us_core_reqs[[#This Row],[URL*]], "https://hl7.org/fhir/us/core/STU8/","")</f>
        <v>https://hl7.org/fhir/us/core/StructureDefinition-us-core-observation-screening-assessment.html#mandatory-and-must-support-data-elements</v>
      </c>
      <c r="F440" s="11" t="s">
        <v>2136</v>
      </c>
      <c r="G440" t="s">
        <v>29</v>
      </c>
      <c r="I440" t="s">
        <v>30</v>
      </c>
      <c r="J440" t="s">
        <v>1171</v>
      </c>
      <c r="K440" t="s">
        <v>1171</v>
      </c>
      <c r="L440" t="s">
        <v>1176</v>
      </c>
      <c r="M440" t="s">
        <v>1065</v>
      </c>
      <c r="N440" t="s">
        <v>1171</v>
      </c>
      <c r="O440" t="s">
        <v>1171</v>
      </c>
      <c r="P440" t="s">
        <v>1171</v>
      </c>
      <c r="Q440" t="s">
        <v>1171</v>
      </c>
      <c r="R440" t="str">
        <f>_xlfn.TEXTBEFORE(_xlfn.TEXTAFTER(us_core_reqs[[#This Row],[URL*]],"/",-1),".")</f>
        <v>StructureDefinition-us-core-observation-screening-assessment</v>
      </c>
      <c r="S440" t="str">
        <f>_xlfn.TEXTAFTER(us_core_reqs[[#This Row],[URL*]],"#",-1)</f>
        <v>mandatory-and-must-support-data-elements</v>
      </c>
      <c r="T440" t="str">
        <f>SUBSTITUTE(SUBSTITUTE(PROPER(SUBSTITUTE(us_core_reqs[[#This Row],[Page]], "-", " "))&amp;": "&amp;PROPER(SUBSTITUTE(us_core_reqs[[#This Row],[Section]], "-", " ")),"Us ","US "), "Uscdi", "USCDI")</f>
        <v>Structuredefinition US Core Observation Screening Assessment: Mandatory And Must Support Data Elements</v>
      </c>
      <c r="U440" t="s">
        <v>29</v>
      </c>
      <c r="V440" t="s">
        <v>30</v>
      </c>
      <c r="W440" t="s">
        <v>1171</v>
      </c>
      <c r="X440" t="s">
        <v>1171</v>
      </c>
      <c r="Y440" t="s">
        <v>1171</v>
      </c>
      <c r="Z440" t="s">
        <v>1171</v>
      </c>
      <c r="AA440" t="s">
        <v>1171</v>
      </c>
      <c r="AB440" t="s">
        <v>784</v>
      </c>
      <c r="AC440" t="s">
        <v>1140</v>
      </c>
      <c r="AD440" t="s">
        <v>1171</v>
      </c>
    </row>
    <row r="441" spans="1:30" ht="51" x14ac:dyDescent="0.2">
      <c r="A441" t="s">
        <v>1171</v>
      </c>
      <c r="B441" t="s">
        <v>1613</v>
      </c>
      <c r="C441" t="str">
        <f>"CONF-"&amp;TEXT(us_core_reqs[[#This Row],[ID*]], "0000")</f>
        <v>CONF-0440</v>
      </c>
      <c r="D441" s="11" t="s">
        <v>456</v>
      </c>
      <c r="E441" t="str">
        <f>SUBSTITUTE(us_core_reqs[[#This Row],[URL*]], "https://hl7.org/fhir/us/core/STU8/","")</f>
        <v>https://hl7.org/fhir/us/core/StructureDefinition-us-core-observation-sexual-orientation.html#mandatory-and-must-support-data-elements</v>
      </c>
      <c r="F441" s="11" t="s">
        <v>457</v>
      </c>
      <c r="G441" t="s">
        <v>35</v>
      </c>
      <c r="I441" t="s">
        <v>30</v>
      </c>
      <c r="J441" t="s">
        <v>1171</v>
      </c>
      <c r="K441" t="s">
        <v>1171</v>
      </c>
      <c r="L441" t="s">
        <v>1176</v>
      </c>
      <c r="M441" t="s">
        <v>458</v>
      </c>
      <c r="N441" t="s">
        <v>1171</v>
      </c>
      <c r="O441" t="s">
        <v>1171</v>
      </c>
      <c r="P441" t="s">
        <v>1171</v>
      </c>
      <c r="Q441" t="s">
        <v>1171</v>
      </c>
      <c r="R441" t="str">
        <f>_xlfn.TEXTBEFORE(_xlfn.TEXTAFTER(us_core_reqs[[#This Row],[URL*]],"/",-1),".")</f>
        <v>StructureDefinition-us-core-observation-sexual-orientation</v>
      </c>
      <c r="S441" t="str">
        <f>_xlfn.TEXTAFTER(us_core_reqs[[#This Row],[URL*]],"#",-1)</f>
        <v>mandatory-and-must-support-data-elements</v>
      </c>
      <c r="T441" t="str">
        <f>SUBSTITUTE(SUBSTITUTE(PROPER(SUBSTITUTE(us_core_reqs[[#This Row],[Page]], "-", " "))&amp;": "&amp;PROPER(SUBSTITUTE(us_core_reqs[[#This Row],[Section]], "-", " ")),"Us ","US "), "Uscdi", "USCDI")</f>
        <v>Structuredefinition US Core Observation Sexual Orientation: Mandatory And Must Support Data Elements</v>
      </c>
      <c r="U441" t="s">
        <v>1171</v>
      </c>
      <c r="V441" t="s">
        <v>1171</v>
      </c>
      <c r="W441" t="s">
        <v>1171</v>
      </c>
      <c r="X441" t="s">
        <v>1171</v>
      </c>
      <c r="Y441" t="s">
        <v>1171</v>
      </c>
      <c r="Z441" t="s">
        <v>1171</v>
      </c>
      <c r="AA441" t="s">
        <v>1171</v>
      </c>
      <c r="AB441" t="s">
        <v>1171</v>
      </c>
      <c r="AC441" t="s">
        <v>1171</v>
      </c>
      <c r="AD441" t="s">
        <v>1171</v>
      </c>
    </row>
    <row r="442" spans="1:30" ht="68" x14ac:dyDescent="0.2">
      <c r="A442" t="s">
        <v>1171</v>
      </c>
      <c r="B442" t="s">
        <v>1614</v>
      </c>
      <c r="C442" t="str">
        <f>"CONF-"&amp;TEXT(us_core_reqs[[#This Row],[ID*]], "0000")</f>
        <v>CONF-0441</v>
      </c>
      <c r="D442" s="11" t="s">
        <v>879</v>
      </c>
      <c r="E442" t="str">
        <f>SUBSTITUTE(us_core_reqs[[#This Row],[URL*]], "https://hl7.org/fhir/us/core/STU8/","")</f>
        <v>StructureDefinition-us-core-simple-observation.html#mandatory-and-must-support-data-elements</v>
      </c>
      <c r="F442" s="11" t="s">
        <v>1987</v>
      </c>
      <c r="G442" t="s">
        <v>32</v>
      </c>
      <c r="I442" t="s">
        <v>30</v>
      </c>
      <c r="J442" t="s">
        <v>1171</v>
      </c>
      <c r="K442" t="s">
        <v>1171</v>
      </c>
      <c r="L442" t="s">
        <v>1173</v>
      </c>
      <c r="M442" t="s">
        <v>1171</v>
      </c>
      <c r="N442" t="s">
        <v>1171</v>
      </c>
      <c r="O442" t="s">
        <v>1171</v>
      </c>
      <c r="P442" t="s">
        <v>1171</v>
      </c>
      <c r="Q442" t="s">
        <v>1171</v>
      </c>
      <c r="R442" t="str">
        <f>_xlfn.TEXTBEFORE(_xlfn.TEXTAFTER(us_core_reqs[[#This Row],[URL*]],"/",-1),".")</f>
        <v>StructureDefinition-us-core-simple-observation</v>
      </c>
      <c r="S442" t="str">
        <f>_xlfn.TEXTAFTER(us_core_reqs[[#This Row],[URL*]],"#",-1)</f>
        <v>mandatory-and-must-support-data-elements</v>
      </c>
      <c r="T442" t="str">
        <f>SUBSTITUTE(SUBSTITUTE(PROPER(SUBSTITUTE(us_core_reqs[[#This Row],[Page]], "-", " "))&amp;": "&amp;PROPER(SUBSTITUTE(us_core_reqs[[#This Row],[Section]], "-", " ")),"Us ","US "), "Uscdi", "USCDI")</f>
        <v>Structuredefinition US Core Simple Observation: Mandatory And Must Support Data Elements</v>
      </c>
      <c r="U442" t="s">
        <v>32</v>
      </c>
      <c r="V442" t="s">
        <v>1171</v>
      </c>
      <c r="W442" t="s">
        <v>1171</v>
      </c>
      <c r="X442" t="s">
        <v>1171</v>
      </c>
      <c r="Y442" t="s">
        <v>1171</v>
      </c>
      <c r="Z442" t="s">
        <v>1171</v>
      </c>
      <c r="AA442" t="s">
        <v>1171</v>
      </c>
      <c r="AB442" t="s">
        <v>1171</v>
      </c>
      <c r="AC442" t="s">
        <v>1171</v>
      </c>
      <c r="AD442" t="s">
        <v>1171</v>
      </c>
    </row>
    <row r="443" spans="1:30" ht="51" x14ac:dyDescent="0.2">
      <c r="A443" t="s">
        <v>1171</v>
      </c>
      <c r="B443" t="s">
        <v>1615</v>
      </c>
      <c r="C443" t="str">
        <f>"CONF-"&amp;TEXT(us_core_reqs[[#This Row],[ID*]], "0000")</f>
        <v>CONF-0442</v>
      </c>
      <c r="D443" s="11" t="s">
        <v>879</v>
      </c>
      <c r="E443" t="str">
        <f>SUBSTITUTE(us_core_reqs[[#This Row],[URL*]], "https://hl7.org/fhir/us/core/STU8/","")</f>
        <v>StructureDefinition-us-core-simple-observation.html#mandatory-and-must-support-data-elements</v>
      </c>
      <c r="F443" s="11" t="s">
        <v>1988</v>
      </c>
      <c r="G443" t="s">
        <v>32</v>
      </c>
      <c r="I443" t="s">
        <v>30</v>
      </c>
      <c r="J443" t="s">
        <v>1171</v>
      </c>
      <c r="K443" t="s">
        <v>1171</v>
      </c>
      <c r="L443" t="s">
        <v>1173</v>
      </c>
      <c r="M443" t="s">
        <v>1171</v>
      </c>
      <c r="N443" t="s">
        <v>1171</v>
      </c>
      <c r="O443" t="s">
        <v>1171</v>
      </c>
      <c r="P443" t="s">
        <v>1171</v>
      </c>
      <c r="Q443" t="s">
        <v>1171</v>
      </c>
      <c r="R443" t="str">
        <f>_xlfn.TEXTBEFORE(_xlfn.TEXTAFTER(us_core_reqs[[#This Row],[URL*]],"/",-1),".")</f>
        <v>StructureDefinition-us-core-simple-observation</v>
      </c>
      <c r="S443" t="str">
        <f>_xlfn.TEXTAFTER(us_core_reqs[[#This Row],[URL*]],"#",-1)</f>
        <v>mandatory-and-must-support-data-elements</v>
      </c>
      <c r="T443" t="str">
        <f>SUBSTITUTE(SUBSTITUTE(PROPER(SUBSTITUTE(us_core_reqs[[#This Row],[Page]], "-", " "))&amp;": "&amp;PROPER(SUBSTITUTE(us_core_reqs[[#This Row],[Section]], "-", " ")),"Us ","US "), "Uscdi", "USCDI")</f>
        <v>Structuredefinition US Core Simple Observation: Mandatory And Must Support Data Elements</v>
      </c>
      <c r="U443" t="s">
        <v>32</v>
      </c>
      <c r="V443" t="s">
        <v>1171</v>
      </c>
      <c r="W443" t="s">
        <v>1171</v>
      </c>
      <c r="X443" t="s">
        <v>1171</v>
      </c>
      <c r="Y443" t="s">
        <v>1171</v>
      </c>
      <c r="Z443" t="s">
        <v>1171</v>
      </c>
      <c r="AA443" t="s">
        <v>1171</v>
      </c>
      <c r="AB443" t="s">
        <v>1171</v>
      </c>
      <c r="AC443" t="s">
        <v>1171</v>
      </c>
      <c r="AD443" t="s">
        <v>1171</v>
      </c>
    </row>
    <row r="444" spans="1:30" ht="51" x14ac:dyDescent="0.2">
      <c r="A444" t="s">
        <v>1171</v>
      </c>
      <c r="B444" t="s">
        <v>1616</v>
      </c>
      <c r="C444" t="str">
        <f>"CONF-"&amp;TEXT(us_core_reqs[[#This Row],[ID*]], "0000")</f>
        <v>CONF-0443</v>
      </c>
      <c r="D444" s="11" t="s">
        <v>879</v>
      </c>
      <c r="E444" t="str">
        <f>SUBSTITUTE(us_core_reqs[[#This Row],[URL*]], "https://hl7.org/fhir/us/core/STU8/","")</f>
        <v>StructureDefinition-us-core-simple-observation.html#mandatory-and-must-support-data-elements</v>
      </c>
      <c r="F444" s="11" t="s">
        <v>1989</v>
      </c>
      <c r="G444" t="s">
        <v>32</v>
      </c>
      <c r="I444" t="s">
        <v>30</v>
      </c>
      <c r="J444" t="s">
        <v>1171</v>
      </c>
      <c r="K444" t="s">
        <v>1171</v>
      </c>
      <c r="L444" t="s">
        <v>1173</v>
      </c>
      <c r="M444" t="s">
        <v>1171</v>
      </c>
      <c r="N444" t="s">
        <v>1171</v>
      </c>
      <c r="O444" t="s">
        <v>1171</v>
      </c>
      <c r="P444" t="s">
        <v>1171</v>
      </c>
      <c r="Q444" t="s">
        <v>1171</v>
      </c>
      <c r="R444" t="str">
        <f>_xlfn.TEXTBEFORE(_xlfn.TEXTAFTER(us_core_reqs[[#This Row],[URL*]],"/",-1),".")</f>
        <v>StructureDefinition-us-core-simple-observation</v>
      </c>
      <c r="S444" t="str">
        <f>_xlfn.TEXTAFTER(us_core_reqs[[#This Row],[URL*]],"#",-1)</f>
        <v>mandatory-and-must-support-data-elements</v>
      </c>
      <c r="T444" t="str">
        <f>SUBSTITUTE(SUBSTITUTE(PROPER(SUBSTITUTE(us_core_reqs[[#This Row],[Page]], "-", " "))&amp;": "&amp;PROPER(SUBSTITUTE(us_core_reqs[[#This Row],[Section]], "-", " ")),"Us ","US "), "Uscdi", "USCDI")</f>
        <v>Structuredefinition US Core Simple Observation: Mandatory And Must Support Data Elements</v>
      </c>
      <c r="U444" t="s">
        <v>32</v>
      </c>
      <c r="V444" t="s">
        <v>1171</v>
      </c>
      <c r="W444" t="s">
        <v>1171</v>
      </c>
      <c r="X444" t="s">
        <v>1171</v>
      </c>
      <c r="Y444" t="s">
        <v>1171</v>
      </c>
      <c r="Z444" t="s">
        <v>1171</v>
      </c>
      <c r="AA444" t="s">
        <v>1171</v>
      </c>
      <c r="AB444" t="s">
        <v>1171</v>
      </c>
      <c r="AC444" t="s">
        <v>1171</v>
      </c>
      <c r="AD444" t="s">
        <v>1171</v>
      </c>
    </row>
    <row r="445" spans="1:30" ht="68" x14ac:dyDescent="0.2">
      <c r="A445" t="s">
        <v>1171</v>
      </c>
      <c r="B445" t="s">
        <v>1617</v>
      </c>
      <c r="C445" t="str">
        <f>"CONF-"&amp;TEXT(us_core_reqs[[#This Row],[ID*]], "0000")</f>
        <v>CONF-0444</v>
      </c>
      <c r="D445" s="11" t="s">
        <v>879</v>
      </c>
      <c r="E445" t="str">
        <f>SUBSTITUTE(us_core_reqs[[#This Row],[URL*]], "https://hl7.org/fhir/us/core/STU8/","")</f>
        <v>StructureDefinition-us-core-simple-observation.html#mandatory-and-must-support-data-elements</v>
      </c>
      <c r="F445" s="11" t="s">
        <v>2137</v>
      </c>
      <c r="G445" t="s">
        <v>29</v>
      </c>
      <c r="I445" t="s">
        <v>30</v>
      </c>
      <c r="J445" t="s">
        <v>1171</v>
      </c>
      <c r="K445" t="s">
        <v>1171</v>
      </c>
      <c r="L445" t="s">
        <v>1176</v>
      </c>
      <c r="M445" t="s">
        <v>461</v>
      </c>
      <c r="N445" t="s">
        <v>1171</v>
      </c>
      <c r="O445" t="s">
        <v>1171</v>
      </c>
      <c r="P445" t="s">
        <v>1171</v>
      </c>
      <c r="Q445" t="s">
        <v>1171</v>
      </c>
      <c r="R445" t="str">
        <f>_xlfn.TEXTBEFORE(_xlfn.TEXTAFTER(us_core_reqs[[#This Row],[URL*]],"/",-1),".")</f>
        <v>StructureDefinition-us-core-simple-observation</v>
      </c>
      <c r="S445" t="str">
        <f>_xlfn.TEXTAFTER(us_core_reqs[[#This Row],[URL*]],"#",-1)</f>
        <v>mandatory-and-must-support-data-elements</v>
      </c>
      <c r="T445" t="str">
        <f>SUBSTITUTE(SUBSTITUTE(PROPER(SUBSTITUTE(us_core_reqs[[#This Row],[Page]], "-", " "))&amp;": "&amp;PROPER(SUBSTITUTE(us_core_reqs[[#This Row],[Section]], "-", " ")),"Us ","US "), "Uscdi", "USCDI")</f>
        <v>Structuredefinition US Core Simple Observation: Mandatory And Must Support Data Elements</v>
      </c>
      <c r="U445" t="s">
        <v>29</v>
      </c>
      <c r="V445" t="s">
        <v>30</v>
      </c>
      <c r="W445" t="s">
        <v>1171</v>
      </c>
      <c r="X445" t="s">
        <v>1171</v>
      </c>
      <c r="Y445" t="s">
        <v>1171</v>
      </c>
      <c r="Z445" t="s">
        <v>1171</v>
      </c>
      <c r="AA445" t="s">
        <v>1171</v>
      </c>
      <c r="AB445" t="s">
        <v>1171</v>
      </c>
      <c r="AC445" t="s">
        <v>1140</v>
      </c>
      <c r="AD445" t="s">
        <v>1171</v>
      </c>
    </row>
    <row r="446" spans="1:30" ht="51" x14ac:dyDescent="0.2">
      <c r="A446" t="s">
        <v>1171</v>
      </c>
      <c r="B446" t="s">
        <v>1618</v>
      </c>
      <c r="C446" t="str">
        <f>"CONF-"&amp;TEXT(us_core_reqs[[#This Row],[ID*]], "0000")</f>
        <v>CONF-0445</v>
      </c>
      <c r="D446" s="11" t="s">
        <v>881</v>
      </c>
      <c r="E446" t="str">
        <f>SUBSTITUTE(us_core_reqs[[#This Row],[URL*]], "https://hl7.org/fhir/us/core/STU8/","")</f>
        <v>StructureDefinition-us-core-treatment-intervention-preference.html#mandatory-and-must-support-data-elements</v>
      </c>
      <c r="F446" s="11" t="s">
        <v>462</v>
      </c>
      <c r="G446" t="s">
        <v>35</v>
      </c>
      <c r="I446" t="s">
        <v>30</v>
      </c>
      <c r="J446" t="s">
        <v>1171</v>
      </c>
      <c r="K446" t="s">
        <v>1171</v>
      </c>
      <c r="L446" t="s">
        <v>1176</v>
      </c>
      <c r="M446" t="s">
        <v>463</v>
      </c>
      <c r="N446" t="s">
        <v>1171</v>
      </c>
      <c r="O446" t="s">
        <v>1171</v>
      </c>
      <c r="P446" t="s">
        <v>1171</v>
      </c>
      <c r="Q446" t="s">
        <v>1171</v>
      </c>
      <c r="R446" t="str">
        <f>_xlfn.TEXTBEFORE(_xlfn.TEXTAFTER(us_core_reqs[[#This Row],[URL*]],"/",-1),".")</f>
        <v>StructureDefinition-us-core-treatment-intervention-preference</v>
      </c>
      <c r="S446" t="str">
        <f>_xlfn.TEXTAFTER(us_core_reqs[[#This Row],[URL*]],"#",-1)</f>
        <v>mandatory-and-must-support-data-elements</v>
      </c>
      <c r="T446" t="str">
        <f>SUBSTITUTE(SUBSTITUTE(PROPER(SUBSTITUTE(us_core_reqs[[#This Row],[Page]], "-", " "))&amp;": "&amp;PROPER(SUBSTITUTE(us_core_reqs[[#This Row],[Section]], "-", " ")),"Us ","US "), "Uscdi", "USCDI")</f>
        <v>Structuredefinition US Core Treatment Intervention Preference: Mandatory And Must Support Data Elements</v>
      </c>
      <c r="U446" t="s">
        <v>35</v>
      </c>
      <c r="V446" t="s">
        <v>1171</v>
      </c>
      <c r="W446" t="s">
        <v>1171</v>
      </c>
      <c r="X446" t="s">
        <v>1171</v>
      </c>
      <c r="Y446" t="s">
        <v>1171</v>
      </c>
      <c r="Z446" t="s">
        <v>1171</v>
      </c>
      <c r="AA446" t="s">
        <v>1171</v>
      </c>
      <c r="AB446" t="s">
        <v>1171</v>
      </c>
      <c r="AC446" t="s">
        <v>1171</v>
      </c>
      <c r="AD446" t="s">
        <v>1171</v>
      </c>
    </row>
    <row r="447" spans="1:30" ht="51" x14ac:dyDescent="0.2">
      <c r="A447" t="s">
        <v>1171</v>
      </c>
      <c r="B447" t="s">
        <v>1619</v>
      </c>
      <c r="C447" t="str">
        <f>"CONF-"&amp;TEXT(us_core_reqs[[#This Row],[ID*]], "0000")</f>
        <v>CONF-0446</v>
      </c>
      <c r="D447" s="11" t="s">
        <v>881</v>
      </c>
      <c r="E447" t="str">
        <f>SUBSTITUTE(us_core_reqs[[#This Row],[URL*]], "https://hl7.org/fhir/us/core/STU8/","")</f>
        <v>StructureDefinition-us-core-treatment-intervention-preference.html#mandatory-and-must-support-data-elements</v>
      </c>
      <c r="F447" s="11" t="s">
        <v>1990</v>
      </c>
      <c r="G447" t="s">
        <v>32</v>
      </c>
      <c r="I447" t="s">
        <v>30</v>
      </c>
      <c r="J447" t="s">
        <v>1171</v>
      </c>
      <c r="K447" t="s">
        <v>1171</v>
      </c>
      <c r="L447" t="s">
        <v>1176</v>
      </c>
      <c r="M447" t="s">
        <v>465</v>
      </c>
      <c r="N447" t="s">
        <v>1171</v>
      </c>
      <c r="O447" t="s">
        <v>1171</v>
      </c>
      <c r="P447" t="s">
        <v>1171</v>
      </c>
      <c r="Q447" t="s">
        <v>1171</v>
      </c>
      <c r="R447" t="str">
        <f>_xlfn.TEXTBEFORE(_xlfn.TEXTAFTER(us_core_reqs[[#This Row],[URL*]],"/",-1),".")</f>
        <v>StructureDefinition-us-core-treatment-intervention-preference</v>
      </c>
      <c r="S447" t="str">
        <f>_xlfn.TEXTAFTER(us_core_reqs[[#This Row],[URL*]],"#",-1)</f>
        <v>mandatory-and-must-support-data-elements</v>
      </c>
      <c r="T447" t="str">
        <f>SUBSTITUTE(SUBSTITUTE(PROPER(SUBSTITUTE(us_core_reqs[[#This Row],[Page]], "-", " "))&amp;": "&amp;PROPER(SUBSTITUTE(us_core_reqs[[#This Row],[Section]], "-", " ")),"Us ","US "), "Uscdi", "USCDI")</f>
        <v>Structuredefinition US Core Treatment Intervention Preference: Mandatory And Must Support Data Elements</v>
      </c>
      <c r="U447" t="s">
        <v>32</v>
      </c>
      <c r="V447" t="s">
        <v>1171</v>
      </c>
      <c r="W447" t="s">
        <v>1171</v>
      </c>
      <c r="X447" t="s">
        <v>1171</v>
      </c>
      <c r="Y447" t="s">
        <v>1171</v>
      </c>
      <c r="Z447" t="s">
        <v>1171</v>
      </c>
      <c r="AA447" t="s">
        <v>1171</v>
      </c>
      <c r="AB447" t="s">
        <v>1171</v>
      </c>
      <c r="AC447" t="s">
        <v>1171</v>
      </c>
      <c r="AD447" t="s">
        <v>1171</v>
      </c>
    </row>
    <row r="448" spans="1:30" ht="85" x14ac:dyDescent="0.2">
      <c r="A448" t="s">
        <v>1171</v>
      </c>
      <c r="B448" t="s">
        <v>1620</v>
      </c>
      <c r="C448" t="str">
        <f>"CONF-"&amp;TEXT(us_core_reqs[[#This Row],[ID*]], "0000")</f>
        <v>CONF-0447</v>
      </c>
      <c r="D448" s="11" t="s">
        <v>882</v>
      </c>
      <c r="E448" t="str">
        <f>SUBSTITUTE(us_core_reqs[[#This Row],[URL*]], "https://hl7.org/fhir/us/core/STU8/","")</f>
        <v>StructureDefinition-us-core-vital-signs.html#mandatory-and-must-support-data-elements</v>
      </c>
      <c r="F448" s="11" t="s">
        <v>2197</v>
      </c>
      <c r="G448" t="s">
        <v>35</v>
      </c>
      <c r="I448" t="s">
        <v>30</v>
      </c>
      <c r="J448" t="s">
        <v>1171</v>
      </c>
      <c r="K448" t="s">
        <v>1171</v>
      </c>
      <c r="L448" t="s">
        <v>1173</v>
      </c>
      <c r="M448" t="s">
        <v>1171</v>
      </c>
      <c r="N448" t="s">
        <v>1171</v>
      </c>
      <c r="O448" t="s">
        <v>1171</v>
      </c>
      <c r="P448" t="s">
        <v>1171</v>
      </c>
      <c r="Q448" t="s">
        <v>1171</v>
      </c>
      <c r="R448" t="str">
        <f>_xlfn.TEXTBEFORE(_xlfn.TEXTAFTER(us_core_reqs[[#This Row],[URL*]],"/",-1),".")</f>
        <v>StructureDefinition-us-core-vital-signs</v>
      </c>
      <c r="S448" t="str">
        <f>_xlfn.TEXTAFTER(us_core_reqs[[#This Row],[URL*]],"#",-1)</f>
        <v>mandatory-and-must-support-data-elements</v>
      </c>
      <c r="T448" t="str">
        <f>SUBSTITUTE(SUBSTITUTE(PROPER(SUBSTITUTE(us_core_reqs[[#This Row],[Page]], "-", " "))&amp;": "&amp;PROPER(SUBSTITUTE(us_core_reqs[[#This Row],[Section]], "-", " ")),"Us ","US "), "Uscdi", "USCDI")</f>
        <v>Structuredefinition US Core Vital Signs: Mandatory And Must Support Data Elements</v>
      </c>
      <c r="U448" t="s">
        <v>35</v>
      </c>
      <c r="V448" t="s">
        <v>1171</v>
      </c>
      <c r="W448" t="s">
        <v>1171</v>
      </c>
      <c r="X448" t="s">
        <v>1171</v>
      </c>
      <c r="Y448" t="s">
        <v>1171</v>
      </c>
      <c r="Z448" t="s">
        <v>1171</v>
      </c>
      <c r="AA448" t="s">
        <v>1171</v>
      </c>
      <c r="AB448" t="s">
        <v>1171</v>
      </c>
      <c r="AC448" t="s">
        <v>1171</v>
      </c>
      <c r="AD448" t="s">
        <v>1171</v>
      </c>
    </row>
    <row r="449" spans="1:30" ht="119" x14ac:dyDescent="0.2">
      <c r="A449" t="s">
        <v>1171</v>
      </c>
      <c r="B449" t="s">
        <v>1621</v>
      </c>
      <c r="C449" t="str">
        <f>"CONF-"&amp;TEXT(us_core_reqs[[#This Row],[ID*]], "0000")</f>
        <v>CONF-0448</v>
      </c>
      <c r="D449" s="11" t="s">
        <v>883</v>
      </c>
      <c r="E449" t="str">
        <f>SUBSTITUTE(us_core_reqs[[#This Row],[URL*]], "https://hl7.org/fhir/us/core/STU8/","")</f>
        <v>StructureDefinition-pediatric-bmi-for-age.html#mandatory-and-must-support-data-elements, StructureDefinition-pediatric-weight-for-height.html#mandatory-and-must-support-data-elements, StructureDefinition-head-occipital-frontal-circumference-percentile.html#mandatory-and-must-support-data-elements</v>
      </c>
      <c r="F449" s="11" t="s">
        <v>1991</v>
      </c>
      <c r="G449" t="s">
        <v>32</v>
      </c>
      <c r="I449" t="s">
        <v>30</v>
      </c>
      <c r="J449" t="s">
        <v>1171</v>
      </c>
      <c r="K449" t="s">
        <v>1171</v>
      </c>
      <c r="L449" t="s">
        <v>1173</v>
      </c>
      <c r="M449" t="s">
        <v>1171</v>
      </c>
      <c r="N449" t="s">
        <v>1171</v>
      </c>
      <c r="O449" t="s">
        <v>1171</v>
      </c>
      <c r="P449" t="s">
        <v>1171</v>
      </c>
      <c r="Q449" t="s">
        <v>1171</v>
      </c>
      <c r="R449" t="str">
        <f>_xlfn.TEXTBEFORE(_xlfn.TEXTAFTER(us_core_reqs[[#This Row],[URL*]],"/",-1),".")</f>
        <v>StructureDefinition-head-occipital-frontal-circumference-percentile</v>
      </c>
      <c r="S449" t="str">
        <f>_xlfn.TEXTAFTER(us_core_reqs[[#This Row],[URL*]],"#",-1)</f>
        <v>mandatory-and-must-support-data-elements</v>
      </c>
      <c r="T449" t="str">
        <f>SUBSTITUTE(SUBSTITUTE(PROPER(SUBSTITUTE(us_core_reqs[[#This Row],[Page]], "-", " "))&amp;": "&amp;PROPER(SUBSTITUTE(us_core_reqs[[#This Row],[Section]], "-", " ")),"Us ","US "), "Uscdi", "USCDI")</f>
        <v>Structuredefinition Head Occipital Frontal Circumference Percentile: Mandatory And Must Support Data Elements</v>
      </c>
      <c r="U449" t="s">
        <v>32</v>
      </c>
      <c r="V449" t="s">
        <v>1171</v>
      </c>
      <c r="W449" t="s">
        <v>1171</v>
      </c>
      <c r="X449" t="s">
        <v>1171</v>
      </c>
      <c r="Y449" t="s">
        <v>1171</v>
      </c>
      <c r="Z449" t="s">
        <v>1171</v>
      </c>
      <c r="AA449" t="s">
        <v>1171</v>
      </c>
      <c r="AB449" t="s">
        <v>1171</v>
      </c>
      <c r="AC449" t="s">
        <v>1171</v>
      </c>
      <c r="AD449" t="s">
        <v>1171</v>
      </c>
    </row>
    <row r="450" spans="1:30" ht="68" x14ac:dyDescent="0.2">
      <c r="A450" t="s">
        <v>1171</v>
      </c>
      <c r="B450" t="s">
        <v>1622</v>
      </c>
      <c r="C450" t="str">
        <f>"CONF-"&amp;TEXT(us_core_reqs[[#This Row],[ID*]], "0000")</f>
        <v>CONF-0449</v>
      </c>
      <c r="D450" s="11" t="s">
        <v>884</v>
      </c>
      <c r="E450" t="str">
        <f>SUBSTITUTE(us_core_reqs[[#This Row],[URL*]], "https://hl7.org/fhir/us/core/STU8/","")</f>
        <v>StructureDefinition-us-core-blood-pressure.html#mandatory-and-must-support-data-elements</v>
      </c>
      <c r="F450" s="11" t="s">
        <v>1992</v>
      </c>
      <c r="G450" t="s">
        <v>32</v>
      </c>
      <c r="I450" t="s">
        <v>30</v>
      </c>
      <c r="J450" t="s">
        <v>1171</v>
      </c>
      <c r="K450" t="s">
        <v>1171</v>
      </c>
      <c r="L450" t="s">
        <v>1176</v>
      </c>
      <c r="M450" t="s">
        <v>469</v>
      </c>
      <c r="N450" t="s">
        <v>1171</v>
      </c>
      <c r="O450" t="s">
        <v>1171</v>
      </c>
      <c r="P450" t="s">
        <v>1171</v>
      </c>
      <c r="Q450" t="s">
        <v>1171</v>
      </c>
      <c r="R450" t="str">
        <f>_xlfn.TEXTBEFORE(_xlfn.TEXTAFTER(us_core_reqs[[#This Row],[URL*]],"/",-1),".")</f>
        <v>StructureDefinition-us-core-blood-pressure</v>
      </c>
      <c r="S450" t="str">
        <f>_xlfn.TEXTAFTER(us_core_reqs[[#This Row],[URL*]],"#",-1)</f>
        <v>mandatory-and-must-support-data-elements</v>
      </c>
      <c r="T450" t="str">
        <f>SUBSTITUTE(SUBSTITUTE(PROPER(SUBSTITUTE(us_core_reqs[[#This Row],[Page]], "-", " "))&amp;": "&amp;PROPER(SUBSTITUTE(us_core_reqs[[#This Row],[Section]], "-", " ")),"Us ","US "), "Uscdi", "USCDI")</f>
        <v>Structuredefinition US Core Blood Pressure: Mandatory And Must Support Data Elements</v>
      </c>
      <c r="U450" t="s">
        <v>32</v>
      </c>
      <c r="V450" t="s">
        <v>1171</v>
      </c>
      <c r="W450" t="s">
        <v>1171</v>
      </c>
      <c r="X450" t="s">
        <v>1171</v>
      </c>
      <c r="Y450" t="s">
        <v>1171</v>
      </c>
      <c r="Z450" t="s">
        <v>1171</v>
      </c>
      <c r="AA450" t="s">
        <v>1171</v>
      </c>
      <c r="AB450" t="s">
        <v>1171</v>
      </c>
      <c r="AC450" t="s">
        <v>1171</v>
      </c>
      <c r="AD450" t="s">
        <v>1171</v>
      </c>
    </row>
    <row r="451" spans="1:30" ht="85" x14ac:dyDescent="0.2">
      <c r="A451" t="s">
        <v>1171</v>
      </c>
      <c r="B451" t="s">
        <v>1623</v>
      </c>
      <c r="C451" t="str">
        <f>"CONF-"&amp;TEXT(us_core_reqs[[#This Row],[ID*]], "0000")</f>
        <v>CONF-0450</v>
      </c>
      <c r="D451" s="11" t="s">
        <v>884</v>
      </c>
      <c r="E451" t="str">
        <f>SUBSTITUTE(us_core_reqs[[#This Row],[URL*]], "https://hl7.org/fhir/us/core/STU8/","")</f>
        <v>StructureDefinition-us-core-blood-pressure.html#mandatory-and-must-support-data-elements</v>
      </c>
      <c r="F451" s="11" t="s">
        <v>2184</v>
      </c>
      <c r="G451" t="s">
        <v>29</v>
      </c>
      <c r="I451" t="s">
        <v>30</v>
      </c>
      <c r="J451" t="s">
        <v>1171</v>
      </c>
      <c r="K451" t="s">
        <v>1171</v>
      </c>
      <c r="L451" t="s">
        <v>1176</v>
      </c>
      <c r="M451" t="s">
        <v>469</v>
      </c>
      <c r="N451" t="s">
        <v>1171</v>
      </c>
      <c r="O451" t="s">
        <v>1171</v>
      </c>
      <c r="P451" t="s">
        <v>1171</v>
      </c>
      <c r="Q451" t="s">
        <v>1171</v>
      </c>
      <c r="R451" t="str">
        <f>_xlfn.TEXTBEFORE(_xlfn.TEXTAFTER(us_core_reqs[[#This Row],[URL*]],"/",-1),".")</f>
        <v>StructureDefinition-us-core-blood-pressure</v>
      </c>
      <c r="S451" t="str">
        <f>_xlfn.TEXTAFTER(us_core_reqs[[#This Row],[URL*]],"#",-1)</f>
        <v>mandatory-and-must-support-data-elements</v>
      </c>
      <c r="T451" t="str">
        <f>SUBSTITUTE(SUBSTITUTE(PROPER(SUBSTITUTE(us_core_reqs[[#This Row],[Page]], "-", " "))&amp;": "&amp;PROPER(SUBSTITUTE(us_core_reqs[[#This Row],[Section]], "-", " ")),"Us ","US "), "Uscdi", "USCDI")</f>
        <v>Structuredefinition US Core Blood Pressure: Mandatory And Must Support Data Elements</v>
      </c>
      <c r="U451" t="s">
        <v>29</v>
      </c>
      <c r="V451" t="s">
        <v>1171</v>
      </c>
      <c r="W451" t="s">
        <v>1171</v>
      </c>
      <c r="X451" t="s">
        <v>1171</v>
      </c>
      <c r="Y451" t="s">
        <v>1171</v>
      </c>
      <c r="Z451" t="s">
        <v>1171</v>
      </c>
      <c r="AA451" t="s">
        <v>1171</v>
      </c>
      <c r="AB451" t="s">
        <v>1171</v>
      </c>
      <c r="AC451" t="s">
        <v>1140</v>
      </c>
      <c r="AD451" t="s">
        <v>1171</v>
      </c>
    </row>
    <row r="452" spans="1:30" ht="85" x14ac:dyDescent="0.2">
      <c r="A452" t="s">
        <v>1171</v>
      </c>
      <c r="B452" t="s">
        <v>1624</v>
      </c>
      <c r="C452" t="str">
        <f>"CONF-"&amp;TEXT(us_core_reqs[[#This Row],[ID*]], "0000")</f>
        <v>CONF-0451</v>
      </c>
      <c r="D452" s="11" t="s">
        <v>884</v>
      </c>
      <c r="E452" t="str">
        <f>SUBSTITUTE(us_core_reqs[[#This Row],[URL*]], "https://hl7.org/fhir/us/core/STU8/","")</f>
        <v>StructureDefinition-us-core-blood-pressure.html#mandatory-and-must-support-data-elements</v>
      </c>
      <c r="F452" s="11" t="s">
        <v>2138</v>
      </c>
      <c r="G452" t="s">
        <v>29</v>
      </c>
      <c r="I452" t="s">
        <v>30</v>
      </c>
      <c r="J452" t="s">
        <v>1171</v>
      </c>
      <c r="K452" t="s">
        <v>1171</v>
      </c>
      <c r="L452" t="s">
        <v>1176</v>
      </c>
      <c r="M452" t="s">
        <v>469</v>
      </c>
      <c r="N452" t="s">
        <v>1171</v>
      </c>
      <c r="O452" t="s">
        <v>1171</v>
      </c>
      <c r="P452" t="s">
        <v>1171</v>
      </c>
      <c r="Q452" t="s">
        <v>1171</v>
      </c>
      <c r="R452" t="str">
        <f>_xlfn.TEXTBEFORE(_xlfn.TEXTAFTER(us_core_reqs[[#This Row],[URL*]],"/",-1),".")</f>
        <v>StructureDefinition-us-core-blood-pressure</v>
      </c>
      <c r="S452" t="str">
        <f>_xlfn.TEXTAFTER(us_core_reqs[[#This Row],[URL*]],"#",-1)</f>
        <v>mandatory-and-must-support-data-elements</v>
      </c>
      <c r="T452" t="str">
        <f>SUBSTITUTE(SUBSTITUTE(PROPER(SUBSTITUTE(us_core_reqs[[#This Row],[Page]], "-", " "))&amp;": "&amp;PROPER(SUBSTITUTE(us_core_reqs[[#This Row],[Section]], "-", " ")),"Us ","US "), "Uscdi", "USCDI")</f>
        <v>Structuredefinition US Core Blood Pressure: Mandatory And Must Support Data Elements</v>
      </c>
      <c r="U452" t="s">
        <v>29</v>
      </c>
      <c r="V452" t="s">
        <v>30</v>
      </c>
      <c r="W452" t="s">
        <v>1171</v>
      </c>
      <c r="X452" t="s">
        <v>1171</v>
      </c>
      <c r="Y452" t="s">
        <v>1171</v>
      </c>
      <c r="Z452" t="s">
        <v>1171</v>
      </c>
      <c r="AA452" t="s">
        <v>1171</v>
      </c>
      <c r="AB452" t="s">
        <v>1171</v>
      </c>
      <c r="AC452" t="s">
        <v>1140</v>
      </c>
      <c r="AD452" t="s">
        <v>1171</v>
      </c>
    </row>
    <row r="453" spans="1:30" ht="68" x14ac:dyDescent="0.2">
      <c r="A453" t="s">
        <v>1171</v>
      </c>
      <c r="B453" t="s">
        <v>1625</v>
      </c>
      <c r="C453" t="str">
        <f>"CONF-"&amp;TEXT(us_core_reqs[[#This Row],[ID*]], "0000")</f>
        <v>CONF-0452</v>
      </c>
      <c r="D453" s="11" t="s">
        <v>885</v>
      </c>
      <c r="E453" t="str">
        <f>SUBSTITUTE(us_core_reqs[[#This Row],[URL*]], "https://hl7.org/fhir/us/core/STU8/","")</f>
        <v>StructureDefinition-us-core-pulse-oximetry.html#mandatory-and-must-support-data-elements</v>
      </c>
      <c r="F453" s="11" t="s">
        <v>471</v>
      </c>
      <c r="G453" t="s">
        <v>35</v>
      </c>
      <c r="I453" t="s">
        <v>30</v>
      </c>
      <c r="J453" t="s">
        <v>1171</v>
      </c>
      <c r="K453" t="s">
        <v>1171</v>
      </c>
      <c r="L453" t="s">
        <v>1176</v>
      </c>
      <c r="M453" t="s">
        <v>472</v>
      </c>
      <c r="N453" t="s">
        <v>1171</v>
      </c>
      <c r="O453" t="s">
        <v>1171</v>
      </c>
      <c r="P453" t="s">
        <v>1171</v>
      </c>
      <c r="Q453" t="s">
        <v>1171</v>
      </c>
      <c r="R453" t="str">
        <f>_xlfn.TEXTBEFORE(_xlfn.TEXTAFTER(us_core_reqs[[#This Row],[URL*]],"/",-1),".")</f>
        <v>StructureDefinition-us-core-pulse-oximetry</v>
      </c>
      <c r="S453" t="str">
        <f>_xlfn.TEXTAFTER(us_core_reqs[[#This Row],[URL*]],"#",-1)</f>
        <v>mandatory-and-must-support-data-elements</v>
      </c>
      <c r="T453" t="str">
        <f>SUBSTITUTE(SUBSTITUTE(PROPER(SUBSTITUTE(us_core_reqs[[#This Row],[Page]], "-", " "))&amp;": "&amp;PROPER(SUBSTITUTE(us_core_reqs[[#This Row],[Section]], "-", " ")),"Us ","US "), "Uscdi", "USCDI")</f>
        <v>Structuredefinition US Core Pulse Oximetry: Mandatory And Must Support Data Elements</v>
      </c>
      <c r="U453" t="s">
        <v>35</v>
      </c>
      <c r="V453" t="s">
        <v>1171</v>
      </c>
      <c r="W453" t="s">
        <v>1171</v>
      </c>
      <c r="X453" t="s">
        <v>1171</v>
      </c>
      <c r="Y453" t="s">
        <v>1171</v>
      </c>
      <c r="Z453" t="s">
        <v>1171</v>
      </c>
      <c r="AA453" t="s">
        <v>1171</v>
      </c>
      <c r="AB453" t="s">
        <v>1171</v>
      </c>
      <c r="AC453" t="s">
        <v>1171</v>
      </c>
      <c r="AD453" t="s">
        <v>1171</v>
      </c>
    </row>
    <row r="454" spans="1:30" ht="68" x14ac:dyDescent="0.2">
      <c r="A454" t="s">
        <v>1171</v>
      </c>
      <c r="B454" t="s">
        <v>1626</v>
      </c>
      <c r="C454" t="str">
        <f>"CONF-"&amp;TEXT(us_core_reqs[[#This Row],[ID*]], "0000")</f>
        <v>CONF-0453</v>
      </c>
      <c r="D454" s="11" t="s">
        <v>885</v>
      </c>
      <c r="E454" t="str">
        <f>SUBSTITUTE(us_core_reqs[[#This Row],[URL*]], "https://hl7.org/fhir/us/core/STU8/","")</f>
        <v>StructureDefinition-us-core-pulse-oximetry.html#mandatory-and-must-support-data-elements</v>
      </c>
      <c r="F454" s="11" t="s">
        <v>1993</v>
      </c>
      <c r="G454" t="s">
        <v>32</v>
      </c>
      <c r="I454" t="s">
        <v>30</v>
      </c>
      <c r="J454" t="s">
        <v>1171</v>
      </c>
      <c r="K454" t="s">
        <v>1171</v>
      </c>
      <c r="L454" t="s">
        <v>1176</v>
      </c>
      <c r="M454" t="s">
        <v>474</v>
      </c>
      <c r="N454" t="s">
        <v>1171</v>
      </c>
      <c r="O454" t="s">
        <v>1171</v>
      </c>
      <c r="P454" t="s">
        <v>1171</v>
      </c>
      <c r="Q454" t="s">
        <v>1171</v>
      </c>
      <c r="R454" t="str">
        <f>_xlfn.TEXTBEFORE(_xlfn.TEXTAFTER(us_core_reqs[[#This Row],[URL*]],"/",-1),".")</f>
        <v>StructureDefinition-us-core-pulse-oximetry</v>
      </c>
      <c r="S454" t="str">
        <f>_xlfn.TEXTAFTER(us_core_reqs[[#This Row],[URL*]],"#",-1)</f>
        <v>mandatory-and-must-support-data-elements</v>
      </c>
      <c r="T454" t="str">
        <f>SUBSTITUTE(SUBSTITUTE(PROPER(SUBSTITUTE(us_core_reqs[[#This Row],[Page]], "-", " "))&amp;": "&amp;PROPER(SUBSTITUTE(us_core_reqs[[#This Row],[Section]], "-", " ")),"Us ","US "), "Uscdi", "USCDI")</f>
        <v>Structuredefinition US Core Pulse Oximetry: Mandatory And Must Support Data Elements</v>
      </c>
      <c r="U454" t="s">
        <v>32</v>
      </c>
      <c r="V454" t="s">
        <v>1171</v>
      </c>
      <c r="W454" t="s">
        <v>1171</v>
      </c>
      <c r="X454" t="s">
        <v>1171</v>
      </c>
      <c r="Y454" t="s">
        <v>1171</v>
      </c>
      <c r="Z454" t="s">
        <v>1171</v>
      </c>
      <c r="AA454" t="s">
        <v>1171</v>
      </c>
      <c r="AB454" t="s">
        <v>1171</v>
      </c>
      <c r="AC454" t="s">
        <v>1171</v>
      </c>
      <c r="AD454" t="s">
        <v>1171</v>
      </c>
    </row>
    <row r="455" spans="1:30" ht="119" x14ac:dyDescent="0.2">
      <c r="A455" t="s">
        <v>1171</v>
      </c>
      <c r="B455" t="s">
        <v>1627</v>
      </c>
      <c r="C455" t="str">
        <f>"CONF-"&amp;TEXT(us_core_reqs[[#This Row],[ID*]], "0000")</f>
        <v>CONF-0454</v>
      </c>
      <c r="D455" s="11" t="s">
        <v>885</v>
      </c>
      <c r="E455" t="str">
        <f>SUBSTITUTE(us_core_reqs[[#This Row],[URL*]], "https://hl7.org/fhir/us/core/STU8/","")</f>
        <v>StructureDefinition-us-core-pulse-oximetry.html#mandatory-and-must-support-data-elements</v>
      </c>
      <c r="F455" s="11" t="s">
        <v>1994</v>
      </c>
      <c r="G455" t="s">
        <v>32</v>
      </c>
      <c r="I455" t="s">
        <v>30</v>
      </c>
      <c r="J455" t="s">
        <v>1171</v>
      </c>
      <c r="K455" t="s">
        <v>1171</v>
      </c>
      <c r="L455" t="s">
        <v>1176</v>
      </c>
      <c r="M455" t="s">
        <v>472</v>
      </c>
      <c r="N455" t="s">
        <v>1171</v>
      </c>
      <c r="O455" t="s">
        <v>1171</v>
      </c>
      <c r="P455" t="s">
        <v>1171</v>
      </c>
      <c r="Q455" t="s">
        <v>1171</v>
      </c>
      <c r="R455" t="str">
        <f>_xlfn.TEXTBEFORE(_xlfn.TEXTAFTER(us_core_reqs[[#This Row],[URL*]],"/",-1),".")</f>
        <v>StructureDefinition-us-core-pulse-oximetry</v>
      </c>
      <c r="S455" t="str">
        <f>_xlfn.TEXTAFTER(us_core_reqs[[#This Row],[URL*]],"#",-1)</f>
        <v>mandatory-and-must-support-data-elements</v>
      </c>
      <c r="T455" t="str">
        <f>SUBSTITUTE(SUBSTITUTE(PROPER(SUBSTITUTE(us_core_reqs[[#This Row],[Page]], "-", " "))&amp;": "&amp;PROPER(SUBSTITUTE(us_core_reqs[[#This Row],[Section]], "-", " ")),"Us ","US "), "Uscdi", "USCDI")</f>
        <v>Structuredefinition US Core Pulse Oximetry: Mandatory And Must Support Data Elements</v>
      </c>
      <c r="U455" t="s">
        <v>35</v>
      </c>
      <c r="V455" t="s">
        <v>1171</v>
      </c>
      <c r="W455" t="s">
        <v>1171</v>
      </c>
      <c r="X455" t="s">
        <v>1171</v>
      </c>
      <c r="Y455" t="s">
        <v>1171</v>
      </c>
      <c r="Z455" t="s">
        <v>1171</v>
      </c>
      <c r="AA455" t="s">
        <v>1171</v>
      </c>
      <c r="AB455" t="s">
        <v>1171</v>
      </c>
      <c r="AC455" t="s">
        <v>1171</v>
      </c>
      <c r="AD455" t="s">
        <v>1171</v>
      </c>
    </row>
    <row r="456" spans="1:30" ht="34" x14ac:dyDescent="0.2">
      <c r="A456" t="s">
        <v>1171</v>
      </c>
      <c r="B456" t="s">
        <v>1628</v>
      </c>
      <c r="C456" t="str">
        <f>"CONF-"&amp;TEXT(us_core_reqs[[#This Row],[ID*]], "0000")</f>
        <v>CONF-0455</v>
      </c>
      <c r="D456" s="11" t="s">
        <v>886</v>
      </c>
      <c r="E456" t="str">
        <f>SUBSTITUTE(us_core_reqs[[#This Row],[URL*]], "https://hl7.org/fhir/us/core/STU8/","")</f>
        <v>StructureDefinition-us-core-organization.html#mandatory-and-must-support-data-elements</v>
      </c>
      <c r="F456" s="11" t="s">
        <v>2139</v>
      </c>
      <c r="G456" t="s">
        <v>29</v>
      </c>
      <c r="I456" t="s">
        <v>30</v>
      </c>
      <c r="J456" t="s">
        <v>1171</v>
      </c>
      <c r="K456" t="s">
        <v>1171</v>
      </c>
      <c r="L456" t="s">
        <v>1173</v>
      </c>
      <c r="M456" t="s">
        <v>1171</v>
      </c>
      <c r="N456" t="s">
        <v>1171</v>
      </c>
      <c r="O456" t="s">
        <v>1171</v>
      </c>
      <c r="P456" t="s">
        <v>1171</v>
      </c>
      <c r="Q456" t="s">
        <v>1171</v>
      </c>
      <c r="R456" t="str">
        <f>_xlfn.TEXTBEFORE(_xlfn.TEXTAFTER(us_core_reqs[[#This Row],[URL*]],"/",-1),".")</f>
        <v>StructureDefinition-us-core-organization</v>
      </c>
      <c r="S456" t="str">
        <f>_xlfn.TEXTAFTER(us_core_reqs[[#This Row],[URL*]],"#",-1)</f>
        <v>mandatory-and-must-support-data-elements</v>
      </c>
      <c r="T456" t="str">
        <f>SUBSTITUTE(SUBSTITUTE(PROPER(SUBSTITUTE(us_core_reqs[[#This Row],[Page]], "-", " "))&amp;": "&amp;PROPER(SUBSTITUTE(us_core_reqs[[#This Row],[Section]], "-", " ")),"Us ","US "), "Uscdi", "USCDI")</f>
        <v>Structuredefinition US Core Organization: Mandatory And Must Support Data Elements</v>
      </c>
      <c r="U456" t="s">
        <v>29</v>
      </c>
      <c r="V456" t="s">
        <v>1171</v>
      </c>
      <c r="W456" t="s">
        <v>1171</v>
      </c>
      <c r="X456" t="s">
        <v>1171</v>
      </c>
      <c r="Y456" t="s">
        <v>1171</v>
      </c>
      <c r="Z456" t="s">
        <v>1171</v>
      </c>
      <c r="AA456" t="s">
        <v>1171</v>
      </c>
      <c r="AB456" t="s">
        <v>1171</v>
      </c>
      <c r="AC456" t="s">
        <v>1140</v>
      </c>
      <c r="AD456" t="s">
        <v>1171</v>
      </c>
    </row>
    <row r="457" spans="1:30" ht="51" x14ac:dyDescent="0.2">
      <c r="A457" t="s">
        <v>1171</v>
      </c>
      <c r="B457" t="s">
        <v>1629</v>
      </c>
      <c r="C457" t="str">
        <f>"CONF-"&amp;TEXT(us_core_reqs[[#This Row],[ID*]], "0000")</f>
        <v>CONF-0456</v>
      </c>
      <c r="D457" s="11" t="s">
        <v>886</v>
      </c>
      <c r="E457" t="str">
        <f>SUBSTITUTE(us_core_reqs[[#This Row],[URL*]], "https://hl7.org/fhir/us/core/STU8/","")</f>
        <v>StructureDefinition-us-core-organization.html#mandatory-and-must-support-data-elements</v>
      </c>
      <c r="F457" s="11" t="s">
        <v>1995</v>
      </c>
      <c r="G457" t="s">
        <v>32</v>
      </c>
      <c r="I457" t="s">
        <v>30</v>
      </c>
      <c r="J457" t="s">
        <v>1171</v>
      </c>
      <c r="K457" t="s">
        <v>1171</v>
      </c>
      <c r="L457" t="s">
        <v>1173</v>
      </c>
      <c r="M457" t="s">
        <v>1171</v>
      </c>
      <c r="N457" t="s">
        <v>1171</v>
      </c>
      <c r="O457" t="s">
        <v>1171</v>
      </c>
      <c r="P457" t="s">
        <v>1171</v>
      </c>
      <c r="Q457" t="s">
        <v>1171</v>
      </c>
      <c r="R457" t="str">
        <f>_xlfn.TEXTBEFORE(_xlfn.TEXTAFTER(us_core_reqs[[#This Row],[URL*]],"/",-1),".")</f>
        <v>StructureDefinition-us-core-organization</v>
      </c>
      <c r="S457" t="str">
        <f>_xlfn.TEXTAFTER(us_core_reqs[[#This Row],[URL*]],"#",-1)</f>
        <v>mandatory-and-must-support-data-elements</v>
      </c>
      <c r="T457" t="str">
        <f>SUBSTITUTE(SUBSTITUTE(PROPER(SUBSTITUTE(us_core_reqs[[#This Row],[Page]], "-", " "))&amp;": "&amp;PROPER(SUBSTITUTE(us_core_reqs[[#This Row],[Section]], "-", " ")),"Us ","US "), "Uscdi", "USCDI")</f>
        <v>Structuredefinition US Core Organization: Mandatory And Must Support Data Elements</v>
      </c>
      <c r="U457" t="s">
        <v>32</v>
      </c>
      <c r="V457" t="s">
        <v>1171</v>
      </c>
      <c r="W457" t="s">
        <v>1171</v>
      </c>
      <c r="X457" t="s">
        <v>1171</v>
      </c>
      <c r="Y457" t="s">
        <v>1171</v>
      </c>
      <c r="Z457" t="s">
        <v>1171</v>
      </c>
      <c r="AA457" t="s">
        <v>1171</v>
      </c>
      <c r="AB457" t="s">
        <v>1171</v>
      </c>
      <c r="AC457" t="s">
        <v>1171</v>
      </c>
      <c r="AD457" t="s">
        <v>1171</v>
      </c>
    </row>
    <row r="458" spans="1:30" ht="34" x14ac:dyDescent="0.2">
      <c r="A458" t="s">
        <v>1171</v>
      </c>
      <c r="B458" t="s">
        <v>1630</v>
      </c>
      <c r="C458" t="str">
        <f>"CONF-"&amp;TEXT(us_core_reqs[[#This Row],[ID*]], "0000")</f>
        <v>CONF-0457</v>
      </c>
      <c r="D458" s="11" t="s">
        <v>886</v>
      </c>
      <c r="E458" t="str">
        <f>SUBSTITUTE(us_core_reqs[[#This Row],[URL*]], "https://hl7.org/fhir/us/core/STU8/","")</f>
        <v>StructureDefinition-us-core-organization.html#mandatory-and-must-support-data-elements</v>
      </c>
      <c r="F458" s="11" t="s">
        <v>1996</v>
      </c>
      <c r="G458" t="s">
        <v>32</v>
      </c>
      <c r="I458" t="s">
        <v>30</v>
      </c>
      <c r="J458" t="s">
        <v>1171</v>
      </c>
      <c r="K458" t="s">
        <v>1171</v>
      </c>
      <c r="L458" t="s">
        <v>1173</v>
      </c>
      <c r="M458" t="s">
        <v>1171</v>
      </c>
      <c r="N458" t="s">
        <v>1171</v>
      </c>
      <c r="O458" t="s">
        <v>1171</v>
      </c>
      <c r="P458" t="s">
        <v>1171</v>
      </c>
      <c r="Q458" t="s">
        <v>1171</v>
      </c>
      <c r="R458" t="str">
        <f>_xlfn.TEXTBEFORE(_xlfn.TEXTAFTER(us_core_reqs[[#This Row],[URL*]],"/",-1),".")</f>
        <v>StructureDefinition-us-core-organization</v>
      </c>
      <c r="S458" t="str">
        <f>_xlfn.TEXTAFTER(us_core_reqs[[#This Row],[URL*]],"#",-1)</f>
        <v>mandatory-and-must-support-data-elements</v>
      </c>
      <c r="T458" t="str">
        <f>SUBSTITUTE(SUBSTITUTE(PROPER(SUBSTITUTE(us_core_reqs[[#This Row],[Page]], "-", " "))&amp;": "&amp;PROPER(SUBSTITUTE(us_core_reqs[[#This Row],[Section]], "-", " ")),"Us ","US "), "Uscdi", "USCDI")</f>
        <v>Structuredefinition US Core Organization: Mandatory And Must Support Data Elements</v>
      </c>
      <c r="U458" t="s">
        <v>32</v>
      </c>
      <c r="V458" t="s">
        <v>1171</v>
      </c>
      <c r="W458" t="s">
        <v>1171</v>
      </c>
      <c r="X458" t="s">
        <v>1171</v>
      </c>
      <c r="Y458" t="s">
        <v>1171</v>
      </c>
      <c r="Z458" t="s">
        <v>1171</v>
      </c>
      <c r="AA458" t="s">
        <v>1171</v>
      </c>
      <c r="AB458" t="s">
        <v>1171</v>
      </c>
      <c r="AC458" t="s">
        <v>1171</v>
      </c>
      <c r="AD458" t="s">
        <v>1171</v>
      </c>
    </row>
    <row r="459" spans="1:30" ht="102" x14ac:dyDescent="0.2">
      <c r="A459" t="s">
        <v>1171</v>
      </c>
      <c r="B459" t="s">
        <v>1631</v>
      </c>
      <c r="C459" t="str">
        <f>"CONF-"&amp;TEXT(us_core_reqs[[#This Row],[ID*]], "0000")</f>
        <v>CONF-0458</v>
      </c>
      <c r="D459" s="11" t="s">
        <v>886</v>
      </c>
      <c r="E459" t="str">
        <f>SUBSTITUTE(us_core_reqs[[#This Row],[URL*]], "https://hl7.org/fhir/us/core/STU8/","")</f>
        <v>StructureDefinition-us-core-organization.html#mandatory-and-must-support-data-elements</v>
      </c>
      <c r="F459" s="11" t="s">
        <v>1997</v>
      </c>
      <c r="G459" t="s">
        <v>32</v>
      </c>
      <c r="I459" t="s">
        <v>30</v>
      </c>
      <c r="J459" t="s">
        <v>1171</v>
      </c>
      <c r="K459" t="s">
        <v>1171</v>
      </c>
      <c r="L459" t="s">
        <v>1173</v>
      </c>
      <c r="M459" t="s">
        <v>1171</v>
      </c>
      <c r="N459" t="s">
        <v>1171</v>
      </c>
      <c r="O459" t="s">
        <v>1171</v>
      </c>
      <c r="P459" t="s">
        <v>1171</v>
      </c>
      <c r="Q459" t="s">
        <v>1171</v>
      </c>
      <c r="R459" t="str">
        <f>_xlfn.TEXTBEFORE(_xlfn.TEXTAFTER(us_core_reqs[[#This Row],[URL*]],"/",-1),".")</f>
        <v>StructureDefinition-us-core-organization</v>
      </c>
      <c r="S459" t="str">
        <f>_xlfn.TEXTAFTER(us_core_reqs[[#This Row],[URL*]],"#",-1)</f>
        <v>mandatory-and-must-support-data-elements</v>
      </c>
      <c r="T459" t="str">
        <f>SUBSTITUTE(SUBSTITUTE(PROPER(SUBSTITUTE(us_core_reqs[[#This Row],[Page]], "-", " "))&amp;": "&amp;PROPER(SUBSTITUTE(us_core_reqs[[#This Row],[Section]], "-", " ")),"Us ","US "), "Uscdi", "USCDI")</f>
        <v>Structuredefinition US Core Organization: Mandatory And Must Support Data Elements</v>
      </c>
      <c r="U459" t="s">
        <v>32</v>
      </c>
      <c r="V459" t="s">
        <v>1171</v>
      </c>
      <c r="W459" t="s">
        <v>1171</v>
      </c>
      <c r="X459" t="s">
        <v>1171</v>
      </c>
      <c r="Y459" t="s">
        <v>1171</v>
      </c>
      <c r="Z459" t="s">
        <v>1171</v>
      </c>
      <c r="AA459" t="s">
        <v>1171</v>
      </c>
      <c r="AB459" t="s">
        <v>1171</v>
      </c>
      <c r="AC459" t="s">
        <v>1171</v>
      </c>
      <c r="AD459" t="s">
        <v>1171</v>
      </c>
    </row>
    <row r="460" spans="1:30" ht="136" x14ac:dyDescent="0.2">
      <c r="A460" t="s">
        <v>1171</v>
      </c>
      <c r="B460" t="s">
        <v>1632</v>
      </c>
      <c r="C460" t="str">
        <f>"CONF-"&amp;TEXT(us_core_reqs[[#This Row],[ID*]], "0000")</f>
        <v>CONF-0459</v>
      </c>
      <c r="D460" s="11" t="s">
        <v>887</v>
      </c>
      <c r="E460" t="str">
        <f>SUBSTITUTE(us_core_reqs[[#This Row],[URL*]], "https://hl7.org/fhir/us/core/STU8/","")</f>
        <v>StructureDefinition-us-core-patient.html#mandatory-and-must-support-data-elements, StructureDefinition-us-core-race.html#profile-specific-implementation-guidance</v>
      </c>
      <c r="F460" s="11" t="s">
        <v>888</v>
      </c>
      <c r="G460" t="s">
        <v>29</v>
      </c>
      <c r="I460" t="s">
        <v>30</v>
      </c>
      <c r="J460" t="s">
        <v>1171</v>
      </c>
      <c r="K460" t="s">
        <v>1171</v>
      </c>
      <c r="L460" t="s">
        <v>1176</v>
      </c>
      <c r="M460" t="s">
        <v>790</v>
      </c>
      <c r="N460" t="s">
        <v>1171</v>
      </c>
      <c r="O460" t="s">
        <v>1171</v>
      </c>
      <c r="P460" t="s">
        <v>1171</v>
      </c>
      <c r="Q460" t="s">
        <v>1171</v>
      </c>
      <c r="R460" t="str">
        <f>_xlfn.TEXTBEFORE(_xlfn.TEXTAFTER(us_core_reqs[[#This Row],[URL*]],"/",-1),".")</f>
        <v>StructureDefinition-us-core-race</v>
      </c>
      <c r="S460" t="str">
        <f>_xlfn.TEXTAFTER(us_core_reqs[[#This Row],[URL*]],"#",-1)</f>
        <v>profile-specific-implementation-guidance</v>
      </c>
      <c r="T460" t="str">
        <f>SUBSTITUTE(SUBSTITUTE(PROPER(SUBSTITUTE(us_core_reqs[[#This Row],[Page]], "-", " "))&amp;": "&amp;PROPER(SUBSTITUTE(us_core_reqs[[#This Row],[Section]], "-", " ")),"Us ","US "), "Uscdi", "USCDI")</f>
        <v>Structuredefinition US Core Race: Profile Specific Implementation Guidance</v>
      </c>
      <c r="U460" t="s">
        <v>1171</v>
      </c>
      <c r="V460" t="s">
        <v>1171</v>
      </c>
      <c r="W460" t="s">
        <v>1171</v>
      </c>
      <c r="X460" t="s">
        <v>1171</v>
      </c>
      <c r="Y460" t="s">
        <v>1171</v>
      </c>
      <c r="Z460" t="s">
        <v>1171</v>
      </c>
      <c r="AA460" t="s">
        <v>1171</v>
      </c>
      <c r="AB460" t="s">
        <v>789</v>
      </c>
      <c r="AC460" t="s">
        <v>1140</v>
      </c>
      <c r="AD460" t="s">
        <v>1171</v>
      </c>
    </row>
    <row r="461" spans="1:30" ht="136" x14ac:dyDescent="0.2">
      <c r="A461" t="s">
        <v>1171</v>
      </c>
      <c r="B461" t="s">
        <v>1633</v>
      </c>
      <c r="C461" t="str">
        <f>"CONF-"&amp;TEXT(us_core_reqs[[#This Row],[ID*]], "0000")</f>
        <v>CONF-0460</v>
      </c>
      <c r="D461" s="11" t="s">
        <v>889</v>
      </c>
      <c r="E461" t="str">
        <f>SUBSTITUTE(us_core_reqs[[#This Row],[URL*]], "https://hl7.org/fhir/us/core/STU8/","")</f>
        <v>StructureDefinition-us-core-patient.html#mandatory-and-must-support-data-elements, StructureDefinition-us-core-ethnicity.html#profile-specific-implementation-guidance</v>
      </c>
      <c r="F461" s="11" t="s">
        <v>890</v>
      </c>
      <c r="G461" t="s">
        <v>29</v>
      </c>
      <c r="I461" t="s">
        <v>30</v>
      </c>
      <c r="J461" t="s">
        <v>1171</v>
      </c>
      <c r="K461" t="s">
        <v>1171</v>
      </c>
      <c r="L461" t="s">
        <v>1176</v>
      </c>
      <c r="M461" t="s">
        <v>791</v>
      </c>
      <c r="N461" t="s">
        <v>1171</v>
      </c>
      <c r="O461" t="s">
        <v>1171</v>
      </c>
      <c r="P461" t="s">
        <v>1171</v>
      </c>
      <c r="Q461" t="s">
        <v>1171</v>
      </c>
      <c r="R461" t="str">
        <f>_xlfn.TEXTBEFORE(_xlfn.TEXTAFTER(us_core_reqs[[#This Row],[URL*]],"/",-1),".")</f>
        <v>StructureDefinition-us-core-ethnicity</v>
      </c>
      <c r="S461" t="str">
        <f>_xlfn.TEXTAFTER(us_core_reqs[[#This Row],[URL*]],"#",-1)</f>
        <v>profile-specific-implementation-guidance</v>
      </c>
      <c r="T461" t="str">
        <f>SUBSTITUTE(SUBSTITUTE(PROPER(SUBSTITUTE(us_core_reqs[[#This Row],[Page]], "-", " "))&amp;": "&amp;PROPER(SUBSTITUTE(us_core_reqs[[#This Row],[Section]], "-", " ")),"Us ","US "), "Uscdi", "USCDI")</f>
        <v>Structuredefinition US Core Ethnicity: Profile Specific Implementation Guidance</v>
      </c>
      <c r="U461" t="s">
        <v>1171</v>
      </c>
      <c r="V461" t="s">
        <v>1171</v>
      </c>
      <c r="W461" t="s">
        <v>1171</v>
      </c>
      <c r="X461" t="s">
        <v>1171</v>
      </c>
      <c r="Y461" t="s">
        <v>1171</v>
      </c>
      <c r="Z461" t="s">
        <v>1171</v>
      </c>
      <c r="AA461" t="s">
        <v>1171</v>
      </c>
      <c r="AB461" t="s">
        <v>789</v>
      </c>
      <c r="AC461" t="s">
        <v>1140</v>
      </c>
      <c r="AD461" t="s">
        <v>1171</v>
      </c>
    </row>
    <row r="462" spans="1:30" ht="136" x14ac:dyDescent="0.2">
      <c r="A462" t="s">
        <v>1171</v>
      </c>
      <c r="B462" t="s">
        <v>1634</v>
      </c>
      <c r="C462" t="str">
        <f>"CONF-"&amp;TEXT(us_core_reqs[[#This Row],[ID*]], "0000")</f>
        <v>CONF-0461</v>
      </c>
      <c r="D462" s="11" t="s">
        <v>887</v>
      </c>
      <c r="E462" t="str">
        <f>SUBSTITUTE(us_core_reqs[[#This Row],[URL*]], "https://hl7.org/fhir/us/core/STU8/","")</f>
        <v>StructureDefinition-us-core-patient.html#mandatory-and-must-support-data-elements, StructureDefinition-us-core-race.html#profile-specific-implementation-guidance</v>
      </c>
      <c r="F462" s="11" t="s">
        <v>2189</v>
      </c>
      <c r="G462" t="s">
        <v>35</v>
      </c>
      <c r="I462" t="s">
        <v>30</v>
      </c>
      <c r="J462" t="s">
        <v>1171</v>
      </c>
      <c r="K462" t="s">
        <v>1171</v>
      </c>
      <c r="L462" t="s">
        <v>1176</v>
      </c>
      <c r="M462" t="s">
        <v>792</v>
      </c>
      <c r="N462" t="s">
        <v>1171</v>
      </c>
      <c r="O462" t="s">
        <v>1171</v>
      </c>
      <c r="P462" t="s">
        <v>1171</v>
      </c>
      <c r="Q462" t="s">
        <v>1171</v>
      </c>
      <c r="R462" t="str">
        <f>_xlfn.TEXTBEFORE(_xlfn.TEXTAFTER(us_core_reqs[[#This Row],[URL*]],"/",-1),".")</f>
        <v>StructureDefinition-us-core-race</v>
      </c>
      <c r="S462" t="str">
        <f>_xlfn.TEXTAFTER(us_core_reqs[[#This Row],[URL*]],"#",-1)</f>
        <v>profile-specific-implementation-guidance</v>
      </c>
      <c r="T462" t="str">
        <f>SUBSTITUTE(SUBSTITUTE(PROPER(SUBSTITUTE(us_core_reqs[[#This Row],[Page]], "-", " "))&amp;": "&amp;PROPER(SUBSTITUTE(us_core_reqs[[#This Row],[Section]], "-", " ")),"Us ","US "), "Uscdi", "USCDI")</f>
        <v>Structuredefinition US Core Race: Profile Specific Implementation Guidance</v>
      </c>
      <c r="U462" t="s">
        <v>1171</v>
      </c>
      <c r="V462" t="s">
        <v>1171</v>
      </c>
      <c r="W462" t="s">
        <v>1171</v>
      </c>
      <c r="X462" t="s">
        <v>1171</v>
      </c>
      <c r="Y462" t="s">
        <v>1171</v>
      </c>
      <c r="Z462" t="s">
        <v>1171</v>
      </c>
      <c r="AA462" t="s">
        <v>1171</v>
      </c>
      <c r="AB462" t="s">
        <v>788</v>
      </c>
      <c r="AC462" t="s">
        <v>1171</v>
      </c>
      <c r="AD462" t="s">
        <v>1171</v>
      </c>
    </row>
    <row r="463" spans="1:30" ht="85" x14ac:dyDescent="0.2">
      <c r="A463" t="s">
        <v>1171</v>
      </c>
      <c r="B463" t="s">
        <v>1635</v>
      </c>
      <c r="C463" t="str">
        <f>"CONF-"&amp;TEXT(us_core_reqs[[#This Row],[ID*]], "0000")</f>
        <v>CONF-0462</v>
      </c>
      <c r="D463" s="11" t="s">
        <v>889</v>
      </c>
      <c r="E463" t="str">
        <f>SUBSTITUTE(us_core_reqs[[#This Row],[URL*]], "https://hl7.org/fhir/us/core/STU8/","")</f>
        <v>StructureDefinition-us-core-patient.html#mandatory-and-must-support-data-elements, StructureDefinition-us-core-ethnicity.html#profile-specific-implementation-guidance</v>
      </c>
      <c r="F463" s="11" t="s">
        <v>2185</v>
      </c>
      <c r="G463" t="s">
        <v>35</v>
      </c>
      <c r="I463" t="s">
        <v>30</v>
      </c>
      <c r="J463" t="s">
        <v>1171</v>
      </c>
      <c r="K463" t="s">
        <v>1171</v>
      </c>
      <c r="L463" t="s">
        <v>1176</v>
      </c>
      <c r="M463" t="s">
        <v>791</v>
      </c>
      <c r="N463" t="s">
        <v>1171</v>
      </c>
      <c r="O463" t="s">
        <v>1171</v>
      </c>
      <c r="P463" t="s">
        <v>1171</v>
      </c>
      <c r="Q463" t="s">
        <v>1171</v>
      </c>
      <c r="R463" t="str">
        <f>_xlfn.TEXTBEFORE(_xlfn.TEXTAFTER(us_core_reqs[[#This Row],[URL*]],"/",-1),".")</f>
        <v>StructureDefinition-us-core-ethnicity</v>
      </c>
      <c r="S463" t="str">
        <f>_xlfn.TEXTAFTER(us_core_reqs[[#This Row],[URL*]],"#",-1)</f>
        <v>profile-specific-implementation-guidance</v>
      </c>
      <c r="T463" t="str">
        <f>SUBSTITUTE(SUBSTITUTE(PROPER(SUBSTITUTE(us_core_reqs[[#This Row],[Page]], "-", " "))&amp;": "&amp;PROPER(SUBSTITUTE(us_core_reqs[[#This Row],[Section]], "-", " ")),"Us ","US "), "Uscdi", "USCDI")</f>
        <v>Structuredefinition US Core Ethnicity: Profile Specific Implementation Guidance</v>
      </c>
      <c r="U463" t="s">
        <v>29</v>
      </c>
      <c r="V463" t="s">
        <v>1171</v>
      </c>
      <c r="W463" t="s">
        <v>1171</v>
      </c>
      <c r="X463" t="s">
        <v>1171</v>
      </c>
      <c r="Y463" t="s">
        <v>1171</v>
      </c>
      <c r="Z463" t="s">
        <v>1171</v>
      </c>
      <c r="AA463" t="s">
        <v>1171</v>
      </c>
      <c r="AB463" t="s">
        <v>788</v>
      </c>
      <c r="AC463" t="s">
        <v>1171</v>
      </c>
      <c r="AD463" t="s">
        <v>1171</v>
      </c>
    </row>
    <row r="464" spans="1:30" ht="136" x14ac:dyDescent="0.2">
      <c r="A464" t="s">
        <v>1171</v>
      </c>
      <c r="B464" t="s">
        <v>1636</v>
      </c>
      <c r="C464" t="str">
        <f>"CONF-"&amp;TEXT(us_core_reqs[[#This Row],[ID*]], "0000")</f>
        <v>CONF-0463</v>
      </c>
      <c r="D464" s="11" t="s">
        <v>887</v>
      </c>
      <c r="E464" t="str">
        <f>SUBSTITUTE(us_core_reqs[[#This Row],[URL*]], "https://hl7.org/fhir/us/core/STU8/","")</f>
        <v>StructureDefinition-us-core-patient.html#mandatory-and-must-support-data-elements, StructureDefinition-us-core-race.html#profile-specific-implementation-guidance</v>
      </c>
      <c r="F464" s="11" t="s">
        <v>2190</v>
      </c>
      <c r="G464" t="s">
        <v>29</v>
      </c>
      <c r="I464" t="s">
        <v>30</v>
      </c>
      <c r="J464" t="s">
        <v>1171</v>
      </c>
      <c r="K464" t="s">
        <v>1171</v>
      </c>
      <c r="L464" t="s">
        <v>1176</v>
      </c>
      <c r="M464" t="s">
        <v>792</v>
      </c>
      <c r="N464" t="s">
        <v>1171</v>
      </c>
      <c r="O464" t="s">
        <v>1171</v>
      </c>
      <c r="P464" t="s">
        <v>1171</v>
      </c>
      <c r="Q464" t="s">
        <v>1171</v>
      </c>
      <c r="R464" t="str">
        <f>_xlfn.TEXTBEFORE(_xlfn.TEXTAFTER(us_core_reqs[[#This Row],[URL*]],"/",-1),".")</f>
        <v>StructureDefinition-us-core-race</v>
      </c>
      <c r="S464" t="str">
        <f>_xlfn.TEXTAFTER(us_core_reqs[[#This Row],[URL*]],"#",-1)</f>
        <v>profile-specific-implementation-guidance</v>
      </c>
      <c r="T464" t="str">
        <f>SUBSTITUTE(SUBSTITUTE(PROPER(SUBSTITUTE(us_core_reqs[[#This Row],[Page]], "-", " "))&amp;": "&amp;PROPER(SUBSTITUTE(us_core_reqs[[#This Row],[Section]], "-", " ")),"Us ","US "), "Uscdi", "USCDI")</f>
        <v>Structuredefinition US Core Race: Profile Specific Implementation Guidance</v>
      </c>
      <c r="U464" t="s">
        <v>35</v>
      </c>
      <c r="V464" t="s">
        <v>1171</v>
      </c>
      <c r="W464" t="s">
        <v>1171</v>
      </c>
      <c r="X464" t="s">
        <v>1171</v>
      </c>
      <c r="Y464" t="s">
        <v>1171</v>
      </c>
      <c r="Z464" t="s">
        <v>1171</v>
      </c>
      <c r="AA464" t="s">
        <v>1171</v>
      </c>
      <c r="AB464" t="s">
        <v>788</v>
      </c>
      <c r="AC464" t="s">
        <v>1140</v>
      </c>
      <c r="AD464" t="s">
        <v>1171</v>
      </c>
    </row>
    <row r="465" spans="1:30" ht="85" x14ac:dyDescent="0.2">
      <c r="A465" t="s">
        <v>1171</v>
      </c>
      <c r="B465" t="s">
        <v>1637</v>
      </c>
      <c r="C465" t="str">
        <f>"CONF-"&amp;TEXT(us_core_reqs[[#This Row],[ID*]], "0000")</f>
        <v>CONF-0464</v>
      </c>
      <c r="D465" s="11" t="s">
        <v>889</v>
      </c>
      <c r="E465" t="str">
        <f>SUBSTITUTE(us_core_reqs[[#This Row],[URL*]], "https://hl7.org/fhir/us/core/STU8/","")</f>
        <v>StructureDefinition-us-core-patient.html#mandatory-and-must-support-data-elements, StructureDefinition-us-core-ethnicity.html#profile-specific-implementation-guidance</v>
      </c>
      <c r="F465" s="11" t="s">
        <v>2186</v>
      </c>
      <c r="G465" t="s">
        <v>29</v>
      </c>
      <c r="I465" t="s">
        <v>30</v>
      </c>
      <c r="J465" t="s">
        <v>1171</v>
      </c>
      <c r="K465" t="s">
        <v>1171</v>
      </c>
      <c r="L465" t="s">
        <v>1176</v>
      </c>
      <c r="M465" t="s">
        <v>791</v>
      </c>
      <c r="N465" t="s">
        <v>1171</v>
      </c>
      <c r="O465" t="s">
        <v>1171</v>
      </c>
      <c r="P465" t="s">
        <v>1171</v>
      </c>
      <c r="Q465" t="s">
        <v>1171</v>
      </c>
      <c r="R465" t="str">
        <f>_xlfn.TEXTBEFORE(_xlfn.TEXTAFTER(us_core_reqs[[#This Row],[URL*]],"/",-1),".")</f>
        <v>StructureDefinition-us-core-ethnicity</v>
      </c>
      <c r="S465" t="str">
        <f>_xlfn.TEXTAFTER(us_core_reqs[[#This Row],[URL*]],"#",-1)</f>
        <v>profile-specific-implementation-guidance</v>
      </c>
      <c r="T465" t="str">
        <f>SUBSTITUTE(SUBSTITUTE(PROPER(SUBSTITUTE(us_core_reqs[[#This Row],[Page]], "-", " "))&amp;": "&amp;PROPER(SUBSTITUTE(us_core_reqs[[#This Row],[Section]], "-", " ")),"Us ","US "), "Uscdi", "USCDI")</f>
        <v>Structuredefinition US Core Ethnicity: Profile Specific Implementation Guidance</v>
      </c>
      <c r="U465" t="s">
        <v>29</v>
      </c>
      <c r="V465" t="s">
        <v>1171</v>
      </c>
      <c r="W465" t="s">
        <v>1171</v>
      </c>
      <c r="X465" t="s">
        <v>1171</v>
      </c>
      <c r="Y465" t="s">
        <v>1171</v>
      </c>
      <c r="Z465" t="s">
        <v>1171</v>
      </c>
      <c r="AA465" t="s">
        <v>1171</v>
      </c>
      <c r="AB465" t="s">
        <v>788</v>
      </c>
      <c r="AC465" t="s">
        <v>1140</v>
      </c>
      <c r="AD465" t="s">
        <v>1171</v>
      </c>
    </row>
    <row r="466" spans="1:30" ht="68" x14ac:dyDescent="0.2">
      <c r="A466" t="s">
        <v>1171</v>
      </c>
      <c r="B466" t="s">
        <v>1638</v>
      </c>
      <c r="C466" t="str">
        <f>"CONF-"&amp;TEXT(us_core_reqs[[#This Row],[ID*]], "0000")</f>
        <v>CONF-0465</v>
      </c>
      <c r="D466" s="11" t="s">
        <v>794</v>
      </c>
      <c r="E466" t="str">
        <f>SUBSTITUTE(us_core_reqs[[#This Row],[URL*]], "https://hl7.org/fhir/us/core/STU8/","")</f>
        <v>StructureDefinition-us-core-patient.html#mandatory-and-must-support-data-elements</v>
      </c>
      <c r="F466" s="11" t="s">
        <v>2140</v>
      </c>
      <c r="G466" t="s">
        <v>29</v>
      </c>
      <c r="I466" t="s">
        <v>30</v>
      </c>
      <c r="J466" t="b">
        <v>1</v>
      </c>
      <c r="K466" t="s">
        <v>1171</v>
      </c>
      <c r="L466" t="s">
        <v>1171</v>
      </c>
      <c r="M466" t="s">
        <v>793</v>
      </c>
      <c r="N466" t="s">
        <v>1171</v>
      </c>
      <c r="O466" t="s">
        <v>1171</v>
      </c>
      <c r="P466" t="s">
        <v>1171</v>
      </c>
      <c r="Q466" t="s">
        <v>1171</v>
      </c>
      <c r="R466" t="str">
        <f>_xlfn.TEXTBEFORE(_xlfn.TEXTAFTER(us_core_reqs[[#This Row],[URL*]],"/",-1),".")</f>
        <v>StructureDefinition-us-core-patient</v>
      </c>
      <c r="S466" t="str">
        <f>_xlfn.TEXTAFTER(us_core_reqs[[#This Row],[URL*]],"#",-1)</f>
        <v>mandatory-and-must-support-data-elements</v>
      </c>
      <c r="T466" t="str">
        <f>SUBSTITUTE(SUBSTITUTE(PROPER(SUBSTITUTE(us_core_reqs[[#This Row],[Page]], "-", " "))&amp;": "&amp;PROPER(SUBSTITUTE(us_core_reqs[[#This Row],[Section]], "-", " ")),"Us ","US "), "Uscdi", "USCDI")</f>
        <v>Structuredefinition US Core Patient: Mandatory And Must Support Data Elements</v>
      </c>
      <c r="U466" t="s">
        <v>29</v>
      </c>
      <c r="V466" t="s">
        <v>1171</v>
      </c>
      <c r="W466" t="s">
        <v>1171</v>
      </c>
      <c r="X466" t="s">
        <v>1171</v>
      </c>
      <c r="Y466" t="s">
        <v>1171</v>
      </c>
      <c r="Z466" t="s">
        <v>1171</v>
      </c>
      <c r="AA466" t="s">
        <v>480</v>
      </c>
      <c r="AB466" t="s">
        <v>1171</v>
      </c>
      <c r="AC466" t="s">
        <v>1140</v>
      </c>
      <c r="AD466" t="s">
        <v>1171</v>
      </c>
    </row>
    <row r="467" spans="1:30" ht="34" x14ac:dyDescent="0.2">
      <c r="A467" t="s">
        <v>1171</v>
      </c>
      <c r="B467" t="s">
        <v>1639</v>
      </c>
      <c r="C467" t="str">
        <f>"CONF-"&amp;TEXT(us_core_reqs[[#This Row],[ID*]], "0000")</f>
        <v>CONF-0466</v>
      </c>
      <c r="D467" s="11" t="s">
        <v>794</v>
      </c>
      <c r="E467" t="str">
        <f>SUBSTITUTE(us_core_reqs[[#This Row],[URL*]], "https://hl7.org/fhir/us/core/STU8/","")</f>
        <v>StructureDefinition-us-core-patient.html#mandatory-and-must-support-data-elements</v>
      </c>
      <c r="F467" s="11" t="s">
        <v>481</v>
      </c>
      <c r="G467" t="s">
        <v>32</v>
      </c>
      <c r="I467" t="s">
        <v>30</v>
      </c>
      <c r="J467" t="s">
        <v>1171</v>
      </c>
      <c r="K467" t="s">
        <v>1171</v>
      </c>
      <c r="L467" t="s">
        <v>1176</v>
      </c>
      <c r="M467" t="s">
        <v>482</v>
      </c>
      <c r="N467" t="s">
        <v>1171</v>
      </c>
      <c r="O467" t="s">
        <v>1171</v>
      </c>
      <c r="P467" t="s">
        <v>1171</v>
      </c>
      <c r="Q467" t="s">
        <v>1171</v>
      </c>
      <c r="R467" t="str">
        <f>_xlfn.TEXTBEFORE(_xlfn.TEXTAFTER(us_core_reqs[[#This Row],[URL*]],"/",-1),".")</f>
        <v>StructureDefinition-us-core-patient</v>
      </c>
      <c r="S467" t="str">
        <f>_xlfn.TEXTAFTER(us_core_reqs[[#This Row],[URL*]],"#",-1)</f>
        <v>mandatory-and-must-support-data-elements</v>
      </c>
      <c r="T467" t="str">
        <f>SUBSTITUTE(SUBSTITUTE(PROPER(SUBSTITUTE(us_core_reqs[[#This Row],[Page]], "-", " "))&amp;": "&amp;PROPER(SUBSTITUTE(us_core_reqs[[#This Row],[Section]], "-", " ")),"Us ","US "), "Uscdi", "USCDI")</f>
        <v>Structuredefinition US Core Patient: Mandatory And Must Support Data Elements</v>
      </c>
      <c r="U467" t="s">
        <v>1171</v>
      </c>
      <c r="V467" t="s">
        <v>1171</v>
      </c>
      <c r="W467" t="s">
        <v>1171</v>
      </c>
      <c r="X467" t="s">
        <v>1171</v>
      </c>
      <c r="Y467" t="s">
        <v>1171</v>
      </c>
      <c r="Z467" t="s">
        <v>1171</v>
      </c>
      <c r="AA467" t="s">
        <v>1171</v>
      </c>
      <c r="AB467" t="s">
        <v>1171</v>
      </c>
      <c r="AC467" t="s">
        <v>1171</v>
      </c>
      <c r="AD467" t="s">
        <v>1171</v>
      </c>
    </row>
    <row r="468" spans="1:30" ht="34" x14ac:dyDescent="0.2">
      <c r="A468" t="s">
        <v>1171</v>
      </c>
      <c r="B468" t="s">
        <v>1640</v>
      </c>
      <c r="C468" t="str">
        <f>"CONF-"&amp;TEXT(us_core_reqs[[#This Row],[ID*]], "0000")</f>
        <v>CONF-0467</v>
      </c>
      <c r="D468" s="11" t="s">
        <v>794</v>
      </c>
      <c r="E468" t="str">
        <f>SUBSTITUTE(us_core_reqs[[#This Row],[URL*]], "https://hl7.org/fhir/us/core/STU8/","")</f>
        <v>StructureDefinition-us-core-patient.html#mandatory-and-must-support-data-elements</v>
      </c>
      <c r="F468" s="11" t="s">
        <v>483</v>
      </c>
      <c r="G468" t="s">
        <v>32</v>
      </c>
      <c r="I468" t="s">
        <v>30</v>
      </c>
      <c r="J468" t="s">
        <v>1171</v>
      </c>
      <c r="K468" t="s">
        <v>1171</v>
      </c>
      <c r="L468" t="s">
        <v>1176</v>
      </c>
      <c r="M468" t="s">
        <v>484</v>
      </c>
      <c r="N468" t="s">
        <v>1171</v>
      </c>
      <c r="O468" t="s">
        <v>1171</v>
      </c>
      <c r="P468" t="s">
        <v>1171</v>
      </c>
      <c r="Q468" t="s">
        <v>1171</v>
      </c>
      <c r="R468" t="str">
        <f>_xlfn.TEXTBEFORE(_xlfn.TEXTAFTER(us_core_reqs[[#This Row],[URL*]],"/",-1),".")</f>
        <v>StructureDefinition-us-core-patient</v>
      </c>
      <c r="S468" t="str">
        <f>_xlfn.TEXTAFTER(us_core_reqs[[#This Row],[URL*]],"#",-1)</f>
        <v>mandatory-and-must-support-data-elements</v>
      </c>
      <c r="T468" t="str">
        <f>SUBSTITUTE(SUBSTITUTE(PROPER(SUBSTITUTE(us_core_reqs[[#This Row],[Page]], "-", " "))&amp;": "&amp;PROPER(SUBSTITUTE(us_core_reqs[[#This Row],[Section]], "-", " ")),"Us ","US "), "Uscdi", "USCDI")</f>
        <v>Structuredefinition US Core Patient: Mandatory And Must Support Data Elements</v>
      </c>
      <c r="U468" t="s">
        <v>1171</v>
      </c>
      <c r="V468" t="s">
        <v>1171</v>
      </c>
      <c r="W468" t="s">
        <v>1171</v>
      </c>
      <c r="X468" t="s">
        <v>1171</v>
      </c>
      <c r="Y468" t="s">
        <v>1171</v>
      </c>
      <c r="Z468" t="s">
        <v>1171</v>
      </c>
      <c r="AA468" t="s">
        <v>1171</v>
      </c>
      <c r="AB468" t="s">
        <v>1171</v>
      </c>
      <c r="AC468" t="s">
        <v>1171</v>
      </c>
      <c r="AD468" t="s">
        <v>1171</v>
      </c>
    </row>
    <row r="469" spans="1:30" ht="34" x14ac:dyDescent="0.2">
      <c r="A469" t="s">
        <v>1171</v>
      </c>
      <c r="B469" t="s">
        <v>1641</v>
      </c>
      <c r="C469" t="str">
        <f>"CONF-"&amp;TEXT(us_core_reqs[[#This Row],[ID*]], "0000")</f>
        <v>CONF-0468</v>
      </c>
      <c r="D469" s="11" t="s">
        <v>794</v>
      </c>
      <c r="E469" t="str">
        <f>SUBSTITUTE(us_core_reqs[[#This Row],[URL*]], "https://hl7.org/fhir/us/core/STU8/","")</f>
        <v>StructureDefinition-us-core-patient.html#mandatory-and-must-support-data-elements</v>
      </c>
      <c r="F469" s="11" t="s">
        <v>2193</v>
      </c>
      <c r="G469" t="s">
        <v>64</v>
      </c>
      <c r="I469" t="s">
        <v>30</v>
      </c>
      <c r="J469" t="s">
        <v>1171</v>
      </c>
      <c r="K469" t="s">
        <v>1171</v>
      </c>
      <c r="L469" t="s">
        <v>1173</v>
      </c>
      <c r="M469" t="s">
        <v>1171</v>
      </c>
      <c r="N469" t="s">
        <v>1171</v>
      </c>
      <c r="O469" t="s">
        <v>1171</v>
      </c>
      <c r="P469" t="s">
        <v>1171</v>
      </c>
      <c r="Q469" t="s">
        <v>1171</v>
      </c>
      <c r="R469" t="str">
        <f>_xlfn.TEXTBEFORE(_xlfn.TEXTAFTER(us_core_reqs[[#This Row],[URL*]],"/",-1),".")</f>
        <v>StructureDefinition-us-core-patient</v>
      </c>
      <c r="S469" t="str">
        <f>_xlfn.TEXTAFTER(us_core_reqs[[#This Row],[URL*]],"#",-1)</f>
        <v>mandatory-and-must-support-data-elements</v>
      </c>
      <c r="T469" t="str">
        <f>SUBSTITUTE(SUBSTITUTE(PROPER(SUBSTITUTE(us_core_reqs[[#This Row],[Page]], "-", " "))&amp;": "&amp;PROPER(SUBSTITUTE(us_core_reqs[[#This Row],[Section]], "-", " ")),"Us ","US "), "Uscdi", "USCDI")</f>
        <v>Structuredefinition US Core Patient: Mandatory And Must Support Data Elements</v>
      </c>
      <c r="U469" t="s">
        <v>35</v>
      </c>
      <c r="V469" t="s">
        <v>1171</v>
      </c>
      <c r="W469" t="s">
        <v>1171</v>
      </c>
      <c r="X469" t="s">
        <v>1171</v>
      </c>
      <c r="Y469" t="s">
        <v>1171</v>
      </c>
      <c r="Z469" t="s">
        <v>1171</v>
      </c>
      <c r="AA469" t="s">
        <v>1171</v>
      </c>
      <c r="AB469" t="s">
        <v>646</v>
      </c>
      <c r="AC469" t="s">
        <v>1171</v>
      </c>
      <c r="AD469" t="s">
        <v>1171</v>
      </c>
    </row>
    <row r="470" spans="1:30" ht="136" x14ac:dyDescent="0.2">
      <c r="A470" t="s">
        <v>1171</v>
      </c>
      <c r="B470" t="s">
        <v>1642</v>
      </c>
      <c r="C470" t="str">
        <f>"CONF-"&amp;TEXT(us_core_reqs[[#This Row],[ID*]], "0000")</f>
        <v>CONF-0469</v>
      </c>
      <c r="D470" s="11" t="s">
        <v>794</v>
      </c>
      <c r="E470" t="str">
        <f>SUBSTITUTE(us_core_reqs[[#This Row],[URL*]], "https://hl7.org/fhir/us/core/STU8/","")</f>
        <v>StructureDefinition-us-core-patient.html#mandatory-and-must-support-data-elements</v>
      </c>
      <c r="F470" s="11" t="s">
        <v>1900</v>
      </c>
      <c r="G470" t="s">
        <v>29</v>
      </c>
      <c r="I470" t="s">
        <v>30</v>
      </c>
      <c r="J470" t="b">
        <v>1</v>
      </c>
      <c r="K470" t="s">
        <v>1171</v>
      </c>
      <c r="L470" t="s">
        <v>1173</v>
      </c>
      <c r="M470" t="s">
        <v>1171</v>
      </c>
      <c r="N470" t="s">
        <v>1171</v>
      </c>
      <c r="O470" t="s">
        <v>1171</v>
      </c>
      <c r="P470" t="s">
        <v>1171</v>
      </c>
      <c r="Q470" t="s">
        <v>1171</v>
      </c>
      <c r="R470" t="str">
        <f>_xlfn.TEXTBEFORE(_xlfn.TEXTAFTER(us_core_reqs[[#This Row],[URL*]],"/",-1),".")</f>
        <v>StructureDefinition-us-core-patient</v>
      </c>
      <c r="S470" t="str">
        <f>_xlfn.TEXTAFTER(us_core_reqs[[#This Row],[URL*]],"#",-1)</f>
        <v>mandatory-and-must-support-data-elements</v>
      </c>
      <c r="T470" t="str">
        <f>SUBSTITUTE(SUBSTITUTE(PROPER(SUBSTITUTE(us_core_reqs[[#This Row],[Page]], "-", " "))&amp;": "&amp;PROPER(SUBSTITUTE(us_core_reqs[[#This Row],[Section]], "-", " ")),"Us ","US "), "Uscdi", "USCDI")</f>
        <v>Structuredefinition US Core Patient: Mandatory And Must Support Data Elements</v>
      </c>
      <c r="U470" t="s">
        <v>29</v>
      </c>
      <c r="V470" t="s">
        <v>1171</v>
      </c>
      <c r="W470" t="s">
        <v>1171</v>
      </c>
      <c r="X470" t="s">
        <v>1171</v>
      </c>
      <c r="Y470" t="s">
        <v>1171</v>
      </c>
      <c r="Z470" t="s">
        <v>1171</v>
      </c>
      <c r="AA470" t="s">
        <v>1171</v>
      </c>
      <c r="AB470" t="s">
        <v>802</v>
      </c>
      <c r="AC470" t="s">
        <v>1141</v>
      </c>
      <c r="AD470" t="s">
        <v>1171</v>
      </c>
    </row>
    <row r="471" spans="1:30" ht="119" x14ac:dyDescent="0.2">
      <c r="A471" t="s">
        <v>1171</v>
      </c>
      <c r="B471" t="s">
        <v>1643</v>
      </c>
      <c r="C471" t="str">
        <f>"CONF-"&amp;TEXT(us_core_reqs[[#This Row],[ID*]], "0000")</f>
        <v>CONF-0470</v>
      </c>
      <c r="D471" s="11" t="s">
        <v>794</v>
      </c>
      <c r="E471" t="str">
        <f>SUBSTITUTE(us_core_reqs[[#This Row],[URL*]], "https://hl7.org/fhir/us/core/STU8/","")</f>
        <v>StructureDefinition-us-core-patient.html#mandatory-and-must-support-data-elements</v>
      </c>
      <c r="F471" s="11" t="s">
        <v>1998</v>
      </c>
      <c r="G471" t="s">
        <v>32</v>
      </c>
      <c r="I471" t="s">
        <v>30</v>
      </c>
      <c r="J471" t="s">
        <v>1171</v>
      </c>
      <c r="K471" t="s">
        <v>1171</v>
      </c>
      <c r="L471" t="s">
        <v>1173</v>
      </c>
      <c r="M471" t="s">
        <v>1171</v>
      </c>
      <c r="N471" t="s">
        <v>1171</v>
      </c>
      <c r="O471" t="s">
        <v>1171</v>
      </c>
      <c r="P471" t="s">
        <v>1171</v>
      </c>
      <c r="Q471" t="s">
        <v>1171</v>
      </c>
      <c r="R471" t="str">
        <f>_xlfn.TEXTBEFORE(_xlfn.TEXTAFTER(us_core_reqs[[#This Row],[URL*]],"/",-1),".")</f>
        <v>StructureDefinition-us-core-patient</v>
      </c>
      <c r="S471" t="str">
        <f>_xlfn.TEXTAFTER(us_core_reqs[[#This Row],[URL*]],"#",-1)</f>
        <v>mandatory-and-must-support-data-elements</v>
      </c>
      <c r="T471" t="str">
        <f>SUBSTITUTE(SUBSTITUTE(PROPER(SUBSTITUTE(us_core_reqs[[#This Row],[Page]], "-", " "))&amp;": "&amp;PROPER(SUBSTITUTE(us_core_reqs[[#This Row],[Section]], "-", " ")),"Us ","US "), "Uscdi", "USCDI")</f>
        <v>Structuredefinition US Core Patient: Mandatory And Must Support Data Elements</v>
      </c>
      <c r="U471" t="s">
        <v>32</v>
      </c>
      <c r="V471" t="s">
        <v>1171</v>
      </c>
      <c r="W471" t="s">
        <v>1171</v>
      </c>
      <c r="X471" t="s">
        <v>1171</v>
      </c>
      <c r="Y471" t="s">
        <v>1171</v>
      </c>
      <c r="Z471" t="s">
        <v>1171</v>
      </c>
      <c r="AA471" t="s">
        <v>1171</v>
      </c>
      <c r="AB471" t="s">
        <v>803</v>
      </c>
      <c r="AC471" t="s">
        <v>1171</v>
      </c>
      <c r="AD471" t="s">
        <v>1171</v>
      </c>
    </row>
    <row r="472" spans="1:30" ht="170" x14ac:dyDescent="0.2">
      <c r="A472" t="s">
        <v>1171</v>
      </c>
      <c r="B472" t="s">
        <v>1644</v>
      </c>
      <c r="C472" t="str">
        <f>"CONF-"&amp;TEXT(us_core_reqs[[#This Row],[ID*]], "0000")</f>
        <v>CONF-0471</v>
      </c>
      <c r="D472" s="11" t="s">
        <v>794</v>
      </c>
      <c r="E472" t="str">
        <f>SUBSTITUTE(us_core_reqs[[#This Row],[URL*]], "https://hl7.org/fhir/us/core/STU8/","")</f>
        <v>StructureDefinition-us-core-patient.html#mandatory-and-must-support-data-elements</v>
      </c>
      <c r="F472" s="11" t="s">
        <v>2211</v>
      </c>
      <c r="G472" t="s">
        <v>35</v>
      </c>
      <c r="I472" t="s">
        <v>30</v>
      </c>
      <c r="J472" t="s">
        <v>1171</v>
      </c>
      <c r="K472" t="s">
        <v>1171</v>
      </c>
      <c r="L472" t="s">
        <v>1176</v>
      </c>
      <c r="M472" t="s">
        <v>489</v>
      </c>
      <c r="N472" t="s">
        <v>1171</v>
      </c>
      <c r="O472" t="s">
        <v>1171</v>
      </c>
      <c r="P472" t="s">
        <v>1171</v>
      </c>
      <c r="Q472" t="s">
        <v>1171</v>
      </c>
      <c r="R472" t="str">
        <f>_xlfn.TEXTBEFORE(_xlfn.TEXTAFTER(us_core_reqs[[#This Row],[URL*]],"/",-1),".")</f>
        <v>StructureDefinition-us-core-patient</v>
      </c>
      <c r="S472" t="str">
        <f>_xlfn.TEXTAFTER(us_core_reqs[[#This Row],[URL*]],"#",-1)</f>
        <v>mandatory-and-must-support-data-elements</v>
      </c>
      <c r="T472" t="str">
        <f>SUBSTITUTE(SUBSTITUTE(PROPER(SUBSTITUTE(us_core_reqs[[#This Row],[Page]], "-", " "))&amp;": "&amp;PROPER(SUBSTITUTE(us_core_reqs[[#This Row],[Section]], "-", " ")),"Us ","US "), "Uscdi", "USCDI")</f>
        <v>Structuredefinition US Core Patient: Mandatory And Must Support Data Elements</v>
      </c>
      <c r="U472" t="s">
        <v>35</v>
      </c>
      <c r="V472" t="s">
        <v>1171</v>
      </c>
      <c r="W472" t="s">
        <v>1171</v>
      </c>
      <c r="X472" t="s">
        <v>1171</v>
      </c>
      <c r="Y472" t="s">
        <v>1171</v>
      </c>
      <c r="Z472" t="s">
        <v>1171</v>
      </c>
      <c r="AA472" t="s">
        <v>1171</v>
      </c>
      <c r="AB472" t="s">
        <v>804</v>
      </c>
      <c r="AC472" t="s">
        <v>1171</v>
      </c>
      <c r="AD472" t="s">
        <v>1171</v>
      </c>
    </row>
    <row r="473" spans="1:30" ht="34" x14ac:dyDescent="0.2">
      <c r="A473" t="s">
        <v>1171</v>
      </c>
      <c r="B473" t="s">
        <v>1645</v>
      </c>
      <c r="C473" t="str">
        <f>"CONF-"&amp;TEXT(us_core_reqs[[#This Row],[ID*]], "0000")</f>
        <v>CONF-0472</v>
      </c>
      <c r="D473" s="11" t="s">
        <v>794</v>
      </c>
      <c r="E473" t="str">
        <f>SUBSTITUTE(us_core_reqs[[#This Row],[URL*]], "https://hl7.org/fhir/us/core/STU8/","")</f>
        <v>StructureDefinition-us-core-patient.html#mandatory-and-must-support-data-elements</v>
      </c>
      <c r="F473" s="11" t="s">
        <v>2029</v>
      </c>
      <c r="G473" t="s">
        <v>1834</v>
      </c>
      <c r="I473" t="s">
        <v>30</v>
      </c>
      <c r="J473" t="s">
        <v>1171</v>
      </c>
      <c r="K473" t="s">
        <v>1171</v>
      </c>
      <c r="L473" t="s">
        <v>1173</v>
      </c>
      <c r="M473" t="s">
        <v>1171</v>
      </c>
      <c r="N473" t="s">
        <v>1171</v>
      </c>
      <c r="O473" t="s">
        <v>1171</v>
      </c>
      <c r="P473" t="s">
        <v>1171</v>
      </c>
      <c r="Q473" t="s">
        <v>1171</v>
      </c>
      <c r="R473" t="str">
        <f>_xlfn.TEXTBEFORE(_xlfn.TEXTAFTER(us_core_reqs[[#This Row],[URL*]],"/",-1),".")</f>
        <v>StructureDefinition-us-core-patient</v>
      </c>
      <c r="S473" t="str">
        <f>_xlfn.TEXTAFTER(us_core_reqs[[#This Row],[URL*]],"#",-1)</f>
        <v>mandatory-and-must-support-data-elements</v>
      </c>
      <c r="T473" t="str">
        <f>SUBSTITUTE(SUBSTITUTE(PROPER(SUBSTITUTE(us_core_reqs[[#This Row],[Page]], "-", " "))&amp;": "&amp;PROPER(SUBSTITUTE(us_core_reqs[[#This Row],[Section]], "-", " ")),"Us ","US "), "Uscdi", "USCDI")</f>
        <v>Structuredefinition US Core Patient: Mandatory And Must Support Data Elements</v>
      </c>
      <c r="U473" t="s">
        <v>32</v>
      </c>
      <c r="V473" t="s">
        <v>1171</v>
      </c>
      <c r="W473" t="s">
        <v>1171</v>
      </c>
      <c r="X473" t="s">
        <v>1171</v>
      </c>
      <c r="Y473" t="s">
        <v>1171</v>
      </c>
      <c r="Z473" t="s">
        <v>1171</v>
      </c>
      <c r="AA473" t="s">
        <v>1171</v>
      </c>
      <c r="AB473" t="s">
        <v>1171</v>
      </c>
      <c r="AC473" t="s">
        <v>1171</v>
      </c>
      <c r="AD473" t="s">
        <v>1171</v>
      </c>
    </row>
    <row r="474" spans="1:30" ht="102" x14ac:dyDescent="0.2">
      <c r="A474" t="s">
        <v>1171</v>
      </c>
      <c r="B474" t="s">
        <v>1646</v>
      </c>
      <c r="C474" t="str">
        <f>"CONF-"&amp;TEXT(us_core_reqs[[#This Row],[ID*]], "0000")</f>
        <v>CONF-0473</v>
      </c>
      <c r="D474" s="11" t="s">
        <v>895</v>
      </c>
      <c r="E474" t="str">
        <f>SUBSTITUTE(us_core_reqs[[#This Row],[URL*]], "https://hl7.org/fhir/us/core/STU8/","")</f>
        <v>StructureDefinition-us-core-practitioner.html#mandatory-and-must-support-data-elements</v>
      </c>
      <c r="F474" s="11" t="s">
        <v>2177</v>
      </c>
      <c r="G474" t="s">
        <v>29</v>
      </c>
      <c r="I474" t="s">
        <v>30</v>
      </c>
      <c r="J474" t="s">
        <v>1171</v>
      </c>
      <c r="K474" t="s">
        <v>1171</v>
      </c>
      <c r="L474" t="s">
        <v>1176</v>
      </c>
      <c r="M474" t="s">
        <v>491</v>
      </c>
      <c r="N474" t="s">
        <v>1171</v>
      </c>
      <c r="O474" t="s">
        <v>1171</v>
      </c>
      <c r="P474" t="s">
        <v>1171</v>
      </c>
      <c r="Q474" t="s">
        <v>1171</v>
      </c>
      <c r="R474" t="str">
        <f>_xlfn.TEXTBEFORE(_xlfn.TEXTAFTER(us_core_reqs[[#This Row],[URL*]],"/",-1),".")</f>
        <v>StructureDefinition-us-core-practitioner</v>
      </c>
      <c r="S474" t="str">
        <f>_xlfn.TEXTAFTER(us_core_reqs[[#This Row],[URL*]],"#",-1)</f>
        <v>mandatory-and-must-support-data-elements</v>
      </c>
      <c r="T474" t="str">
        <f>SUBSTITUTE(SUBSTITUTE(PROPER(SUBSTITUTE(us_core_reqs[[#This Row],[Page]], "-", " "))&amp;": "&amp;PROPER(SUBSTITUTE(us_core_reqs[[#This Row],[Section]], "-", " ")),"Us ","US "), "Uscdi", "USCDI")</f>
        <v>Structuredefinition US Core Practitioner: Mandatory And Must Support Data Elements</v>
      </c>
      <c r="U474" t="s">
        <v>29</v>
      </c>
      <c r="V474" t="s">
        <v>30</v>
      </c>
      <c r="W474" t="s">
        <v>1171</v>
      </c>
      <c r="X474" t="s">
        <v>1171</v>
      </c>
      <c r="Y474" t="s">
        <v>1171</v>
      </c>
      <c r="Z474" t="s">
        <v>1171</v>
      </c>
      <c r="AA474" t="s">
        <v>1171</v>
      </c>
      <c r="AB474" t="s">
        <v>1171</v>
      </c>
      <c r="AC474" t="s">
        <v>1141</v>
      </c>
      <c r="AD474" t="s">
        <v>1171</v>
      </c>
    </row>
    <row r="475" spans="1:30" ht="51" x14ac:dyDescent="0.2">
      <c r="A475" t="s">
        <v>1171</v>
      </c>
      <c r="B475" t="s">
        <v>1647</v>
      </c>
      <c r="C475" t="str">
        <f>"CONF-"&amp;TEXT(us_core_reqs[[#This Row],[ID*]], "0000")</f>
        <v>CONF-0474</v>
      </c>
      <c r="D475" s="11" t="s">
        <v>895</v>
      </c>
      <c r="E475" t="str">
        <f>SUBSTITUTE(us_core_reqs[[#This Row],[URL*]], "https://hl7.org/fhir/us/core/STU8/","")</f>
        <v>StructureDefinition-us-core-practitioner.html#mandatory-and-must-support-data-elements</v>
      </c>
      <c r="F475" s="11" t="s">
        <v>1068</v>
      </c>
      <c r="G475" t="s">
        <v>35</v>
      </c>
      <c r="I475" t="s">
        <v>30</v>
      </c>
      <c r="J475" t="s">
        <v>1171</v>
      </c>
      <c r="K475" t="s">
        <v>1171</v>
      </c>
      <c r="L475" t="s">
        <v>1176</v>
      </c>
      <c r="M475" t="s">
        <v>492</v>
      </c>
      <c r="N475" t="s">
        <v>1171</v>
      </c>
      <c r="O475" t="s">
        <v>1171</v>
      </c>
      <c r="P475" t="s">
        <v>1171</v>
      </c>
      <c r="Q475" t="s">
        <v>1171</v>
      </c>
      <c r="R475" t="str">
        <f>_xlfn.TEXTBEFORE(_xlfn.TEXTAFTER(us_core_reqs[[#This Row],[URL*]],"/",-1),".")</f>
        <v>StructureDefinition-us-core-practitioner</v>
      </c>
      <c r="S475" t="str">
        <f>_xlfn.TEXTAFTER(us_core_reqs[[#This Row],[URL*]],"#",-1)</f>
        <v>mandatory-and-must-support-data-elements</v>
      </c>
      <c r="T475" t="str">
        <f>SUBSTITUTE(SUBSTITUTE(PROPER(SUBSTITUTE(us_core_reqs[[#This Row],[Page]], "-", " "))&amp;": "&amp;PROPER(SUBSTITUTE(us_core_reqs[[#This Row],[Section]], "-", " ")),"Us ","US "), "Uscdi", "USCDI")</f>
        <v>Structuredefinition US Core Practitioner: Mandatory And Must Support Data Elements</v>
      </c>
      <c r="U475" t="s">
        <v>35</v>
      </c>
      <c r="V475" t="s">
        <v>30</v>
      </c>
      <c r="W475" t="s">
        <v>1171</v>
      </c>
      <c r="X475" t="s">
        <v>1171</v>
      </c>
      <c r="Y475" t="s">
        <v>1171</v>
      </c>
      <c r="Z475" t="s">
        <v>1171</v>
      </c>
      <c r="AA475" t="s">
        <v>1171</v>
      </c>
      <c r="AB475" t="s">
        <v>1171</v>
      </c>
      <c r="AC475" t="s">
        <v>1171</v>
      </c>
      <c r="AD475" t="s">
        <v>1171</v>
      </c>
    </row>
    <row r="476" spans="1:30" ht="51" x14ac:dyDescent="0.2">
      <c r="A476" t="s">
        <v>1171</v>
      </c>
      <c r="B476" t="s">
        <v>1648</v>
      </c>
      <c r="C476" t="str">
        <f>"CONF-"&amp;TEXT(us_core_reqs[[#This Row],[ID*]], "0000")</f>
        <v>CONF-0475</v>
      </c>
      <c r="D476" s="11" t="s">
        <v>895</v>
      </c>
      <c r="E476" t="str">
        <f>SUBSTITUTE(us_core_reqs[[#This Row],[URL*]], "https://hl7.org/fhir/us/core/STU8/","")</f>
        <v>StructureDefinition-us-core-practitioner.html#mandatory-and-must-support-data-elements</v>
      </c>
      <c r="F476" s="11" t="s">
        <v>1901</v>
      </c>
      <c r="G476" t="s">
        <v>29</v>
      </c>
      <c r="I476" t="s">
        <v>30</v>
      </c>
      <c r="J476" t="s">
        <v>1171</v>
      </c>
      <c r="K476" t="s">
        <v>1171</v>
      </c>
      <c r="L476" t="s">
        <v>1176</v>
      </c>
      <c r="M476" t="s">
        <v>493</v>
      </c>
      <c r="N476" t="s">
        <v>1171</v>
      </c>
      <c r="O476" t="s">
        <v>1171</v>
      </c>
      <c r="P476" t="s">
        <v>1171</v>
      </c>
      <c r="Q476" t="s">
        <v>1171</v>
      </c>
      <c r="R476" t="str">
        <f>_xlfn.TEXTBEFORE(_xlfn.TEXTAFTER(us_core_reqs[[#This Row],[URL*]],"/",-1),".")</f>
        <v>StructureDefinition-us-core-practitioner</v>
      </c>
      <c r="S476" t="str">
        <f>_xlfn.TEXTAFTER(us_core_reqs[[#This Row],[URL*]],"#",-1)</f>
        <v>mandatory-and-must-support-data-elements</v>
      </c>
      <c r="T476" t="str">
        <f>SUBSTITUTE(SUBSTITUTE(PROPER(SUBSTITUTE(us_core_reqs[[#This Row],[Page]], "-", " "))&amp;": "&amp;PROPER(SUBSTITUTE(us_core_reqs[[#This Row],[Section]], "-", " ")),"Us ","US "), "Uscdi", "USCDI")</f>
        <v>Structuredefinition US Core Practitioner: Mandatory And Must Support Data Elements</v>
      </c>
      <c r="U476" t="s">
        <v>29</v>
      </c>
      <c r="V476" t="s">
        <v>30</v>
      </c>
      <c r="W476" t="s">
        <v>1171</v>
      </c>
      <c r="X476" t="s">
        <v>1171</v>
      </c>
      <c r="Y476" t="s">
        <v>1171</v>
      </c>
      <c r="Z476" t="s">
        <v>1171</v>
      </c>
      <c r="AA476" t="s">
        <v>1171</v>
      </c>
      <c r="AB476" t="s">
        <v>1171</v>
      </c>
      <c r="AC476" t="s">
        <v>1140</v>
      </c>
      <c r="AD476" t="s">
        <v>1171</v>
      </c>
    </row>
    <row r="477" spans="1:30" ht="34" x14ac:dyDescent="0.2">
      <c r="A477" t="s">
        <v>1171</v>
      </c>
      <c r="B477" t="s">
        <v>1649</v>
      </c>
      <c r="C477" t="str">
        <f>"CONF-"&amp;TEXT(us_core_reqs[[#This Row],[ID*]], "0000")</f>
        <v>CONF-0476</v>
      </c>
      <c r="D477" s="11" t="s">
        <v>895</v>
      </c>
      <c r="E477" t="str">
        <f>SUBSTITUTE(us_core_reqs[[#This Row],[URL*]], "https://hl7.org/fhir/us/core/STU8/","")</f>
        <v>StructureDefinition-us-core-practitioner.html#mandatory-and-must-support-data-elements</v>
      </c>
      <c r="F477" s="11" t="s">
        <v>2141</v>
      </c>
      <c r="G477" t="s">
        <v>29</v>
      </c>
      <c r="I477" t="s">
        <v>58</v>
      </c>
      <c r="J477" t="s">
        <v>1171</v>
      </c>
      <c r="K477" t="s">
        <v>1171</v>
      </c>
      <c r="L477" t="s">
        <v>1171</v>
      </c>
      <c r="M477" t="s">
        <v>1171</v>
      </c>
      <c r="N477" t="s">
        <v>1171</v>
      </c>
      <c r="O477" t="s">
        <v>1171</v>
      </c>
      <c r="P477" t="s">
        <v>1171</v>
      </c>
      <c r="Q477" t="s">
        <v>1171</v>
      </c>
      <c r="R477" t="str">
        <f>_xlfn.TEXTBEFORE(_xlfn.TEXTAFTER(us_core_reqs[[#This Row],[URL*]],"/",-1),".")</f>
        <v>StructureDefinition-us-core-practitioner</v>
      </c>
      <c r="S477" t="str">
        <f>_xlfn.TEXTAFTER(us_core_reqs[[#This Row],[URL*]],"#",-1)</f>
        <v>mandatory-and-must-support-data-elements</v>
      </c>
      <c r="T477" t="str">
        <f>SUBSTITUTE(SUBSTITUTE(PROPER(SUBSTITUTE(us_core_reqs[[#This Row],[Page]], "-", " "))&amp;": "&amp;PROPER(SUBSTITUTE(us_core_reqs[[#This Row],[Section]], "-", " ")),"Us ","US "), "Uscdi", "USCDI")</f>
        <v>Structuredefinition US Core Practitioner: Mandatory And Must Support Data Elements</v>
      </c>
      <c r="U477" t="s">
        <v>29</v>
      </c>
      <c r="V477" t="s">
        <v>58</v>
      </c>
      <c r="W477" t="s">
        <v>1171</v>
      </c>
      <c r="X477" t="s">
        <v>1171</v>
      </c>
      <c r="Y477" t="s">
        <v>1171</v>
      </c>
      <c r="Z477" t="s">
        <v>1171</v>
      </c>
      <c r="AA477" t="s">
        <v>1171</v>
      </c>
      <c r="AB477" t="s">
        <v>1171</v>
      </c>
      <c r="AC477" t="s">
        <v>1171</v>
      </c>
      <c r="AD477" t="s">
        <v>1171</v>
      </c>
    </row>
    <row r="478" spans="1:30" ht="34" x14ac:dyDescent="0.2">
      <c r="A478" t="s">
        <v>1171</v>
      </c>
      <c r="B478" t="s">
        <v>1650</v>
      </c>
      <c r="C478" t="str">
        <f>"CONF-"&amp;TEXT(us_core_reqs[[#This Row],[ID*]], "0000")</f>
        <v>CONF-0477</v>
      </c>
      <c r="D478" s="11" t="s">
        <v>895</v>
      </c>
      <c r="E478" t="str">
        <f>SUBSTITUTE(us_core_reqs[[#This Row],[URL*]], "https://hl7.org/fhir/us/core/STU8/","")</f>
        <v>StructureDefinition-us-core-practitioner.html#mandatory-and-must-support-data-elements</v>
      </c>
      <c r="F478" s="11" t="s">
        <v>1999</v>
      </c>
      <c r="G478" t="s">
        <v>32</v>
      </c>
      <c r="I478" t="s">
        <v>30</v>
      </c>
      <c r="J478" t="s">
        <v>1171</v>
      </c>
      <c r="K478" t="s">
        <v>1171</v>
      </c>
      <c r="L478" t="s">
        <v>1173</v>
      </c>
      <c r="M478" t="s">
        <v>1171</v>
      </c>
      <c r="N478" t="s">
        <v>1171</v>
      </c>
      <c r="O478" t="s">
        <v>1171</v>
      </c>
      <c r="P478" t="s">
        <v>1171</v>
      </c>
      <c r="Q478" t="s">
        <v>1171</v>
      </c>
      <c r="R478" t="str">
        <f>_xlfn.TEXTBEFORE(_xlfn.TEXTAFTER(us_core_reqs[[#This Row],[URL*]],"/",-1),".")</f>
        <v>StructureDefinition-us-core-practitioner</v>
      </c>
      <c r="S478" t="str">
        <f>_xlfn.TEXTAFTER(us_core_reqs[[#This Row],[URL*]],"#",-1)</f>
        <v>mandatory-and-must-support-data-elements</v>
      </c>
      <c r="T478" t="str">
        <f>SUBSTITUTE(SUBSTITUTE(PROPER(SUBSTITUTE(us_core_reqs[[#This Row],[Page]], "-", " "))&amp;": "&amp;PROPER(SUBSTITUTE(us_core_reqs[[#This Row],[Section]], "-", " ")),"Us ","US "), "Uscdi", "USCDI")</f>
        <v>Structuredefinition US Core Practitioner: Mandatory And Must Support Data Elements</v>
      </c>
      <c r="U478" t="s">
        <v>32</v>
      </c>
      <c r="V478" t="s">
        <v>1171</v>
      </c>
      <c r="W478" t="s">
        <v>1171</v>
      </c>
      <c r="X478" t="s">
        <v>1171</v>
      </c>
      <c r="Y478" t="s">
        <v>1171</v>
      </c>
      <c r="Z478" t="s">
        <v>1171</v>
      </c>
      <c r="AA478" t="s">
        <v>1171</v>
      </c>
      <c r="AB478" t="s">
        <v>1171</v>
      </c>
      <c r="AC478" t="s">
        <v>1171</v>
      </c>
      <c r="AD478" t="s">
        <v>1171</v>
      </c>
    </row>
    <row r="479" spans="1:30" ht="102" x14ac:dyDescent="0.2">
      <c r="A479" t="s">
        <v>1171</v>
      </c>
      <c r="B479" t="s">
        <v>1651</v>
      </c>
      <c r="C479" t="str">
        <f>"CONF-"&amp;TEXT(us_core_reqs[[#This Row],[ID*]], "0000")</f>
        <v>CONF-0478</v>
      </c>
      <c r="D479" s="11" t="s">
        <v>895</v>
      </c>
      <c r="E479" t="str">
        <f>SUBSTITUTE(us_core_reqs[[#This Row],[URL*]], "https://hl7.org/fhir/us/core/STU8/","")</f>
        <v>StructureDefinition-us-core-practitioner.html#mandatory-and-must-support-data-elements</v>
      </c>
      <c r="F479" s="11" t="s">
        <v>2000</v>
      </c>
      <c r="G479" t="s">
        <v>32</v>
      </c>
      <c r="I479" t="s">
        <v>30</v>
      </c>
      <c r="J479" t="s">
        <v>1171</v>
      </c>
      <c r="K479" t="s">
        <v>1171</v>
      </c>
      <c r="L479" t="s">
        <v>1173</v>
      </c>
      <c r="M479" t="s">
        <v>1171</v>
      </c>
      <c r="N479" t="s">
        <v>1171</v>
      </c>
      <c r="O479" t="s">
        <v>1171</v>
      </c>
      <c r="P479" t="s">
        <v>1171</v>
      </c>
      <c r="Q479" t="s">
        <v>1171</v>
      </c>
      <c r="R479" t="str">
        <f>_xlfn.TEXTBEFORE(_xlfn.TEXTAFTER(us_core_reqs[[#This Row],[URL*]],"/",-1),".")</f>
        <v>StructureDefinition-us-core-practitioner</v>
      </c>
      <c r="S479" t="str">
        <f>_xlfn.TEXTAFTER(us_core_reqs[[#This Row],[URL*]],"#",-1)</f>
        <v>mandatory-and-must-support-data-elements</v>
      </c>
      <c r="T479" t="str">
        <f>SUBSTITUTE(SUBSTITUTE(PROPER(SUBSTITUTE(us_core_reqs[[#This Row],[Page]], "-", " "))&amp;": "&amp;PROPER(SUBSTITUTE(us_core_reqs[[#This Row],[Section]], "-", " ")),"Us ","US "), "Uscdi", "USCDI")</f>
        <v>Structuredefinition US Core Practitioner: Mandatory And Must Support Data Elements</v>
      </c>
      <c r="U479" t="s">
        <v>32</v>
      </c>
      <c r="V479" t="s">
        <v>1171</v>
      </c>
      <c r="W479" t="s">
        <v>1171</v>
      </c>
      <c r="X479" t="s">
        <v>1171</v>
      </c>
      <c r="Y479" t="s">
        <v>1171</v>
      </c>
      <c r="Z479" t="s">
        <v>1171</v>
      </c>
      <c r="AA479" t="s">
        <v>1171</v>
      </c>
      <c r="AB479" t="s">
        <v>1171</v>
      </c>
      <c r="AC479" t="s">
        <v>1171</v>
      </c>
      <c r="AD479" t="s">
        <v>1171</v>
      </c>
    </row>
    <row r="480" spans="1:30" ht="34" x14ac:dyDescent="0.2">
      <c r="A480" t="s">
        <v>1171</v>
      </c>
      <c r="B480" t="s">
        <v>1652</v>
      </c>
      <c r="C480" t="str">
        <f>"CONF-"&amp;TEXT(us_core_reqs[[#This Row],[ID*]], "0000")</f>
        <v>CONF-0479</v>
      </c>
      <c r="D480" s="11" t="s">
        <v>807</v>
      </c>
      <c r="E480" t="str">
        <f>SUBSTITUTE(us_core_reqs[[#This Row],[URL*]], "https://hl7.org/fhir/us/core/STU8/","")</f>
        <v>StructureDefinition-us-core-procedure.html#mandatory-and-must-support-data-elements</v>
      </c>
      <c r="F480" s="11" t="s">
        <v>496</v>
      </c>
      <c r="G480" t="s">
        <v>35</v>
      </c>
      <c r="I480" t="s">
        <v>30</v>
      </c>
      <c r="J480" t="s">
        <v>1171</v>
      </c>
      <c r="K480" t="s">
        <v>1171</v>
      </c>
      <c r="L480" t="s">
        <v>1173</v>
      </c>
      <c r="M480" t="s">
        <v>1171</v>
      </c>
      <c r="N480" t="s">
        <v>1171</v>
      </c>
      <c r="O480" t="s">
        <v>1171</v>
      </c>
      <c r="P480" t="s">
        <v>1171</v>
      </c>
      <c r="Q480" t="s">
        <v>1171</v>
      </c>
      <c r="R480" t="str">
        <f>_xlfn.TEXTBEFORE(_xlfn.TEXTAFTER(us_core_reqs[[#This Row],[URL*]],"/",-1),".")</f>
        <v>StructureDefinition-us-core-procedure</v>
      </c>
      <c r="S480" t="str">
        <f>_xlfn.TEXTAFTER(us_core_reqs[[#This Row],[URL*]],"#",-1)</f>
        <v>mandatory-and-must-support-data-elements</v>
      </c>
      <c r="T480" t="str">
        <f>SUBSTITUTE(SUBSTITUTE(PROPER(SUBSTITUTE(us_core_reqs[[#This Row],[Page]], "-", " "))&amp;": "&amp;PROPER(SUBSTITUTE(us_core_reqs[[#This Row],[Section]], "-", " ")),"Us ","US "), "Uscdi", "USCDI")</f>
        <v>Structuredefinition US Core Procedure: Mandatory And Must Support Data Elements</v>
      </c>
      <c r="U480" t="s">
        <v>35</v>
      </c>
      <c r="V480" t="s">
        <v>1171</v>
      </c>
      <c r="W480" t="s">
        <v>1171</v>
      </c>
      <c r="X480" t="s">
        <v>1171</v>
      </c>
      <c r="Y480" t="s">
        <v>1171</v>
      </c>
      <c r="Z480" t="s">
        <v>1171</v>
      </c>
      <c r="AA480" t="s">
        <v>1171</v>
      </c>
      <c r="AB480" t="s">
        <v>1171</v>
      </c>
      <c r="AC480" t="s">
        <v>1171</v>
      </c>
      <c r="AD480" t="s">
        <v>1171</v>
      </c>
    </row>
    <row r="481" spans="1:30" ht="34" x14ac:dyDescent="0.2">
      <c r="A481" t="s">
        <v>1171</v>
      </c>
      <c r="B481" t="s">
        <v>1653</v>
      </c>
      <c r="C481" t="str">
        <f>"CONF-"&amp;TEXT(us_core_reqs[[#This Row],[ID*]], "0000")</f>
        <v>CONF-0480</v>
      </c>
      <c r="D481" s="11" t="s">
        <v>807</v>
      </c>
      <c r="E481" t="str">
        <f>SUBSTITUTE(us_core_reqs[[#This Row],[URL*]], "https://hl7.org/fhir/us/core/STU8/","")</f>
        <v>StructureDefinition-us-core-procedure.html#mandatory-and-must-support-data-elements</v>
      </c>
      <c r="F481" s="11" t="s">
        <v>2001</v>
      </c>
      <c r="G481" t="s">
        <v>32</v>
      </c>
      <c r="I481" t="s">
        <v>30</v>
      </c>
      <c r="J481" t="s">
        <v>1171</v>
      </c>
      <c r="K481" t="s">
        <v>1171</v>
      </c>
      <c r="L481" t="s">
        <v>1176</v>
      </c>
      <c r="M481" t="s">
        <v>498</v>
      </c>
      <c r="N481" t="s">
        <v>1171</v>
      </c>
      <c r="O481" t="s">
        <v>1171</v>
      </c>
      <c r="P481" t="s">
        <v>1171</v>
      </c>
      <c r="Q481" t="s">
        <v>1171</v>
      </c>
      <c r="R481" t="str">
        <f>_xlfn.TEXTBEFORE(_xlfn.TEXTAFTER(us_core_reqs[[#This Row],[URL*]],"/",-1),".")</f>
        <v>StructureDefinition-us-core-procedure</v>
      </c>
      <c r="S481" t="str">
        <f>_xlfn.TEXTAFTER(us_core_reqs[[#This Row],[URL*]],"#",-1)</f>
        <v>mandatory-and-must-support-data-elements</v>
      </c>
      <c r="T481" t="str">
        <f>SUBSTITUTE(SUBSTITUTE(PROPER(SUBSTITUTE(us_core_reqs[[#This Row],[Page]], "-", " "))&amp;": "&amp;PROPER(SUBSTITUTE(us_core_reqs[[#This Row],[Section]], "-", " ")),"Us ","US "), "Uscdi", "USCDI")</f>
        <v>Structuredefinition US Core Procedure: Mandatory And Must Support Data Elements</v>
      </c>
      <c r="U481" t="s">
        <v>32</v>
      </c>
      <c r="V481" t="s">
        <v>1171</v>
      </c>
      <c r="W481" t="s">
        <v>1171</v>
      </c>
      <c r="X481" t="s">
        <v>1171</v>
      </c>
      <c r="Y481" t="s">
        <v>1171</v>
      </c>
      <c r="Z481" t="s">
        <v>1171</v>
      </c>
      <c r="AA481" t="s">
        <v>1171</v>
      </c>
      <c r="AB481" t="s">
        <v>1171</v>
      </c>
      <c r="AC481" t="s">
        <v>1171</v>
      </c>
      <c r="AD481" t="s">
        <v>1171</v>
      </c>
    </row>
    <row r="482" spans="1:30" ht="34" x14ac:dyDescent="0.2">
      <c r="A482" t="s">
        <v>1171</v>
      </c>
      <c r="B482" t="s">
        <v>1654</v>
      </c>
      <c r="C482" t="str">
        <f>"CONF-"&amp;TEXT(us_core_reqs[[#This Row],[ID*]], "0000")</f>
        <v>CONF-0481</v>
      </c>
      <c r="D482" s="11" t="s">
        <v>807</v>
      </c>
      <c r="E482" t="str">
        <f>SUBSTITUTE(us_core_reqs[[#This Row],[URL*]], "https://hl7.org/fhir/us/core/STU8/","")</f>
        <v>StructureDefinition-us-core-procedure.html#mandatory-and-must-support-data-elements</v>
      </c>
      <c r="F482" s="11" t="s">
        <v>2194</v>
      </c>
      <c r="G482" t="s">
        <v>32</v>
      </c>
      <c r="I482" t="s">
        <v>30</v>
      </c>
      <c r="J482" t="s">
        <v>1171</v>
      </c>
      <c r="K482" t="s">
        <v>1171</v>
      </c>
      <c r="L482" t="s">
        <v>1173</v>
      </c>
      <c r="M482" t="s">
        <v>1171</v>
      </c>
      <c r="N482" t="s">
        <v>1171</v>
      </c>
      <c r="O482" t="s">
        <v>1171</v>
      </c>
      <c r="P482" t="s">
        <v>1171</v>
      </c>
      <c r="Q482" t="s">
        <v>1171</v>
      </c>
      <c r="R482" t="str">
        <f>_xlfn.TEXTBEFORE(_xlfn.TEXTAFTER(us_core_reqs[[#This Row],[URL*]],"/",-1),".")</f>
        <v>StructureDefinition-us-core-procedure</v>
      </c>
      <c r="S482" t="str">
        <f>_xlfn.TEXTAFTER(us_core_reqs[[#This Row],[URL*]],"#",-1)</f>
        <v>mandatory-and-must-support-data-elements</v>
      </c>
      <c r="T482" t="str">
        <f>SUBSTITUTE(SUBSTITUTE(PROPER(SUBSTITUTE(us_core_reqs[[#This Row],[Page]], "-", " "))&amp;": "&amp;PROPER(SUBSTITUTE(us_core_reqs[[#This Row],[Section]], "-", " ")),"Us ","US "), "Uscdi", "USCDI")</f>
        <v>Structuredefinition US Core Procedure: Mandatory And Must Support Data Elements</v>
      </c>
      <c r="U482" t="s">
        <v>35</v>
      </c>
      <c r="V482" t="s">
        <v>1171</v>
      </c>
      <c r="W482" t="s">
        <v>1171</v>
      </c>
      <c r="X482" t="s">
        <v>1171</v>
      </c>
      <c r="Y482" t="s">
        <v>1171</v>
      </c>
      <c r="Z482" t="s">
        <v>1171</v>
      </c>
      <c r="AA482" t="s">
        <v>1171</v>
      </c>
      <c r="AB482" t="s">
        <v>1171</v>
      </c>
      <c r="AC482" t="s">
        <v>1171</v>
      </c>
      <c r="AD482" t="s">
        <v>1171</v>
      </c>
    </row>
    <row r="483" spans="1:30" ht="68" x14ac:dyDescent="0.2">
      <c r="A483" t="s">
        <v>1171</v>
      </c>
      <c r="B483" t="s">
        <v>1655</v>
      </c>
      <c r="C483" t="str">
        <f>"CONF-"&amp;TEXT(us_core_reqs[[#This Row],[ID*]], "0000")</f>
        <v>CONF-0482</v>
      </c>
      <c r="D483" s="11" t="s">
        <v>807</v>
      </c>
      <c r="E483" t="str">
        <f>SUBSTITUTE(us_core_reqs[[#This Row],[URL*]], "https://hl7.org/fhir/us/core/STU8/","")</f>
        <v>StructureDefinition-us-core-procedure.html#mandatory-and-must-support-data-elements</v>
      </c>
      <c r="F483" s="11" t="s">
        <v>2142</v>
      </c>
      <c r="G483" t="s">
        <v>29</v>
      </c>
      <c r="I483" t="s">
        <v>30</v>
      </c>
      <c r="J483" t="s">
        <v>1171</v>
      </c>
      <c r="K483" t="s">
        <v>1171</v>
      </c>
      <c r="L483" t="s">
        <v>1176</v>
      </c>
      <c r="M483" t="s">
        <v>500</v>
      </c>
      <c r="N483" t="s">
        <v>1171</v>
      </c>
      <c r="O483" t="s">
        <v>1171</v>
      </c>
      <c r="P483" t="s">
        <v>1171</v>
      </c>
      <c r="Q483" t="s">
        <v>1171</v>
      </c>
      <c r="R483" t="str">
        <f>_xlfn.TEXTBEFORE(_xlfn.TEXTAFTER(us_core_reqs[[#This Row],[URL*]],"/",-1),".")</f>
        <v>StructureDefinition-us-core-procedure</v>
      </c>
      <c r="S483" t="str">
        <f>_xlfn.TEXTAFTER(us_core_reqs[[#This Row],[URL*]],"#",-1)</f>
        <v>mandatory-and-must-support-data-elements</v>
      </c>
      <c r="T483" t="str">
        <f>SUBSTITUTE(SUBSTITUTE(PROPER(SUBSTITUTE(us_core_reqs[[#This Row],[Page]], "-", " "))&amp;": "&amp;PROPER(SUBSTITUTE(us_core_reqs[[#This Row],[Section]], "-", " ")),"Us ","US "), "Uscdi", "USCDI")</f>
        <v>Structuredefinition US Core Procedure: Mandatory And Must Support Data Elements</v>
      </c>
      <c r="U483" t="s">
        <v>29</v>
      </c>
      <c r="V483" t="s">
        <v>30</v>
      </c>
      <c r="W483" t="s">
        <v>1171</v>
      </c>
      <c r="X483" t="s">
        <v>1171</v>
      </c>
      <c r="Y483" t="s">
        <v>1171</v>
      </c>
      <c r="Z483" t="s">
        <v>1171</v>
      </c>
      <c r="AA483" t="s">
        <v>1171</v>
      </c>
      <c r="AB483" t="s">
        <v>405</v>
      </c>
      <c r="AC483" t="s">
        <v>1140</v>
      </c>
      <c r="AD483" t="s">
        <v>1171</v>
      </c>
    </row>
    <row r="484" spans="1:30" ht="68" x14ac:dyDescent="0.2">
      <c r="A484" t="s">
        <v>1171</v>
      </c>
      <c r="B484" t="s">
        <v>1656</v>
      </c>
      <c r="C484" t="str">
        <f>"CONF-"&amp;TEXT(us_core_reqs[[#This Row],[ID*]], "0000")</f>
        <v>CONF-0483</v>
      </c>
      <c r="D484" s="11" t="s">
        <v>807</v>
      </c>
      <c r="E484" t="str">
        <f>SUBSTITUTE(us_core_reqs[[#This Row],[URL*]], "https://hl7.org/fhir/us/core/STU8/","")</f>
        <v>StructureDefinition-us-core-procedure.html#mandatory-and-must-support-data-elements</v>
      </c>
      <c r="F484" s="11" t="s">
        <v>2143</v>
      </c>
      <c r="G484" t="s">
        <v>29</v>
      </c>
      <c r="I484" t="s">
        <v>58</v>
      </c>
      <c r="J484" t="s">
        <v>1171</v>
      </c>
      <c r="K484" t="s">
        <v>1171</v>
      </c>
      <c r="L484" t="s">
        <v>1176</v>
      </c>
      <c r="M484" t="s">
        <v>500</v>
      </c>
      <c r="N484" t="s">
        <v>1171</v>
      </c>
      <c r="O484" t="s">
        <v>1171</v>
      </c>
      <c r="P484" t="s">
        <v>1171</v>
      </c>
      <c r="Q484" t="s">
        <v>1171</v>
      </c>
      <c r="R484" t="str">
        <f>_xlfn.TEXTBEFORE(_xlfn.TEXTAFTER(us_core_reqs[[#This Row],[URL*]],"/",-1),".")</f>
        <v>StructureDefinition-us-core-procedure</v>
      </c>
      <c r="S484" t="str">
        <f>_xlfn.TEXTAFTER(us_core_reqs[[#This Row],[URL*]],"#",-1)</f>
        <v>mandatory-and-must-support-data-elements</v>
      </c>
      <c r="T484" t="str">
        <f>SUBSTITUTE(SUBSTITUTE(PROPER(SUBSTITUTE(us_core_reqs[[#This Row],[Page]], "-", " "))&amp;": "&amp;PROPER(SUBSTITUTE(us_core_reqs[[#This Row],[Section]], "-", " ")),"Us ","US "), "Uscdi", "USCDI")</f>
        <v>Structuredefinition US Core Procedure: Mandatory And Must Support Data Elements</v>
      </c>
      <c r="U484" t="s">
        <v>29</v>
      </c>
      <c r="V484" t="s">
        <v>58</v>
      </c>
      <c r="W484" t="s">
        <v>1171</v>
      </c>
      <c r="X484" t="s">
        <v>1171</v>
      </c>
      <c r="Y484" t="s">
        <v>1171</v>
      </c>
      <c r="Z484" t="s">
        <v>1171</v>
      </c>
      <c r="AA484" t="s">
        <v>1171</v>
      </c>
      <c r="AB484" t="s">
        <v>405</v>
      </c>
      <c r="AC484" t="s">
        <v>1171</v>
      </c>
      <c r="AD484" t="s">
        <v>1171</v>
      </c>
    </row>
    <row r="485" spans="1:30" ht="85" x14ac:dyDescent="0.2">
      <c r="A485" t="s">
        <v>1171</v>
      </c>
      <c r="B485" t="s">
        <v>1657</v>
      </c>
      <c r="C485" t="str">
        <f>"CONF-"&amp;TEXT(us_core_reqs[[#This Row],[ID*]], "0000")</f>
        <v>CONF-0484</v>
      </c>
      <c r="D485" s="11" t="s">
        <v>807</v>
      </c>
      <c r="E485" t="str">
        <f>SUBSTITUTE(us_core_reqs[[#This Row],[URL*]], "https://hl7.org/fhir/us/core/STU8/","")</f>
        <v>StructureDefinition-us-core-procedure.html#mandatory-and-must-support-data-elements</v>
      </c>
      <c r="F485" s="11" t="s">
        <v>2144</v>
      </c>
      <c r="G485" t="s">
        <v>29</v>
      </c>
      <c r="I485" t="s">
        <v>30</v>
      </c>
      <c r="J485" t="s">
        <v>1171</v>
      </c>
      <c r="K485" t="s">
        <v>1171</v>
      </c>
      <c r="L485" t="s">
        <v>1176</v>
      </c>
      <c r="M485" t="s">
        <v>1071</v>
      </c>
      <c r="N485" t="s">
        <v>1171</v>
      </c>
      <c r="O485" t="s">
        <v>1171</v>
      </c>
      <c r="P485" t="s">
        <v>1171</v>
      </c>
      <c r="Q485" t="s">
        <v>1171</v>
      </c>
      <c r="R485" t="str">
        <f>_xlfn.TEXTBEFORE(_xlfn.TEXTAFTER(us_core_reqs[[#This Row],[URL*]],"/",-1),".")</f>
        <v>StructureDefinition-us-core-procedure</v>
      </c>
      <c r="S485" t="str">
        <f>_xlfn.TEXTAFTER(us_core_reqs[[#This Row],[URL*]],"#",-1)</f>
        <v>mandatory-and-must-support-data-elements</v>
      </c>
      <c r="T485" t="str">
        <f>SUBSTITUTE(SUBSTITUTE(PROPER(SUBSTITUTE(us_core_reqs[[#This Row],[Page]], "-", " "))&amp;": "&amp;PROPER(SUBSTITUTE(us_core_reqs[[#This Row],[Section]], "-", " ")),"Us ","US "), "Uscdi", "USCDI")</f>
        <v>Structuredefinition US Core Procedure: Mandatory And Must Support Data Elements</v>
      </c>
      <c r="U485" t="s">
        <v>29</v>
      </c>
      <c r="V485" t="s">
        <v>30</v>
      </c>
      <c r="W485" t="s">
        <v>1171</v>
      </c>
      <c r="X485" t="s">
        <v>1171</v>
      </c>
      <c r="Y485" t="s">
        <v>1171</v>
      </c>
      <c r="Z485" t="s">
        <v>1171</v>
      </c>
      <c r="AA485" t="s">
        <v>1171</v>
      </c>
      <c r="AB485" t="s">
        <v>405</v>
      </c>
      <c r="AC485" t="s">
        <v>1140</v>
      </c>
      <c r="AD485" t="s">
        <v>1171</v>
      </c>
    </row>
    <row r="486" spans="1:30" ht="51" x14ac:dyDescent="0.2">
      <c r="A486" t="s">
        <v>1171</v>
      </c>
      <c r="B486" t="s">
        <v>1658</v>
      </c>
      <c r="C486" t="str">
        <f>"CONF-"&amp;TEXT(us_core_reqs[[#This Row],[ID*]], "0000")</f>
        <v>CONF-0485</v>
      </c>
      <c r="D486" s="11" t="s">
        <v>807</v>
      </c>
      <c r="E486" t="str">
        <f>SUBSTITUTE(us_core_reqs[[#This Row],[URL*]], "https://hl7.org/fhir/us/core/STU8/","")</f>
        <v>StructureDefinition-us-core-procedure.html#mandatory-and-must-support-data-elements</v>
      </c>
      <c r="F486" s="11" t="s">
        <v>2145</v>
      </c>
      <c r="G486" t="s">
        <v>29</v>
      </c>
      <c r="I486" t="s">
        <v>58</v>
      </c>
      <c r="J486" t="s">
        <v>1171</v>
      </c>
      <c r="K486" t="s">
        <v>1171</v>
      </c>
      <c r="L486" t="s">
        <v>1176</v>
      </c>
      <c r="M486" t="s">
        <v>500</v>
      </c>
      <c r="N486" t="s">
        <v>1171</v>
      </c>
      <c r="O486" t="s">
        <v>1171</v>
      </c>
      <c r="P486" t="s">
        <v>1171</v>
      </c>
      <c r="Q486" t="s">
        <v>1171</v>
      </c>
      <c r="R486" t="str">
        <f>_xlfn.TEXTBEFORE(_xlfn.TEXTAFTER(us_core_reqs[[#This Row],[URL*]],"/",-1),".")</f>
        <v>StructureDefinition-us-core-procedure</v>
      </c>
      <c r="S486" t="str">
        <f>_xlfn.TEXTAFTER(us_core_reqs[[#This Row],[URL*]],"#",-1)</f>
        <v>mandatory-and-must-support-data-elements</v>
      </c>
      <c r="T486" t="str">
        <f>SUBSTITUTE(SUBSTITUTE(PROPER(SUBSTITUTE(us_core_reqs[[#This Row],[Page]], "-", " "))&amp;": "&amp;PROPER(SUBSTITUTE(us_core_reqs[[#This Row],[Section]], "-", " ")),"Us ","US "), "Uscdi", "USCDI")</f>
        <v>Structuredefinition US Core Procedure: Mandatory And Must Support Data Elements</v>
      </c>
      <c r="U486" t="s">
        <v>29</v>
      </c>
      <c r="V486" t="s">
        <v>58</v>
      </c>
      <c r="W486" t="s">
        <v>1171</v>
      </c>
      <c r="X486" t="s">
        <v>1171</v>
      </c>
      <c r="Y486" t="s">
        <v>1171</v>
      </c>
      <c r="Z486" t="s">
        <v>1171</v>
      </c>
      <c r="AA486" t="s">
        <v>1171</v>
      </c>
      <c r="AB486" t="s">
        <v>405</v>
      </c>
      <c r="AC486" t="s">
        <v>1171</v>
      </c>
      <c r="AD486" t="s">
        <v>1171</v>
      </c>
    </row>
    <row r="487" spans="1:30" ht="68" x14ac:dyDescent="0.2">
      <c r="A487" t="s">
        <v>1171</v>
      </c>
      <c r="B487" t="s">
        <v>1659</v>
      </c>
      <c r="C487" t="str">
        <f>"CONF-"&amp;TEXT(us_core_reqs[[#This Row],[ID*]], "0000")</f>
        <v>CONF-0486</v>
      </c>
      <c r="D487" s="11" t="s">
        <v>807</v>
      </c>
      <c r="E487" t="str">
        <f>SUBSTITUTE(us_core_reqs[[#This Row],[URL*]], "https://hl7.org/fhir/us/core/STU8/","")</f>
        <v>StructureDefinition-us-core-procedure.html#mandatory-and-must-support-data-elements</v>
      </c>
      <c r="F487" s="11" t="s">
        <v>2146</v>
      </c>
      <c r="G487" t="s">
        <v>29</v>
      </c>
      <c r="I487" t="s">
        <v>30</v>
      </c>
      <c r="J487" t="s">
        <v>1171</v>
      </c>
      <c r="K487" t="s">
        <v>1171</v>
      </c>
      <c r="L487" t="s">
        <v>1176</v>
      </c>
      <c r="M487" t="s">
        <v>503</v>
      </c>
      <c r="N487" t="s">
        <v>1171</v>
      </c>
      <c r="O487" t="s">
        <v>1171</v>
      </c>
      <c r="P487" t="s">
        <v>1171</v>
      </c>
      <c r="Q487" t="s">
        <v>1171</v>
      </c>
      <c r="R487" t="str">
        <f>_xlfn.TEXTBEFORE(_xlfn.TEXTAFTER(us_core_reqs[[#This Row],[URL*]],"/",-1),".")</f>
        <v>StructureDefinition-us-core-procedure</v>
      </c>
      <c r="S487" t="str">
        <f>_xlfn.TEXTAFTER(us_core_reqs[[#This Row],[URL*]],"#",-1)</f>
        <v>mandatory-and-must-support-data-elements</v>
      </c>
      <c r="T487" t="str">
        <f>SUBSTITUTE(SUBSTITUTE(PROPER(SUBSTITUTE(us_core_reqs[[#This Row],[Page]], "-", " "))&amp;": "&amp;PROPER(SUBSTITUTE(us_core_reqs[[#This Row],[Section]], "-", " ")),"Us ","US "), "Uscdi", "USCDI")</f>
        <v>Structuredefinition US Core Procedure: Mandatory And Must Support Data Elements</v>
      </c>
      <c r="U487" t="s">
        <v>29</v>
      </c>
      <c r="V487" t="s">
        <v>30</v>
      </c>
      <c r="W487" t="s">
        <v>1171</v>
      </c>
      <c r="X487" t="s">
        <v>1171</v>
      </c>
      <c r="Y487" t="s">
        <v>1171</v>
      </c>
      <c r="Z487" t="s">
        <v>1171</v>
      </c>
      <c r="AA487" t="s">
        <v>1171</v>
      </c>
      <c r="AB487" t="s">
        <v>405</v>
      </c>
      <c r="AC487" t="s">
        <v>1140</v>
      </c>
      <c r="AD487" t="s">
        <v>1171</v>
      </c>
    </row>
    <row r="488" spans="1:30" ht="68" x14ac:dyDescent="0.2">
      <c r="A488" t="s">
        <v>1171</v>
      </c>
      <c r="B488" t="s">
        <v>1660</v>
      </c>
      <c r="C488" t="str">
        <f>"CONF-"&amp;TEXT(us_core_reqs[[#This Row],[ID*]], "0000")</f>
        <v>CONF-0487</v>
      </c>
      <c r="D488" s="11" t="s">
        <v>807</v>
      </c>
      <c r="E488" t="str">
        <f>SUBSTITUTE(us_core_reqs[[#This Row],[URL*]], "https://hl7.org/fhir/us/core/STU8/","")</f>
        <v>StructureDefinition-us-core-procedure.html#mandatory-and-must-support-data-elements</v>
      </c>
      <c r="F488" s="11" t="s">
        <v>2147</v>
      </c>
      <c r="G488" t="s">
        <v>29</v>
      </c>
      <c r="I488" t="s">
        <v>58</v>
      </c>
      <c r="J488" t="s">
        <v>1171</v>
      </c>
      <c r="K488" t="s">
        <v>1171</v>
      </c>
      <c r="L488" t="s">
        <v>1176</v>
      </c>
      <c r="M488" t="s">
        <v>503</v>
      </c>
      <c r="N488" t="s">
        <v>1171</v>
      </c>
      <c r="O488" t="s">
        <v>1171</v>
      </c>
      <c r="P488" t="s">
        <v>1171</v>
      </c>
      <c r="Q488" t="s">
        <v>1171</v>
      </c>
      <c r="R488" t="str">
        <f>_xlfn.TEXTBEFORE(_xlfn.TEXTAFTER(us_core_reqs[[#This Row],[URL*]],"/",-1),".")</f>
        <v>StructureDefinition-us-core-procedure</v>
      </c>
      <c r="S488" t="str">
        <f>_xlfn.TEXTAFTER(us_core_reqs[[#This Row],[URL*]],"#",-1)</f>
        <v>mandatory-and-must-support-data-elements</v>
      </c>
      <c r="T488" t="str">
        <f>SUBSTITUTE(SUBSTITUTE(PROPER(SUBSTITUTE(us_core_reqs[[#This Row],[Page]], "-", " "))&amp;": "&amp;PROPER(SUBSTITUTE(us_core_reqs[[#This Row],[Section]], "-", " ")),"Us ","US "), "Uscdi", "USCDI")</f>
        <v>Structuredefinition US Core Procedure: Mandatory And Must Support Data Elements</v>
      </c>
      <c r="U488" t="s">
        <v>29</v>
      </c>
      <c r="V488" t="s">
        <v>58</v>
      </c>
      <c r="W488" t="s">
        <v>1171</v>
      </c>
      <c r="X488" t="s">
        <v>1171</v>
      </c>
      <c r="Y488" t="s">
        <v>1171</v>
      </c>
      <c r="Z488" t="s">
        <v>1171</v>
      </c>
      <c r="AA488" t="s">
        <v>1171</v>
      </c>
      <c r="AB488" t="s">
        <v>405</v>
      </c>
      <c r="AC488" t="s">
        <v>1171</v>
      </c>
      <c r="AD488" t="s">
        <v>1171</v>
      </c>
    </row>
    <row r="489" spans="1:30" ht="102" x14ac:dyDescent="0.2">
      <c r="A489" t="s">
        <v>1171</v>
      </c>
      <c r="B489" t="s">
        <v>1661</v>
      </c>
      <c r="C489" t="str">
        <f>"CONF-"&amp;TEXT(us_core_reqs[[#This Row],[ID*]], "0000")</f>
        <v>CONF-0488</v>
      </c>
      <c r="D489" s="11" t="s">
        <v>807</v>
      </c>
      <c r="E489" t="str">
        <f>SUBSTITUTE(us_core_reqs[[#This Row],[URL*]], "https://hl7.org/fhir/us/core/STU8/","")</f>
        <v>StructureDefinition-us-core-procedure.html#mandatory-and-must-support-data-elements</v>
      </c>
      <c r="F489" s="11" t="s">
        <v>2002</v>
      </c>
      <c r="G489" t="s">
        <v>32</v>
      </c>
      <c r="I489" t="s">
        <v>30</v>
      </c>
      <c r="J489" t="s">
        <v>1171</v>
      </c>
      <c r="K489" t="s">
        <v>1171</v>
      </c>
      <c r="L489" t="s">
        <v>1176</v>
      </c>
      <c r="M489" t="s">
        <v>503</v>
      </c>
      <c r="N489" t="s">
        <v>1171</v>
      </c>
      <c r="O489" t="s">
        <v>1171</v>
      </c>
      <c r="P489" t="s">
        <v>1171</v>
      </c>
      <c r="Q489" t="s">
        <v>1171</v>
      </c>
      <c r="R489" t="str">
        <f>_xlfn.TEXTBEFORE(_xlfn.TEXTAFTER(us_core_reqs[[#This Row],[URL*]],"/",-1),".")</f>
        <v>StructureDefinition-us-core-procedure</v>
      </c>
      <c r="S489" t="str">
        <f>_xlfn.TEXTAFTER(us_core_reqs[[#This Row],[URL*]],"#",-1)</f>
        <v>mandatory-and-must-support-data-elements</v>
      </c>
      <c r="T489" t="str">
        <f>SUBSTITUTE(SUBSTITUTE(PROPER(SUBSTITUTE(us_core_reqs[[#This Row],[Page]], "-", " "))&amp;": "&amp;PROPER(SUBSTITUTE(us_core_reqs[[#This Row],[Section]], "-", " ")),"Us ","US "), "Uscdi", "USCDI")</f>
        <v>Structuredefinition US Core Procedure: Mandatory And Must Support Data Elements</v>
      </c>
      <c r="U489" t="s">
        <v>32</v>
      </c>
      <c r="V489" t="s">
        <v>1171</v>
      </c>
      <c r="W489" t="s">
        <v>1171</v>
      </c>
      <c r="X489" t="s">
        <v>1171</v>
      </c>
      <c r="Y489" t="s">
        <v>1171</v>
      </c>
      <c r="Z489" t="s">
        <v>1171</v>
      </c>
      <c r="AA489" t="s">
        <v>1171</v>
      </c>
      <c r="AB489" t="s">
        <v>405</v>
      </c>
      <c r="AC489" t="s">
        <v>1171</v>
      </c>
      <c r="AD489" t="s">
        <v>1171</v>
      </c>
    </row>
    <row r="490" spans="1:30" ht="34" x14ac:dyDescent="0.2">
      <c r="A490" t="s">
        <v>1171</v>
      </c>
      <c r="B490" t="s">
        <v>1662</v>
      </c>
      <c r="C490" t="str">
        <f>"CONF-"&amp;TEXT(us_core_reqs[[#This Row],[ID*]], "0000")</f>
        <v>CONF-0489</v>
      </c>
      <c r="D490" s="11" t="s">
        <v>898</v>
      </c>
      <c r="E490" t="str">
        <f>SUBSTITUTE(us_core_reqs[[#This Row],[URL*]], "https://hl7.org/fhir/us/core/STU8/","")</f>
        <v>StructureDefinition-us-core-provenance.html#mandatory-and-must-support-data-elements</v>
      </c>
      <c r="F490" s="11" t="s">
        <v>2057</v>
      </c>
      <c r="G490" t="s">
        <v>29</v>
      </c>
      <c r="I490" t="s">
        <v>30</v>
      </c>
      <c r="J490" t="s">
        <v>1171</v>
      </c>
      <c r="K490" t="s">
        <v>1171</v>
      </c>
      <c r="L490" t="s">
        <v>1173</v>
      </c>
      <c r="M490" t="s">
        <v>1171</v>
      </c>
      <c r="N490" t="s">
        <v>1171</v>
      </c>
      <c r="O490" t="s">
        <v>1171</v>
      </c>
      <c r="P490" t="s">
        <v>1171</v>
      </c>
      <c r="Q490" t="s">
        <v>1171</v>
      </c>
      <c r="R490" t="str">
        <f>_xlfn.TEXTBEFORE(_xlfn.TEXTAFTER(us_core_reqs[[#This Row],[URL*]],"/",-1),".")</f>
        <v>StructureDefinition-us-core-provenance</v>
      </c>
      <c r="S490" t="str">
        <f>_xlfn.TEXTAFTER(us_core_reqs[[#This Row],[URL*]],"#",-1)</f>
        <v>mandatory-and-must-support-data-elements</v>
      </c>
      <c r="T490" t="str">
        <f>SUBSTITUTE(SUBSTITUTE(PROPER(SUBSTITUTE(us_core_reqs[[#This Row],[Page]], "-", " "))&amp;": "&amp;PROPER(SUBSTITUTE(us_core_reqs[[#This Row],[Section]], "-", " ")),"Us ","US "), "Uscdi", "USCDI")</f>
        <v>Structuredefinition US Core Provenance: Mandatory And Must Support Data Elements</v>
      </c>
      <c r="U490" t="s">
        <v>29</v>
      </c>
      <c r="V490" t="s">
        <v>1171</v>
      </c>
      <c r="W490" t="s">
        <v>1171</v>
      </c>
      <c r="X490" t="s">
        <v>1171</v>
      </c>
      <c r="Y490" t="s">
        <v>1171</v>
      </c>
      <c r="Z490" t="s">
        <v>1171</v>
      </c>
      <c r="AA490" t="s">
        <v>1171</v>
      </c>
      <c r="AB490" t="s">
        <v>1171</v>
      </c>
      <c r="AC490" t="s">
        <v>1140</v>
      </c>
      <c r="AD490" t="s">
        <v>1171</v>
      </c>
    </row>
    <row r="491" spans="1:30" ht="34" x14ac:dyDescent="0.2">
      <c r="A491" t="s">
        <v>1171</v>
      </c>
      <c r="B491" t="s">
        <v>1663</v>
      </c>
      <c r="C491" t="str">
        <f>"CONF-"&amp;TEXT(us_core_reqs[[#This Row],[ID*]], "0000")</f>
        <v>CONF-0490</v>
      </c>
      <c r="D491" s="11" t="s">
        <v>898</v>
      </c>
      <c r="E491" t="str">
        <f>SUBSTITUTE(us_core_reqs[[#This Row],[URL*]], "https://hl7.org/fhir/us/core/STU8/","")</f>
        <v>StructureDefinition-us-core-provenance.html#mandatory-and-must-support-data-elements</v>
      </c>
      <c r="F491" s="11" t="s">
        <v>2058</v>
      </c>
      <c r="G491" t="s">
        <v>29</v>
      </c>
      <c r="I491" t="s">
        <v>30</v>
      </c>
      <c r="J491" t="s">
        <v>1171</v>
      </c>
      <c r="K491" t="s">
        <v>1171</v>
      </c>
      <c r="L491" t="s">
        <v>1173</v>
      </c>
      <c r="M491" t="s">
        <v>1171</v>
      </c>
      <c r="N491" t="s">
        <v>1171</v>
      </c>
      <c r="O491" t="s">
        <v>1171</v>
      </c>
      <c r="P491" t="s">
        <v>1171</v>
      </c>
      <c r="Q491" t="s">
        <v>1171</v>
      </c>
      <c r="R491" t="str">
        <f>_xlfn.TEXTBEFORE(_xlfn.TEXTAFTER(us_core_reqs[[#This Row],[URL*]],"/",-1),".")</f>
        <v>StructureDefinition-us-core-provenance</v>
      </c>
      <c r="S491" t="str">
        <f>_xlfn.TEXTAFTER(us_core_reqs[[#This Row],[URL*]],"#",-1)</f>
        <v>mandatory-and-must-support-data-elements</v>
      </c>
      <c r="T491" t="str">
        <f>SUBSTITUTE(SUBSTITUTE(PROPER(SUBSTITUTE(us_core_reqs[[#This Row],[Page]], "-", " "))&amp;": "&amp;PROPER(SUBSTITUTE(us_core_reqs[[#This Row],[Section]], "-", " ")),"Us ","US "), "Uscdi", "USCDI")</f>
        <v>Structuredefinition US Core Provenance: Mandatory And Must Support Data Elements</v>
      </c>
      <c r="U491" t="s">
        <v>29</v>
      </c>
      <c r="V491" t="s">
        <v>1171</v>
      </c>
      <c r="W491" t="s">
        <v>1171</v>
      </c>
      <c r="X491" t="s">
        <v>1171</v>
      </c>
      <c r="Y491" t="s">
        <v>1171</v>
      </c>
      <c r="Z491" t="s">
        <v>1171</v>
      </c>
      <c r="AA491" t="s">
        <v>1171</v>
      </c>
      <c r="AB491" t="s">
        <v>1171</v>
      </c>
      <c r="AC491" t="s">
        <v>1140</v>
      </c>
      <c r="AD491" t="s">
        <v>1171</v>
      </c>
    </row>
    <row r="492" spans="1:30" ht="34" x14ac:dyDescent="0.2">
      <c r="A492" t="s">
        <v>1171</v>
      </c>
      <c r="B492" t="s">
        <v>1664</v>
      </c>
      <c r="C492" t="str">
        <f>"CONF-"&amp;TEXT(us_core_reqs[[#This Row],[ID*]], "0000")</f>
        <v>CONF-0491</v>
      </c>
      <c r="D492" s="11" t="s">
        <v>898</v>
      </c>
      <c r="E492" t="str">
        <f>SUBSTITUTE(us_core_reqs[[#This Row],[URL*]], "https://hl7.org/fhir/us/core/STU8/","")</f>
        <v>StructureDefinition-us-core-provenance.html#mandatory-and-must-support-data-elements</v>
      </c>
      <c r="F492" s="11" t="s">
        <v>2059</v>
      </c>
      <c r="G492" t="s">
        <v>29</v>
      </c>
      <c r="I492" t="s">
        <v>30</v>
      </c>
      <c r="J492" t="s">
        <v>1171</v>
      </c>
      <c r="K492" t="s">
        <v>1171</v>
      </c>
      <c r="L492" t="s">
        <v>1173</v>
      </c>
      <c r="M492" t="s">
        <v>1171</v>
      </c>
      <c r="N492" t="s">
        <v>1171</v>
      </c>
      <c r="O492" t="s">
        <v>1171</v>
      </c>
      <c r="P492" t="s">
        <v>1171</v>
      </c>
      <c r="Q492" t="s">
        <v>1171</v>
      </c>
      <c r="R492" t="str">
        <f>_xlfn.TEXTBEFORE(_xlfn.TEXTAFTER(us_core_reqs[[#This Row],[URL*]],"/",-1),".")</f>
        <v>StructureDefinition-us-core-provenance</v>
      </c>
      <c r="S492" t="str">
        <f>_xlfn.TEXTAFTER(us_core_reqs[[#This Row],[URL*]],"#",-1)</f>
        <v>mandatory-and-must-support-data-elements</v>
      </c>
      <c r="T492" t="str">
        <f>SUBSTITUTE(SUBSTITUTE(PROPER(SUBSTITUTE(us_core_reqs[[#This Row],[Page]], "-", " "))&amp;": "&amp;PROPER(SUBSTITUTE(us_core_reqs[[#This Row],[Section]], "-", " ")),"Us ","US "), "Uscdi", "USCDI")</f>
        <v>Structuredefinition US Core Provenance: Mandatory And Must Support Data Elements</v>
      </c>
      <c r="U492" t="s">
        <v>29</v>
      </c>
      <c r="V492" t="s">
        <v>1171</v>
      </c>
      <c r="W492" t="s">
        <v>1171</v>
      </c>
      <c r="X492" t="s">
        <v>1171</v>
      </c>
      <c r="Y492" t="s">
        <v>1171</v>
      </c>
      <c r="Z492" t="s">
        <v>1171</v>
      </c>
      <c r="AA492" t="s">
        <v>1171</v>
      </c>
      <c r="AB492" t="s">
        <v>1171</v>
      </c>
      <c r="AC492" t="s">
        <v>1140</v>
      </c>
      <c r="AD492" t="s">
        <v>1171</v>
      </c>
    </row>
    <row r="493" spans="1:30" ht="34" x14ac:dyDescent="0.2">
      <c r="A493" t="s">
        <v>1171</v>
      </c>
      <c r="B493" t="s">
        <v>1665</v>
      </c>
      <c r="C493" t="str">
        <f>"CONF-"&amp;TEXT(us_core_reqs[[#This Row],[ID*]], "0000")</f>
        <v>CONF-0492</v>
      </c>
      <c r="D493" s="11" t="s">
        <v>898</v>
      </c>
      <c r="E493" t="str">
        <f>SUBSTITUTE(us_core_reqs[[#This Row],[URL*]], "https://hl7.org/fhir/us/core/STU8/","")</f>
        <v>StructureDefinition-us-core-provenance.html#mandatory-and-must-support-data-elements</v>
      </c>
      <c r="F493" s="11" t="s">
        <v>2060</v>
      </c>
      <c r="G493" t="s">
        <v>29</v>
      </c>
      <c r="I493" t="s">
        <v>30</v>
      </c>
      <c r="J493" t="s">
        <v>1171</v>
      </c>
      <c r="K493" t="s">
        <v>1171</v>
      </c>
      <c r="L493" t="s">
        <v>1173</v>
      </c>
      <c r="M493" t="s">
        <v>1171</v>
      </c>
      <c r="N493" t="s">
        <v>1171</v>
      </c>
      <c r="O493" t="s">
        <v>1171</v>
      </c>
      <c r="P493" t="s">
        <v>1171</v>
      </c>
      <c r="Q493" t="s">
        <v>1171</v>
      </c>
      <c r="R493" t="str">
        <f>_xlfn.TEXTBEFORE(_xlfn.TEXTAFTER(us_core_reqs[[#This Row],[URL*]],"/",-1),".")</f>
        <v>StructureDefinition-us-core-provenance</v>
      </c>
      <c r="S493" t="str">
        <f>_xlfn.TEXTAFTER(us_core_reqs[[#This Row],[URL*]],"#",-1)</f>
        <v>mandatory-and-must-support-data-elements</v>
      </c>
      <c r="T493" t="str">
        <f>SUBSTITUTE(SUBSTITUTE(PROPER(SUBSTITUTE(us_core_reqs[[#This Row],[Page]], "-", " "))&amp;": "&amp;PROPER(SUBSTITUTE(us_core_reqs[[#This Row],[Section]], "-", " ")),"Us ","US "), "Uscdi", "USCDI")</f>
        <v>Structuredefinition US Core Provenance: Mandatory And Must Support Data Elements</v>
      </c>
      <c r="U493" t="s">
        <v>29</v>
      </c>
      <c r="V493" t="s">
        <v>1171</v>
      </c>
      <c r="W493" t="s">
        <v>1171</v>
      </c>
      <c r="X493" t="s">
        <v>1171</v>
      </c>
      <c r="Y493" t="s">
        <v>1171</v>
      </c>
      <c r="Z493" t="s">
        <v>1171</v>
      </c>
      <c r="AA493" t="s">
        <v>1171</v>
      </c>
      <c r="AB493" t="s">
        <v>1171</v>
      </c>
      <c r="AC493" t="s">
        <v>1140</v>
      </c>
      <c r="AD493" t="s">
        <v>1171</v>
      </c>
    </row>
    <row r="494" spans="1:30" ht="34" x14ac:dyDescent="0.2">
      <c r="A494" t="s">
        <v>1171</v>
      </c>
      <c r="B494" t="s">
        <v>1666</v>
      </c>
      <c r="C494" t="str">
        <f>"CONF-"&amp;TEXT(us_core_reqs[[#This Row],[ID*]], "0000")</f>
        <v>CONF-0493</v>
      </c>
      <c r="D494" s="11" t="s">
        <v>898</v>
      </c>
      <c r="E494" t="str">
        <f>SUBSTITUTE(us_core_reqs[[#This Row],[URL*]], "https://hl7.org/fhir/us/core/STU8/","")</f>
        <v>StructureDefinition-us-core-provenance.html#mandatory-and-must-support-data-elements</v>
      </c>
      <c r="F494" s="11" t="s">
        <v>2061</v>
      </c>
      <c r="G494" t="s">
        <v>29</v>
      </c>
      <c r="I494" t="s">
        <v>30</v>
      </c>
      <c r="J494" t="s">
        <v>1171</v>
      </c>
      <c r="K494" t="s">
        <v>1171</v>
      </c>
      <c r="L494" t="s">
        <v>1173</v>
      </c>
      <c r="M494" t="s">
        <v>1171</v>
      </c>
      <c r="N494" t="s">
        <v>1171</v>
      </c>
      <c r="O494" t="s">
        <v>1171</v>
      </c>
      <c r="P494" t="s">
        <v>1171</v>
      </c>
      <c r="Q494" t="s">
        <v>1171</v>
      </c>
      <c r="R494" t="str">
        <f>_xlfn.TEXTBEFORE(_xlfn.TEXTAFTER(us_core_reqs[[#This Row],[URL*]],"/",-1),".")</f>
        <v>StructureDefinition-us-core-provenance</v>
      </c>
      <c r="S494" t="str">
        <f>_xlfn.TEXTAFTER(us_core_reqs[[#This Row],[URL*]],"#",-1)</f>
        <v>mandatory-and-must-support-data-elements</v>
      </c>
      <c r="T494" t="str">
        <f>SUBSTITUTE(SUBSTITUTE(PROPER(SUBSTITUTE(us_core_reqs[[#This Row],[Page]], "-", " "))&amp;": "&amp;PROPER(SUBSTITUTE(us_core_reqs[[#This Row],[Section]], "-", " ")),"Us ","US "), "Uscdi", "USCDI")</f>
        <v>Structuredefinition US Core Provenance: Mandatory And Must Support Data Elements</v>
      </c>
      <c r="U494" t="s">
        <v>29</v>
      </c>
      <c r="V494" t="s">
        <v>1171</v>
      </c>
      <c r="W494" t="s">
        <v>1171</v>
      </c>
      <c r="X494" t="s">
        <v>1171</v>
      </c>
      <c r="Y494" t="s">
        <v>1171</v>
      </c>
      <c r="Z494" t="s">
        <v>1171</v>
      </c>
      <c r="AA494" t="s">
        <v>1171</v>
      </c>
      <c r="AB494" t="s">
        <v>1171</v>
      </c>
      <c r="AC494" t="s">
        <v>1140</v>
      </c>
      <c r="AD494" t="s">
        <v>1171</v>
      </c>
    </row>
    <row r="495" spans="1:30" ht="34" x14ac:dyDescent="0.2">
      <c r="A495" t="s">
        <v>1171</v>
      </c>
      <c r="B495" t="s">
        <v>1667</v>
      </c>
      <c r="C495" t="str">
        <f>"CONF-"&amp;TEXT(us_core_reqs[[#This Row],[ID*]], "0000")</f>
        <v>CONF-0494</v>
      </c>
      <c r="D495" s="11" t="s">
        <v>898</v>
      </c>
      <c r="E495" t="str">
        <f>SUBSTITUTE(us_core_reqs[[#This Row],[URL*]], "https://hl7.org/fhir/us/core/STU8/","")</f>
        <v>StructureDefinition-us-core-provenance.html#mandatory-and-must-support-data-elements</v>
      </c>
      <c r="F495" s="11" t="s">
        <v>2062</v>
      </c>
      <c r="G495" t="s">
        <v>29</v>
      </c>
      <c r="I495" t="s">
        <v>30</v>
      </c>
      <c r="J495" t="s">
        <v>1171</v>
      </c>
      <c r="K495" t="s">
        <v>1171</v>
      </c>
      <c r="L495" t="s">
        <v>1173</v>
      </c>
      <c r="M495" t="s">
        <v>1171</v>
      </c>
      <c r="N495" t="s">
        <v>1171</v>
      </c>
      <c r="O495" t="s">
        <v>1171</v>
      </c>
      <c r="P495" t="s">
        <v>1171</v>
      </c>
      <c r="Q495" t="s">
        <v>1171</v>
      </c>
      <c r="R495" t="str">
        <f>_xlfn.TEXTBEFORE(_xlfn.TEXTAFTER(us_core_reqs[[#This Row],[URL*]],"/",-1),".")</f>
        <v>StructureDefinition-us-core-provenance</v>
      </c>
      <c r="S495" t="str">
        <f>_xlfn.TEXTAFTER(us_core_reqs[[#This Row],[URL*]],"#",-1)</f>
        <v>mandatory-and-must-support-data-elements</v>
      </c>
      <c r="T495" t="str">
        <f>SUBSTITUTE(SUBSTITUTE(PROPER(SUBSTITUTE(us_core_reqs[[#This Row],[Page]], "-", " "))&amp;": "&amp;PROPER(SUBSTITUTE(us_core_reqs[[#This Row],[Section]], "-", " ")),"Us ","US "), "Uscdi", "USCDI")</f>
        <v>Structuredefinition US Core Provenance: Mandatory And Must Support Data Elements</v>
      </c>
      <c r="U495" t="s">
        <v>29</v>
      </c>
      <c r="V495" t="s">
        <v>1171</v>
      </c>
      <c r="W495" t="s">
        <v>1171</v>
      </c>
      <c r="X495" t="s">
        <v>1171</v>
      </c>
      <c r="Y495" t="s">
        <v>1171</v>
      </c>
      <c r="Z495" t="s">
        <v>1171</v>
      </c>
      <c r="AA495" t="s">
        <v>1171</v>
      </c>
      <c r="AB495" t="s">
        <v>1171</v>
      </c>
      <c r="AC495" t="s">
        <v>1140</v>
      </c>
      <c r="AD495" t="s">
        <v>1171</v>
      </c>
    </row>
    <row r="496" spans="1:30" ht="34" x14ac:dyDescent="0.2">
      <c r="A496" t="s">
        <v>1171</v>
      </c>
      <c r="B496" t="s">
        <v>1668</v>
      </c>
      <c r="C496" t="str">
        <f>"CONF-"&amp;TEXT(us_core_reqs[[#This Row],[ID*]], "0000")</f>
        <v>CONF-0495</v>
      </c>
      <c r="D496" s="11" t="s">
        <v>898</v>
      </c>
      <c r="E496" t="str">
        <f>SUBSTITUTE(us_core_reqs[[#This Row],[URL*]], "https://hl7.org/fhir/us/core/STU8/","")</f>
        <v>StructureDefinition-us-core-provenance.html#mandatory-and-must-support-data-elements</v>
      </c>
      <c r="F496" s="11" t="s">
        <v>2063</v>
      </c>
      <c r="G496" t="s">
        <v>29</v>
      </c>
      <c r="I496" t="s">
        <v>30</v>
      </c>
      <c r="J496" t="s">
        <v>1171</v>
      </c>
      <c r="K496" t="s">
        <v>1171</v>
      </c>
      <c r="L496" t="s">
        <v>1173</v>
      </c>
      <c r="M496" t="s">
        <v>1171</v>
      </c>
      <c r="N496" t="s">
        <v>1171</v>
      </c>
      <c r="O496" t="s">
        <v>1171</v>
      </c>
      <c r="P496" t="s">
        <v>1171</v>
      </c>
      <c r="Q496" t="s">
        <v>1171</v>
      </c>
      <c r="R496" t="str">
        <f>_xlfn.TEXTBEFORE(_xlfn.TEXTAFTER(us_core_reqs[[#This Row],[URL*]],"/",-1),".")</f>
        <v>StructureDefinition-us-core-provenance</v>
      </c>
      <c r="S496" t="str">
        <f>_xlfn.TEXTAFTER(us_core_reqs[[#This Row],[URL*]],"#",-1)</f>
        <v>mandatory-and-must-support-data-elements</v>
      </c>
      <c r="T496" t="str">
        <f>SUBSTITUTE(SUBSTITUTE(PROPER(SUBSTITUTE(us_core_reqs[[#This Row],[Page]], "-", " "))&amp;": "&amp;PROPER(SUBSTITUTE(us_core_reqs[[#This Row],[Section]], "-", " ")),"Us ","US "), "Uscdi", "USCDI")</f>
        <v>Structuredefinition US Core Provenance: Mandatory And Must Support Data Elements</v>
      </c>
      <c r="U496" t="s">
        <v>29</v>
      </c>
      <c r="V496" t="s">
        <v>1171</v>
      </c>
      <c r="W496" t="s">
        <v>1171</v>
      </c>
      <c r="X496" t="s">
        <v>1171</v>
      </c>
      <c r="Y496" t="s">
        <v>1171</v>
      </c>
      <c r="Z496" t="s">
        <v>1171</v>
      </c>
      <c r="AA496" t="s">
        <v>1171</v>
      </c>
      <c r="AB496" t="s">
        <v>1171</v>
      </c>
      <c r="AC496" t="s">
        <v>1140</v>
      </c>
      <c r="AD496" t="s">
        <v>1171</v>
      </c>
    </row>
    <row r="497" spans="1:30" ht="34" x14ac:dyDescent="0.2">
      <c r="A497" t="s">
        <v>1171</v>
      </c>
      <c r="B497" t="s">
        <v>1669</v>
      </c>
      <c r="C497" t="str">
        <f>"CONF-"&amp;TEXT(us_core_reqs[[#This Row],[ID*]], "0000")</f>
        <v>CONF-0496</v>
      </c>
      <c r="D497" s="11" t="s">
        <v>898</v>
      </c>
      <c r="E497" t="str">
        <f>SUBSTITUTE(us_core_reqs[[#This Row],[URL*]], "https://hl7.org/fhir/us/core/STU8/","")</f>
        <v>StructureDefinition-us-core-provenance.html#mandatory-and-must-support-data-elements</v>
      </c>
      <c r="F497" s="11" t="s">
        <v>2064</v>
      </c>
      <c r="G497" t="s">
        <v>29</v>
      </c>
      <c r="I497" t="s">
        <v>30</v>
      </c>
      <c r="J497" t="s">
        <v>1171</v>
      </c>
      <c r="K497" t="s">
        <v>1171</v>
      </c>
      <c r="L497" t="s">
        <v>1173</v>
      </c>
      <c r="M497" t="s">
        <v>1171</v>
      </c>
      <c r="N497" t="s">
        <v>1171</v>
      </c>
      <c r="O497" t="s">
        <v>1171</v>
      </c>
      <c r="P497" t="s">
        <v>1171</v>
      </c>
      <c r="Q497" t="s">
        <v>1171</v>
      </c>
      <c r="R497" t="str">
        <f>_xlfn.TEXTBEFORE(_xlfn.TEXTAFTER(us_core_reqs[[#This Row],[URL*]],"/",-1),".")</f>
        <v>StructureDefinition-us-core-provenance</v>
      </c>
      <c r="S497" t="str">
        <f>_xlfn.TEXTAFTER(us_core_reqs[[#This Row],[URL*]],"#",-1)</f>
        <v>mandatory-and-must-support-data-elements</v>
      </c>
      <c r="T497" t="str">
        <f>SUBSTITUTE(SUBSTITUTE(PROPER(SUBSTITUTE(us_core_reqs[[#This Row],[Page]], "-", " "))&amp;": "&amp;PROPER(SUBSTITUTE(us_core_reqs[[#This Row],[Section]], "-", " ")),"Us ","US "), "Uscdi", "USCDI")</f>
        <v>Structuredefinition US Core Provenance: Mandatory And Must Support Data Elements</v>
      </c>
      <c r="U497" t="s">
        <v>29</v>
      </c>
      <c r="V497" t="s">
        <v>1171</v>
      </c>
      <c r="W497" t="s">
        <v>1171</v>
      </c>
      <c r="X497" t="s">
        <v>1171</v>
      </c>
      <c r="Y497" t="s">
        <v>1171</v>
      </c>
      <c r="Z497" t="s">
        <v>1171</v>
      </c>
      <c r="AA497" t="s">
        <v>1171</v>
      </c>
      <c r="AB497" t="s">
        <v>1171</v>
      </c>
      <c r="AC497" t="s">
        <v>1140</v>
      </c>
      <c r="AD497" t="s">
        <v>1171</v>
      </c>
    </row>
    <row r="498" spans="1:30" ht="34" x14ac:dyDescent="0.2">
      <c r="A498" t="s">
        <v>1171</v>
      </c>
      <c r="B498" t="s">
        <v>1670</v>
      </c>
      <c r="C498" t="str">
        <f>"CONF-"&amp;TEXT(us_core_reqs[[#This Row],[ID*]], "0000")</f>
        <v>CONF-0497</v>
      </c>
      <c r="D498" s="11" t="s">
        <v>898</v>
      </c>
      <c r="E498" t="str">
        <f>SUBSTITUTE(us_core_reqs[[#This Row],[URL*]], "https://hl7.org/fhir/us/core/STU8/","")</f>
        <v>StructureDefinition-us-core-provenance.html#mandatory-and-must-support-data-elements</v>
      </c>
      <c r="F498" s="11" t="s">
        <v>2065</v>
      </c>
      <c r="G498" t="s">
        <v>29</v>
      </c>
      <c r="I498" t="s">
        <v>30</v>
      </c>
      <c r="J498" t="s">
        <v>1171</v>
      </c>
      <c r="K498" t="s">
        <v>1171</v>
      </c>
      <c r="L498" t="s">
        <v>1173</v>
      </c>
      <c r="M498" t="s">
        <v>1171</v>
      </c>
      <c r="N498" t="s">
        <v>1171</v>
      </c>
      <c r="O498" t="s">
        <v>1171</v>
      </c>
      <c r="P498" t="s">
        <v>1171</v>
      </c>
      <c r="Q498" t="s">
        <v>1171</v>
      </c>
      <c r="R498" t="str">
        <f>_xlfn.TEXTBEFORE(_xlfn.TEXTAFTER(us_core_reqs[[#This Row],[URL*]],"/",-1),".")</f>
        <v>StructureDefinition-us-core-provenance</v>
      </c>
      <c r="S498" t="str">
        <f>_xlfn.TEXTAFTER(us_core_reqs[[#This Row],[URL*]],"#",-1)</f>
        <v>mandatory-and-must-support-data-elements</v>
      </c>
      <c r="T498" t="str">
        <f>SUBSTITUTE(SUBSTITUTE(PROPER(SUBSTITUTE(us_core_reqs[[#This Row],[Page]], "-", " "))&amp;": "&amp;PROPER(SUBSTITUTE(us_core_reqs[[#This Row],[Section]], "-", " ")),"Us ","US "), "Uscdi", "USCDI")</f>
        <v>Structuredefinition US Core Provenance: Mandatory And Must Support Data Elements</v>
      </c>
      <c r="U498" t="s">
        <v>29</v>
      </c>
      <c r="V498" t="s">
        <v>1171</v>
      </c>
      <c r="W498" t="s">
        <v>1171</v>
      </c>
      <c r="X498" t="s">
        <v>1171</v>
      </c>
      <c r="Y498" t="s">
        <v>1171</v>
      </c>
      <c r="Z498" t="s">
        <v>1171</v>
      </c>
      <c r="AA498" t="s">
        <v>1171</v>
      </c>
      <c r="AB498" t="s">
        <v>1171</v>
      </c>
      <c r="AC498" t="s">
        <v>1140</v>
      </c>
      <c r="AD498" t="s">
        <v>1171</v>
      </c>
    </row>
    <row r="499" spans="1:30" ht="34" x14ac:dyDescent="0.2">
      <c r="A499" t="s">
        <v>1171</v>
      </c>
      <c r="B499" t="s">
        <v>1671</v>
      </c>
      <c r="C499" t="str">
        <f>"CONF-"&amp;TEXT(us_core_reqs[[#This Row],[ID*]], "0000")</f>
        <v>CONF-0498</v>
      </c>
      <c r="D499" s="11" t="s">
        <v>898</v>
      </c>
      <c r="E499" t="str">
        <f>SUBSTITUTE(us_core_reqs[[#This Row],[URL*]], "https://hl7.org/fhir/us/core/STU8/","")</f>
        <v>StructureDefinition-us-core-provenance.html#mandatory-and-must-support-data-elements</v>
      </c>
      <c r="F499" s="11" t="s">
        <v>2066</v>
      </c>
      <c r="G499" t="s">
        <v>29</v>
      </c>
      <c r="I499" t="s">
        <v>30</v>
      </c>
      <c r="J499" t="s">
        <v>1171</v>
      </c>
      <c r="K499" t="s">
        <v>1171</v>
      </c>
      <c r="L499" t="s">
        <v>1173</v>
      </c>
      <c r="M499" t="s">
        <v>1171</v>
      </c>
      <c r="N499" t="s">
        <v>1171</v>
      </c>
      <c r="O499" t="s">
        <v>1171</v>
      </c>
      <c r="P499" t="s">
        <v>1171</v>
      </c>
      <c r="Q499" t="s">
        <v>1171</v>
      </c>
      <c r="R499" t="str">
        <f>_xlfn.TEXTBEFORE(_xlfn.TEXTAFTER(us_core_reqs[[#This Row],[URL*]],"/",-1),".")</f>
        <v>StructureDefinition-us-core-provenance</v>
      </c>
      <c r="S499" t="str">
        <f>_xlfn.TEXTAFTER(us_core_reqs[[#This Row],[URL*]],"#",-1)</f>
        <v>mandatory-and-must-support-data-elements</v>
      </c>
      <c r="T499" t="str">
        <f>SUBSTITUTE(SUBSTITUTE(PROPER(SUBSTITUTE(us_core_reqs[[#This Row],[Page]], "-", " "))&amp;": "&amp;PROPER(SUBSTITUTE(us_core_reqs[[#This Row],[Section]], "-", " ")),"Us ","US "), "Uscdi", "USCDI")</f>
        <v>Structuredefinition US Core Provenance: Mandatory And Must Support Data Elements</v>
      </c>
      <c r="U499" t="s">
        <v>29</v>
      </c>
      <c r="V499" t="s">
        <v>1171</v>
      </c>
      <c r="W499" t="s">
        <v>1171</v>
      </c>
      <c r="X499" t="s">
        <v>1171</v>
      </c>
      <c r="Y499" t="s">
        <v>1171</v>
      </c>
      <c r="Z499" t="s">
        <v>1171</v>
      </c>
      <c r="AA499" t="s">
        <v>1171</v>
      </c>
      <c r="AB499" t="s">
        <v>1171</v>
      </c>
      <c r="AC499" t="s">
        <v>1140</v>
      </c>
      <c r="AD499" t="s">
        <v>1171</v>
      </c>
    </row>
    <row r="500" spans="1:30" ht="34" x14ac:dyDescent="0.2">
      <c r="A500" t="s">
        <v>1171</v>
      </c>
      <c r="B500" t="s">
        <v>1672</v>
      </c>
      <c r="C500" t="str">
        <f>"CONF-"&amp;TEXT(us_core_reqs[[#This Row],[ID*]], "0000")</f>
        <v>CONF-0499</v>
      </c>
      <c r="D500" s="11" t="s">
        <v>898</v>
      </c>
      <c r="E500" t="str">
        <f>SUBSTITUTE(us_core_reqs[[#This Row],[URL*]], "https://hl7.org/fhir/us/core/STU8/","")</f>
        <v>StructureDefinition-us-core-provenance.html#mandatory-and-must-support-data-elements</v>
      </c>
      <c r="F500" s="11" t="s">
        <v>2067</v>
      </c>
      <c r="G500" t="s">
        <v>29</v>
      </c>
      <c r="I500" t="s">
        <v>30</v>
      </c>
      <c r="J500" t="s">
        <v>1171</v>
      </c>
      <c r="K500" t="s">
        <v>1171</v>
      </c>
      <c r="L500" t="s">
        <v>1173</v>
      </c>
      <c r="M500" t="s">
        <v>1171</v>
      </c>
      <c r="N500" t="s">
        <v>1171</v>
      </c>
      <c r="O500" t="s">
        <v>1171</v>
      </c>
      <c r="P500" t="s">
        <v>1171</v>
      </c>
      <c r="Q500" t="s">
        <v>1171</v>
      </c>
      <c r="R500" t="str">
        <f>_xlfn.TEXTBEFORE(_xlfn.TEXTAFTER(us_core_reqs[[#This Row],[URL*]],"/",-1),".")</f>
        <v>StructureDefinition-us-core-provenance</v>
      </c>
      <c r="S500" t="str">
        <f>_xlfn.TEXTAFTER(us_core_reqs[[#This Row],[URL*]],"#",-1)</f>
        <v>mandatory-and-must-support-data-elements</v>
      </c>
      <c r="T500" t="str">
        <f>SUBSTITUTE(SUBSTITUTE(PROPER(SUBSTITUTE(us_core_reqs[[#This Row],[Page]], "-", " "))&amp;": "&amp;PROPER(SUBSTITUTE(us_core_reqs[[#This Row],[Section]], "-", " ")),"Us ","US "), "Uscdi", "USCDI")</f>
        <v>Structuredefinition US Core Provenance: Mandatory And Must Support Data Elements</v>
      </c>
      <c r="U500" t="s">
        <v>29</v>
      </c>
      <c r="V500" t="s">
        <v>1171</v>
      </c>
      <c r="W500" t="s">
        <v>1171</v>
      </c>
      <c r="X500" t="s">
        <v>1171</v>
      </c>
      <c r="Y500" t="s">
        <v>1171</v>
      </c>
      <c r="Z500" t="s">
        <v>1171</v>
      </c>
      <c r="AA500" t="s">
        <v>1171</v>
      </c>
      <c r="AB500" t="s">
        <v>1171</v>
      </c>
      <c r="AC500" t="s">
        <v>1140</v>
      </c>
      <c r="AD500" t="s">
        <v>1171</v>
      </c>
    </row>
    <row r="501" spans="1:30" ht="34" x14ac:dyDescent="0.2">
      <c r="A501" t="s">
        <v>1171</v>
      </c>
      <c r="B501" t="s">
        <v>1673</v>
      </c>
      <c r="C501" t="str">
        <f>"CONF-"&amp;TEXT(us_core_reqs[[#This Row],[ID*]], "0000")</f>
        <v>CONF-0500</v>
      </c>
      <c r="D501" s="11" t="s">
        <v>898</v>
      </c>
      <c r="E501" t="str">
        <f>SUBSTITUTE(us_core_reqs[[#This Row],[URL*]], "https://hl7.org/fhir/us/core/STU8/","")</f>
        <v>StructureDefinition-us-core-provenance.html#mandatory-and-must-support-data-elements</v>
      </c>
      <c r="F501" s="11" t="s">
        <v>2068</v>
      </c>
      <c r="G501" t="s">
        <v>29</v>
      </c>
      <c r="I501" t="s">
        <v>30</v>
      </c>
      <c r="J501" t="s">
        <v>1171</v>
      </c>
      <c r="K501" t="s">
        <v>1171</v>
      </c>
      <c r="L501" t="s">
        <v>1173</v>
      </c>
      <c r="M501" t="s">
        <v>1171</v>
      </c>
      <c r="N501" t="s">
        <v>1171</v>
      </c>
      <c r="O501" t="s">
        <v>1171</v>
      </c>
      <c r="P501" t="s">
        <v>1171</v>
      </c>
      <c r="Q501" t="s">
        <v>1171</v>
      </c>
      <c r="R501" t="str">
        <f>_xlfn.TEXTBEFORE(_xlfn.TEXTAFTER(us_core_reqs[[#This Row],[URL*]],"/",-1),".")</f>
        <v>StructureDefinition-us-core-provenance</v>
      </c>
      <c r="S501" t="str">
        <f>_xlfn.TEXTAFTER(us_core_reqs[[#This Row],[URL*]],"#",-1)</f>
        <v>mandatory-and-must-support-data-elements</v>
      </c>
      <c r="T501" t="str">
        <f>SUBSTITUTE(SUBSTITUTE(PROPER(SUBSTITUTE(us_core_reqs[[#This Row],[Page]], "-", " "))&amp;": "&amp;PROPER(SUBSTITUTE(us_core_reqs[[#This Row],[Section]], "-", " ")),"Us ","US "), "Uscdi", "USCDI")</f>
        <v>Structuredefinition US Core Provenance: Mandatory And Must Support Data Elements</v>
      </c>
      <c r="U501" t="s">
        <v>29</v>
      </c>
      <c r="V501" t="s">
        <v>1171</v>
      </c>
      <c r="W501" t="s">
        <v>1171</v>
      </c>
      <c r="X501" t="s">
        <v>1171</v>
      </c>
      <c r="Y501" t="s">
        <v>1171</v>
      </c>
      <c r="Z501" t="s">
        <v>1171</v>
      </c>
      <c r="AA501" t="s">
        <v>1171</v>
      </c>
      <c r="AB501" t="s">
        <v>1171</v>
      </c>
      <c r="AC501" t="s">
        <v>1140</v>
      </c>
      <c r="AD501" t="s">
        <v>1171</v>
      </c>
    </row>
    <row r="502" spans="1:30" ht="34" x14ac:dyDescent="0.2">
      <c r="A502" t="s">
        <v>1171</v>
      </c>
      <c r="B502" t="s">
        <v>1674</v>
      </c>
      <c r="C502" t="str">
        <f>"CONF-"&amp;TEXT(us_core_reqs[[#This Row],[ID*]], "0000")</f>
        <v>CONF-0501</v>
      </c>
      <c r="D502" s="11" t="s">
        <v>898</v>
      </c>
      <c r="E502" t="str">
        <f>SUBSTITUTE(us_core_reqs[[#This Row],[URL*]], "https://hl7.org/fhir/us/core/STU8/","")</f>
        <v>StructureDefinition-us-core-provenance.html#mandatory-and-must-support-data-elements</v>
      </c>
      <c r="F502" s="11" t="s">
        <v>2069</v>
      </c>
      <c r="G502" t="s">
        <v>29</v>
      </c>
      <c r="I502" t="s">
        <v>30</v>
      </c>
      <c r="J502" t="s">
        <v>1171</v>
      </c>
      <c r="K502" t="s">
        <v>1171</v>
      </c>
      <c r="L502" t="s">
        <v>1173</v>
      </c>
      <c r="M502" t="s">
        <v>1171</v>
      </c>
      <c r="N502" t="s">
        <v>1171</v>
      </c>
      <c r="O502" t="s">
        <v>1171</v>
      </c>
      <c r="P502" t="s">
        <v>1171</v>
      </c>
      <c r="Q502" t="s">
        <v>1171</v>
      </c>
      <c r="R502" t="str">
        <f>_xlfn.TEXTBEFORE(_xlfn.TEXTAFTER(us_core_reqs[[#This Row],[URL*]],"/",-1),".")</f>
        <v>StructureDefinition-us-core-provenance</v>
      </c>
      <c r="S502" t="str">
        <f>_xlfn.TEXTAFTER(us_core_reqs[[#This Row],[URL*]],"#",-1)</f>
        <v>mandatory-and-must-support-data-elements</v>
      </c>
      <c r="T502" t="str">
        <f>SUBSTITUTE(SUBSTITUTE(PROPER(SUBSTITUTE(us_core_reqs[[#This Row],[Page]], "-", " "))&amp;": "&amp;PROPER(SUBSTITUTE(us_core_reqs[[#This Row],[Section]], "-", " ")),"Us ","US "), "Uscdi", "USCDI")</f>
        <v>Structuredefinition US Core Provenance: Mandatory And Must Support Data Elements</v>
      </c>
      <c r="U502" t="s">
        <v>29</v>
      </c>
      <c r="V502" t="s">
        <v>1171</v>
      </c>
      <c r="W502" t="s">
        <v>1171</v>
      </c>
      <c r="X502" t="s">
        <v>1171</v>
      </c>
      <c r="Y502" t="s">
        <v>1171</v>
      </c>
      <c r="Z502" t="s">
        <v>1171</v>
      </c>
      <c r="AA502" t="s">
        <v>1171</v>
      </c>
      <c r="AB502" t="s">
        <v>1171</v>
      </c>
      <c r="AC502" t="s">
        <v>1140</v>
      </c>
      <c r="AD502" t="s">
        <v>1171</v>
      </c>
    </row>
    <row r="503" spans="1:30" ht="34" x14ac:dyDescent="0.2">
      <c r="A503" t="s">
        <v>1171</v>
      </c>
      <c r="B503" t="s">
        <v>1675</v>
      </c>
      <c r="C503" t="str">
        <f>"CONF-"&amp;TEXT(us_core_reqs[[#This Row],[ID*]], "0000")</f>
        <v>CONF-0502</v>
      </c>
      <c r="D503" s="11" t="s">
        <v>898</v>
      </c>
      <c r="E503" t="str">
        <f>SUBSTITUTE(us_core_reqs[[#This Row],[URL*]], "https://hl7.org/fhir/us/core/STU8/","")</f>
        <v>StructureDefinition-us-core-provenance.html#mandatory-and-must-support-data-elements</v>
      </c>
      <c r="F503" s="11" t="s">
        <v>2070</v>
      </c>
      <c r="G503" t="s">
        <v>29</v>
      </c>
      <c r="I503" t="s">
        <v>30</v>
      </c>
      <c r="J503" t="s">
        <v>1171</v>
      </c>
      <c r="K503" t="s">
        <v>1171</v>
      </c>
      <c r="L503" t="s">
        <v>1173</v>
      </c>
      <c r="M503" t="s">
        <v>1171</v>
      </c>
      <c r="N503" t="s">
        <v>1171</v>
      </c>
      <c r="O503" t="s">
        <v>1171</v>
      </c>
      <c r="P503" t="s">
        <v>1171</v>
      </c>
      <c r="Q503" t="s">
        <v>1171</v>
      </c>
      <c r="R503" t="str">
        <f>_xlfn.TEXTBEFORE(_xlfn.TEXTAFTER(us_core_reqs[[#This Row],[URL*]],"/",-1),".")</f>
        <v>StructureDefinition-us-core-provenance</v>
      </c>
      <c r="S503" t="str">
        <f>_xlfn.TEXTAFTER(us_core_reqs[[#This Row],[URL*]],"#",-1)</f>
        <v>mandatory-and-must-support-data-elements</v>
      </c>
      <c r="T503" t="str">
        <f>SUBSTITUTE(SUBSTITUTE(PROPER(SUBSTITUTE(us_core_reqs[[#This Row],[Page]], "-", " "))&amp;": "&amp;PROPER(SUBSTITUTE(us_core_reqs[[#This Row],[Section]], "-", " ")),"Us ","US "), "Uscdi", "USCDI")</f>
        <v>Structuredefinition US Core Provenance: Mandatory And Must Support Data Elements</v>
      </c>
      <c r="U503" t="s">
        <v>29</v>
      </c>
      <c r="V503" t="s">
        <v>1171</v>
      </c>
      <c r="W503" t="s">
        <v>1171</v>
      </c>
      <c r="X503" t="s">
        <v>1171</v>
      </c>
      <c r="Y503" t="s">
        <v>1171</v>
      </c>
      <c r="Z503" t="s">
        <v>1171</v>
      </c>
      <c r="AA503" t="s">
        <v>1171</v>
      </c>
      <c r="AB503" t="s">
        <v>1171</v>
      </c>
      <c r="AC503" t="s">
        <v>1140</v>
      </c>
      <c r="AD503" t="s">
        <v>1171</v>
      </c>
    </row>
    <row r="504" spans="1:30" ht="34" x14ac:dyDescent="0.2">
      <c r="A504" t="s">
        <v>1171</v>
      </c>
      <c r="B504" t="s">
        <v>1676</v>
      </c>
      <c r="C504" t="str">
        <f>"CONF-"&amp;TEXT(us_core_reqs[[#This Row],[ID*]], "0000")</f>
        <v>CONF-0503</v>
      </c>
      <c r="D504" s="11" t="s">
        <v>898</v>
      </c>
      <c r="E504" t="str">
        <f>SUBSTITUTE(us_core_reqs[[#This Row],[URL*]], "https://hl7.org/fhir/us/core/STU8/","")</f>
        <v>StructureDefinition-us-core-provenance.html#mandatory-and-must-support-data-elements</v>
      </c>
      <c r="F504" s="11" t="s">
        <v>2071</v>
      </c>
      <c r="G504" t="s">
        <v>29</v>
      </c>
      <c r="I504" t="s">
        <v>30</v>
      </c>
      <c r="J504" t="s">
        <v>1171</v>
      </c>
      <c r="K504" t="s">
        <v>1171</v>
      </c>
      <c r="L504" t="s">
        <v>1173</v>
      </c>
      <c r="M504" t="s">
        <v>1171</v>
      </c>
      <c r="N504" t="s">
        <v>1171</v>
      </c>
      <c r="O504" t="s">
        <v>1171</v>
      </c>
      <c r="P504" t="s">
        <v>1171</v>
      </c>
      <c r="Q504" t="s">
        <v>1171</v>
      </c>
      <c r="R504" t="str">
        <f>_xlfn.TEXTBEFORE(_xlfn.TEXTAFTER(us_core_reqs[[#This Row],[URL*]],"/",-1),".")</f>
        <v>StructureDefinition-us-core-provenance</v>
      </c>
      <c r="S504" t="str">
        <f>_xlfn.TEXTAFTER(us_core_reqs[[#This Row],[URL*]],"#",-1)</f>
        <v>mandatory-and-must-support-data-elements</v>
      </c>
      <c r="T504" t="str">
        <f>SUBSTITUTE(SUBSTITUTE(PROPER(SUBSTITUTE(us_core_reqs[[#This Row],[Page]], "-", " "))&amp;": "&amp;PROPER(SUBSTITUTE(us_core_reqs[[#This Row],[Section]], "-", " ")),"Us ","US "), "Uscdi", "USCDI")</f>
        <v>Structuredefinition US Core Provenance: Mandatory And Must Support Data Elements</v>
      </c>
      <c r="U504" t="s">
        <v>29</v>
      </c>
      <c r="V504" t="s">
        <v>1171</v>
      </c>
      <c r="W504" t="s">
        <v>1171</v>
      </c>
      <c r="X504" t="s">
        <v>1171</v>
      </c>
      <c r="Y504" t="s">
        <v>1171</v>
      </c>
      <c r="Z504" t="s">
        <v>1171</v>
      </c>
      <c r="AA504" t="s">
        <v>1171</v>
      </c>
      <c r="AB504" t="s">
        <v>1171</v>
      </c>
      <c r="AC504" t="s">
        <v>1140</v>
      </c>
      <c r="AD504" t="s">
        <v>1171</v>
      </c>
    </row>
    <row r="505" spans="1:30" ht="34" x14ac:dyDescent="0.2">
      <c r="A505" t="s">
        <v>1171</v>
      </c>
      <c r="B505" t="s">
        <v>1677</v>
      </c>
      <c r="C505" t="str">
        <f>"CONF-"&amp;TEXT(us_core_reqs[[#This Row],[ID*]], "0000")</f>
        <v>CONF-0504</v>
      </c>
      <c r="D505" s="11" t="s">
        <v>898</v>
      </c>
      <c r="E505" t="str">
        <f>SUBSTITUTE(us_core_reqs[[#This Row],[URL*]], "https://hl7.org/fhir/us/core/STU8/","")</f>
        <v>StructureDefinition-us-core-provenance.html#mandatory-and-must-support-data-elements</v>
      </c>
      <c r="F505" s="11" t="s">
        <v>2072</v>
      </c>
      <c r="G505" t="s">
        <v>29</v>
      </c>
      <c r="I505" t="s">
        <v>30</v>
      </c>
      <c r="J505" t="s">
        <v>1171</v>
      </c>
      <c r="K505" t="s">
        <v>1171</v>
      </c>
      <c r="L505" t="s">
        <v>1173</v>
      </c>
      <c r="M505" t="s">
        <v>1171</v>
      </c>
      <c r="N505" t="s">
        <v>1171</v>
      </c>
      <c r="O505" t="s">
        <v>1171</v>
      </c>
      <c r="P505" t="s">
        <v>1171</v>
      </c>
      <c r="Q505" t="s">
        <v>1171</v>
      </c>
      <c r="R505" t="str">
        <f>_xlfn.TEXTBEFORE(_xlfn.TEXTAFTER(us_core_reqs[[#This Row],[URL*]],"/",-1),".")</f>
        <v>StructureDefinition-us-core-provenance</v>
      </c>
      <c r="S505" t="str">
        <f>_xlfn.TEXTAFTER(us_core_reqs[[#This Row],[URL*]],"#",-1)</f>
        <v>mandatory-and-must-support-data-elements</v>
      </c>
      <c r="T505" t="str">
        <f>SUBSTITUTE(SUBSTITUTE(PROPER(SUBSTITUTE(us_core_reqs[[#This Row],[Page]], "-", " "))&amp;": "&amp;PROPER(SUBSTITUTE(us_core_reqs[[#This Row],[Section]], "-", " ")),"Us ","US "), "Uscdi", "USCDI")</f>
        <v>Structuredefinition US Core Provenance: Mandatory And Must Support Data Elements</v>
      </c>
      <c r="U505" t="s">
        <v>29</v>
      </c>
      <c r="V505" t="s">
        <v>1171</v>
      </c>
      <c r="W505" t="s">
        <v>1171</v>
      </c>
      <c r="X505" t="s">
        <v>1171</v>
      </c>
      <c r="Y505" t="s">
        <v>1171</v>
      </c>
      <c r="Z505" t="s">
        <v>1171</v>
      </c>
      <c r="AA505" t="s">
        <v>1171</v>
      </c>
      <c r="AB505" t="s">
        <v>1171</v>
      </c>
      <c r="AC505" t="s">
        <v>1140</v>
      </c>
      <c r="AD505" t="s">
        <v>1171</v>
      </c>
    </row>
    <row r="506" spans="1:30" ht="34" x14ac:dyDescent="0.2">
      <c r="A506" t="s">
        <v>1171</v>
      </c>
      <c r="B506" t="s">
        <v>1678</v>
      </c>
      <c r="C506" t="str">
        <f>"CONF-"&amp;TEXT(us_core_reqs[[#This Row],[ID*]], "0000")</f>
        <v>CONF-0505</v>
      </c>
      <c r="D506" s="11" t="s">
        <v>898</v>
      </c>
      <c r="E506" t="str">
        <f>SUBSTITUTE(us_core_reqs[[#This Row],[URL*]], "https://hl7.org/fhir/us/core/STU8/","")</f>
        <v>StructureDefinition-us-core-provenance.html#mandatory-and-must-support-data-elements</v>
      </c>
      <c r="F506" s="11" t="s">
        <v>2073</v>
      </c>
      <c r="G506" t="s">
        <v>29</v>
      </c>
      <c r="I506" t="s">
        <v>30</v>
      </c>
      <c r="J506" t="s">
        <v>1171</v>
      </c>
      <c r="K506" t="s">
        <v>1171</v>
      </c>
      <c r="L506" t="s">
        <v>1173</v>
      </c>
      <c r="M506" t="s">
        <v>1171</v>
      </c>
      <c r="N506" t="s">
        <v>1171</v>
      </c>
      <c r="O506" t="s">
        <v>1171</v>
      </c>
      <c r="P506" t="s">
        <v>1171</v>
      </c>
      <c r="Q506" t="s">
        <v>1171</v>
      </c>
      <c r="R506" t="str">
        <f>_xlfn.TEXTBEFORE(_xlfn.TEXTAFTER(us_core_reqs[[#This Row],[URL*]],"/",-1),".")</f>
        <v>StructureDefinition-us-core-provenance</v>
      </c>
      <c r="S506" t="str">
        <f>_xlfn.TEXTAFTER(us_core_reqs[[#This Row],[URL*]],"#",-1)</f>
        <v>mandatory-and-must-support-data-elements</v>
      </c>
      <c r="T506" t="str">
        <f>SUBSTITUTE(SUBSTITUTE(PROPER(SUBSTITUTE(us_core_reqs[[#This Row],[Page]], "-", " "))&amp;": "&amp;PROPER(SUBSTITUTE(us_core_reqs[[#This Row],[Section]], "-", " ")),"Us ","US "), "Uscdi", "USCDI")</f>
        <v>Structuredefinition US Core Provenance: Mandatory And Must Support Data Elements</v>
      </c>
      <c r="U506" t="s">
        <v>29</v>
      </c>
      <c r="V506" t="s">
        <v>1171</v>
      </c>
      <c r="W506" t="s">
        <v>1171</v>
      </c>
      <c r="X506" t="s">
        <v>1171</v>
      </c>
      <c r="Y506" t="s">
        <v>1171</v>
      </c>
      <c r="Z506" t="s">
        <v>1171</v>
      </c>
      <c r="AA506" t="s">
        <v>1171</v>
      </c>
      <c r="AB506" t="s">
        <v>1171</v>
      </c>
      <c r="AC506" t="s">
        <v>1140</v>
      </c>
      <c r="AD506" t="s">
        <v>1171</v>
      </c>
    </row>
    <row r="507" spans="1:30" ht="34" x14ac:dyDescent="0.2">
      <c r="A507" t="s">
        <v>1171</v>
      </c>
      <c r="B507" t="s">
        <v>1679</v>
      </c>
      <c r="C507" t="str">
        <f>"CONF-"&amp;TEXT(us_core_reqs[[#This Row],[ID*]], "0000")</f>
        <v>CONF-0506</v>
      </c>
      <c r="D507" s="11" t="s">
        <v>898</v>
      </c>
      <c r="E507" t="str">
        <f>SUBSTITUTE(us_core_reqs[[#This Row],[URL*]], "https://hl7.org/fhir/us/core/STU8/","")</f>
        <v>StructureDefinition-us-core-provenance.html#mandatory-and-must-support-data-elements</v>
      </c>
      <c r="F507" s="11" t="s">
        <v>2074</v>
      </c>
      <c r="G507" t="s">
        <v>29</v>
      </c>
      <c r="I507" t="s">
        <v>30</v>
      </c>
      <c r="J507" t="s">
        <v>1171</v>
      </c>
      <c r="K507" t="s">
        <v>1171</v>
      </c>
      <c r="L507" t="s">
        <v>1173</v>
      </c>
      <c r="M507" t="s">
        <v>1171</v>
      </c>
      <c r="N507" t="s">
        <v>1171</v>
      </c>
      <c r="O507" t="s">
        <v>1171</v>
      </c>
      <c r="P507" t="s">
        <v>1171</v>
      </c>
      <c r="Q507" t="s">
        <v>1171</v>
      </c>
      <c r="R507" t="str">
        <f>_xlfn.TEXTBEFORE(_xlfn.TEXTAFTER(us_core_reqs[[#This Row],[URL*]],"/",-1),".")</f>
        <v>StructureDefinition-us-core-provenance</v>
      </c>
      <c r="S507" t="str">
        <f>_xlfn.TEXTAFTER(us_core_reqs[[#This Row],[URL*]],"#",-1)</f>
        <v>mandatory-and-must-support-data-elements</v>
      </c>
      <c r="T507" t="str">
        <f>SUBSTITUTE(SUBSTITUTE(PROPER(SUBSTITUTE(us_core_reqs[[#This Row],[Page]], "-", " "))&amp;": "&amp;PROPER(SUBSTITUTE(us_core_reqs[[#This Row],[Section]], "-", " ")),"Us ","US "), "Uscdi", "USCDI")</f>
        <v>Structuredefinition US Core Provenance: Mandatory And Must Support Data Elements</v>
      </c>
      <c r="U507" t="s">
        <v>29</v>
      </c>
      <c r="V507" t="s">
        <v>1171</v>
      </c>
      <c r="W507" t="s">
        <v>1171</v>
      </c>
      <c r="X507" t="s">
        <v>1171</v>
      </c>
      <c r="Y507" t="s">
        <v>1171</v>
      </c>
      <c r="Z507" t="s">
        <v>1171</v>
      </c>
      <c r="AA507" t="s">
        <v>1171</v>
      </c>
      <c r="AB507" t="s">
        <v>1171</v>
      </c>
      <c r="AC507" t="s">
        <v>1140</v>
      </c>
      <c r="AD507" t="s">
        <v>1171</v>
      </c>
    </row>
    <row r="508" spans="1:30" ht="34" x14ac:dyDescent="0.2">
      <c r="A508" t="s">
        <v>1171</v>
      </c>
      <c r="B508" t="s">
        <v>1680</v>
      </c>
      <c r="C508" t="str">
        <f>"CONF-"&amp;TEXT(us_core_reqs[[#This Row],[ID*]], "0000")</f>
        <v>CONF-0507</v>
      </c>
      <c r="D508" s="11" t="s">
        <v>898</v>
      </c>
      <c r="E508" t="str">
        <f>SUBSTITUTE(us_core_reqs[[#This Row],[URL*]], "https://hl7.org/fhir/us/core/STU8/","")</f>
        <v>StructureDefinition-us-core-provenance.html#mandatory-and-must-support-data-elements</v>
      </c>
      <c r="F508" s="11" t="s">
        <v>2075</v>
      </c>
      <c r="G508" t="s">
        <v>29</v>
      </c>
      <c r="I508" t="s">
        <v>30</v>
      </c>
      <c r="J508" t="s">
        <v>1171</v>
      </c>
      <c r="K508" t="s">
        <v>1171</v>
      </c>
      <c r="L508" t="s">
        <v>1173</v>
      </c>
      <c r="M508" t="s">
        <v>1171</v>
      </c>
      <c r="N508" t="s">
        <v>1171</v>
      </c>
      <c r="O508" t="s">
        <v>1171</v>
      </c>
      <c r="P508" t="s">
        <v>1171</v>
      </c>
      <c r="Q508" t="s">
        <v>1171</v>
      </c>
      <c r="R508" t="str">
        <f>_xlfn.TEXTBEFORE(_xlfn.TEXTAFTER(us_core_reqs[[#This Row],[URL*]],"/",-1),".")</f>
        <v>StructureDefinition-us-core-provenance</v>
      </c>
      <c r="S508" t="str">
        <f>_xlfn.TEXTAFTER(us_core_reqs[[#This Row],[URL*]],"#",-1)</f>
        <v>mandatory-and-must-support-data-elements</v>
      </c>
      <c r="T508" t="str">
        <f>SUBSTITUTE(SUBSTITUTE(PROPER(SUBSTITUTE(us_core_reqs[[#This Row],[Page]], "-", " "))&amp;": "&amp;PROPER(SUBSTITUTE(us_core_reqs[[#This Row],[Section]], "-", " ")),"Us ","US "), "Uscdi", "USCDI")</f>
        <v>Structuredefinition US Core Provenance: Mandatory And Must Support Data Elements</v>
      </c>
      <c r="U508" t="s">
        <v>29</v>
      </c>
      <c r="V508" t="s">
        <v>1171</v>
      </c>
      <c r="W508" t="s">
        <v>1171</v>
      </c>
      <c r="X508" t="s">
        <v>1171</v>
      </c>
      <c r="Y508" t="s">
        <v>1171</v>
      </c>
      <c r="Z508" t="s">
        <v>1171</v>
      </c>
      <c r="AA508" t="s">
        <v>1171</v>
      </c>
      <c r="AB508" t="s">
        <v>1171</v>
      </c>
      <c r="AC508" t="s">
        <v>1140</v>
      </c>
      <c r="AD508" t="s">
        <v>1171</v>
      </c>
    </row>
    <row r="509" spans="1:30" ht="68" x14ac:dyDescent="0.2">
      <c r="A509" t="s">
        <v>1171</v>
      </c>
      <c r="B509" t="s">
        <v>1681</v>
      </c>
      <c r="C509" t="str">
        <f>"CONF-"&amp;TEXT(us_core_reqs[[#This Row],[ID*]], "0000")</f>
        <v>CONF-0508</v>
      </c>
      <c r="D509" s="11" t="s">
        <v>898</v>
      </c>
      <c r="E509" t="str">
        <f>SUBSTITUTE(us_core_reqs[[#This Row],[URL*]], "https://hl7.org/fhir/us/core/STU8/","")</f>
        <v>StructureDefinition-us-core-provenance.html#mandatory-and-must-support-data-elements</v>
      </c>
      <c r="F509" s="11" t="s">
        <v>2178</v>
      </c>
      <c r="G509" t="s">
        <v>29</v>
      </c>
      <c r="I509" t="s">
        <v>30</v>
      </c>
      <c r="J509" t="s">
        <v>1171</v>
      </c>
      <c r="K509" t="s">
        <v>1171</v>
      </c>
      <c r="L509" t="s">
        <v>1176</v>
      </c>
      <c r="M509" t="s">
        <v>525</v>
      </c>
      <c r="N509" t="s">
        <v>1171</v>
      </c>
      <c r="O509" t="s">
        <v>1171</v>
      </c>
      <c r="P509" t="s">
        <v>1171</v>
      </c>
      <c r="Q509" t="s">
        <v>1171</v>
      </c>
      <c r="R509" t="str">
        <f>_xlfn.TEXTBEFORE(_xlfn.TEXTAFTER(us_core_reqs[[#This Row],[URL*]],"/",-1),".")</f>
        <v>StructureDefinition-us-core-provenance</v>
      </c>
      <c r="S509" t="str">
        <f>_xlfn.TEXTAFTER(us_core_reqs[[#This Row],[URL*]],"#",-1)</f>
        <v>mandatory-and-must-support-data-elements</v>
      </c>
      <c r="T509" t="str">
        <f>SUBSTITUTE(SUBSTITUTE(PROPER(SUBSTITUTE(us_core_reqs[[#This Row],[Page]], "-", " "))&amp;": "&amp;PROPER(SUBSTITUTE(us_core_reqs[[#This Row],[Section]], "-", " ")),"Us ","US "), "Uscdi", "USCDI")</f>
        <v>Structuredefinition US Core Provenance: Mandatory And Must Support Data Elements</v>
      </c>
      <c r="U509" t="s">
        <v>29</v>
      </c>
      <c r="V509" t="s">
        <v>1171</v>
      </c>
      <c r="W509" t="s">
        <v>1171</v>
      </c>
      <c r="X509" t="s">
        <v>1171</v>
      </c>
      <c r="Y509" t="s">
        <v>1171</v>
      </c>
      <c r="Z509" t="s">
        <v>1171</v>
      </c>
      <c r="AA509" t="s">
        <v>1171</v>
      </c>
      <c r="AB509" t="s">
        <v>1171</v>
      </c>
      <c r="AC509" t="s">
        <v>1140</v>
      </c>
      <c r="AD509" t="s">
        <v>1171</v>
      </c>
    </row>
    <row r="510" spans="1:30" ht="34" x14ac:dyDescent="0.2">
      <c r="A510" t="s">
        <v>1171</v>
      </c>
      <c r="B510" t="s">
        <v>1682</v>
      </c>
      <c r="C510" t="str">
        <f>"CONF-"&amp;TEXT(us_core_reqs[[#This Row],[ID*]], "0000")</f>
        <v>CONF-0509</v>
      </c>
      <c r="D510" s="11" t="s">
        <v>898</v>
      </c>
      <c r="E510" t="str">
        <f>SUBSTITUTE(us_core_reqs[[#This Row],[URL*]], "https://hl7.org/fhir/us/core/STU8/","")</f>
        <v>StructureDefinition-us-core-provenance.html#mandatory-and-must-support-data-elements</v>
      </c>
      <c r="F510" s="11" t="s">
        <v>2191</v>
      </c>
      <c r="G510" t="s">
        <v>35</v>
      </c>
      <c r="I510" t="s">
        <v>30</v>
      </c>
      <c r="J510" t="s">
        <v>1171</v>
      </c>
      <c r="K510" t="s">
        <v>1171</v>
      </c>
      <c r="L510" t="s">
        <v>1176</v>
      </c>
      <c r="M510" t="s">
        <v>527</v>
      </c>
      <c r="N510" t="s">
        <v>1171</v>
      </c>
      <c r="O510" t="s">
        <v>1171</v>
      </c>
      <c r="P510" t="s">
        <v>1171</v>
      </c>
      <c r="Q510" t="s">
        <v>1171</v>
      </c>
      <c r="R510" t="str">
        <f>_xlfn.TEXTBEFORE(_xlfn.TEXTAFTER(us_core_reqs[[#This Row],[URL*]],"/",-1),".")</f>
        <v>StructureDefinition-us-core-provenance</v>
      </c>
      <c r="S510" t="str">
        <f>_xlfn.TEXTAFTER(us_core_reqs[[#This Row],[URL*]],"#",-1)</f>
        <v>mandatory-and-must-support-data-elements</v>
      </c>
      <c r="T510" t="str">
        <f>SUBSTITUTE(SUBSTITUTE(PROPER(SUBSTITUTE(us_core_reqs[[#This Row],[Page]], "-", " "))&amp;": "&amp;PROPER(SUBSTITUTE(us_core_reqs[[#This Row],[Section]], "-", " ")),"Us ","US "), "Uscdi", "USCDI")</f>
        <v>Structuredefinition US Core Provenance: Mandatory And Must Support Data Elements</v>
      </c>
      <c r="U510" t="s">
        <v>35</v>
      </c>
      <c r="V510" t="s">
        <v>1171</v>
      </c>
      <c r="W510" t="s">
        <v>1171</v>
      </c>
      <c r="X510" t="s">
        <v>1171</v>
      </c>
      <c r="Y510" t="s">
        <v>1171</v>
      </c>
      <c r="Z510" t="s">
        <v>1171</v>
      </c>
      <c r="AA510" t="s">
        <v>1171</v>
      </c>
      <c r="AB510" t="s">
        <v>1171</v>
      </c>
      <c r="AC510" t="s">
        <v>1141</v>
      </c>
      <c r="AD510" t="s">
        <v>1171</v>
      </c>
    </row>
    <row r="511" spans="1:30" ht="34" x14ac:dyDescent="0.2">
      <c r="A511" t="s">
        <v>1171</v>
      </c>
      <c r="B511" t="s">
        <v>1683</v>
      </c>
      <c r="C511" t="str">
        <f>"CONF-"&amp;TEXT(us_core_reqs[[#This Row],[ID*]], "0000")</f>
        <v>CONF-0510</v>
      </c>
      <c r="D511" s="11" t="s">
        <v>898</v>
      </c>
      <c r="E511" t="str">
        <f>SUBSTITUTE(us_core_reqs[[#This Row],[URL*]], "https://hl7.org/fhir/us/core/STU8/","")</f>
        <v>StructureDefinition-us-core-provenance.html#mandatory-and-must-support-data-elements</v>
      </c>
      <c r="F511" s="11" t="s">
        <v>2003</v>
      </c>
      <c r="G511" t="s">
        <v>32</v>
      </c>
      <c r="I511" t="s">
        <v>30</v>
      </c>
      <c r="J511" t="s">
        <v>1171</v>
      </c>
      <c r="K511" t="s">
        <v>1171</v>
      </c>
      <c r="L511" t="s">
        <v>1173</v>
      </c>
      <c r="M511" t="s">
        <v>1171</v>
      </c>
      <c r="N511" t="s">
        <v>1171</v>
      </c>
      <c r="O511" t="s">
        <v>1171</v>
      </c>
      <c r="P511" t="s">
        <v>1171</v>
      </c>
      <c r="Q511" t="s">
        <v>1171</v>
      </c>
      <c r="R511" t="str">
        <f>_xlfn.TEXTBEFORE(_xlfn.TEXTAFTER(us_core_reqs[[#This Row],[URL*]],"/",-1),".")</f>
        <v>StructureDefinition-us-core-provenance</v>
      </c>
      <c r="S511" t="str">
        <f>_xlfn.TEXTAFTER(us_core_reqs[[#This Row],[URL*]],"#",-1)</f>
        <v>mandatory-and-must-support-data-elements</v>
      </c>
      <c r="T511" t="str">
        <f>SUBSTITUTE(SUBSTITUTE(PROPER(SUBSTITUTE(us_core_reqs[[#This Row],[Page]], "-", " "))&amp;": "&amp;PROPER(SUBSTITUTE(us_core_reqs[[#This Row],[Section]], "-", " ")),"Us ","US "), "Uscdi", "USCDI")</f>
        <v>Structuredefinition US Core Provenance: Mandatory And Must Support Data Elements</v>
      </c>
      <c r="U511" t="s">
        <v>32</v>
      </c>
      <c r="V511" t="s">
        <v>1171</v>
      </c>
      <c r="W511" t="s">
        <v>1171</v>
      </c>
      <c r="X511" t="s">
        <v>1171</v>
      </c>
      <c r="Y511" t="s">
        <v>1171</v>
      </c>
      <c r="Z511" t="s">
        <v>1171</v>
      </c>
      <c r="AA511" t="s">
        <v>1171</v>
      </c>
      <c r="AB511" t="s">
        <v>1171</v>
      </c>
      <c r="AC511" t="s">
        <v>1171</v>
      </c>
      <c r="AD511" t="s">
        <v>1171</v>
      </c>
    </row>
    <row r="512" spans="1:30" ht="51" x14ac:dyDescent="0.2">
      <c r="A512" t="s">
        <v>1171</v>
      </c>
      <c r="B512" t="s">
        <v>1684</v>
      </c>
      <c r="C512" t="str">
        <f>"CONF-"&amp;TEXT(us_core_reqs[[#This Row],[ID*]], "0000")</f>
        <v>CONF-0511</v>
      </c>
      <c r="D512" s="11" t="s">
        <v>899</v>
      </c>
      <c r="E512" t="str">
        <f>SUBSTITUTE(us_core_reqs[[#This Row],[URL*]], "https://hl7.org/fhir/us/core/STU8/","")</f>
        <v>StructureDefinition-us-core-questionnaireresponse.html#mandatory-and-must-support-data-elements</v>
      </c>
      <c r="F512" s="11" t="s">
        <v>529</v>
      </c>
      <c r="G512" t="s">
        <v>29</v>
      </c>
      <c r="I512" t="s">
        <v>30</v>
      </c>
      <c r="J512" t="s">
        <v>1171</v>
      </c>
      <c r="K512" t="s">
        <v>1171</v>
      </c>
      <c r="L512" t="s">
        <v>1176</v>
      </c>
      <c r="M512" t="s">
        <v>530</v>
      </c>
      <c r="N512" t="s">
        <v>1171</v>
      </c>
      <c r="O512" t="s">
        <v>1171</v>
      </c>
      <c r="P512" t="s">
        <v>1171</v>
      </c>
      <c r="Q512" t="s">
        <v>1171</v>
      </c>
      <c r="R512" t="str">
        <f>_xlfn.TEXTBEFORE(_xlfn.TEXTAFTER(us_core_reqs[[#This Row],[URL*]],"/",-1),".")</f>
        <v>StructureDefinition-us-core-questionnaireresponse</v>
      </c>
      <c r="S512" t="str">
        <f>_xlfn.TEXTAFTER(us_core_reqs[[#This Row],[URL*]],"#",-1)</f>
        <v>mandatory-and-must-support-data-elements</v>
      </c>
      <c r="T512" t="str">
        <f>SUBSTITUTE(SUBSTITUTE(PROPER(SUBSTITUTE(us_core_reqs[[#This Row],[Page]], "-", " "))&amp;": "&amp;PROPER(SUBSTITUTE(us_core_reqs[[#This Row],[Section]], "-", " ")),"Us ","US "), "Uscdi", "USCDI")</f>
        <v>Structuredefinition US Core Questionnaireresponse: Mandatory And Must Support Data Elements</v>
      </c>
      <c r="U512" t="s">
        <v>1171</v>
      </c>
      <c r="V512" t="s">
        <v>1171</v>
      </c>
      <c r="W512" t="s">
        <v>1171</v>
      </c>
      <c r="X512" t="s">
        <v>1171</v>
      </c>
      <c r="Y512" t="s">
        <v>1171</v>
      </c>
      <c r="Z512" t="s">
        <v>1171</v>
      </c>
      <c r="AA512" t="s">
        <v>1171</v>
      </c>
      <c r="AB512" t="s">
        <v>1171</v>
      </c>
      <c r="AC512" t="s">
        <v>1141</v>
      </c>
      <c r="AD512" t="s">
        <v>1171</v>
      </c>
    </row>
    <row r="513" spans="1:30" ht="51" x14ac:dyDescent="0.2">
      <c r="A513" t="s">
        <v>1171</v>
      </c>
      <c r="B513" t="s">
        <v>1685</v>
      </c>
      <c r="C513" t="str">
        <f>"CONF-"&amp;TEXT(us_core_reqs[[#This Row],[ID*]], "0000")</f>
        <v>CONF-0512</v>
      </c>
      <c r="D513" s="11" t="s">
        <v>899</v>
      </c>
      <c r="E513" t="str">
        <f>SUBSTITUTE(us_core_reqs[[#This Row],[URL*]], "https://hl7.org/fhir/us/core/STU8/","")</f>
        <v>StructureDefinition-us-core-questionnaireresponse.html#mandatory-and-must-support-data-elements</v>
      </c>
      <c r="F513" s="11" t="s">
        <v>531</v>
      </c>
      <c r="G513" t="s">
        <v>35</v>
      </c>
      <c r="I513" t="s">
        <v>30</v>
      </c>
      <c r="J513" t="s">
        <v>1171</v>
      </c>
      <c r="K513" t="s">
        <v>1171</v>
      </c>
      <c r="L513" t="s">
        <v>1176</v>
      </c>
      <c r="M513" t="s">
        <v>530</v>
      </c>
      <c r="N513" t="s">
        <v>1171</v>
      </c>
      <c r="O513" t="s">
        <v>1171</v>
      </c>
      <c r="P513" t="s">
        <v>1171</v>
      </c>
      <c r="Q513" t="s">
        <v>1171</v>
      </c>
      <c r="R513" t="str">
        <f>_xlfn.TEXTBEFORE(_xlfn.TEXTAFTER(us_core_reqs[[#This Row],[URL*]],"/",-1),".")</f>
        <v>StructureDefinition-us-core-questionnaireresponse</v>
      </c>
      <c r="S513" t="str">
        <f>_xlfn.TEXTAFTER(us_core_reqs[[#This Row],[URL*]],"#",-1)</f>
        <v>mandatory-and-must-support-data-elements</v>
      </c>
      <c r="T513" t="str">
        <f>SUBSTITUTE(SUBSTITUTE(PROPER(SUBSTITUTE(us_core_reqs[[#This Row],[Page]], "-", " "))&amp;": "&amp;PROPER(SUBSTITUTE(us_core_reqs[[#This Row],[Section]], "-", " ")),"Us ","US "), "Uscdi", "USCDI")</f>
        <v>Structuredefinition US Core Questionnaireresponse: Mandatory And Must Support Data Elements</v>
      </c>
      <c r="U513" t="s">
        <v>35</v>
      </c>
      <c r="V513" t="s">
        <v>1171</v>
      </c>
      <c r="W513" t="s">
        <v>1171</v>
      </c>
      <c r="X513" t="s">
        <v>1171</v>
      </c>
      <c r="Y513" t="s">
        <v>1171</v>
      </c>
      <c r="Z513" t="s">
        <v>1171</v>
      </c>
      <c r="AA513" t="s">
        <v>1171</v>
      </c>
      <c r="AB513" t="s">
        <v>1171</v>
      </c>
      <c r="AC513" t="s">
        <v>1171</v>
      </c>
      <c r="AD513" t="s">
        <v>1171</v>
      </c>
    </row>
    <row r="514" spans="1:30" ht="102" x14ac:dyDescent="0.2">
      <c r="A514" t="s">
        <v>1171</v>
      </c>
      <c r="B514" t="s">
        <v>1686</v>
      </c>
      <c r="C514" t="str">
        <f>"CONF-"&amp;TEXT(us_core_reqs[[#This Row],[ID*]], "0000")</f>
        <v>CONF-0513</v>
      </c>
      <c r="D514" s="11" t="s">
        <v>900</v>
      </c>
      <c r="E514" t="str">
        <f>SUBSTITUTE(us_core_reqs[[#This Row],[URL*]], "https://hl7.org/fhir/us/core/STU8/","")</f>
        <v>StructureDefinition-us-core-relatedperson.html#mandatory-and-must-support-data-elements</v>
      </c>
      <c r="F514" s="11" t="s">
        <v>2004</v>
      </c>
      <c r="G514" t="s">
        <v>32</v>
      </c>
      <c r="I514" t="s">
        <v>30</v>
      </c>
      <c r="J514" t="s">
        <v>1171</v>
      </c>
      <c r="K514" t="s">
        <v>1171</v>
      </c>
      <c r="L514" t="s">
        <v>1173</v>
      </c>
      <c r="M514" t="s">
        <v>1171</v>
      </c>
      <c r="N514" t="s">
        <v>1171</v>
      </c>
      <c r="O514" t="s">
        <v>1171</v>
      </c>
      <c r="P514" t="s">
        <v>1171</v>
      </c>
      <c r="Q514" t="s">
        <v>1171</v>
      </c>
      <c r="R514" t="str">
        <f>_xlfn.TEXTBEFORE(_xlfn.TEXTAFTER(us_core_reqs[[#This Row],[URL*]],"/",-1),".")</f>
        <v>StructureDefinition-us-core-relatedperson</v>
      </c>
      <c r="S514" t="str">
        <f>_xlfn.TEXTAFTER(us_core_reqs[[#This Row],[URL*]],"#",-1)</f>
        <v>mandatory-and-must-support-data-elements</v>
      </c>
      <c r="T514" t="str">
        <f>SUBSTITUTE(SUBSTITUTE(PROPER(SUBSTITUTE(us_core_reqs[[#This Row],[Page]], "-", " "))&amp;": "&amp;PROPER(SUBSTITUTE(us_core_reqs[[#This Row],[Section]], "-", " ")),"Us ","US "), "Uscdi", "USCDI")</f>
        <v>Structuredefinition US Core Relatedperson: Mandatory And Must Support Data Elements</v>
      </c>
      <c r="U514" t="s">
        <v>32</v>
      </c>
      <c r="V514" t="s">
        <v>1171</v>
      </c>
      <c r="W514" t="s">
        <v>1171</v>
      </c>
      <c r="X514" t="s">
        <v>1171</v>
      </c>
      <c r="Y514" t="s">
        <v>1171</v>
      </c>
      <c r="Z514" t="s">
        <v>1171</v>
      </c>
      <c r="AA514" t="s">
        <v>1171</v>
      </c>
      <c r="AB514" t="s">
        <v>1171</v>
      </c>
      <c r="AC514" t="s">
        <v>1171</v>
      </c>
      <c r="AD514" t="s">
        <v>1171</v>
      </c>
    </row>
    <row r="515" spans="1:30" ht="85" x14ac:dyDescent="0.2">
      <c r="A515" t="s">
        <v>1171</v>
      </c>
      <c r="B515" t="s">
        <v>1687</v>
      </c>
      <c r="C515" t="str">
        <f>"CONF-"&amp;TEXT(us_core_reqs[[#This Row],[ID*]], "0000")</f>
        <v>CONF-0514</v>
      </c>
      <c r="D515" s="11" t="s">
        <v>901</v>
      </c>
      <c r="E515" t="str">
        <f>SUBSTITUTE(us_core_reqs[[#This Row],[URL*]], "https://hl7.org/fhir/us/core/STU8/","")</f>
        <v>StructureDefinition-us-core-servicerequest.html#mandatory-and-must-support-data-elements</v>
      </c>
      <c r="F515" s="11" t="s">
        <v>809</v>
      </c>
      <c r="G515" t="s">
        <v>35</v>
      </c>
      <c r="I515" t="s">
        <v>30</v>
      </c>
      <c r="J515" t="s">
        <v>1171</v>
      </c>
      <c r="K515" t="s">
        <v>1171</v>
      </c>
      <c r="L515" t="s">
        <v>1173</v>
      </c>
      <c r="M515" t="s">
        <v>1171</v>
      </c>
      <c r="N515" t="s">
        <v>1171</v>
      </c>
      <c r="O515" t="s">
        <v>1171</v>
      </c>
      <c r="P515" t="s">
        <v>1171</v>
      </c>
      <c r="Q515" t="s">
        <v>1171</v>
      </c>
      <c r="R515" t="str">
        <f>_xlfn.TEXTBEFORE(_xlfn.TEXTAFTER(us_core_reqs[[#This Row],[URL*]],"/",-1),".")</f>
        <v>StructureDefinition-us-core-servicerequest</v>
      </c>
      <c r="S515" t="str">
        <f>_xlfn.TEXTAFTER(us_core_reqs[[#This Row],[URL*]],"#",-1)</f>
        <v>mandatory-and-must-support-data-elements</v>
      </c>
      <c r="T515" t="str">
        <f>SUBSTITUTE(SUBSTITUTE(PROPER(SUBSTITUTE(us_core_reqs[[#This Row],[Page]], "-", " "))&amp;": "&amp;PROPER(SUBSTITUTE(us_core_reqs[[#This Row],[Section]], "-", " ")),"Us ","US "), "Uscdi", "USCDI")</f>
        <v>Structuredefinition US Core Servicerequest: Mandatory And Must Support Data Elements</v>
      </c>
      <c r="U515" t="s">
        <v>1171</v>
      </c>
      <c r="V515" t="s">
        <v>1171</v>
      </c>
      <c r="W515" t="s">
        <v>1171</v>
      </c>
      <c r="X515" t="s">
        <v>1171</v>
      </c>
      <c r="Y515" t="s">
        <v>1171</v>
      </c>
      <c r="Z515" t="s">
        <v>1171</v>
      </c>
      <c r="AA515" t="s">
        <v>1171</v>
      </c>
      <c r="AB515" t="s">
        <v>810</v>
      </c>
      <c r="AC515" t="s">
        <v>1171</v>
      </c>
      <c r="AD515" t="s">
        <v>1171</v>
      </c>
    </row>
    <row r="516" spans="1:30" ht="51" x14ac:dyDescent="0.2">
      <c r="A516" t="s">
        <v>1171</v>
      </c>
      <c r="B516" t="s">
        <v>1688</v>
      </c>
      <c r="C516" t="str">
        <f>"CONF-"&amp;TEXT(us_core_reqs[[#This Row],[ID*]], "0000")</f>
        <v>CONF-0515</v>
      </c>
      <c r="D516" s="11" t="s">
        <v>901</v>
      </c>
      <c r="E516" t="str">
        <f>SUBSTITUTE(us_core_reqs[[#This Row],[URL*]], "https://hl7.org/fhir/us/core/STU8/","")</f>
        <v>StructureDefinition-us-core-servicerequest.html#mandatory-and-must-support-data-elements</v>
      </c>
      <c r="F516" s="11" t="s">
        <v>2005</v>
      </c>
      <c r="G516" t="s">
        <v>32</v>
      </c>
      <c r="I516" t="s">
        <v>30</v>
      </c>
      <c r="J516" t="s">
        <v>1171</v>
      </c>
      <c r="K516" t="s">
        <v>1171</v>
      </c>
      <c r="L516" t="s">
        <v>1173</v>
      </c>
      <c r="M516" t="s">
        <v>1171</v>
      </c>
      <c r="N516" t="s">
        <v>1171</v>
      </c>
      <c r="O516" t="s">
        <v>1171</v>
      </c>
      <c r="P516" t="s">
        <v>1171</v>
      </c>
      <c r="Q516" t="s">
        <v>1171</v>
      </c>
      <c r="R516" t="str">
        <f>_xlfn.TEXTBEFORE(_xlfn.TEXTAFTER(us_core_reqs[[#This Row],[URL*]],"/",-1),".")</f>
        <v>StructureDefinition-us-core-servicerequest</v>
      </c>
      <c r="S516" t="str">
        <f>_xlfn.TEXTAFTER(us_core_reqs[[#This Row],[URL*]],"#",-1)</f>
        <v>mandatory-and-must-support-data-elements</v>
      </c>
      <c r="T516" t="str">
        <f>SUBSTITUTE(SUBSTITUTE(PROPER(SUBSTITUTE(us_core_reqs[[#This Row],[Page]], "-", " "))&amp;": "&amp;PROPER(SUBSTITUTE(us_core_reqs[[#This Row],[Section]], "-", " ")),"Us ","US "), "Uscdi", "USCDI")</f>
        <v>Structuredefinition US Core Servicerequest: Mandatory And Must Support Data Elements</v>
      </c>
      <c r="U516" t="s">
        <v>1171</v>
      </c>
      <c r="V516" t="s">
        <v>1171</v>
      </c>
      <c r="W516" t="s">
        <v>1171</v>
      </c>
      <c r="X516" t="s">
        <v>1171</v>
      </c>
      <c r="Y516" t="s">
        <v>1171</v>
      </c>
      <c r="Z516" t="s">
        <v>1171</v>
      </c>
      <c r="AA516" t="s">
        <v>1171</v>
      </c>
      <c r="AB516" t="s">
        <v>816</v>
      </c>
      <c r="AC516" t="s">
        <v>1171</v>
      </c>
      <c r="AD516" t="s">
        <v>1171</v>
      </c>
    </row>
    <row r="517" spans="1:30" ht="68" x14ac:dyDescent="0.2">
      <c r="A517" t="s">
        <v>1171</v>
      </c>
      <c r="B517" t="s">
        <v>1689</v>
      </c>
      <c r="C517" t="str">
        <f>"CONF-"&amp;TEXT(us_core_reqs[[#This Row],[ID*]], "0000")</f>
        <v>CONF-0516</v>
      </c>
      <c r="D517" s="11" t="s">
        <v>901</v>
      </c>
      <c r="E517" t="str">
        <f>SUBSTITUTE(us_core_reqs[[#This Row],[URL*]], "https://hl7.org/fhir/us/core/STU8/","")</f>
        <v>StructureDefinition-us-core-servicerequest.html#mandatory-and-must-support-data-elements</v>
      </c>
      <c r="F517" s="11" t="s">
        <v>2148</v>
      </c>
      <c r="G517" t="s">
        <v>29</v>
      </c>
      <c r="I517" t="s">
        <v>30</v>
      </c>
      <c r="J517" t="s">
        <v>1171</v>
      </c>
      <c r="K517" t="s">
        <v>1171</v>
      </c>
      <c r="L517" t="s">
        <v>1176</v>
      </c>
      <c r="M517" t="s">
        <v>500</v>
      </c>
      <c r="N517" t="s">
        <v>1171</v>
      </c>
      <c r="O517" t="s">
        <v>1171</v>
      </c>
      <c r="P517" t="s">
        <v>1171</v>
      </c>
      <c r="Q517" t="s">
        <v>1171</v>
      </c>
      <c r="R517" t="str">
        <f>_xlfn.TEXTBEFORE(_xlfn.TEXTAFTER(us_core_reqs[[#This Row],[URL*]],"/",-1),".")</f>
        <v>StructureDefinition-us-core-servicerequest</v>
      </c>
      <c r="S517" t="str">
        <f>_xlfn.TEXTAFTER(us_core_reqs[[#This Row],[URL*]],"#",-1)</f>
        <v>mandatory-and-must-support-data-elements</v>
      </c>
      <c r="T517" t="str">
        <f>SUBSTITUTE(SUBSTITUTE(PROPER(SUBSTITUTE(us_core_reqs[[#This Row],[Page]], "-", " "))&amp;": "&amp;PROPER(SUBSTITUTE(us_core_reqs[[#This Row],[Section]], "-", " ")),"Us ","US "), "Uscdi", "USCDI")</f>
        <v>Structuredefinition US Core Servicerequest: Mandatory And Must Support Data Elements</v>
      </c>
      <c r="U517" t="s">
        <v>29</v>
      </c>
      <c r="V517" t="s">
        <v>30</v>
      </c>
      <c r="W517" t="s">
        <v>1171</v>
      </c>
      <c r="X517" t="s">
        <v>1171</v>
      </c>
      <c r="Y517" t="s">
        <v>1171</v>
      </c>
      <c r="Z517" t="s">
        <v>1171</v>
      </c>
      <c r="AA517" t="s">
        <v>1171</v>
      </c>
      <c r="AB517" t="s">
        <v>405</v>
      </c>
      <c r="AC517" t="s">
        <v>1140</v>
      </c>
      <c r="AD517" t="s">
        <v>1171</v>
      </c>
    </row>
    <row r="518" spans="1:30" ht="68" x14ac:dyDescent="0.2">
      <c r="A518" t="s">
        <v>1171</v>
      </c>
      <c r="B518" t="s">
        <v>1690</v>
      </c>
      <c r="C518" t="str">
        <f>"CONF-"&amp;TEXT(us_core_reqs[[#This Row],[ID*]], "0000")</f>
        <v>CONF-0517</v>
      </c>
      <c r="D518" s="11" t="s">
        <v>901</v>
      </c>
      <c r="E518" t="str">
        <f>SUBSTITUTE(us_core_reqs[[#This Row],[URL*]], "https://hl7.org/fhir/us/core/STU8/","")</f>
        <v>StructureDefinition-us-core-servicerequest.html#mandatory-and-must-support-data-elements</v>
      </c>
      <c r="F518" s="11" t="s">
        <v>2149</v>
      </c>
      <c r="G518" t="s">
        <v>29</v>
      </c>
      <c r="I518" t="s">
        <v>58</v>
      </c>
      <c r="J518" t="s">
        <v>1171</v>
      </c>
      <c r="K518" t="s">
        <v>1171</v>
      </c>
      <c r="L518" t="s">
        <v>1176</v>
      </c>
      <c r="M518" t="s">
        <v>500</v>
      </c>
      <c r="N518" t="s">
        <v>1171</v>
      </c>
      <c r="O518" t="s">
        <v>1171</v>
      </c>
      <c r="P518" t="s">
        <v>1171</v>
      </c>
      <c r="Q518" t="s">
        <v>1171</v>
      </c>
      <c r="R518" t="str">
        <f>_xlfn.TEXTBEFORE(_xlfn.TEXTAFTER(us_core_reqs[[#This Row],[URL*]],"/",-1),".")</f>
        <v>StructureDefinition-us-core-servicerequest</v>
      </c>
      <c r="S518" t="str">
        <f>_xlfn.TEXTAFTER(us_core_reqs[[#This Row],[URL*]],"#",-1)</f>
        <v>mandatory-and-must-support-data-elements</v>
      </c>
      <c r="T518" t="str">
        <f>SUBSTITUTE(SUBSTITUTE(PROPER(SUBSTITUTE(us_core_reqs[[#This Row],[Page]], "-", " "))&amp;": "&amp;PROPER(SUBSTITUTE(us_core_reqs[[#This Row],[Section]], "-", " ")),"Us ","US "), "Uscdi", "USCDI")</f>
        <v>Structuredefinition US Core Servicerequest: Mandatory And Must Support Data Elements</v>
      </c>
      <c r="U518" t="s">
        <v>29</v>
      </c>
      <c r="V518" t="s">
        <v>58</v>
      </c>
      <c r="W518" t="s">
        <v>1171</v>
      </c>
      <c r="X518" t="s">
        <v>1171</v>
      </c>
      <c r="Y518" t="s">
        <v>1171</v>
      </c>
      <c r="Z518" t="s">
        <v>1171</v>
      </c>
      <c r="AA518" t="s">
        <v>1171</v>
      </c>
      <c r="AB518" t="s">
        <v>405</v>
      </c>
      <c r="AC518" t="s">
        <v>1171</v>
      </c>
      <c r="AD518" t="s">
        <v>1171</v>
      </c>
    </row>
    <row r="519" spans="1:30" ht="85" x14ac:dyDescent="0.2">
      <c r="A519" t="s">
        <v>1171</v>
      </c>
      <c r="B519" t="s">
        <v>1691</v>
      </c>
      <c r="C519" t="str">
        <f>"CONF-"&amp;TEXT(us_core_reqs[[#This Row],[ID*]], "0000")</f>
        <v>CONF-0518</v>
      </c>
      <c r="D519" s="11" t="s">
        <v>901</v>
      </c>
      <c r="E519" t="str">
        <f>SUBSTITUTE(us_core_reqs[[#This Row],[URL*]], "https://hl7.org/fhir/us/core/STU8/","")</f>
        <v>StructureDefinition-us-core-servicerequest.html#mandatory-and-must-support-data-elements</v>
      </c>
      <c r="F519" s="11" t="s">
        <v>2150</v>
      </c>
      <c r="G519" t="s">
        <v>29</v>
      </c>
      <c r="I519" t="s">
        <v>30</v>
      </c>
      <c r="J519" t="s">
        <v>1171</v>
      </c>
      <c r="K519" t="s">
        <v>1171</v>
      </c>
      <c r="L519" t="s">
        <v>1176</v>
      </c>
      <c r="M519" t="s">
        <v>1071</v>
      </c>
      <c r="N519" t="s">
        <v>1171</v>
      </c>
      <c r="O519" t="s">
        <v>1171</v>
      </c>
      <c r="P519" t="s">
        <v>1171</v>
      </c>
      <c r="Q519" t="s">
        <v>1171</v>
      </c>
      <c r="R519" t="str">
        <f>_xlfn.TEXTBEFORE(_xlfn.TEXTAFTER(us_core_reqs[[#This Row],[URL*]],"/",-1),".")</f>
        <v>StructureDefinition-us-core-servicerequest</v>
      </c>
      <c r="S519" t="str">
        <f>_xlfn.TEXTAFTER(us_core_reqs[[#This Row],[URL*]],"#",-1)</f>
        <v>mandatory-and-must-support-data-elements</v>
      </c>
      <c r="T519" t="str">
        <f>SUBSTITUTE(SUBSTITUTE(PROPER(SUBSTITUTE(us_core_reqs[[#This Row],[Page]], "-", " "))&amp;": "&amp;PROPER(SUBSTITUTE(us_core_reqs[[#This Row],[Section]], "-", " ")),"Us ","US "), "Uscdi", "USCDI")</f>
        <v>Structuredefinition US Core Servicerequest: Mandatory And Must Support Data Elements</v>
      </c>
      <c r="U519" t="s">
        <v>29</v>
      </c>
      <c r="V519" t="s">
        <v>30</v>
      </c>
      <c r="W519" t="s">
        <v>1171</v>
      </c>
      <c r="X519" t="s">
        <v>1171</v>
      </c>
      <c r="Y519" t="s">
        <v>1171</v>
      </c>
      <c r="Z519" t="s">
        <v>1171</v>
      </c>
      <c r="AA519" t="s">
        <v>1171</v>
      </c>
      <c r="AB519" t="s">
        <v>405</v>
      </c>
      <c r="AC519" t="s">
        <v>1140</v>
      </c>
      <c r="AD519" t="s">
        <v>1171</v>
      </c>
    </row>
    <row r="520" spans="1:30" ht="51" x14ac:dyDescent="0.2">
      <c r="A520" t="s">
        <v>1171</v>
      </c>
      <c r="B520" t="s">
        <v>1692</v>
      </c>
      <c r="C520" t="str">
        <f>"CONF-"&amp;TEXT(us_core_reqs[[#This Row],[ID*]], "0000")</f>
        <v>CONF-0519</v>
      </c>
      <c r="D520" s="11" t="s">
        <v>901</v>
      </c>
      <c r="E520" t="str">
        <f>SUBSTITUTE(us_core_reqs[[#This Row],[URL*]], "https://hl7.org/fhir/us/core/STU8/","")</f>
        <v>StructureDefinition-us-core-servicerequest.html#mandatory-and-must-support-data-elements</v>
      </c>
      <c r="F520" s="11" t="s">
        <v>2151</v>
      </c>
      <c r="G520" t="s">
        <v>29</v>
      </c>
      <c r="I520" t="s">
        <v>58</v>
      </c>
      <c r="J520" t="s">
        <v>1171</v>
      </c>
      <c r="K520" t="s">
        <v>1171</v>
      </c>
      <c r="L520" t="s">
        <v>1176</v>
      </c>
      <c r="M520" t="s">
        <v>500</v>
      </c>
      <c r="N520" t="s">
        <v>1171</v>
      </c>
      <c r="O520" t="s">
        <v>1171</v>
      </c>
      <c r="P520" t="s">
        <v>1171</v>
      </c>
      <c r="Q520" t="s">
        <v>1171</v>
      </c>
      <c r="R520" t="str">
        <f>_xlfn.TEXTBEFORE(_xlfn.TEXTAFTER(us_core_reqs[[#This Row],[URL*]],"/",-1),".")</f>
        <v>StructureDefinition-us-core-servicerequest</v>
      </c>
      <c r="S520" t="str">
        <f>_xlfn.TEXTAFTER(us_core_reqs[[#This Row],[URL*]],"#",-1)</f>
        <v>mandatory-and-must-support-data-elements</v>
      </c>
      <c r="T520" t="str">
        <f>SUBSTITUTE(SUBSTITUTE(PROPER(SUBSTITUTE(us_core_reqs[[#This Row],[Page]], "-", " "))&amp;": "&amp;PROPER(SUBSTITUTE(us_core_reqs[[#This Row],[Section]], "-", " ")),"Us ","US "), "Uscdi", "USCDI")</f>
        <v>Structuredefinition US Core Servicerequest: Mandatory And Must Support Data Elements</v>
      </c>
      <c r="U520" t="s">
        <v>29</v>
      </c>
      <c r="V520" t="s">
        <v>58</v>
      </c>
      <c r="W520" t="s">
        <v>1171</v>
      </c>
      <c r="X520" t="s">
        <v>1171</v>
      </c>
      <c r="Y520" t="s">
        <v>1171</v>
      </c>
      <c r="Z520" t="s">
        <v>1171</v>
      </c>
      <c r="AA520" t="s">
        <v>1171</v>
      </c>
      <c r="AB520" t="s">
        <v>405</v>
      </c>
      <c r="AC520" t="s">
        <v>1171</v>
      </c>
      <c r="AD520" t="s">
        <v>1171</v>
      </c>
    </row>
    <row r="521" spans="1:30" ht="68" x14ac:dyDescent="0.2">
      <c r="A521" t="s">
        <v>1171</v>
      </c>
      <c r="B521" t="s">
        <v>1693</v>
      </c>
      <c r="C521" t="str">
        <f>"CONF-"&amp;TEXT(us_core_reqs[[#This Row],[ID*]], "0000")</f>
        <v>CONF-0520</v>
      </c>
      <c r="D521" s="11" t="s">
        <v>901</v>
      </c>
      <c r="E521" t="str">
        <f>SUBSTITUTE(us_core_reqs[[#This Row],[URL*]], "https://hl7.org/fhir/us/core/STU8/","")</f>
        <v>StructureDefinition-us-core-servicerequest.html#mandatory-and-must-support-data-elements</v>
      </c>
      <c r="F521" s="11" t="s">
        <v>2152</v>
      </c>
      <c r="G521" t="s">
        <v>29</v>
      </c>
      <c r="I521" t="s">
        <v>30</v>
      </c>
      <c r="J521" t="s">
        <v>1171</v>
      </c>
      <c r="K521" t="s">
        <v>1171</v>
      </c>
      <c r="L521" t="s">
        <v>1176</v>
      </c>
      <c r="M521" t="s">
        <v>503</v>
      </c>
      <c r="N521" t="s">
        <v>1171</v>
      </c>
      <c r="O521" t="s">
        <v>1171</v>
      </c>
      <c r="P521" t="s">
        <v>1171</v>
      </c>
      <c r="Q521" t="s">
        <v>1171</v>
      </c>
      <c r="R521" t="str">
        <f>_xlfn.TEXTBEFORE(_xlfn.TEXTAFTER(us_core_reqs[[#This Row],[URL*]],"/",-1),".")</f>
        <v>StructureDefinition-us-core-servicerequest</v>
      </c>
      <c r="S521" t="str">
        <f>_xlfn.TEXTAFTER(us_core_reqs[[#This Row],[URL*]],"#",-1)</f>
        <v>mandatory-and-must-support-data-elements</v>
      </c>
      <c r="T521" t="str">
        <f>SUBSTITUTE(SUBSTITUTE(PROPER(SUBSTITUTE(us_core_reqs[[#This Row],[Page]], "-", " "))&amp;": "&amp;PROPER(SUBSTITUTE(us_core_reqs[[#This Row],[Section]], "-", " ")),"Us ","US "), "Uscdi", "USCDI")</f>
        <v>Structuredefinition US Core Servicerequest: Mandatory And Must Support Data Elements</v>
      </c>
      <c r="U521" t="s">
        <v>29</v>
      </c>
      <c r="V521" t="s">
        <v>30</v>
      </c>
      <c r="W521" t="s">
        <v>1171</v>
      </c>
      <c r="X521" t="s">
        <v>1171</v>
      </c>
      <c r="Y521" t="s">
        <v>1171</v>
      </c>
      <c r="Z521" t="s">
        <v>1171</v>
      </c>
      <c r="AA521" t="s">
        <v>1171</v>
      </c>
      <c r="AB521" t="s">
        <v>405</v>
      </c>
      <c r="AC521" t="s">
        <v>1140</v>
      </c>
      <c r="AD521" t="s">
        <v>1171</v>
      </c>
    </row>
    <row r="522" spans="1:30" ht="68" x14ac:dyDescent="0.2">
      <c r="A522" t="s">
        <v>1171</v>
      </c>
      <c r="B522" t="s">
        <v>1694</v>
      </c>
      <c r="C522" t="str">
        <f>"CONF-"&amp;TEXT(us_core_reqs[[#This Row],[ID*]], "0000")</f>
        <v>CONF-0521</v>
      </c>
      <c r="D522" s="11" t="s">
        <v>901</v>
      </c>
      <c r="E522" t="str">
        <f>SUBSTITUTE(us_core_reqs[[#This Row],[URL*]], "https://hl7.org/fhir/us/core/STU8/","")</f>
        <v>StructureDefinition-us-core-servicerequest.html#mandatory-and-must-support-data-elements</v>
      </c>
      <c r="F522" s="11" t="s">
        <v>2153</v>
      </c>
      <c r="G522" t="s">
        <v>29</v>
      </c>
      <c r="I522" t="s">
        <v>58</v>
      </c>
      <c r="J522" t="s">
        <v>1171</v>
      </c>
      <c r="K522" t="s">
        <v>1171</v>
      </c>
      <c r="L522" t="s">
        <v>1176</v>
      </c>
      <c r="M522" t="s">
        <v>503</v>
      </c>
      <c r="N522" t="s">
        <v>1171</v>
      </c>
      <c r="O522" t="s">
        <v>1171</v>
      </c>
      <c r="P522" t="s">
        <v>1171</v>
      </c>
      <c r="Q522" t="s">
        <v>1171</v>
      </c>
      <c r="R522" t="str">
        <f>_xlfn.TEXTBEFORE(_xlfn.TEXTAFTER(us_core_reqs[[#This Row],[URL*]],"/",-1),".")</f>
        <v>StructureDefinition-us-core-servicerequest</v>
      </c>
      <c r="S522" t="str">
        <f>_xlfn.TEXTAFTER(us_core_reqs[[#This Row],[URL*]],"#",-1)</f>
        <v>mandatory-and-must-support-data-elements</v>
      </c>
      <c r="T522" t="str">
        <f>SUBSTITUTE(SUBSTITUTE(PROPER(SUBSTITUTE(us_core_reqs[[#This Row],[Page]], "-", " "))&amp;": "&amp;PROPER(SUBSTITUTE(us_core_reqs[[#This Row],[Section]], "-", " ")),"Us ","US "), "Uscdi", "USCDI")</f>
        <v>Structuredefinition US Core Servicerequest: Mandatory And Must Support Data Elements</v>
      </c>
      <c r="U522" t="s">
        <v>29</v>
      </c>
      <c r="V522" t="s">
        <v>58</v>
      </c>
      <c r="W522" t="s">
        <v>1171</v>
      </c>
      <c r="X522" t="s">
        <v>1171</v>
      </c>
      <c r="Y522" t="s">
        <v>1171</v>
      </c>
      <c r="Z522" t="s">
        <v>1171</v>
      </c>
      <c r="AA522" t="s">
        <v>1171</v>
      </c>
      <c r="AB522" t="s">
        <v>405</v>
      </c>
      <c r="AC522" t="s">
        <v>1171</v>
      </c>
      <c r="AD522" t="s">
        <v>1171</v>
      </c>
    </row>
    <row r="523" spans="1:30" ht="102" x14ac:dyDescent="0.2">
      <c r="A523" t="s">
        <v>1171</v>
      </c>
      <c r="B523" t="s">
        <v>1695</v>
      </c>
      <c r="C523" t="str">
        <f>"CONF-"&amp;TEXT(us_core_reqs[[#This Row],[ID*]], "0000")</f>
        <v>CONF-0522</v>
      </c>
      <c r="D523" s="11" t="s">
        <v>901</v>
      </c>
      <c r="E523" t="str">
        <f>SUBSTITUTE(us_core_reqs[[#This Row],[URL*]], "https://hl7.org/fhir/us/core/STU8/","")</f>
        <v>StructureDefinition-us-core-servicerequest.html#mandatory-and-must-support-data-elements</v>
      </c>
      <c r="F523" s="11" t="s">
        <v>2006</v>
      </c>
      <c r="G523" t="s">
        <v>32</v>
      </c>
      <c r="I523" t="s">
        <v>30</v>
      </c>
      <c r="J523" t="s">
        <v>1171</v>
      </c>
      <c r="K523" t="s">
        <v>1171</v>
      </c>
      <c r="L523" t="s">
        <v>1176</v>
      </c>
      <c r="M523" t="s">
        <v>503</v>
      </c>
      <c r="N523" t="s">
        <v>1171</v>
      </c>
      <c r="O523" t="s">
        <v>1171</v>
      </c>
      <c r="P523" t="s">
        <v>1171</v>
      </c>
      <c r="Q523" t="s">
        <v>1171</v>
      </c>
      <c r="R523" t="str">
        <f>_xlfn.TEXTBEFORE(_xlfn.TEXTAFTER(us_core_reqs[[#This Row],[URL*]],"/",-1),".")</f>
        <v>StructureDefinition-us-core-servicerequest</v>
      </c>
      <c r="S523" t="str">
        <f>_xlfn.TEXTAFTER(us_core_reqs[[#This Row],[URL*]],"#",-1)</f>
        <v>mandatory-and-must-support-data-elements</v>
      </c>
      <c r="T523" t="str">
        <f>SUBSTITUTE(SUBSTITUTE(PROPER(SUBSTITUTE(us_core_reqs[[#This Row],[Page]], "-", " "))&amp;": "&amp;PROPER(SUBSTITUTE(us_core_reqs[[#This Row],[Section]], "-", " ")),"Us ","US "), "Uscdi", "USCDI")</f>
        <v>Structuredefinition US Core Servicerequest: Mandatory And Must Support Data Elements</v>
      </c>
      <c r="U523" t="s">
        <v>32</v>
      </c>
      <c r="V523" t="s">
        <v>1171</v>
      </c>
      <c r="W523" t="s">
        <v>1171</v>
      </c>
      <c r="X523" t="s">
        <v>1171</v>
      </c>
      <c r="Y523" t="s">
        <v>1171</v>
      </c>
      <c r="Z523" t="s">
        <v>1171</v>
      </c>
      <c r="AA523" t="s">
        <v>1171</v>
      </c>
      <c r="AB523" t="s">
        <v>405</v>
      </c>
      <c r="AC523" t="s">
        <v>1171</v>
      </c>
      <c r="AD523" t="s">
        <v>1171</v>
      </c>
    </row>
    <row r="524" spans="1:30" ht="51" x14ac:dyDescent="0.2">
      <c r="A524" t="s">
        <v>1171</v>
      </c>
      <c r="B524" t="s">
        <v>1696</v>
      </c>
      <c r="C524" t="str">
        <f>"CONF-"&amp;TEXT(us_core_reqs[[#This Row],[ID*]], "0000")</f>
        <v>CONF-0523</v>
      </c>
      <c r="D524" s="11" t="s">
        <v>903</v>
      </c>
      <c r="E524" t="str">
        <f>SUBSTITUTE(us_core_reqs[[#This Row],[URL*]], "https://hl7.org/fhir/us/core/STU8/","")</f>
        <v>StructureDefinition-us-core-specimen.html#mandatory-and-must-support-data-elements</v>
      </c>
      <c r="F524" s="11" t="s">
        <v>538</v>
      </c>
      <c r="G524" t="s">
        <v>35</v>
      </c>
      <c r="I524" t="s">
        <v>30</v>
      </c>
      <c r="J524" t="s">
        <v>1171</v>
      </c>
      <c r="K524" t="s">
        <v>1171</v>
      </c>
      <c r="L524" t="s">
        <v>1173</v>
      </c>
      <c r="M524" t="s">
        <v>1171</v>
      </c>
      <c r="N524" t="s">
        <v>1171</v>
      </c>
      <c r="O524" t="s">
        <v>1171</v>
      </c>
      <c r="P524" t="s">
        <v>1171</v>
      </c>
      <c r="Q524" t="s">
        <v>1171</v>
      </c>
      <c r="R524" t="str">
        <f>_xlfn.TEXTBEFORE(_xlfn.TEXTAFTER(us_core_reqs[[#This Row],[URL*]],"/",-1),".")</f>
        <v>StructureDefinition-us-core-specimen</v>
      </c>
      <c r="S524" t="str">
        <f>_xlfn.TEXTAFTER(us_core_reqs[[#This Row],[URL*]],"#",-1)</f>
        <v>mandatory-and-must-support-data-elements</v>
      </c>
      <c r="T524" t="str">
        <f>SUBSTITUTE(SUBSTITUTE(PROPER(SUBSTITUTE(us_core_reqs[[#This Row],[Page]], "-", " "))&amp;": "&amp;PROPER(SUBSTITUTE(us_core_reqs[[#This Row],[Section]], "-", " ")),"Us ","US "), "Uscdi", "USCDI")</f>
        <v>Structuredefinition US Core Specimen: Mandatory And Must Support Data Elements</v>
      </c>
      <c r="U524" t="s">
        <v>1171</v>
      </c>
      <c r="V524" t="s">
        <v>1171</v>
      </c>
      <c r="W524" t="s">
        <v>1171</v>
      </c>
      <c r="X524" t="s">
        <v>1171</v>
      </c>
      <c r="Y524" t="s">
        <v>1171</v>
      </c>
      <c r="Z524" t="s">
        <v>1171</v>
      </c>
      <c r="AA524" t="s">
        <v>1171</v>
      </c>
      <c r="AB524" t="s">
        <v>1171</v>
      </c>
      <c r="AC524" t="s">
        <v>1171</v>
      </c>
      <c r="AD524" t="s">
        <v>1171</v>
      </c>
    </row>
    <row r="525" spans="1:30" ht="51" x14ac:dyDescent="0.2">
      <c r="A525" t="s">
        <v>1171</v>
      </c>
      <c r="B525" t="s">
        <v>1697</v>
      </c>
      <c r="C525" t="str">
        <f>"CONF-"&amp;TEXT(us_core_reqs[[#This Row],[ID*]], "0000")</f>
        <v>CONF-0524</v>
      </c>
      <c r="D525" s="11" t="s">
        <v>903</v>
      </c>
      <c r="E525" t="str">
        <f>SUBSTITUTE(us_core_reqs[[#This Row],[URL*]], "https://hl7.org/fhir/us/core/STU8/","")</f>
        <v>StructureDefinition-us-core-specimen.html#mandatory-and-must-support-data-elements</v>
      </c>
      <c r="F525" s="11" t="s">
        <v>2154</v>
      </c>
      <c r="G525" t="s">
        <v>29</v>
      </c>
      <c r="I525" t="s">
        <v>30</v>
      </c>
      <c r="J525" t="s">
        <v>1171</v>
      </c>
      <c r="K525" t="s">
        <v>1171</v>
      </c>
      <c r="L525" t="s">
        <v>1176</v>
      </c>
      <c r="M525" t="s">
        <v>539</v>
      </c>
      <c r="N525" t="s">
        <v>1171</v>
      </c>
      <c r="O525" t="s">
        <v>1171</v>
      </c>
      <c r="P525" t="s">
        <v>1171</v>
      </c>
      <c r="Q525" t="s">
        <v>1171</v>
      </c>
      <c r="R525" t="str">
        <f>_xlfn.TEXTBEFORE(_xlfn.TEXTAFTER(us_core_reqs[[#This Row],[URL*]],"/",-1),".")</f>
        <v>StructureDefinition-us-core-specimen</v>
      </c>
      <c r="S525" t="str">
        <f>_xlfn.TEXTAFTER(us_core_reqs[[#This Row],[URL*]],"#",-1)</f>
        <v>mandatory-and-must-support-data-elements</v>
      </c>
      <c r="T525" t="str">
        <f>SUBSTITUTE(SUBSTITUTE(PROPER(SUBSTITUTE(us_core_reqs[[#This Row],[Page]], "-", " "))&amp;": "&amp;PROPER(SUBSTITUTE(us_core_reqs[[#This Row],[Section]], "-", " ")),"Us ","US "), "Uscdi", "USCDI")</f>
        <v>Structuredefinition US Core Specimen: Mandatory And Must Support Data Elements</v>
      </c>
      <c r="U525" t="s">
        <v>29</v>
      </c>
      <c r="V525" t="s">
        <v>30</v>
      </c>
      <c r="W525" t="s">
        <v>1171</v>
      </c>
      <c r="X525" t="s">
        <v>1171</v>
      </c>
      <c r="Y525" t="s">
        <v>1171</v>
      </c>
      <c r="Z525" t="s">
        <v>1171</v>
      </c>
      <c r="AA525" t="s">
        <v>1171</v>
      </c>
      <c r="AB525" t="s">
        <v>1171</v>
      </c>
      <c r="AC525" t="s">
        <v>1143</v>
      </c>
      <c r="AD525" t="s">
        <v>1171</v>
      </c>
    </row>
    <row r="526" spans="1:30" ht="34" x14ac:dyDescent="0.2">
      <c r="A526" t="s">
        <v>1171</v>
      </c>
      <c r="B526" t="s">
        <v>1698</v>
      </c>
      <c r="C526" t="str">
        <f>"CONF-"&amp;TEXT(us_core_reqs[[#This Row],[ID*]], "0000")</f>
        <v>CONF-0525</v>
      </c>
      <c r="D526" s="11" t="s">
        <v>903</v>
      </c>
      <c r="E526" t="str">
        <f>SUBSTITUTE(us_core_reqs[[#This Row],[URL*]], "https://hl7.org/fhir/us/core/STU8/","")</f>
        <v>StructureDefinition-us-core-specimen.html#mandatory-and-must-support-data-elements</v>
      </c>
      <c r="F526" s="11" t="s">
        <v>2155</v>
      </c>
      <c r="G526" t="s">
        <v>29</v>
      </c>
      <c r="I526" t="s">
        <v>58</v>
      </c>
      <c r="J526" t="s">
        <v>1171</v>
      </c>
      <c r="K526" t="s">
        <v>1171</v>
      </c>
      <c r="L526" t="s">
        <v>1176</v>
      </c>
      <c r="M526" t="s">
        <v>1171</v>
      </c>
      <c r="N526" t="s">
        <v>1171</v>
      </c>
      <c r="O526" t="s">
        <v>1171</v>
      </c>
      <c r="P526" t="s">
        <v>1171</v>
      </c>
      <c r="Q526" t="s">
        <v>1171</v>
      </c>
      <c r="R526" t="str">
        <f>_xlfn.TEXTBEFORE(_xlfn.TEXTAFTER(us_core_reqs[[#This Row],[URL*]],"/",-1),".")</f>
        <v>StructureDefinition-us-core-specimen</v>
      </c>
      <c r="S526" t="str">
        <f>_xlfn.TEXTAFTER(us_core_reqs[[#This Row],[URL*]],"#",-1)</f>
        <v>mandatory-and-must-support-data-elements</v>
      </c>
      <c r="T526" t="str">
        <f>SUBSTITUTE(SUBSTITUTE(PROPER(SUBSTITUTE(us_core_reqs[[#This Row],[Page]], "-", " "))&amp;": "&amp;PROPER(SUBSTITUTE(us_core_reqs[[#This Row],[Section]], "-", " ")),"Us ","US "), "Uscdi", "USCDI")</f>
        <v>Structuredefinition US Core Specimen: Mandatory And Must Support Data Elements</v>
      </c>
      <c r="U526" t="s">
        <v>29</v>
      </c>
      <c r="V526" t="s">
        <v>58</v>
      </c>
      <c r="W526" t="s">
        <v>1171</v>
      </c>
      <c r="X526" t="s">
        <v>1171</v>
      </c>
      <c r="Y526" t="s">
        <v>1171</v>
      </c>
      <c r="Z526" t="s">
        <v>1171</v>
      </c>
      <c r="AA526" t="s">
        <v>1171</v>
      </c>
      <c r="AB526" t="s">
        <v>1171</v>
      </c>
      <c r="AC526" t="s">
        <v>1171</v>
      </c>
      <c r="AD526" t="s">
        <v>1171</v>
      </c>
    </row>
    <row r="527" spans="1:30" ht="34" x14ac:dyDescent="0.2">
      <c r="A527" t="s">
        <v>1171</v>
      </c>
      <c r="B527" t="s">
        <v>1699</v>
      </c>
      <c r="C527" t="str">
        <f>"CONF-"&amp;TEXT(us_core_reqs[[#This Row],[ID*]], "0000")</f>
        <v>CONF-0526</v>
      </c>
      <c r="D527" s="11" t="s">
        <v>903</v>
      </c>
      <c r="E527" t="str">
        <f>SUBSTITUTE(us_core_reqs[[#This Row],[URL*]], "https://hl7.org/fhir/us/core/STU8/","")</f>
        <v>StructureDefinition-us-core-specimen.html#mandatory-and-must-support-data-elements</v>
      </c>
      <c r="F527" s="11" t="s">
        <v>540</v>
      </c>
      <c r="G527" t="s">
        <v>35</v>
      </c>
      <c r="I527" t="s">
        <v>58</v>
      </c>
      <c r="J527" t="s">
        <v>1171</v>
      </c>
      <c r="K527" t="s">
        <v>1171</v>
      </c>
      <c r="L527" t="s">
        <v>1173</v>
      </c>
      <c r="M527" t="s">
        <v>1171</v>
      </c>
      <c r="N527" t="s">
        <v>1171</v>
      </c>
      <c r="O527" t="s">
        <v>1171</v>
      </c>
      <c r="P527" t="s">
        <v>1171</v>
      </c>
      <c r="Q527" t="s">
        <v>1171</v>
      </c>
      <c r="R527" t="str">
        <f>_xlfn.TEXTBEFORE(_xlfn.TEXTAFTER(us_core_reqs[[#This Row],[URL*]],"/",-1),".")</f>
        <v>StructureDefinition-us-core-specimen</v>
      </c>
      <c r="S527" t="str">
        <f>_xlfn.TEXTAFTER(us_core_reqs[[#This Row],[URL*]],"#",-1)</f>
        <v>mandatory-and-must-support-data-elements</v>
      </c>
      <c r="T527" t="str">
        <f>SUBSTITUTE(SUBSTITUTE(PROPER(SUBSTITUTE(us_core_reqs[[#This Row],[Page]], "-", " "))&amp;": "&amp;PROPER(SUBSTITUTE(us_core_reqs[[#This Row],[Section]], "-", " ")),"Us ","US "), "Uscdi", "USCDI")</f>
        <v>Structuredefinition US Core Specimen: Mandatory And Must Support Data Elements</v>
      </c>
      <c r="U527" t="s">
        <v>35</v>
      </c>
      <c r="V527" t="s">
        <v>58</v>
      </c>
      <c r="W527" t="s">
        <v>1171</v>
      </c>
      <c r="X527" t="s">
        <v>1171</v>
      </c>
      <c r="Y527" t="s">
        <v>1171</v>
      </c>
      <c r="Z527" t="s">
        <v>1171</v>
      </c>
      <c r="AA527" t="s">
        <v>1171</v>
      </c>
      <c r="AB527" t="s">
        <v>1171</v>
      </c>
      <c r="AC527" t="s">
        <v>1171</v>
      </c>
      <c r="AD527" t="s">
        <v>1171</v>
      </c>
    </row>
    <row r="528" spans="1:30" ht="51" x14ac:dyDescent="0.2">
      <c r="A528" t="s">
        <v>1171</v>
      </c>
      <c r="B528" t="s">
        <v>1700</v>
      </c>
      <c r="C528" t="str">
        <f>"CONF-"&amp;TEXT(us_core_reqs[[#This Row],[ID*]], "0000")</f>
        <v>CONF-0527</v>
      </c>
      <c r="D528" s="11" t="s">
        <v>958</v>
      </c>
      <c r="E528" t="str">
        <f>SUBSTITUTE(us_core_reqs[[#This Row],[URL*]], "https://hl7.org/fhir/us/core/STU8/","")</f>
        <v>CapabilityStatement-us-core-Client.html#should_igs</v>
      </c>
      <c r="F528" s="11" t="s">
        <v>2007</v>
      </c>
      <c r="G528" t="s">
        <v>32</v>
      </c>
      <c r="I528" t="s">
        <v>58</v>
      </c>
      <c r="J528" t="s">
        <v>1171</v>
      </c>
      <c r="K528" t="s">
        <v>1171</v>
      </c>
      <c r="L528" t="s">
        <v>1173</v>
      </c>
      <c r="M528" t="s">
        <v>1171</v>
      </c>
      <c r="N528" t="s">
        <v>1171</v>
      </c>
      <c r="O528" t="s">
        <v>1171</v>
      </c>
      <c r="P528" t="s">
        <v>1171</v>
      </c>
      <c r="Q528" t="s">
        <v>1171</v>
      </c>
      <c r="R528" t="str">
        <f>_xlfn.TEXTBEFORE(_xlfn.TEXTAFTER(us_core_reqs[[#This Row],[URL*]],"/",-1),".")</f>
        <v>CapabilityStatement-us-core-Client</v>
      </c>
      <c r="S528" t="str">
        <f>_xlfn.TEXTAFTER(us_core_reqs[[#This Row],[URL*]],"#",-1)</f>
        <v>should_igs</v>
      </c>
      <c r="T528" t="str">
        <f>SUBSTITUTE(SUBSTITUTE(PROPER(SUBSTITUTE(us_core_reqs[[#This Row],[Page]], "-", " "))&amp;": "&amp;PROPER(SUBSTITUTE(us_core_reqs[[#This Row],[Section]], "-", " ")),"Us ","US "), "Uscdi", "USCDI")</f>
        <v>Capabilitystatement US Core Client: Should_Igs</v>
      </c>
      <c r="U528" t="s">
        <v>32</v>
      </c>
      <c r="V528" t="s">
        <v>58</v>
      </c>
      <c r="W528" t="s">
        <v>1171</v>
      </c>
      <c r="X528" t="s">
        <v>1171</v>
      </c>
      <c r="Y528" t="s">
        <v>1171</v>
      </c>
      <c r="Z528" t="s">
        <v>1171</v>
      </c>
      <c r="AA528" t="s">
        <v>1171</v>
      </c>
      <c r="AB528" t="s">
        <v>745</v>
      </c>
      <c r="AC528" t="s">
        <v>1171</v>
      </c>
      <c r="AD528" t="s">
        <v>1171</v>
      </c>
    </row>
    <row r="529" spans="1:30" ht="34" x14ac:dyDescent="0.2">
      <c r="A529" t="s">
        <v>1171</v>
      </c>
      <c r="B529" t="s">
        <v>1701</v>
      </c>
      <c r="C529" t="str">
        <f>"CONF-"&amp;TEXT(us_core_reqs[[#This Row],[ID*]], "0000")</f>
        <v>CONF-0528</v>
      </c>
      <c r="D529" s="11" t="s">
        <v>959</v>
      </c>
      <c r="E529" t="str">
        <f>SUBSTITUTE(us_core_reqs[[#This Row],[URL*]], "https://hl7.org/fhir/us/core/STU8/","")</f>
        <v>CapabilityStatement-us-core-Client.html#behavior</v>
      </c>
      <c r="F529" s="11" t="s">
        <v>2167</v>
      </c>
      <c r="G529" t="s">
        <v>35</v>
      </c>
      <c r="I529" t="s">
        <v>58</v>
      </c>
      <c r="J529" t="s">
        <v>1171</v>
      </c>
      <c r="K529" t="s">
        <v>1171</v>
      </c>
      <c r="L529" t="s">
        <v>1173</v>
      </c>
      <c r="M529" t="s">
        <v>1171</v>
      </c>
      <c r="N529" t="s">
        <v>1171</v>
      </c>
      <c r="O529" t="s">
        <v>1171</v>
      </c>
      <c r="P529" t="s">
        <v>1171</v>
      </c>
      <c r="Q529" t="s">
        <v>1171</v>
      </c>
      <c r="R529" t="str">
        <f>_xlfn.TEXTBEFORE(_xlfn.TEXTAFTER(us_core_reqs[[#This Row],[URL*]],"/",-1),".")</f>
        <v>CapabilityStatement-us-core-Client</v>
      </c>
      <c r="S529" t="str">
        <f>_xlfn.TEXTAFTER(us_core_reqs[[#This Row],[URL*]],"#",-1)</f>
        <v>behavior</v>
      </c>
      <c r="T529" t="str">
        <f>SUBSTITUTE(SUBSTITUTE(PROPER(SUBSTITUTE(us_core_reqs[[#This Row],[Page]], "-", " "))&amp;": "&amp;PROPER(SUBSTITUTE(us_core_reqs[[#This Row],[Section]], "-", " ")),"Us ","US "), "Uscdi", "USCDI")</f>
        <v>Capabilitystatement US Core Client: Behavior</v>
      </c>
      <c r="U529" t="s">
        <v>35</v>
      </c>
      <c r="V529" t="s">
        <v>58</v>
      </c>
      <c r="W529" t="s">
        <v>1171</v>
      </c>
      <c r="X529" t="s">
        <v>1171</v>
      </c>
      <c r="Y529" t="s">
        <v>1171</v>
      </c>
      <c r="Z529" t="s">
        <v>1171</v>
      </c>
      <c r="AA529" t="s">
        <v>1171</v>
      </c>
      <c r="AB529" t="s">
        <v>1171</v>
      </c>
      <c r="AC529" t="s">
        <v>1171</v>
      </c>
      <c r="AD529" t="s">
        <v>1171</v>
      </c>
    </row>
    <row r="530" spans="1:30" ht="34" x14ac:dyDescent="0.2">
      <c r="A530" t="s">
        <v>1171</v>
      </c>
      <c r="B530" t="s">
        <v>1702</v>
      </c>
      <c r="C530" t="str">
        <f>"CONF-"&amp;TEXT(us_core_reqs[[#This Row],[ID*]], "0000")</f>
        <v>CONF-0529</v>
      </c>
      <c r="D530" s="11" t="s">
        <v>959</v>
      </c>
      <c r="E530" t="str">
        <f>SUBSTITUTE(us_core_reqs[[#This Row],[URL*]], "https://hl7.org/fhir/us/core/STU8/","")</f>
        <v>CapabilityStatement-us-core-Client.html#behavior</v>
      </c>
      <c r="F530" s="11" t="s">
        <v>2168</v>
      </c>
      <c r="G530" t="s">
        <v>35</v>
      </c>
      <c r="I530" t="s">
        <v>58</v>
      </c>
      <c r="J530" t="s">
        <v>1171</v>
      </c>
      <c r="K530" t="s">
        <v>1171</v>
      </c>
      <c r="L530" t="s">
        <v>1173</v>
      </c>
      <c r="M530" t="s">
        <v>1171</v>
      </c>
      <c r="N530" t="s">
        <v>1171</v>
      </c>
      <c r="O530" t="s">
        <v>1171</v>
      </c>
      <c r="P530" t="s">
        <v>1171</v>
      </c>
      <c r="Q530" t="s">
        <v>1171</v>
      </c>
      <c r="R530" t="str">
        <f>_xlfn.TEXTBEFORE(_xlfn.TEXTAFTER(us_core_reqs[[#This Row],[URL*]],"/",-1),".")</f>
        <v>CapabilityStatement-us-core-Client</v>
      </c>
      <c r="S530" t="str">
        <f>_xlfn.TEXTAFTER(us_core_reqs[[#This Row],[URL*]],"#",-1)</f>
        <v>behavior</v>
      </c>
      <c r="T530" t="str">
        <f>SUBSTITUTE(SUBSTITUTE(PROPER(SUBSTITUTE(us_core_reqs[[#This Row],[Page]], "-", " "))&amp;": "&amp;PROPER(SUBSTITUTE(us_core_reqs[[#This Row],[Section]], "-", " ")),"Us ","US "), "Uscdi", "USCDI")</f>
        <v>Capabilitystatement US Core Client: Behavior</v>
      </c>
      <c r="U530" t="s">
        <v>35</v>
      </c>
      <c r="V530" t="s">
        <v>58</v>
      </c>
      <c r="W530" t="s">
        <v>1171</v>
      </c>
      <c r="X530" t="s">
        <v>1171</v>
      </c>
      <c r="Y530" t="s">
        <v>1171</v>
      </c>
      <c r="Z530" t="s">
        <v>1171</v>
      </c>
      <c r="AA530" t="s">
        <v>1171</v>
      </c>
      <c r="AB530" t="s">
        <v>1171</v>
      </c>
      <c r="AC530" t="s">
        <v>1171</v>
      </c>
      <c r="AD530" t="s">
        <v>1171</v>
      </c>
    </row>
    <row r="531" spans="1:30" ht="34" x14ac:dyDescent="0.2">
      <c r="A531" t="s">
        <v>1171</v>
      </c>
      <c r="B531" t="s">
        <v>1703</v>
      </c>
      <c r="C531" t="str">
        <f>"CONF-"&amp;TEXT(us_core_reqs[[#This Row],[ID*]], "0000")</f>
        <v>CONF-0530</v>
      </c>
      <c r="D531" s="11" t="s">
        <v>959</v>
      </c>
      <c r="E531" t="str">
        <f>SUBSTITUTE(us_core_reqs[[#This Row],[URL*]], "https://hl7.org/fhir/us/core/STU8/","")</f>
        <v>CapabilityStatement-us-core-Client.html#behavior</v>
      </c>
      <c r="F531" s="11" t="s">
        <v>2169</v>
      </c>
      <c r="G531" t="s">
        <v>35</v>
      </c>
      <c r="I531" t="s">
        <v>58</v>
      </c>
      <c r="J531" t="s">
        <v>1171</v>
      </c>
      <c r="K531" t="s">
        <v>1171</v>
      </c>
      <c r="L531" t="s">
        <v>1173</v>
      </c>
      <c r="M531" t="s">
        <v>1171</v>
      </c>
      <c r="N531" t="s">
        <v>1171</v>
      </c>
      <c r="O531" t="s">
        <v>1171</v>
      </c>
      <c r="P531" t="s">
        <v>1171</v>
      </c>
      <c r="Q531" t="s">
        <v>1171</v>
      </c>
      <c r="R531" t="str">
        <f>_xlfn.TEXTBEFORE(_xlfn.TEXTAFTER(us_core_reqs[[#This Row],[URL*]],"/",-1),".")</f>
        <v>CapabilityStatement-us-core-Client</v>
      </c>
      <c r="S531" t="str">
        <f>_xlfn.TEXTAFTER(us_core_reqs[[#This Row],[URL*]],"#",-1)</f>
        <v>behavior</v>
      </c>
      <c r="T531" t="str">
        <f>SUBSTITUTE(SUBSTITUTE(PROPER(SUBSTITUTE(us_core_reqs[[#This Row],[Page]], "-", " "))&amp;": "&amp;PROPER(SUBSTITUTE(us_core_reqs[[#This Row],[Section]], "-", " ")),"Us ","US "), "Uscdi", "USCDI")</f>
        <v>Capabilitystatement US Core Client: Behavior</v>
      </c>
      <c r="U531" t="s">
        <v>35</v>
      </c>
      <c r="V531" t="s">
        <v>58</v>
      </c>
      <c r="W531" t="s">
        <v>1171</v>
      </c>
      <c r="X531" t="s">
        <v>1171</v>
      </c>
      <c r="Y531" t="s">
        <v>1171</v>
      </c>
      <c r="Z531" t="s">
        <v>1171</v>
      </c>
      <c r="AA531" t="s">
        <v>1171</v>
      </c>
      <c r="AB531" t="s">
        <v>1171</v>
      </c>
      <c r="AC531" t="s">
        <v>1171</v>
      </c>
      <c r="AD531" t="s">
        <v>1171</v>
      </c>
    </row>
    <row r="532" spans="1:30" ht="34" x14ac:dyDescent="0.2">
      <c r="A532" t="s">
        <v>1171</v>
      </c>
      <c r="B532" t="s">
        <v>1704</v>
      </c>
      <c r="C532" t="str">
        <f>"CONF-"&amp;TEXT(us_core_reqs[[#This Row],[ID*]], "0000")</f>
        <v>CONF-0531</v>
      </c>
      <c r="D532" s="11" t="s">
        <v>959</v>
      </c>
      <c r="E532" t="str">
        <f>SUBSTITUTE(us_core_reqs[[#This Row],[URL*]], "https://hl7.org/fhir/us/core/STU8/","")</f>
        <v>CapabilityStatement-us-core-Client.html#behavior</v>
      </c>
      <c r="F532" s="11" t="s">
        <v>2170</v>
      </c>
      <c r="G532" t="s">
        <v>35</v>
      </c>
      <c r="I532" t="s">
        <v>58</v>
      </c>
      <c r="J532" t="s">
        <v>1171</v>
      </c>
      <c r="K532" t="s">
        <v>1171</v>
      </c>
      <c r="L532" t="s">
        <v>1173</v>
      </c>
      <c r="M532" t="s">
        <v>1171</v>
      </c>
      <c r="N532" t="s">
        <v>1171</v>
      </c>
      <c r="O532" t="s">
        <v>1171</v>
      </c>
      <c r="P532" t="s">
        <v>1171</v>
      </c>
      <c r="Q532" t="s">
        <v>1171</v>
      </c>
      <c r="R532" t="str">
        <f>_xlfn.TEXTBEFORE(_xlfn.TEXTAFTER(us_core_reqs[[#This Row],[URL*]],"/",-1),".")</f>
        <v>CapabilityStatement-us-core-Client</v>
      </c>
      <c r="S532" t="str">
        <f>_xlfn.TEXTAFTER(us_core_reqs[[#This Row],[URL*]],"#",-1)</f>
        <v>behavior</v>
      </c>
      <c r="T532" t="str">
        <f>SUBSTITUTE(SUBSTITUTE(PROPER(SUBSTITUTE(us_core_reqs[[#This Row],[Page]], "-", " "))&amp;": "&amp;PROPER(SUBSTITUTE(us_core_reqs[[#This Row],[Section]], "-", " ")),"Us ","US "), "Uscdi", "USCDI")</f>
        <v>Capabilitystatement US Core Client: Behavior</v>
      </c>
      <c r="U532" t="s">
        <v>35</v>
      </c>
      <c r="V532" t="s">
        <v>58</v>
      </c>
      <c r="W532" t="s">
        <v>1171</v>
      </c>
      <c r="X532" t="s">
        <v>1171</v>
      </c>
      <c r="Y532" t="s">
        <v>1171</v>
      </c>
      <c r="Z532" t="s">
        <v>1171</v>
      </c>
      <c r="AA532" t="s">
        <v>1171</v>
      </c>
      <c r="AB532" t="s">
        <v>1171</v>
      </c>
      <c r="AC532" t="s">
        <v>1171</v>
      </c>
      <c r="AD532" t="s">
        <v>1171</v>
      </c>
    </row>
    <row r="533" spans="1:30" ht="51" x14ac:dyDescent="0.2">
      <c r="A533" t="s">
        <v>1171</v>
      </c>
      <c r="B533" t="s">
        <v>1705</v>
      </c>
      <c r="C533" t="str">
        <f>"CONF-"&amp;TEXT(us_core_reqs[[#This Row],[ID*]], "0000")</f>
        <v>CONF-0532</v>
      </c>
      <c r="D533" s="11" t="s">
        <v>1074</v>
      </c>
      <c r="E533" t="str">
        <f>SUBSTITUTE(us_core_reqs[[#This Row],[URL*]], "https://hl7.org/fhir/us/core/STU8/","")</f>
        <v>CapabilityStatement-us-core-Server.html#should_igs</v>
      </c>
      <c r="F533" s="11" t="s">
        <v>2008</v>
      </c>
      <c r="G533" t="s">
        <v>32</v>
      </c>
      <c r="I533" t="s">
        <v>30</v>
      </c>
      <c r="J533" t="s">
        <v>1171</v>
      </c>
      <c r="K533" t="s">
        <v>1171</v>
      </c>
      <c r="L533" t="s">
        <v>1173</v>
      </c>
      <c r="M533" t="s">
        <v>1171</v>
      </c>
      <c r="N533" t="s">
        <v>1171</v>
      </c>
      <c r="O533" t="s">
        <v>1171</v>
      </c>
      <c r="P533" t="s">
        <v>1171</v>
      </c>
      <c r="Q533" t="s">
        <v>1171</v>
      </c>
      <c r="R533" t="str">
        <f>_xlfn.TEXTBEFORE(_xlfn.TEXTAFTER(us_core_reqs[[#This Row],[URL*]],"/",-1),".")</f>
        <v>CapabilityStatement-us-core-Server</v>
      </c>
      <c r="S533" t="str">
        <f>_xlfn.TEXTAFTER(us_core_reqs[[#This Row],[URL*]],"#",-1)</f>
        <v>should_igs</v>
      </c>
      <c r="T533" t="str">
        <f>SUBSTITUTE(SUBSTITUTE(PROPER(SUBSTITUTE(us_core_reqs[[#This Row],[Page]], "-", " "))&amp;": "&amp;PROPER(SUBSTITUTE(us_core_reqs[[#This Row],[Section]], "-", " ")),"Us ","US "), "Uscdi", "USCDI")</f>
        <v>Capabilitystatement US Core Server: Should_Igs</v>
      </c>
      <c r="U533" t="s">
        <v>32</v>
      </c>
      <c r="V533" t="s">
        <v>30</v>
      </c>
      <c r="W533" t="s">
        <v>1171</v>
      </c>
      <c r="X533" t="s">
        <v>1171</v>
      </c>
      <c r="Y533" t="s">
        <v>1171</v>
      </c>
      <c r="Z533" t="s">
        <v>1171</v>
      </c>
      <c r="AA533" t="s">
        <v>1171</v>
      </c>
      <c r="AB533" t="s">
        <v>745</v>
      </c>
      <c r="AC533" t="s">
        <v>1171</v>
      </c>
      <c r="AD533" t="s">
        <v>1171</v>
      </c>
    </row>
    <row r="534" spans="1:30" ht="34" x14ac:dyDescent="0.2">
      <c r="A534" t="s">
        <v>1171</v>
      </c>
      <c r="B534" t="s">
        <v>1706</v>
      </c>
      <c r="C534" t="str">
        <f>"CONF-"&amp;TEXT(us_core_reqs[[#This Row],[ID*]], "0000")</f>
        <v>CONF-0533</v>
      </c>
      <c r="D534" s="11" t="s">
        <v>1075</v>
      </c>
      <c r="E534" t="str">
        <f>SUBSTITUTE(us_core_reqs[[#This Row],[URL*]], "https://hl7.org/fhir/us/core/STU8/","")</f>
        <v>CapabilityStatement-us-core-Server.html#behavior</v>
      </c>
      <c r="F534" s="11" t="s">
        <v>2156</v>
      </c>
      <c r="G534" t="s">
        <v>29</v>
      </c>
      <c r="I534" t="s">
        <v>30</v>
      </c>
      <c r="J534" t="s">
        <v>1171</v>
      </c>
      <c r="K534" t="s">
        <v>1171</v>
      </c>
      <c r="L534" t="s">
        <v>1173</v>
      </c>
      <c r="M534" t="s">
        <v>1171</v>
      </c>
      <c r="N534" t="s">
        <v>1171</v>
      </c>
      <c r="O534" t="s">
        <v>1171</v>
      </c>
      <c r="P534" t="s">
        <v>1171</v>
      </c>
      <c r="Q534" t="s">
        <v>1171</v>
      </c>
      <c r="R534" t="str">
        <f>_xlfn.TEXTBEFORE(_xlfn.TEXTAFTER(us_core_reqs[[#This Row],[URL*]],"/",-1),".")</f>
        <v>CapabilityStatement-us-core-Server</v>
      </c>
      <c r="S534" t="str">
        <f>_xlfn.TEXTAFTER(us_core_reqs[[#This Row],[URL*]],"#",-1)</f>
        <v>behavior</v>
      </c>
      <c r="T534" t="str">
        <f>SUBSTITUTE(SUBSTITUTE(PROPER(SUBSTITUTE(us_core_reqs[[#This Row],[Page]], "-", " "))&amp;": "&amp;PROPER(SUBSTITUTE(us_core_reqs[[#This Row],[Section]], "-", " ")),"Us ","US "), "Uscdi", "USCDI")</f>
        <v>Capabilitystatement US Core Server: Behavior</v>
      </c>
      <c r="U534" t="s">
        <v>29</v>
      </c>
      <c r="V534" t="s">
        <v>30</v>
      </c>
      <c r="W534" t="s">
        <v>1171</v>
      </c>
      <c r="X534" t="s">
        <v>1171</v>
      </c>
      <c r="Y534" t="s">
        <v>1171</v>
      </c>
      <c r="Z534" t="s">
        <v>1171</v>
      </c>
      <c r="AA534" t="s">
        <v>1171</v>
      </c>
      <c r="AB534" t="s">
        <v>1171</v>
      </c>
      <c r="AC534" t="s">
        <v>1140</v>
      </c>
      <c r="AD534" t="s">
        <v>1171</v>
      </c>
    </row>
    <row r="535" spans="1:30" ht="51" x14ac:dyDescent="0.2">
      <c r="A535" t="s">
        <v>1171</v>
      </c>
      <c r="B535" t="s">
        <v>1707</v>
      </c>
      <c r="C535" t="str">
        <f>"CONF-"&amp;TEXT(us_core_reqs[[#This Row],[ID*]], "0000")</f>
        <v>CONF-0534</v>
      </c>
      <c r="D535" s="11" t="s">
        <v>1075</v>
      </c>
      <c r="E535" t="str">
        <f>SUBSTITUTE(us_core_reqs[[#This Row],[URL*]], "https://hl7.org/fhir/us/core/STU8/","")</f>
        <v>CapabilityStatement-us-core-Server.html#behavior</v>
      </c>
      <c r="F535" s="11" t="s">
        <v>2157</v>
      </c>
      <c r="G535" t="s">
        <v>29</v>
      </c>
      <c r="I535" t="s">
        <v>30</v>
      </c>
      <c r="J535" t="s">
        <v>1171</v>
      </c>
      <c r="K535" t="s">
        <v>1171</v>
      </c>
      <c r="L535" t="s">
        <v>1173</v>
      </c>
      <c r="M535" t="s">
        <v>1171</v>
      </c>
      <c r="N535" t="s">
        <v>1171</v>
      </c>
      <c r="O535" t="s">
        <v>1171</v>
      </c>
      <c r="P535" t="s">
        <v>1171</v>
      </c>
      <c r="Q535" t="s">
        <v>1171</v>
      </c>
      <c r="R535" t="str">
        <f>_xlfn.TEXTBEFORE(_xlfn.TEXTAFTER(us_core_reqs[[#This Row],[URL*]],"/",-1),".")</f>
        <v>CapabilityStatement-us-core-Server</v>
      </c>
      <c r="S535" t="str">
        <f>_xlfn.TEXTAFTER(us_core_reqs[[#This Row],[URL*]],"#",-1)</f>
        <v>behavior</v>
      </c>
      <c r="T535" t="str">
        <f>SUBSTITUTE(SUBSTITUTE(PROPER(SUBSTITUTE(us_core_reqs[[#This Row],[Page]], "-", " "))&amp;": "&amp;PROPER(SUBSTITUTE(us_core_reqs[[#This Row],[Section]], "-", " ")),"Us ","US "), "Uscdi", "USCDI")</f>
        <v>Capabilitystatement US Core Server: Behavior</v>
      </c>
      <c r="U535" t="s">
        <v>1171</v>
      </c>
      <c r="V535" t="s">
        <v>1171</v>
      </c>
      <c r="W535" t="s">
        <v>1171</v>
      </c>
      <c r="X535" t="s">
        <v>1171</v>
      </c>
      <c r="Y535" t="s">
        <v>1171</v>
      </c>
      <c r="Z535" t="s">
        <v>1171</v>
      </c>
      <c r="AA535" t="s">
        <v>1171</v>
      </c>
      <c r="AB535" t="s">
        <v>1171</v>
      </c>
      <c r="AC535" t="s">
        <v>1140</v>
      </c>
      <c r="AD535" t="s">
        <v>1171</v>
      </c>
    </row>
    <row r="536" spans="1:30" ht="34" x14ac:dyDescent="0.2">
      <c r="A536" t="s">
        <v>1171</v>
      </c>
      <c r="B536" t="s">
        <v>1708</v>
      </c>
      <c r="C536" t="str">
        <f>"CONF-"&amp;TEXT(us_core_reqs[[#This Row],[ID*]], "0000")</f>
        <v>CONF-0535</v>
      </c>
      <c r="D536" s="11" t="s">
        <v>1075</v>
      </c>
      <c r="E536" t="str">
        <f>SUBSTITUTE(us_core_reqs[[#This Row],[URL*]], "https://hl7.org/fhir/us/core/STU8/","")</f>
        <v>CapabilityStatement-us-core-Server.html#behavior</v>
      </c>
      <c r="F536" s="11" t="s">
        <v>1902</v>
      </c>
      <c r="G536" t="s">
        <v>29</v>
      </c>
      <c r="I536" t="s">
        <v>30</v>
      </c>
      <c r="J536" t="s">
        <v>1171</v>
      </c>
      <c r="K536" t="s">
        <v>1171</v>
      </c>
      <c r="L536" t="s">
        <v>1173</v>
      </c>
      <c r="M536" t="s">
        <v>1171</v>
      </c>
      <c r="N536" t="s">
        <v>1171</v>
      </c>
      <c r="O536" t="s">
        <v>1171</v>
      </c>
      <c r="P536" t="s">
        <v>1171</v>
      </c>
      <c r="Q536" t="s">
        <v>1171</v>
      </c>
      <c r="R536" t="str">
        <f>_xlfn.TEXTBEFORE(_xlfn.TEXTAFTER(us_core_reqs[[#This Row],[URL*]],"/",-1),".")</f>
        <v>CapabilityStatement-us-core-Server</v>
      </c>
      <c r="S536" t="str">
        <f>_xlfn.TEXTAFTER(us_core_reqs[[#This Row],[URL*]],"#",-1)</f>
        <v>behavior</v>
      </c>
      <c r="T536" t="str">
        <f>SUBSTITUTE(SUBSTITUTE(PROPER(SUBSTITUTE(us_core_reqs[[#This Row],[Page]], "-", " "))&amp;": "&amp;PROPER(SUBSTITUTE(us_core_reqs[[#This Row],[Section]], "-", " ")),"Us ","US "), "Uscdi", "USCDI")</f>
        <v>Capabilitystatement US Core Server: Behavior</v>
      </c>
      <c r="U536" t="s">
        <v>1171</v>
      </c>
      <c r="V536" t="s">
        <v>1171</v>
      </c>
      <c r="W536" t="s">
        <v>1171</v>
      </c>
      <c r="X536" t="s">
        <v>1171</v>
      </c>
      <c r="Y536" t="s">
        <v>1171</v>
      </c>
      <c r="Z536" t="s">
        <v>1171</v>
      </c>
      <c r="AA536" t="s">
        <v>1171</v>
      </c>
      <c r="AB536" t="s">
        <v>1171</v>
      </c>
      <c r="AC536" t="s">
        <v>1140</v>
      </c>
      <c r="AD536" t="s">
        <v>1171</v>
      </c>
    </row>
    <row r="537" spans="1:30" ht="34" x14ac:dyDescent="0.2">
      <c r="A537" t="s">
        <v>1171</v>
      </c>
      <c r="B537" t="s">
        <v>1709</v>
      </c>
      <c r="C537" t="str">
        <f>"CONF-"&amp;TEXT(us_core_reqs[[#This Row],[ID*]], "0000")</f>
        <v>CONF-0536</v>
      </c>
      <c r="D537" s="11" t="s">
        <v>1075</v>
      </c>
      <c r="E537" t="str">
        <f>SUBSTITUTE(us_core_reqs[[#This Row],[URL*]], "https://hl7.org/fhir/us/core/STU8/","")</f>
        <v>CapabilityStatement-us-core-Server.html#behavior</v>
      </c>
      <c r="F537" s="11" t="s">
        <v>1903</v>
      </c>
      <c r="G537" t="s">
        <v>29</v>
      </c>
      <c r="I537" t="s">
        <v>30</v>
      </c>
      <c r="J537" t="s">
        <v>1171</v>
      </c>
      <c r="K537" t="s">
        <v>1171</v>
      </c>
      <c r="L537" t="s">
        <v>1173</v>
      </c>
      <c r="M537" t="s">
        <v>1171</v>
      </c>
      <c r="N537" t="s">
        <v>1171</v>
      </c>
      <c r="O537" t="s">
        <v>1171</v>
      </c>
      <c r="P537" t="s">
        <v>1171</v>
      </c>
      <c r="Q537" t="s">
        <v>1171</v>
      </c>
      <c r="R537" t="str">
        <f>_xlfn.TEXTBEFORE(_xlfn.TEXTAFTER(us_core_reqs[[#This Row],[URL*]],"/",-1),".")</f>
        <v>CapabilityStatement-us-core-Server</v>
      </c>
      <c r="S537" t="str">
        <f>_xlfn.TEXTAFTER(us_core_reqs[[#This Row],[URL*]],"#",-1)</f>
        <v>behavior</v>
      </c>
      <c r="T537" t="str">
        <f>SUBSTITUTE(SUBSTITUTE(PROPER(SUBSTITUTE(us_core_reqs[[#This Row],[Page]], "-", " "))&amp;": "&amp;PROPER(SUBSTITUTE(us_core_reqs[[#This Row],[Section]], "-", " ")),"Us ","US "), "Uscdi", "USCDI")</f>
        <v>Capabilitystatement US Core Server: Behavior</v>
      </c>
      <c r="U537" t="s">
        <v>1171</v>
      </c>
      <c r="V537" t="s">
        <v>1171</v>
      </c>
      <c r="W537" t="s">
        <v>1171</v>
      </c>
      <c r="X537" t="s">
        <v>1171</v>
      </c>
      <c r="Y537" t="s">
        <v>1171</v>
      </c>
      <c r="Z537" t="s">
        <v>1171</v>
      </c>
      <c r="AA537" t="s">
        <v>1171</v>
      </c>
      <c r="AB537" t="s">
        <v>1171</v>
      </c>
      <c r="AC537" t="s">
        <v>1141</v>
      </c>
      <c r="AD537" t="s">
        <v>1171</v>
      </c>
    </row>
    <row r="538" spans="1:30" ht="34" x14ac:dyDescent="0.2">
      <c r="A538" t="s">
        <v>1171</v>
      </c>
      <c r="B538" t="s">
        <v>1710</v>
      </c>
      <c r="C538" t="str">
        <f>"CONF-"&amp;TEXT(us_core_reqs[[#This Row],[ID*]], "0000")</f>
        <v>CONF-0537</v>
      </c>
      <c r="D538" s="11" t="s">
        <v>1075</v>
      </c>
      <c r="E538" t="str">
        <f>SUBSTITUTE(us_core_reqs[[#This Row],[URL*]], "https://hl7.org/fhir/us/core/STU8/","")</f>
        <v>CapabilityStatement-us-core-Server.html#behavior</v>
      </c>
      <c r="F538" s="11" t="s">
        <v>1904</v>
      </c>
      <c r="G538" t="s">
        <v>29</v>
      </c>
      <c r="I538" t="s">
        <v>30</v>
      </c>
      <c r="J538" t="s">
        <v>1171</v>
      </c>
      <c r="K538" t="s">
        <v>1171</v>
      </c>
      <c r="L538" t="s">
        <v>1173</v>
      </c>
      <c r="M538" t="s">
        <v>1171</v>
      </c>
      <c r="N538" t="s">
        <v>1171</v>
      </c>
      <c r="O538" t="s">
        <v>1171</v>
      </c>
      <c r="P538" t="s">
        <v>1171</v>
      </c>
      <c r="Q538" t="s">
        <v>1171</v>
      </c>
      <c r="R538" t="str">
        <f>_xlfn.TEXTBEFORE(_xlfn.TEXTAFTER(us_core_reqs[[#This Row],[URL*]],"/",-1),".")</f>
        <v>CapabilityStatement-us-core-Server</v>
      </c>
      <c r="S538" t="str">
        <f>_xlfn.TEXTAFTER(us_core_reqs[[#This Row],[URL*]],"#",-1)</f>
        <v>behavior</v>
      </c>
      <c r="T538" t="str">
        <f>SUBSTITUTE(SUBSTITUTE(PROPER(SUBSTITUTE(us_core_reqs[[#This Row],[Page]], "-", " "))&amp;": "&amp;PROPER(SUBSTITUTE(us_core_reqs[[#This Row],[Section]], "-", " ")),"Us ","US "), "Uscdi", "USCDI")</f>
        <v>Capabilitystatement US Core Server: Behavior</v>
      </c>
      <c r="U538" t="s">
        <v>1171</v>
      </c>
      <c r="V538" t="s">
        <v>1171</v>
      </c>
      <c r="W538" t="s">
        <v>1171</v>
      </c>
      <c r="X538" t="s">
        <v>1171</v>
      </c>
      <c r="Y538" t="s">
        <v>1171</v>
      </c>
      <c r="Z538" t="s">
        <v>1171</v>
      </c>
      <c r="AA538" t="s">
        <v>1171</v>
      </c>
      <c r="AB538" t="s">
        <v>1171</v>
      </c>
      <c r="AC538" t="s">
        <v>1141</v>
      </c>
      <c r="AD538" t="s">
        <v>1171</v>
      </c>
    </row>
    <row r="539" spans="1:30" ht="34" x14ac:dyDescent="0.2">
      <c r="A539" t="s">
        <v>1171</v>
      </c>
      <c r="B539" t="s">
        <v>1711</v>
      </c>
      <c r="C539" t="str">
        <f>"CONF-"&amp;TEXT(us_core_reqs[[#This Row],[ID*]], "0000")</f>
        <v>CONF-0538</v>
      </c>
      <c r="D539" s="11" t="s">
        <v>1075</v>
      </c>
      <c r="E539" t="str">
        <f>SUBSTITUTE(us_core_reqs[[#This Row],[URL*]], "https://hl7.org/fhir/us/core/STU8/","")</f>
        <v>CapabilityStatement-us-core-Server.html#behavior</v>
      </c>
      <c r="F539" s="11" t="s">
        <v>1905</v>
      </c>
      <c r="G539" t="s">
        <v>29</v>
      </c>
      <c r="I539" t="s">
        <v>30</v>
      </c>
      <c r="J539" t="s">
        <v>1171</v>
      </c>
      <c r="K539" t="s">
        <v>1171</v>
      </c>
      <c r="L539" t="s">
        <v>1173</v>
      </c>
      <c r="M539" t="s">
        <v>1171</v>
      </c>
      <c r="N539" t="s">
        <v>1171</v>
      </c>
      <c r="O539" t="s">
        <v>1171</v>
      </c>
      <c r="P539" t="s">
        <v>1171</v>
      </c>
      <c r="Q539" t="s">
        <v>1171</v>
      </c>
      <c r="R539" t="str">
        <f>_xlfn.TEXTBEFORE(_xlfn.TEXTAFTER(us_core_reqs[[#This Row],[URL*]],"/",-1),".")</f>
        <v>CapabilityStatement-us-core-Server</v>
      </c>
      <c r="S539" t="str">
        <f>_xlfn.TEXTAFTER(us_core_reqs[[#This Row],[URL*]],"#",-1)</f>
        <v>behavior</v>
      </c>
      <c r="T539" t="str">
        <f>SUBSTITUTE(SUBSTITUTE(PROPER(SUBSTITUTE(us_core_reqs[[#This Row],[Page]], "-", " "))&amp;": "&amp;PROPER(SUBSTITUTE(us_core_reqs[[#This Row],[Section]], "-", " ")),"Us ","US "), "Uscdi", "USCDI")</f>
        <v>Capabilitystatement US Core Server: Behavior</v>
      </c>
      <c r="U539" t="s">
        <v>1171</v>
      </c>
      <c r="V539" t="s">
        <v>1171</v>
      </c>
      <c r="W539" t="s">
        <v>1171</v>
      </c>
      <c r="X539" t="s">
        <v>1171</v>
      </c>
      <c r="Y539" t="s">
        <v>1171</v>
      </c>
      <c r="Z539" t="s">
        <v>1171</v>
      </c>
      <c r="AA539" t="s">
        <v>1171</v>
      </c>
      <c r="AB539" t="s">
        <v>1171</v>
      </c>
      <c r="AC539" t="s">
        <v>1141</v>
      </c>
      <c r="AD539" t="s">
        <v>1171</v>
      </c>
    </row>
    <row r="540" spans="1:30" ht="34" x14ac:dyDescent="0.2">
      <c r="A540" t="s">
        <v>1171</v>
      </c>
      <c r="B540" t="s">
        <v>1712</v>
      </c>
      <c r="C540" t="str">
        <f>"CONF-"&amp;TEXT(us_core_reqs[[#This Row],[ID*]], "0000")</f>
        <v>CONF-0539</v>
      </c>
      <c r="D540" s="11" t="s">
        <v>1075</v>
      </c>
      <c r="E540" t="str">
        <f>SUBSTITUTE(us_core_reqs[[#This Row],[URL*]], "https://hl7.org/fhir/us/core/STU8/","")</f>
        <v>CapabilityStatement-us-core-Server.html#behavior</v>
      </c>
      <c r="F540" s="11" t="s">
        <v>1906</v>
      </c>
      <c r="G540" t="s">
        <v>29</v>
      </c>
      <c r="I540" t="s">
        <v>30</v>
      </c>
      <c r="J540" t="s">
        <v>1171</v>
      </c>
      <c r="K540" t="s">
        <v>1171</v>
      </c>
      <c r="L540" t="s">
        <v>1173</v>
      </c>
      <c r="M540" t="s">
        <v>1171</v>
      </c>
      <c r="N540" t="s">
        <v>1171</v>
      </c>
      <c r="O540" t="s">
        <v>1171</v>
      </c>
      <c r="P540" t="s">
        <v>1171</v>
      </c>
      <c r="Q540" t="s">
        <v>1171</v>
      </c>
      <c r="R540" t="str">
        <f>_xlfn.TEXTBEFORE(_xlfn.TEXTAFTER(us_core_reqs[[#This Row],[URL*]],"/",-1),".")</f>
        <v>CapabilityStatement-us-core-Server</v>
      </c>
      <c r="S540" t="str">
        <f>_xlfn.TEXTAFTER(us_core_reqs[[#This Row],[URL*]],"#",-1)</f>
        <v>behavior</v>
      </c>
      <c r="T540" t="str">
        <f>SUBSTITUTE(SUBSTITUTE(PROPER(SUBSTITUTE(us_core_reqs[[#This Row],[Page]], "-", " "))&amp;": "&amp;PROPER(SUBSTITUTE(us_core_reqs[[#This Row],[Section]], "-", " ")),"Us ","US "), "Uscdi", "USCDI")</f>
        <v>Capabilitystatement US Core Server: Behavior</v>
      </c>
      <c r="U540" t="s">
        <v>1171</v>
      </c>
      <c r="V540" t="s">
        <v>1171</v>
      </c>
      <c r="W540" t="s">
        <v>1171</v>
      </c>
      <c r="X540" t="s">
        <v>1171</v>
      </c>
      <c r="Y540" t="s">
        <v>1171</v>
      </c>
      <c r="Z540" t="s">
        <v>1171</v>
      </c>
      <c r="AA540" t="s">
        <v>1171</v>
      </c>
      <c r="AB540" t="s">
        <v>1171</v>
      </c>
      <c r="AC540" t="s">
        <v>1141</v>
      </c>
      <c r="AD540" t="s">
        <v>1171</v>
      </c>
    </row>
    <row r="541" spans="1:30" ht="34" x14ac:dyDescent="0.2">
      <c r="A541" t="s">
        <v>1171</v>
      </c>
      <c r="B541" t="s">
        <v>1713</v>
      </c>
      <c r="C541" t="str">
        <f>"CONF-"&amp;TEXT(us_core_reqs[[#This Row],[ID*]], "0000")</f>
        <v>CONF-0540</v>
      </c>
      <c r="D541" s="11" t="s">
        <v>1075</v>
      </c>
      <c r="E541" t="str">
        <f>SUBSTITUTE(us_core_reqs[[#This Row],[URL*]], "https://hl7.org/fhir/us/core/STU8/","")</f>
        <v>CapabilityStatement-us-core-Server.html#behavior</v>
      </c>
      <c r="F541" s="11" t="s">
        <v>1907</v>
      </c>
      <c r="G541" t="s">
        <v>29</v>
      </c>
      <c r="I541" t="s">
        <v>30</v>
      </c>
      <c r="J541" t="s">
        <v>1171</v>
      </c>
      <c r="K541" t="s">
        <v>1171</v>
      </c>
      <c r="L541" t="s">
        <v>1173</v>
      </c>
      <c r="M541" t="s">
        <v>1171</v>
      </c>
      <c r="N541" t="s">
        <v>1171</v>
      </c>
      <c r="O541" t="s">
        <v>1171</v>
      </c>
      <c r="P541" t="s">
        <v>1171</v>
      </c>
      <c r="Q541" t="s">
        <v>1171</v>
      </c>
      <c r="R541" t="str">
        <f>_xlfn.TEXTBEFORE(_xlfn.TEXTAFTER(us_core_reqs[[#This Row],[URL*]],"/",-1),".")</f>
        <v>CapabilityStatement-us-core-Server</v>
      </c>
      <c r="S541" t="str">
        <f>_xlfn.TEXTAFTER(us_core_reqs[[#This Row],[URL*]],"#",-1)</f>
        <v>behavior</v>
      </c>
      <c r="T541" t="str">
        <f>SUBSTITUTE(SUBSTITUTE(PROPER(SUBSTITUTE(us_core_reqs[[#This Row],[Page]], "-", " "))&amp;": "&amp;PROPER(SUBSTITUTE(us_core_reqs[[#This Row],[Section]], "-", " ")),"Us ","US "), "Uscdi", "USCDI")</f>
        <v>Capabilitystatement US Core Server: Behavior</v>
      </c>
      <c r="U541" t="s">
        <v>1171</v>
      </c>
      <c r="V541" t="s">
        <v>1171</v>
      </c>
      <c r="W541" t="s">
        <v>1171</v>
      </c>
      <c r="X541" t="s">
        <v>1171</v>
      </c>
      <c r="Y541" t="s">
        <v>1171</v>
      </c>
      <c r="Z541" t="s">
        <v>1171</v>
      </c>
      <c r="AA541" t="s">
        <v>1171</v>
      </c>
      <c r="AB541" t="s">
        <v>1171</v>
      </c>
      <c r="AC541" t="s">
        <v>1140</v>
      </c>
      <c r="AD541" t="s">
        <v>1171</v>
      </c>
    </row>
    <row r="542" spans="1:30" ht="34" x14ac:dyDescent="0.2">
      <c r="A542" t="s">
        <v>1171</v>
      </c>
      <c r="B542" t="s">
        <v>1714</v>
      </c>
      <c r="C542" t="str">
        <f>"CONF-"&amp;TEXT(us_core_reqs[[#This Row],[ID*]], "0000")</f>
        <v>CONF-0541</v>
      </c>
      <c r="D542" s="11" t="s">
        <v>1075</v>
      </c>
      <c r="E542" t="str">
        <f>SUBSTITUTE(us_core_reqs[[#This Row],[URL*]], "https://hl7.org/fhir/us/core/STU8/","")</f>
        <v>CapabilityStatement-us-core-Server.html#behavior</v>
      </c>
      <c r="F542" s="11" t="s">
        <v>2009</v>
      </c>
      <c r="G542" t="s">
        <v>32</v>
      </c>
      <c r="I542" t="s">
        <v>30</v>
      </c>
      <c r="J542" t="s">
        <v>1171</v>
      </c>
      <c r="K542" t="s">
        <v>1171</v>
      </c>
      <c r="L542" t="s">
        <v>1173</v>
      </c>
      <c r="M542" t="s">
        <v>1171</v>
      </c>
      <c r="N542" t="s">
        <v>1171</v>
      </c>
      <c r="O542" t="s">
        <v>1171</v>
      </c>
      <c r="P542" t="s">
        <v>1171</v>
      </c>
      <c r="Q542" t="s">
        <v>1171</v>
      </c>
      <c r="R542" t="str">
        <f>_xlfn.TEXTBEFORE(_xlfn.TEXTAFTER(us_core_reqs[[#This Row],[URL*]],"/",-1),".")</f>
        <v>CapabilityStatement-us-core-Server</v>
      </c>
      <c r="S542" t="str">
        <f>_xlfn.TEXTAFTER(us_core_reqs[[#This Row],[URL*]],"#",-1)</f>
        <v>behavior</v>
      </c>
      <c r="T542" t="str">
        <f>SUBSTITUTE(SUBSTITUTE(PROPER(SUBSTITUTE(us_core_reqs[[#This Row],[Page]], "-", " "))&amp;": "&amp;PROPER(SUBSTITUTE(us_core_reqs[[#This Row],[Section]], "-", " ")),"Us ","US "), "Uscdi", "USCDI")</f>
        <v>Capabilitystatement US Core Server: Behavior</v>
      </c>
      <c r="U542" t="s">
        <v>1171</v>
      </c>
      <c r="V542" t="s">
        <v>1171</v>
      </c>
      <c r="W542" t="s">
        <v>1171</v>
      </c>
      <c r="X542" t="s">
        <v>1171</v>
      </c>
      <c r="Y542" t="s">
        <v>1171</v>
      </c>
      <c r="Z542" t="s">
        <v>1171</v>
      </c>
      <c r="AA542" t="s">
        <v>1171</v>
      </c>
      <c r="AB542" t="s">
        <v>1171</v>
      </c>
      <c r="AC542" t="s">
        <v>1171</v>
      </c>
      <c r="AD542" t="s">
        <v>1171</v>
      </c>
    </row>
    <row r="543" spans="1:30" ht="34" x14ac:dyDescent="0.2">
      <c r="A543" t="s">
        <v>1171</v>
      </c>
      <c r="B543" t="s">
        <v>1715</v>
      </c>
      <c r="C543" t="str">
        <f>"CONF-"&amp;TEXT(us_core_reqs[[#This Row],[ID*]], "0000")</f>
        <v>CONF-0542</v>
      </c>
      <c r="D543" s="11" t="s">
        <v>1075</v>
      </c>
      <c r="E543" t="str">
        <f>SUBSTITUTE(us_core_reqs[[#This Row],[URL*]], "https://hl7.org/fhir/us/core/STU8/","")</f>
        <v>CapabilityStatement-us-core-Server.html#behavior</v>
      </c>
      <c r="F543" s="11" t="s">
        <v>2010</v>
      </c>
      <c r="G543" t="s">
        <v>32</v>
      </c>
      <c r="I543" t="s">
        <v>30</v>
      </c>
      <c r="J543" t="s">
        <v>1171</v>
      </c>
      <c r="K543" t="s">
        <v>1171</v>
      </c>
      <c r="L543" t="s">
        <v>1173</v>
      </c>
      <c r="M543" t="s">
        <v>1171</v>
      </c>
      <c r="N543" t="s">
        <v>1171</v>
      </c>
      <c r="O543" t="s">
        <v>1171</v>
      </c>
      <c r="P543" t="s">
        <v>1171</v>
      </c>
      <c r="Q543" t="s">
        <v>1171</v>
      </c>
      <c r="R543" t="str">
        <f>_xlfn.TEXTBEFORE(_xlfn.TEXTAFTER(us_core_reqs[[#This Row],[URL*]],"/",-1),".")</f>
        <v>CapabilityStatement-us-core-Server</v>
      </c>
      <c r="S543" t="str">
        <f>_xlfn.TEXTAFTER(us_core_reqs[[#This Row],[URL*]],"#",-1)</f>
        <v>behavior</v>
      </c>
      <c r="T543" t="str">
        <f>SUBSTITUTE(SUBSTITUTE(PROPER(SUBSTITUTE(us_core_reqs[[#This Row],[Page]], "-", " "))&amp;": "&amp;PROPER(SUBSTITUTE(us_core_reqs[[#This Row],[Section]], "-", " ")),"Us ","US "), "Uscdi", "USCDI")</f>
        <v>Capabilitystatement US Core Server: Behavior</v>
      </c>
      <c r="U543" t="s">
        <v>1171</v>
      </c>
      <c r="V543" t="s">
        <v>1171</v>
      </c>
      <c r="W543" t="s">
        <v>1171</v>
      </c>
      <c r="X543" t="s">
        <v>1171</v>
      </c>
      <c r="Y543" t="s">
        <v>1171</v>
      </c>
      <c r="Z543" t="s">
        <v>1171</v>
      </c>
      <c r="AA543" t="s">
        <v>1171</v>
      </c>
      <c r="AB543" t="s">
        <v>1171</v>
      </c>
      <c r="AC543" t="s">
        <v>1171</v>
      </c>
      <c r="AD543" t="s">
        <v>1171</v>
      </c>
    </row>
    <row r="544" spans="1:30" ht="51" x14ac:dyDescent="0.2">
      <c r="A544" t="s">
        <v>1171</v>
      </c>
      <c r="B544" t="s">
        <v>1716</v>
      </c>
      <c r="C544" t="str">
        <f>"CONF-"&amp;TEXT(us_core_reqs[[#This Row],[ID*]], "0000")</f>
        <v>CONF-0543</v>
      </c>
      <c r="D544" s="11" t="s">
        <v>1075</v>
      </c>
      <c r="E544" t="str">
        <f>SUBSTITUTE(us_core_reqs[[#This Row],[URL*]], "https://hl7.org/fhir/us/core/STU8/","")</f>
        <v>CapabilityStatement-us-core-Server.html#behavior</v>
      </c>
      <c r="F544" s="11" t="s">
        <v>2227</v>
      </c>
      <c r="G544" t="s">
        <v>29</v>
      </c>
      <c r="I544" t="s">
        <v>30</v>
      </c>
      <c r="J544" t="s">
        <v>1171</v>
      </c>
      <c r="K544" t="s">
        <v>1171</v>
      </c>
      <c r="L544" t="s">
        <v>1176</v>
      </c>
      <c r="M544" t="s">
        <v>555</v>
      </c>
      <c r="N544" t="s">
        <v>1171</v>
      </c>
      <c r="O544" t="s">
        <v>1171</v>
      </c>
      <c r="P544" t="s">
        <v>1171</v>
      </c>
      <c r="Q544" t="s">
        <v>1171</v>
      </c>
      <c r="R544" t="str">
        <f>_xlfn.TEXTBEFORE(_xlfn.TEXTAFTER(us_core_reqs[[#This Row],[URL*]],"/",-1),".")</f>
        <v>CapabilityStatement-us-core-Server</v>
      </c>
      <c r="S544" t="str">
        <f>_xlfn.TEXTAFTER(us_core_reqs[[#This Row],[URL*]],"#",-1)</f>
        <v>behavior</v>
      </c>
      <c r="T544" t="str">
        <f>SUBSTITUTE(SUBSTITUTE(PROPER(SUBSTITUTE(us_core_reqs[[#This Row],[Page]], "-", " "))&amp;": "&amp;PROPER(SUBSTITUTE(us_core_reqs[[#This Row],[Section]], "-", " ")),"Us ","US "), "Uscdi", "USCDI")</f>
        <v>Capabilitystatement US Core Server: Behavior</v>
      </c>
      <c r="U544" t="s">
        <v>1171</v>
      </c>
      <c r="V544" t="s">
        <v>1171</v>
      </c>
      <c r="W544" t="s">
        <v>1171</v>
      </c>
      <c r="X544" t="s">
        <v>1171</v>
      </c>
      <c r="Y544" t="s">
        <v>1171</v>
      </c>
      <c r="Z544" t="s">
        <v>1171</v>
      </c>
      <c r="AA544" t="s">
        <v>1171</v>
      </c>
      <c r="AB544" t="s">
        <v>1171</v>
      </c>
      <c r="AC544" t="s">
        <v>1140</v>
      </c>
      <c r="AD544" t="s">
        <v>1171</v>
      </c>
    </row>
    <row r="545" spans="1:30" ht="34" x14ac:dyDescent="0.2">
      <c r="A545" t="s">
        <v>1171</v>
      </c>
      <c r="B545" t="s">
        <v>1717</v>
      </c>
      <c r="C545" t="str">
        <f>"CONF-"&amp;TEXT(us_core_reqs[[#This Row],[ID*]], "0000")</f>
        <v>CONF-0544</v>
      </c>
      <c r="D545" s="11" t="s">
        <v>1075</v>
      </c>
      <c r="E545" t="str">
        <f>SUBSTITUTE(us_core_reqs[[#This Row],[URL*]], "https://hl7.org/fhir/us/core/STU8/","")</f>
        <v>CapabilityStatement-us-core-Server.html#behavior</v>
      </c>
      <c r="F545" s="11" t="s">
        <v>2171</v>
      </c>
      <c r="G545" t="s">
        <v>35</v>
      </c>
      <c r="I545" t="s">
        <v>58</v>
      </c>
      <c r="J545" t="s">
        <v>1171</v>
      </c>
      <c r="K545" t="s">
        <v>1171</v>
      </c>
      <c r="L545" t="s">
        <v>1173</v>
      </c>
      <c r="M545" t="s">
        <v>1171</v>
      </c>
      <c r="N545" t="s">
        <v>1171</v>
      </c>
      <c r="O545" t="s">
        <v>1171</v>
      </c>
      <c r="P545" t="s">
        <v>1171</v>
      </c>
      <c r="Q545" t="s">
        <v>1171</v>
      </c>
      <c r="R545" t="str">
        <f>_xlfn.TEXTBEFORE(_xlfn.TEXTAFTER(us_core_reqs[[#This Row],[URL*]],"/",-1),".")</f>
        <v>CapabilityStatement-us-core-Server</v>
      </c>
      <c r="S545" t="str">
        <f>_xlfn.TEXTAFTER(us_core_reqs[[#This Row],[URL*]],"#",-1)</f>
        <v>behavior</v>
      </c>
      <c r="T545" t="str">
        <f>SUBSTITUTE(SUBSTITUTE(PROPER(SUBSTITUTE(us_core_reqs[[#This Row],[Page]], "-", " "))&amp;": "&amp;PROPER(SUBSTITUTE(us_core_reqs[[#This Row],[Section]], "-", " ")),"Us ","US "), "Uscdi", "USCDI")</f>
        <v>Capabilitystatement US Core Server: Behavior</v>
      </c>
      <c r="U545" t="s">
        <v>1171</v>
      </c>
      <c r="V545" t="s">
        <v>1171</v>
      </c>
      <c r="W545" t="s">
        <v>1171</v>
      </c>
      <c r="X545" t="s">
        <v>1171</v>
      </c>
      <c r="Y545" t="s">
        <v>1171</v>
      </c>
      <c r="Z545" t="s">
        <v>1171</v>
      </c>
      <c r="AA545" t="s">
        <v>1171</v>
      </c>
      <c r="AB545" t="s">
        <v>1171</v>
      </c>
      <c r="AC545" t="s">
        <v>1171</v>
      </c>
      <c r="AD545" t="s">
        <v>1171</v>
      </c>
    </row>
    <row r="546" spans="1:30" ht="34" x14ac:dyDescent="0.2">
      <c r="A546" t="s">
        <v>1171</v>
      </c>
      <c r="B546" t="s">
        <v>1718</v>
      </c>
      <c r="C546" t="str">
        <f>"CONF-"&amp;TEXT(us_core_reqs[[#This Row],[ID*]], "0000")</f>
        <v>CONF-0545</v>
      </c>
      <c r="D546" s="11" t="s">
        <v>1075</v>
      </c>
      <c r="E546" t="str">
        <f>SUBSTITUTE(us_core_reqs[[#This Row],[URL*]], "https://hl7.org/fhir/us/core/STU8/","")</f>
        <v>CapabilityStatement-us-core-Server.html#behavior</v>
      </c>
      <c r="F546" s="11" t="s">
        <v>2172</v>
      </c>
      <c r="G546" t="s">
        <v>35</v>
      </c>
      <c r="I546" t="s">
        <v>58</v>
      </c>
      <c r="J546" t="s">
        <v>1171</v>
      </c>
      <c r="K546" t="s">
        <v>1171</v>
      </c>
      <c r="L546" t="s">
        <v>1173</v>
      </c>
      <c r="M546" t="s">
        <v>1171</v>
      </c>
      <c r="N546" t="s">
        <v>1171</v>
      </c>
      <c r="O546" t="s">
        <v>1171</v>
      </c>
      <c r="P546" t="s">
        <v>1171</v>
      </c>
      <c r="Q546" t="s">
        <v>1171</v>
      </c>
      <c r="R546" t="str">
        <f>_xlfn.TEXTBEFORE(_xlfn.TEXTAFTER(us_core_reqs[[#This Row],[URL*]],"/",-1),".")</f>
        <v>CapabilityStatement-us-core-Server</v>
      </c>
      <c r="S546" t="str">
        <f>_xlfn.TEXTAFTER(us_core_reqs[[#This Row],[URL*]],"#",-1)</f>
        <v>behavior</v>
      </c>
      <c r="T546" t="str">
        <f>SUBSTITUTE(SUBSTITUTE(PROPER(SUBSTITUTE(us_core_reqs[[#This Row],[Page]], "-", " "))&amp;": "&amp;PROPER(SUBSTITUTE(us_core_reqs[[#This Row],[Section]], "-", " ")),"Us ","US "), "Uscdi", "USCDI")</f>
        <v>Capabilitystatement US Core Server: Behavior</v>
      </c>
      <c r="U546" t="s">
        <v>1171</v>
      </c>
      <c r="V546" t="s">
        <v>1171</v>
      </c>
      <c r="W546" t="s">
        <v>1171</v>
      </c>
      <c r="X546" t="s">
        <v>1171</v>
      </c>
      <c r="Y546" t="s">
        <v>1171</v>
      </c>
      <c r="Z546" t="s">
        <v>1171</v>
      </c>
      <c r="AA546" t="s">
        <v>1171</v>
      </c>
      <c r="AB546" t="s">
        <v>1171</v>
      </c>
      <c r="AC546" t="s">
        <v>1171</v>
      </c>
      <c r="AD546" t="s">
        <v>1171</v>
      </c>
    </row>
    <row r="547" spans="1:30" ht="34" x14ac:dyDescent="0.2">
      <c r="A547" t="s">
        <v>1171</v>
      </c>
      <c r="B547" t="s">
        <v>1719</v>
      </c>
      <c r="C547" t="str">
        <f>"CONF-"&amp;TEXT(us_core_reqs[[#This Row],[ID*]], "0000")</f>
        <v>CONF-0546</v>
      </c>
      <c r="D547" s="11" t="s">
        <v>1075</v>
      </c>
      <c r="E547" t="str">
        <f>SUBSTITUTE(us_core_reqs[[#This Row],[URL*]], "https://hl7.org/fhir/us/core/STU8/","")</f>
        <v>CapabilityStatement-us-core-Server.html#behavior</v>
      </c>
      <c r="F547" s="11" t="s">
        <v>2173</v>
      </c>
      <c r="G547" t="s">
        <v>35</v>
      </c>
      <c r="I547" t="s">
        <v>58</v>
      </c>
      <c r="J547" t="s">
        <v>1171</v>
      </c>
      <c r="K547" t="s">
        <v>1171</v>
      </c>
      <c r="L547" t="s">
        <v>1173</v>
      </c>
      <c r="M547" t="s">
        <v>1171</v>
      </c>
      <c r="N547" t="s">
        <v>1171</v>
      </c>
      <c r="O547" t="s">
        <v>1171</v>
      </c>
      <c r="P547" t="s">
        <v>1171</v>
      </c>
      <c r="Q547" t="s">
        <v>1171</v>
      </c>
      <c r="R547" t="str">
        <f>_xlfn.TEXTBEFORE(_xlfn.TEXTAFTER(us_core_reqs[[#This Row],[URL*]],"/",-1),".")</f>
        <v>CapabilityStatement-us-core-Server</v>
      </c>
      <c r="S547" t="str">
        <f>_xlfn.TEXTAFTER(us_core_reqs[[#This Row],[URL*]],"#",-1)</f>
        <v>behavior</v>
      </c>
      <c r="T547" t="str">
        <f>SUBSTITUTE(SUBSTITUTE(PROPER(SUBSTITUTE(us_core_reqs[[#This Row],[Page]], "-", " "))&amp;": "&amp;PROPER(SUBSTITUTE(us_core_reqs[[#This Row],[Section]], "-", " ")),"Us ","US "), "Uscdi", "USCDI")</f>
        <v>Capabilitystatement US Core Server: Behavior</v>
      </c>
      <c r="U547" t="s">
        <v>1171</v>
      </c>
      <c r="V547" t="s">
        <v>1171</v>
      </c>
      <c r="W547" t="s">
        <v>1171</v>
      </c>
      <c r="X547" t="s">
        <v>1171</v>
      </c>
      <c r="Y547" t="s">
        <v>1171</v>
      </c>
      <c r="Z547" t="s">
        <v>1171</v>
      </c>
      <c r="AA547" t="s">
        <v>1171</v>
      </c>
      <c r="AB547" t="s">
        <v>1171</v>
      </c>
      <c r="AC547" t="s">
        <v>1171</v>
      </c>
      <c r="AD547" t="s">
        <v>1171</v>
      </c>
    </row>
    <row r="548" spans="1:30" ht="34" x14ac:dyDescent="0.2">
      <c r="A548" t="s">
        <v>1171</v>
      </c>
      <c r="B548" t="s">
        <v>1720</v>
      </c>
      <c r="C548" t="str">
        <f>"CONF-"&amp;TEXT(us_core_reqs[[#This Row],[ID*]], "0000")</f>
        <v>CONF-0547</v>
      </c>
      <c r="D548" s="11" t="s">
        <v>1075</v>
      </c>
      <c r="E548" t="str">
        <f>SUBSTITUTE(us_core_reqs[[#This Row],[URL*]], "https://hl7.org/fhir/us/core/STU8/","")</f>
        <v>CapabilityStatement-us-core-Server.html#behavior</v>
      </c>
      <c r="F548" s="11" t="s">
        <v>2174</v>
      </c>
      <c r="G548" t="s">
        <v>35</v>
      </c>
      <c r="I548" t="s">
        <v>58</v>
      </c>
      <c r="J548" t="s">
        <v>1171</v>
      </c>
      <c r="K548" t="s">
        <v>1171</v>
      </c>
      <c r="L548" t="s">
        <v>1173</v>
      </c>
      <c r="M548" t="s">
        <v>1171</v>
      </c>
      <c r="N548" t="s">
        <v>1171</v>
      </c>
      <c r="O548" t="s">
        <v>1171</v>
      </c>
      <c r="P548" t="s">
        <v>1171</v>
      </c>
      <c r="Q548" t="s">
        <v>1171</v>
      </c>
      <c r="R548" t="str">
        <f>_xlfn.TEXTBEFORE(_xlfn.TEXTAFTER(us_core_reqs[[#This Row],[URL*]],"/",-1),".")</f>
        <v>CapabilityStatement-us-core-Server</v>
      </c>
      <c r="S548" t="str">
        <f>_xlfn.TEXTAFTER(us_core_reqs[[#This Row],[URL*]],"#",-1)</f>
        <v>behavior</v>
      </c>
      <c r="T548" t="str">
        <f>SUBSTITUTE(SUBSTITUTE(PROPER(SUBSTITUTE(us_core_reqs[[#This Row],[Page]], "-", " "))&amp;": "&amp;PROPER(SUBSTITUTE(us_core_reqs[[#This Row],[Section]], "-", " ")),"Us ","US "), "Uscdi", "USCDI")</f>
        <v>Capabilitystatement US Core Server: Behavior</v>
      </c>
      <c r="U548" t="s">
        <v>1171</v>
      </c>
      <c r="V548" t="s">
        <v>1171</v>
      </c>
      <c r="W548" t="s">
        <v>1171</v>
      </c>
      <c r="X548" t="s">
        <v>1171</v>
      </c>
      <c r="Y548" t="s">
        <v>1171</v>
      </c>
      <c r="Z548" t="s">
        <v>1171</v>
      </c>
      <c r="AA548" t="s">
        <v>1171</v>
      </c>
      <c r="AB548" t="s">
        <v>1171</v>
      </c>
      <c r="AC548" t="s">
        <v>1171</v>
      </c>
      <c r="AD548" t="s">
        <v>1171</v>
      </c>
    </row>
    <row r="549" spans="1:30" ht="51" x14ac:dyDescent="0.2">
      <c r="A549" t="s">
        <v>1171</v>
      </c>
      <c r="B549" t="s">
        <v>1721</v>
      </c>
      <c r="C549" t="str">
        <f>"CONF-"&amp;TEXT(us_core_reqs[[#This Row],[ID*]], "0000")</f>
        <v>CONF-0548</v>
      </c>
      <c r="D549" s="11" t="s">
        <v>1077</v>
      </c>
      <c r="E549" t="str">
        <f>SUBSTITUTE(us_core_reqs[[#This Row],[URL*]], "https://hl7.org/fhir/us/core/STU8/","")</f>
        <v>CapabilityStatement-us-core-Server.html#valueset</v>
      </c>
      <c r="F549" s="11" t="s">
        <v>2011</v>
      </c>
      <c r="G549" t="s">
        <v>32</v>
      </c>
      <c r="I549" t="s">
        <v>30</v>
      </c>
      <c r="J549" t="s">
        <v>1171</v>
      </c>
      <c r="K549" t="s">
        <v>1171</v>
      </c>
      <c r="L549" t="s">
        <v>1173</v>
      </c>
      <c r="M549" t="s">
        <v>1171</v>
      </c>
      <c r="N549" t="s">
        <v>1171</v>
      </c>
      <c r="O549" t="s">
        <v>1171</v>
      </c>
      <c r="P549" t="s">
        <v>1171</v>
      </c>
      <c r="Q549" t="s">
        <v>1171</v>
      </c>
      <c r="R549" t="str">
        <f>_xlfn.TEXTBEFORE(_xlfn.TEXTAFTER(us_core_reqs[[#This Row],[URL*]],"/",-1),".")</f>
        <v>CapabilityStatement-us-core-Server</v>
      </c>
      <c r="S549" t="str">
        <f>_xlfn.TEXTAFTER(us_core_reqs[[#This Row],[URL*]],"#",-1)</f>
        <v>valueset</v>
      </c>
      <c r="T549" t="str">
        <f>SUBSTITUTE(SUBSTITUTE(PROPER(SUBSTITUTE(us_core_reqs[[#This Row],[Page]], "-", " "))&amp;": "&amp;PROPER(SUBSTITUTE(us_core_reqs[[#This Row],[Section]], "-", " ")),"Us ","US "), "Uscdi", "USCDI")</f>
        <v>Capabilitystatement US Core Server: Valueset</v>
      </c>
      <c r="U549" t="s">
        <v>1171</v>
      </c>
      <c r="V549" t="s">
        <v>1171</v>
      </c>
      <c r="W549" t="s">
        <v>1171</v>
      </c>
      <c r="X549" t="s">
        <v>1171</v>
      </c>
      <c r="Y549" t="s">
        <v>1171</v>
      </c>
      <c r="Z549" t="s">
        <v>1171</v>
      </c>
      <c r="AA549" t="s">
        <v>1171</v>
      </c>
      <c r="AB549" t="s">
        <v>1171</v>
      </c>
      <c r="AC549" t="s">
        <v>1171</v>
      </c>
      <c r="AD549" t="s">
        <v>1171</v>
      </c>
    </row>
    <row r="550" spans="1:30" ht="51" x14ac:dyDescent="0.2">
      <c r="A550" t="s">
        <v>1171</v>
      </c>
      <c r="B550" t="s">
        <v>1722</v>
      </c>
      <c r="C550" t="str">
        <f>"CONF-"&amp;TEXT(us_core_reqs[[#This Row],[ID*]], "0000")</f>
        <v>CONF-0549</v>
      </c>
      <c r="D550" s="11" t="s">
        <v>1077</v>
      </c>
      <c r="E550" t="str">
        <f>SUBSTITUTE(us_core_reqs[[#This Row],[URL*]], "https://hl7.org/fhir/us/core/STU8/","")</f>
        <v>CapabilityStatement-us-core-Server.html#valueset</v>
      </c>
      <c r="F550" s="11" t="s">
        <v>2012</v>
      </c>
      <c r="G550" t="s">
        <v>32</v>
      </c>
      <c r="I550" t="s">
        <v>30</v>
      </c>
      <c r="J550" t="s">
        <v>1171</v>
      </c>
      <c r="K550" t="s">
        <v>1171</v>
      </c>
      <c r="L550" t="s">
        <v>1176</v>
      </c>
      <c r="M550" t="s">
        <v>1079</v>
      </c>
      <c r="N550" t="s">
        <v>1171</v>
      </c>
      <c r="O550" t="s">
        <v>1171</v>
      </c>
      <c r="P550" t="s">
        <v>1171</v>
      </c>
      <c r="Q550" t="s">
        <v>1171</v>
      </c>
      <c r="R550" t="str">
        <f>_xlfn.TEXTBEFORE(_xlfn.TEXTAFTER(us_core_reqs[[#This Row],[URL*]],"/",-1),".")</f>
        <v>CapabilityStatement-us-core-Server</v>
      </c>
      <c r="S550" t="str">
        <f>_xlfn.TEXTAFTER(us_core_reqs[[#This Row],[URL*]],"#",-1)</f>
        <v>valueset</v>
      </c>
      <c r="T550" t="str">
        <f>SUBSTITUTE(SUBSTITUTE(PROPER(SUBSTITUTE(us_core_reqs[[#This Row],[Page]], "-", " "))&amp;": "&amp;PROPER(SUBSTITUTE(us_core_reqs[[#This Row],[Section]], "-", " ")),"Us ","US "), "Uscdi", "USCDI")</f>
        <v>Capabilitystatement US Core Server: Valueset</v>
      </c>
      <c r="U550" t="s">
        <v>1171</v>
      </c>
      <c r="V550" t="s">
        <v>1171</v>
      </c>
      <c r="W550" t="s">
        <v>1171</v>
      </c>
      <c r="X550" t="s">
        <v>1171</v>
      </c>
      <c r="Y550" t="s">
        <v>1171</v>
      </c>
      <c r="Z550" t="s">
        <v>1171</v>
      </c>
      <c r="AA550" t="s">
        <v>1171</v>
      </c>
      <c r="AB550" t="s">
        <v>1171</v>
      </c>
      <c r="AC550" t="s">
        <v>1171</v>
      </c>
      <c r="AD550" t="s">
        <v>1171</v>
      </c>
    </row>
    <row r="551" spans="1:30" ht="34" x14ac:dyDescent="0.2">
      <c r="A551" t="s">
        <v>1171</v>
      </c>
      <c r="B551" t="s">
        <v>1723</v>
      </c>
      <c r="C551" t="str">
        <f>"CONF-"&amp;TEXT(us_core_reqs[[#This Row],[ID*]], "0000")</f>
        <v>CONF-0550</v>
      </c>
      <c r="D551" s="11" t="s">
        <v>633</v>
      </c>
      <c r="E551" t="str">
        <f>SUBSTITUTE(us_core_reqs[[#This Row],[URL*]], "https://hl7.org/fhir/us/core/STU8/","")</f>
        <v>security.html#patient-privacy-and-security</v>
      </c>
      <c r="F551" s="11" t="s">
        <v>2220</v>
      </c>
      <c r="G551" t="s">
        <v>29</v>
      </c>
      <c r="I551" t="s">
        <v>30</v>
      </c>
      <c r="J551" t="s">
        <v>1171</v>
      </c>
      <c r="K551" t="s">
        <v>1171</v>
      </c>
      <c r="L551" t="s">
        <v>1173</v>
      </c>
      <c r="M551" t="s">
        <v>1171</v>
      </c>
      <c r="N551" t="s">
        <v>1171</v>
      </c>
      <c r="O551" t="s">
        <v>1171</v>
      </c>
      <c r="P551" t="s">
        <v>1171</v>
      </c>
      <c r="Q551" t="s">
        <v>1171</v>
      </c>
      <c r="R551" t="str">
        <f>_xlfn.TEXTBEFORE(_xlfn.TEXTAFTER(us_core_reqs[[#This Row],[URL*]],"/",-1),".")</f>
        <v>security</v>
      </c>
      <c r="S551" t="str">
        <f>_xlfn.TEXTAFTER(us_core_reqs[[#This Row],[URL*]],"#",-1)</f>
        <v>patient-privacy-and-security</v>
      </c>
      <c r="T551" t="str">
        <f>SUBSTITUTE(SUBSTITUTE(PROPER(SUBSTITUTE(us_core_reqs[[#This Row],[Page]], "-", " "))&amp;": "&amp;PROPER(SUBSTITUTE(us_core_reqs[[#This Row],[Section]], "-", " ")),"Us ","US "), "Uscdi", "USCDI")</f>
        <v>Security: Patient Privacy And Security</v>
      </c>
      <c r="U551" t="s">
        <v>1171</v>
      </c>
      <c r="V551" t="s">
        <v>1171</v>
      </c>
      <c r="W551" t="s">
        <v>1171</v>
      </c>
      <c r="X551" t="s">
        <v>1171</v>
      </c>
      <c r="Y551" t="s">
        <v>1171</v>
      </c>
      <c r="Z551" t="s">
        <v>1171</v>
      </c>
      <c r="AA551" t="s">
        <v>1171</v>
      </c>
      <c r="AB551" t="s">
        <v>1171</v>
      </c>
      <c r="AC551" t="s">
        <v>1141</v>
      </c>
      <c r="AD551" t="s">
        <v>1171</v>
      </c>
    </row>
    <row r="552" spans="1:30" ht="34" x14ac:dyDescent="0.2">
      <c r="A552" t="s">
        <v>1171</v>
      </c>
      <c r="B552" t="s">
        <v>1724</v>
      </c>
      <c r="C552" t="str">
        <f>"CONF-"&amp;TEXT(us_core_reqs[[#This Row],[ID*]], "0000")</f>
        <v>CONF-0551</v>
      </c>
      <c r="D552" s="11" t="s">
        <v>633</v>
      </c>
      <c r="E552" t="str">
        <f>SUBSTITUTE(us_core_reqs[[#This Row],[URL*]], "https://hl7.org/fhir/us/core/STU8/","")</f>
        <v>security.html#patient-privacy-and-security</v>
      </c>
      <c r="F552" s="11" t="s">
        <v>2220</v>
      </c>
      <c r="G552" t="s">
        <v>29</v>
      </c>
      <c r="I552" t="s">
        <v>58</v>
      </c>
      <c r="J552" t="s">
        <v>1171</v>
      </c>
      <c r="K552" t="s">
        <v>1171</v>
      </c>
      <c r="L552" t="s">
        <v>1173</v>
      </c>
      <c r="M552" t="s">
        <v>1171</v>
      </c>
      <c r="N552" t="s">
        <v>1171</v>
      </c>
      <c r="O552" t="s">
        <v>1171</v>
      </c>
      <c r="P552" t="s">
        <v>1171</v>
      </c>
      <c r="Q552" t="s">
        <v>1171</v>
      </c>
      <c r="R552" t="str">
        <f>_xlfn.TEXTBEFORE(_xlfn.TEXTAFTER(us_core_reqs[[#This Row],[URL*]],"/",-1),".")</f>
        <v>security</v>
      </c>
      <c r="S552" t="str">
        <f>_xlfn.TEXTAFTER(us_core_reqs[[#This Row],[URL*]],"#",-1)</f>
        <v>patient-privacy-and-security</v>
      </c>
      <c r="T552" t="str">
        <f>SUBSTITUTE(SUBSTITUTE(PROPER(SUBSTITUTE(us_core_reqs[[#This Row],[Page]], "-", " "))&amp;": "&amp;PROPER(SUBSTITUTE(us_core_reqs[[#This Row],[Section]], "-", " ")),"Us ","US "), "Uscdi", "USCDI")</f>
        <v>Security: Patient Privacy And Security</v>
      </c>
      <c r="U552" t="s">
        <v>1171</v>
      </c>
      <c r="V552" t="s">
        <v>1171</v>
      </c>
      <c r="W552" t="s">
        <v>1171</v>
      </c>
      <c r="X552" t="s">
        <v>1171</v>
      </c>
      <c r="Y552" t="s">
        <v>1171</v>
      </c>
      <c r="Z552" t="s">
        <v>1171</v>
      </c>
      <c r="AA552" t="s">
        <v>1171</v>
      </c>
      <c r="AB552" t="s">
        <v>1171</v>
      </c>
      <c r="AC552" t="s">
        <v>1171</v>
      </c>
      <c r="AD552" t="s">
        <v>1171</v>
      </c>
    </row>
    <row r="553" spans="1:30" ht="34" x14ac:dyDescent="0.2">
      <c r="A553" t="s">
        <v>1171</v>
      </c>
      <c r="B553" t="s">
        <v>1725</v>
      </c>
      <c r="C553" t="str">
        <f>"CONF-"&amp;TEXT(us_core_reqs[[#This Row],[ID*]], "0000")</f>
        <v>CONF-0552</v>
      </c>
      <c r="D553" s="11" t="s">
        <v>633</v>
      </c>
      <c r="E553" t="str">
        <f>SUBSTITUTE(us_core_reqs[[#This Row],[URL*]], "https://hl7.org/fhir/us/core/STU8/","")</f>
        <v>security.html#patient-privacy-and-security</v>
      </c>
      <c r="F553" s="11" t="s">
        <v>2013</v>
      </c>
      <c r="G553" t="s">
        <v>32</v>
      </c>
      <c r="I553" t="s">
        <v>30</v>
      </c>
      <c r="J553" t="s">
        <v>1171</v>
      </c>
      <c r="K553" t="s">
        <v>1171</v>
      </c>
      <c r="L553" t="s">
        <v>1173</v>
      </c>
      <c r="M553" t="s">
        <v>1171</v>
      </c>
      <c r="N553" t="s">
        <v>1171</v>
      </c>
      <c r="O553" t="s">
        <v>1171</v>
      </c>
      <c r="P553" t="s">
        <v>1171</v>
      </c>
      <c r="Q553" t="s">
        <v>1171</v>
      </c>
      <c r="R553" t="str">
        <f>_xlfn.TEXTBEFORE(_xlfn.TEXTAFTER(us_core_reqs[[#This Row],[URL*]],"/",-1),".")</f>
        <v>security</v>
      </c>
      <c r="S553" t="str">
        <f>_xlfn.TEXTAFTER(us_core_reqs[[#This Row],[URL*]],"#",-1)</f>
        <v>patient-privacy-and-security</v>
      </c>
      <c r="T553" t="str">
        <f>SUBSTITUTE(SUBSTITUTE(PROPER(SUBSTITUTE(us_core_reqs[[#This Row],[Page]], "-", " "))&amp;": "&amp;PROPER(SUBSTITUTE(us_core_reqs[[#This Row],[Section]], "-", " ")),"Us ","US "), "Uscdi", "USCDI")</f>
        <v>Security: Patient Privacy And Security</v>
      </c>
      <c r="U553" t="s">
        <v>1171</v>
      </c>
      <c r="V553" t="s">
        <v>1171</v>
      </c>
      <c r="W553" t="s">
        <v>1171</v>
      </c>
      <c r="X553" t="s">
        <v>1171</v>
      </c>
      <c r="Y553" t="s">
        <v>1171</v>
      </c>
      <c r="Z553" t="s">
        <v>1171</v>
      </c>
      <c r="AA553" t="s">
        <v>1171</v>
      </c>
      <c r="AB553" t="s">
        <v>1171</v>
      </c>
      <c r="AC553" t="s">
        <v>1171</v>
      </c>
      <c r="AD553" t="s">
        <v>1171</v>
      </c>
    </row>
    <row r="554" spans="1:30" ht="34" x14ac:dyDescent="0.2">
      <c r="A554" t="s">
        <v>1171</v>
      </c>
      <c r="B554" t="s">
        <v>1726</v>
      </c>
      <c r="C554" t="str">
        <f>"CONF-"&amp;TEXT(us_core_reqs[[#This Row],[ID*]], "0000")</f>
        <v>CONF-0553</v>
      </c>
      <c r="D554" s="11" t="s">
        <v>633</v>
      </c>
      <c r="E554" t="str">
        <f>SUBSTITUTE(us_core_reqs[[#This Row],[URL*]], "https://hl7.org/fhir/us/core/STU8/","")</f>
        <v>security.html#patient-privacy-and-security</v>
      </c>
      <c r="F554" s="11" t="s">
        <v>2013</v>
      </c>
      <c r="G554" t="s">
        <v>32</v>
      </c>
      <c r="I554" t="s">
        <v>58</v>
      </c>
      <c r="J554" t="s">
        <v>1171</v>
      </c>
      <c r="K554" t="s">
        <v>1171</v>
      </c>
      <c r="L554" t="s">
        <v>1173</v>
      </c>
      <c r="M554" t="s">
        <v>1171</v>
      </c>
      <c r="N554" t="s">
        <v>1171</v>
      </c>
      <c r="O554" t="s">
        <v>1171</v>
      </c>
      <c r="P554" t="s">
        <v>1171</v>
      </c>
      <c r="Q554" t="s">
        <v>1171</v>
      </c>
      <c r="R554" t="str">
        <f>_xlfn.TEXTBEFORE(_xlfn.TEXTAFTER(us_core_reqs[[#This Row],[URL*]],"/",-1),".")</f>
        <v>security</v>
      </c>
      <c r="S554" t="str">
        <f>_xlfn.TEXTAFTER(us_core_reqs[[#This Row],[URL*]],"#",-1)</f>
        <v>patient-privacy-and-security</v>
      </c>
      <c r="T554" t="str">
        <f>SUBSTITUTE(SUBSTITUTE(PROPER(SUBSTITUTE(us_core_reqs[[#This Row],[Page]], "-", " "))&amp;": "&amp;PROPER(SUBSTITUTE(us_core_reqs[[#This Row],[Section]], "-", " ")),"Us ","US "), "Uscdi", "USCDI")</f>
        <v>Security: Patient Privacy And Security</v>
      </c>
      <c r="U554" t="s">
        <v>1171</v>
      </c>
      <c r="V554" t="s">
        <v>1171</v>
      </c>
      <c r="W554" t="s">
        <v>1171</v>
      </c>
      <c r="X554" t="s">
        <v>1171</v>
      </c>
      <c r="Y554" t="s">
        <v>1171</v>
      </c>
      <c r="Z554" t="s">
        <v>1171</v>
      </c>
      <c r="AA554" t="s">
        <v>1171</v>
      </c>
      <c r="AB554" t="s">
        <v>1171</v>
      </c>
      <c r="AC554" t="s">
        <v>1171</v>
      </c>
      <c r="AD554" t="s">
        <v>1171</v>
      </c>
    </row>
    <row r="555" spans="1:30" ht="34" x14ac:dyDescent="0.2">
      <c r="A555" t="s">
        <v>1171</v>
      </c>
      <c r="B555" t="s">
        <v>1727</v>
      </c>
      <c r="C555" t="str">
        <f>"CONF-"&amp;TEXT(us_core_reqs[[#This Row],[ID*]], "0000")</f>
        <v>CONF-0554</v>
      </c>
      <c r="D555" s="11" t="s">
        <v>633</v>
      </c>
      <c r="E555" t="str">
        <f>SUBSTITUTE(us_core_reqs[[#This Row],[URL*]], "https://hl7.org/fhir/us/core/STU8/","")</f>
        <v>security.html#patient-privacy-and-security</v>
      </c>
      <c r="F555" s="11" t="s">
        <v>2014</v>
      </c>
      <c r="G555" t="s">
        <v>32</v>
      </c>
      <c r="I555" t="s">
        <v>30</v>
      </c>
      <c r="J555" t="s">
        <v>1171</v>
      </c>
      <c r="K555" t="s">
        <v>1171</v>
      </c>
      <c r="L555" t="s">
        <v>1173</v>
      </c>
      <c r="M555" t="s">
        <v>1171</v>
      </c>
      <c r="N555" t="s">
        <v>1171</v>
      </c>
      <c r="O555" t="s">
        <v>1171</v>
      </c>
      <c r="P555" t="s">
        <v>1171</v>
      </c>
      <c r="Q555" t="s">
        <v>1171</v>
      </c>
      <c r="R555" t="str">
        <f>_xlfn.TEXTBEFORE(_xlfn.TEXTAFTER(us_core_reqs[[#This Row],[URL*]],"/",-1),".")</f>
        <v>security</v>
      </c>
      <c r="S555" t="str">
        <f>_xlfn.TEXTAFTER(us_core_reqs[[#This Row],[URL*]],"#",-1)</f>
        <v>patient-privacy-and-security</v>
      </c>
      <c r="T555" t="str">
        <f>SUBSTITUTE(SUBSTITUTE(PROPER(SUBSTITUTE(us_core_reqs[[#This Row],[Page]], "-", " "))&amp;": "&amp;PROPER(SUBSTITUTE(us_core_reqs[[#This Row],[Section]], "-", " ")),"Us ","US "), "Uscdi", "USCDI")</f>
        <v>Security: Patient Privacy And Security</v>
      </c>
      <c r="U555" t="s">
        <v>1171</v>
      </c>
      <c r="V555" t="s">
        <v>1171</v>
      </c>
      <c r="W555" t="s">
        <v>1171</v>
      </c>
      <c r="X555" t="s">
        <v>1171</v>
      </c>
      <c r="Y555" t="s">
        <v>1171</v>
      </c>
      <c r="Z555" t="s">
        <v>1171</v>
      </c>
      <c r="AA555" t="s">
        <v>1171</v>
      </c>
      <c r="AB555" t="s">
        <v>1171</v>
      </c>
      <c r="AC555" t="s">
        <v>1171</v>
      </c>
      <c r="AD555" t="s">
        <v>1171</v>
      </c>
    </row>
    <row r="556" spans="1:30" ht="34" x14ac:dyDescent="0.2">
      <c r="A556" t="s">
        <v>1171</v>
      </c>
      <c r="B556" t="s">
        <v>1728</v>
      </c>
      <c r="C556" t="str">
        <f>"CONF-"&amp;TEXT(us_core_reqs[[#This Row],[ID*]], "0000")</f>
        <v>CONF-0555</v>
      </c>
      <c r="D556" s="11" t="s">
        <v>633</v>
      </c>
      <c r="E556" t="str">
        <f>SUBSTITUTE(us_core_reqs[[#This Row],[URL*]], "https://hl7.org/fhir/us/core/STU8/","")</f>
        <v>security.html#patient-privacy-and-security</v>
      </c>
      <c r="F556" s="11" t="s">
        <v>2014</v>
      </c>
      <c r="G556" t="s">
        <v>32</v>
      </c>
      <c r="I556" t="s">
        <v>58</v>
      </c>
      <c r="J556" t="s">
        <v>1171</v>
      </c>
      <c r="K556" t="s">
        <v>1171</v>
      </c>
      <c r="L556" t="s">
        <v>1173</v>
      </c>
      <c r="M556" t="s">
        <v>1171</v>
      </c>
      <c r="N556" t="s">
        <v>1171</v>
      </c>
      <c r="O556" t="s">
        <v>1171</v>
      </c>
      <c r="P556" t="s">
        <v>1171</v>
      </c>
      <c r="Q556" t="s">
        <v>1171</v>
      </c>
      <c r="R556" t="str">
        <f>_xlfn.TEXTBEFORE(_xlfn.TEXTAFTER(us_core_reqs[[#This Row],[URL*]],"/",-1),".")</f>
        <v>security</v>
      </c>
      <c r="S556" t="str">
        <f>_xlfn.TEXTAFTER(us_core_reqs[[#This Row],[URL*]],"#",-1)</f>
        <v>patient-privacy-and-security</v>
      </c>
      <c r="T556" t="str">
        <f>SUBSTITUTE(SUBSTITUTE(PROPER(SUBSTITUTE(us_core_reqs[[#This Row],[Page]], "-", " "))&amp;": "&amp;PROPER(SUBSTITUTE(us_core_reqs[[#This Row],[Section]], "-", " ")),"Us ","US "), "Uscdi", "USCDI")</f>
        <v>Security: Patient Privacy And Security</v>
      </c>
      <c r="U556" t="s">
        <v>1171</v>
      </c>
      <c r="V556" t="s">
        <v>1171</v>
      </c>
      <c r="W556" t="s">
        <v>1171</v>
      </c>
      <c r="X556" t="s">
        <v>1171</v>
      </c>
      <c r="Y556" t="s">
        <v>1171</v>
      </c>
      <c r="Z556" t="s">
        <v>1171</v>
      </c>
      <c r="AA556" t="s">
        <v>1171</v>
      </c>
      <c r="AB556" t="s">
        <v>1171</v>
      </c>
      <c r="AC556" t="s">
        <v>1171</v>
      </c>
      <c r="AD556" t="s">
        <v>1171</v>
      </c>
    </row>
    <row r="557" spans="1:30" ht="51" x14ac:dyDescent="0.2">
      <c r="A557" t="s">
        <v>1171</v>
      </c>
      <c r="B557" t="s">
        <v>1729</v>
      </c>
      <c r="C557" t="str">
        <f>"CONF-"&amp;TEXT(us_core_reqs[[#This Row],[ID*]], "0000")</f>
        <v>CONF-0556</v>
      </c>
      <c r="D557" s="11" t="s">
        <v>633</v>
      </c>
      <c r="E557" t="str">
        <f>SUBSTITUTE(us_core_reqs[[#This Row],[URL*]], "https://hl7.org/fhir/us/core/STU8/","")</f>
        <v>security.html#patient-privacy-and-security</v>
      </c>
      <c r="F557" s="11" t="s">
        <v>2015</v>
      </c>
      <c r="G557" t="s">
        <v>32</v>
      </c>
      <c r="I557" t="s">
        <v>30</v>
      </c>
      <c r="J557" t="s">
        <v>1171</v>
      </c>
      <c r="K557" t="s">
        <v>1171</v>
      </c>
      <c r="L557" t="s">
        <v>1173</v>
      </c>
      <c r="M557" t="s">
        <v>1171</v>
      </c>
      <c r="N557" t="s">
        <v>1171</v>
      </c>
      <c r="O557" t="s">
        <v>1171</v>
      </c>
      <c r="P557" t="s">
        <v>1171</v>
      </c>
      <c r="Q557" t="s">
        <v>1171</v>
      </c>
      <c r="R557" t="str">
        <f>_xlfn.TEXTBEFORE(_xlfn.TEXTAFTER(us_core_reqs[[#This Row],[URL*]],"/",-1),".")</f>
        <v>security</v>
      </c>
      <c r="S557" t="str">
        <f>_xlfn.TEXTAFTER(us_core_reqs[[#This Row],[URL*]],"#",-1)</f>
        <v>patient-privacy-and-security</v>
      </c>
      <c r="T557" t="str">
        <f>SUBSTITUTE(SUBSTITUTE(PROPER(SUBSTITUTE(us_core_reqs[[#This Row],[Page]], "-", " "))&amp;": "&amp;PROPER(SUBSTITUTE(us_core_reqs[[#This Row],[Section]], "-", " ")),"Us ","US "), "Uscdi", "USCDI")</f>
        <v>Security: Patient Privacy And Security</v>
      </c>
      <c r="U557" t="s">
        <v>1171</v>
      </c>
      <c r="V557" t="s">
        <v>1171</v>
      </c>
      <c r="W557" t="s">
        <v>1171</v>
      </c>
      <c r="X557" t="s">
        <v>1171</v>
      </c>
      <c r="Y557" t="s">
        <v>1171</v>
      </c>
      <c r="Z557" t="s">
        <v>1171</v>
      </c>
      <c r="AA557" t="s">
        <v>1171</v>
      </c>
      <c r="AB557" t="s">
        <v>1171</v>
      </c>
      <c r="AC557" t="s">
        <v>1171</v>
      </c>
      <c r="AD557" t="s">
        <v>1171</v>
      </c>
    </row>
    <row r="558" spans="1:30" ht="51" x14ac:dyDescent="0.2">
      <c r="A558" t="s">
        <v>1171</v>
      </c>
      <c r="B558" t="s">
        <v>1730</v>
      </c>
      <c r="C558" t="str">
        <f>"CONF-"&amp;TEXT(us_core_reqs[[#This Row],[ID*]], "0000")</f>
        <v>CONF-0557</v>
      </c>
      <c r="D558" s="11" t="s">
        <v>633</v>
      </c>
      <c r="E558" t="str">
        <f>SUBSTITUTE(us_core_reqs[[#This Row],[URL*]], "https://hl7.org/fhir/us/core/STU8/","")</f>
        <v>security.html#patient-privacy-and-security</v>
      </c>
      <c r="F558" s="11" t="s">
        <v>2015</v>
      </c>
      <c r="G558" t="s">
        <v>32</v>
      </c>
      <c r="I558" t="s">
        <v>58</v>
      </c>
      <c r="J558" t="s">
        <v>1171</v>
      </c>
      <c r="K558" t="s">
        <v>1171</v>
      </c>
      <c r="L558" t="s">
        <v>1173</v>
      </c>
      <c r="M558" t="s">
        <v>1171</v>
      </c>
      <c r="N558" t="s">
        <v>1171</v>
      </c>
      <c r="O558" t="s">
        <v>1171</v>
      </c>
      <c r="P558" t="s">
        <v>1171</v>
      </c>
      <c r="Q558" t="s">
        <v>1171</v>
      </c>
      <c r="R558" t="str">
        <f>_xlfn.TEXTBEFORE(_xlfn.TEXTAFTER(us_core_reqs[[#This Row],[URL*]],"/",-1),".")</f>
        <v>security</v>
      </c>
      <c r="S558" t="str">
        <f>_xlfn.TEXTAFTER(us_core_reqs[[#This Row],[URL*]],"#",-1)</f>
        <v>patient-privacy-and-security</v>
      </c>
      <c r="T558" t="str">
        <f>SUBSTITUTE(SUBSTITUTE(PROPER(SUBSTITUTE(us_core_reqs[[#This Row],[Page]], "-", " "))&amp;": "&amp;PROPER(SUBSTITUTE(us_core_reqs[[#This Row],[Section]], "-", " ")),"Us ","US "), "Uscdi", "USCDI")</f>
        <v>Security: Patient Privacy And Security</v>
      </c>
      <c r="U558" t="s">
        <v>1171</v>
      </c>
      <c r="V558" t="s">
        <v>1171</v>
      </c>
      <c r="W558" t="s">
        <v>1171</v>
      </c>
      <c r="X558" t="s">
        <v>1171</v>
      </c>
      <c r="Y558" t="s">
        <v>1171</v>
      </c>
      <c r="Z558" t="s">
        <v>1171</v>
      </c>
      <c r="AA558" t="s">
        <v>1171</v>
      </c>
      <c r="AB558" t="s">
        <v>1171</v>
      </c>
      <c r="AC558" t="s">
        <v>1171</v>
      </c>
      <c r="AD558" t="s">
        <v>1171</v>
      </c>
    </row>
    <row r="559" spans="1:30" ht="51" x14ac:dyDescent="0.2">
      <c r="A559" t="s">
        <v>1171</v>
      </c>
      <c r="B559" t="s">
        <v>1731</v>
      </c>
      <c r="C559" t="str">
        <f>"CONF-"&amp;TEXT(us_core_reqs[[#This Row],[ID*]], "0000")</f>
        <v>CONF-0558</v>
      </c>
      <c r="D559" s="11" t="s">
        <v>633</v>
      </c>
      <c r="E559" t="str">
        <f>SUBSTITUTE(us_core_reqs[[#This Row],[URL*]], "https://hl7.org/fhir/us/core/STU8/","")</f>
        <v>security.html#patient-privacy-and-security</v>
      </c>
      <c r="F559" s="11" t="s">
        <v>2228</v>
      </c>
      <c r="G559" t="s">
        <v>29</v>
      </c>
      <c r="I559" t="s">
        <v>30</v>
      </c>
      <c r="J559" t="s">
        <v>1171</v>
      </c>
      <c r="K559" t="s">
        <v>1171</v>
      </c>
      <c r="L559" t="s">
        <v>1173</v>
      </c>
      <c r="M559" t="s">
        <v>1171</v>
      </c>
      <c r="N559" t="s">
        <v>1171</v>
      </c>
      <c r="O559" t="s">
        <v>1171</v>
      </c>
      <c r="P559" t="s">
        <v>1171</v>
      </c>
      <c r="Q559" t="s">
        <v>1171</v>
      </c>
      <c r="R559" t="str">
        <f>_xlfn.TEXTBEFORE(_xlfn.TEXTAFTER(us_core_reqs[[#This Row],[URL*]],"/",-1),".")</f>
        <v>security</v>
      </c>
      <c r="S559" t="str">
        <f>_xlfn.TEXTAFTER(us_core_reqs[[#This Row],[URL*]],"#",-1)</f>
        <v>patient-privacy-and-security</v>
      </c>
      <c r="T559" t="str">
        <f>SUBSTITUTE(SUBSTITUTE(PROPER(SUBSTITUTE(us_core_reqs[[#This Row],[Page]], "-", " "))&amp;": "&amp;PROPER(SUBSTITUTE(us_core_reqs[[#This Row],[Section]], "-", " ")),"Us ","US "), "Uscdi", "USCDI")</f>
        <v>Security: Patient Privacy And Security</v>
      </c>
      <c r="U559" t="s">
        <v>1171</v>
      </c>
      <c r="V559" t="s">
        <v>1171</v>
      </c>
      <c r="W559" t="s">
        <v>1171</v>
      </c>
      <c r="X559" t="s">
        <v>1171</v>
      </c>
      <c r="Y559" t="s">
        <v>1171</v>
      </c>
      <c r="Z559" t="s">
        <v>1171</v>
      </c>
      <c r="AA559" t="s">
        <v>1171</v>
      </c>
      <c r="AB559" t="s">
        <v>1171</v>
      </c>
      <c r="AC559" t="s">
        <v>1141</v>
      </c>
      <c r="AD559" t="s">
        <v>1171</v>
      </c>
    </row>
    <row r="560" spans="1:30" ht="51" x14ac:dyDescent="0.2">
      <c r="A560" t="s">
        <v>1171</v>
      </c>
      <c r="B560" t="s">
        <v>1732</v>
      </c>
      <c r="C560" t="str">
        <f>"CONF-"&amp;TEXT(us_core_reqs[[#This Row],[ID*]], "0000")</f>
        <v>CONF-0559</v>
      </c>
      <c r="D560" s="11" t="s">
        <v>633</v>
      </c>
      <c r="E560" t="str">
        <f>SUBSTITUTE(us_core_reqs[[#This Row],[URL*]], "https://hl7.org/fhir/us/core/STU8/","")</f>
        <v>security.html#patient-privacy-and-security</v>
      </c>
      <c r="F560" s="11" t="s">
        <v>2228</v>
      </c>
      <c r="G560" t="s">
        <v>29</v>
      </c>
      <c r="I560" t="s">
        <v>58</v>
      </c>
      <c r="J560" t="s">
        <v>1171</v>
      </c>
      <c r="K560" t="s">
        <v>1171</v>
      </c>
      <c r="L560" t="s">
        <v>1173</v>
      </c>
      <c r="M560" t="s">
        <v>1171</v>
      </c>
      <c r="N560" t="s">
        <v>1171</v>
      </c>
      <c r="O560" t="s">
        <v>1171</v>
      </c>
      <c r="P560" t="s">
        <v>1171</v>
      </c>
      <c r="Q560" t="s">
        <v>1171</v>
      </c>
      <c r="R560" t="str">
        <f>_xlfn.TEXTBEFORE(_xlfn.TEXTAFTER(us_core_reqs[[#This Row],[URL*]],"/",-1),".")</f>
        <v>security</v>
      </c>
      <c r="S560" t="str">
        <f>_xlfn.TEXTAFTER(us_core_reqs[[#This Row],[URL*]],"#",-1)</f>
        <v>patient-privacy-and-security</v>
      </c>
      <c r="T560" t="str">
        <f>SUBSTITUTE(SUBSTITUTE(PROPER(SUBSTITUTE(us_core_reqs[[#This Row],[Page]], "-", " "))&amp;": "&amp;PROPER(SUBSTITUTE(us_core_reqs[[#This Row],[Section]], "-", " ")),"Us ","US "), "Uscdi", "USCDI")</f>
        <v>Security: Patient Privacy And Security</v>
      </c>
      <c r="U560" t="s">
        <v>1171</v>
      </c>
      <c r="V560" t="s">
        <v>1171</v>
      </c>
      <c r="W560" t="s">
        <v>1171</v>
      </c>
      <c r="X560" t="s">
        <v>1171</v>
      </c>
      <c r="Y560" t="s">
        <v>1171</v>
      </c>
      <c r="Z560" t="s">
        <v>1171</v>
      </c>
      <c r="AA560" t="s">
        <v>1171</v>
      </c>
      <c r="AB560" t="s">
        <v>1171</v>
      </c>
      <c r="AC560" t="s">
        <v>1171</v>
      </c>
      <c r="AD560" t="s">
        <v>1171</v>
      </c>
    </row>
    <row r="561" spans="1:30" ht="34" x14ac:dyDescent="0.2">
      <c r="A561" t="s">
        <v>1171</v>
      </c>
      <c r="B561" t="s">
        <v>1733</v>
      </c>
      <c r="C561" t="str">
        <f>"CONF-"&amp;TEXT(us_core_reqs[[#This Row],[ID*]], "0000")</f>
        <v>CONF-0560</v>
      </c>
      <c r="D561" s="11" t="s">
        <v>633</v>
      </c>
      <c r="E561" t="str">
        <f>SUBSTITUTE(us_core_reqs[[#This Row],[URL*]], "https://hl7.org/fhir/us/core/STU8/","")</f>
        <v>security.html#patient-privacy-and-security</v>
      </c>
      <c r="F561" s="11" t="s">
        <v>2016</v>
      </c>
      <c r="G561" t="s">
        <v>32</v>
      </c>
      <c r="I561" t="s">
        <v>30</v>
      </c>
      <c r="J561" t="s">
        <v>1171</v>
      </c>
      <c r="K561" t="s">
        <v>1171</v>
      </c>
      <c r="L561" t="s">
        <v>1173</v>
      </c>
      <c r="M561" t="s">
        <v>1171</v>
      </c>
      <c r="N561" t="s">
        <v>1171</v>
      </c>
      <c r="O561" t="s">
        <v>1171</v>
      </c>
      <c r="P561" t="s">
        <v>1171</v>
      </c>
      <c r="Q561" t="s">
        <v>1171</v>
      </c>
      <c r="R561" t="str">
        <f>_xlfn.TEXTBEFORE(_xlfn.TEXTAFTER(us_core_reqs[[#This Row],[URL*]],"/",-1),".")</f>
        <v>security</v>
      </c>
      <c r="S561" t="str">
        <f>_xlfn.TEXTAFTER(us_core_reqs[[#This Row],[URL*]],"#",-1)</f>
        <v>patient-privacy-and-security</v>
      </c>
      <c r="T561" t="str">
        <f>SUBSTITUTE(SUBSTITUTE(PROPER(SUBSTITUTE(us_core_reqs[[#This Row],[Page]], "-", " "))&amp;": "&amp;PROPER(SUBSTITUTE(us_core_reqs[[#This Row],[Section]], "-", " ")),"Us ","US "), "Uscdi", "USCDI")</f>
        <v>Security: Patient Privacy And Security</v>
      </c>
      <c r="U561" t="s">
        <v>1171</v>
      </c>
      <c r="V561" t="s">
        <v>1171</v>
      </c>
      <c r="W561" t="s">
        <v>1171</v>
      </c>
      <c r="X561" t="s">
        <v>1171</v>
      </c>
      <c r="Y561" t="s">
        <v>1171</v>
      </c>
      <c r="Z561" t="s">
        <v>1171</v>
      </c>
      <c r="AA561" t="s">
        <v>1171</v>
      </c>
      <c r="AB561" t="s">
        <v>1171</v>
      </c>
      <c r="AC561" t="s">
        <v>1171</v>
      </c>
      <c r="AD561" t="s">
        <v>1171</v>
      </c>
    </row>
    <row r="562" spans="1:30" ht="34" x14ac:dyDescent="0.2">
      <c r="A562" t="s">
        <v>1171</v>
      </c>
      <c r="B562" t="s">
        <v>1734</v>
      </c>
      <c r="C562" t="str">
        <f>"CONF-"&amp;TEXT(us_core_reqs[[#This Row],[ID*]], "0000")</f>
        <v>CONF-0561</v>
      </c>
      <c r="D562" s="11" t="s">
        <v>633</v>
      </c>
      <c r="E562" t="str">
        <f>SUBSTITUTE(us_core_reqs[[#This Row],[URL*]], "https://hl7.org/fhir/us/core/STU8/","")</f>
        <v>security.html#patient-privacy-and-security</v>
      </c>
      <c r="F562" s="11" t="s">
        <v>2016</v>
      </c>
      <c r="G562" t="s">
        <v>32</v>
      </c>
      <c r="I562" t="s">
        <v>58</v>
      </c>
      <c r="J562" t="s">
        <v>1171</v>
      </c>
      <c r="K562" t="s">
        <v>1171</v>
      </c>
      <c r="L562" t="s">
        <v>1173</v>
      </c>
      <c r="M562" t="s">
        <v>1171</v>
      </c>
      <c r="N562" t="s">
        <v>1171</v>
      </c>
      <c r="O562" t="s">
        <v>1171</v>
      </c>
      <c r="P562" t="s">
        <v>1171</v>
      </c>
      <c r="Q562" t="s">
        <v>1171</v>
      </c>
      <c r="R562" t="str">
        <f>_xlfn.TEXTBEFORE(_xlfn.TEXTAFTER(us_core_reqs[[#This Row],[URL*]],"/",-1),".")</f>
        <v>security</v>
      </c>
      <c r="S562" t="str">
        <f>_xlfn.TEXTAFTER(us_core_reqs[[#This Row],[URL*]],"#",-1)</f>
        <v>patient-privacy-and-security</v>
      </c>
      <c r="T562" t="str">
        <f>SUBSTITUTE(SUBSTITUTE(PROPER(SUBSTITUTE(us_core_reqs[[#This Row],[Page]], "-", " "))&amp;": "&amp;PROPER(SUBSTITUTE(us_core_reqs[[#This Row],[Section]], "-", " ")),"Us ","US "), "Uscdi", "USCDI")</f>
        <v>Security: Patient Privacy And Security</v>
      </c>
      <c r="U562" t="s">
        <v>1171</v>
      </c>
      <c r="V562" t="s">
        <v>1171</v>
      </c>
      <c r="W562" t="s">
        <v>1171</v>
      </c>
      <c r="X562" t="s">
        <v>1171</v>
      </c>
      <c r="Y562" t="s">
        <v>1171</v>
      </c>
      <c r="Z562" t="s">
        <v>1171</v>
      </c>
      <c r="AA562" t="s">
        <v>1171</v>
      </c>
      <c r="AB562" t="s">
        <v>1171</v>
      </c>
      <c r="AC562" t="s">
        <v>1171</v>
      </c>
      <c r="AD562" t="s">
        <v>1171</v>
      </c>
    </row>
    <row r="563" spans="1:30" ht="34" x14ac:dyDescent="0.2">
      <c r="A563" t="s">
        <v>1171</v>
      </c>
      <c r="B563" t="s">
        <v>1735</v>
      </c>
      <c r="C563" t="str">
        <f>"CONF-"&amp;TEXT(us_core_reqs[[#This Row],[ID*]], "0000")</f>
        <v>CONF-0562</v>
      </c>
      <c r="D563" s="11" t="s">
        <v>633</v>
      </c>
      <c r="E563" t="str">
        <f>SUBSTITUTE(us_core_reqs[[#This Row],[URL*]], "https://hl7.org/fhir/us/core/STU8/","")</f>
        <v>security.html#patient-privacy-and-security</v>
      </c>
      <c r="F563" s="11" t="s">
        <v>2224</v>
      </c>
      <c r="G563" t="s">
        <v>29</v>
      </c>
      <c r="I563" t="s">
        <v>30</v>
      </c>
      <c r="J563" t="s">
        <v>1171</v>
      </c>
      <c r="K563" t="s">
        <v>1171</v>
      </c>
      <c r="L563" t="s">
        <v>1173</v>
      </c>
      <c r="M563" t="s">
        <v>1171</v>
      </c>
      <c r="N563" t="s">
        <v>1171</v>
      </c>
      <c r="O563" t="s">
        <v>1171</v>
      </c>
      <c r="P563" t="s">
        <v>1171</v>
      </c>
      <c r="Q563" t="s">
        <v>1171</v>
      </c>
      <c r="R563" t="str">
        <f>_xlfn.TEXTBEFORE(_xlfn.TEXTAFTER(us_core_reqs[[#This Row],[URL*]],"/",-1),".")</f>
        <v>security</v>
      </c>
      <c r="S563" t="str">
        <f>_xlfn.TEXTAFTER(us_core_reqs[[#This Row],[URL*]],"#",-1)</f>
        <v>patient-privacy-and-security</v>
      </c>
      <c r="T563" t="str">
        <f>SUBSTITUTE(SUBSTITUTE(PROPER(SUBSTITUTE(us_core_reqs[[#This Row],[Page]], "-", " "))&amp;": "&amp;PROPER(SUBSTITUTE(us_core_reqs[[#This Row],[Section]], "-", " ")),"Us ","US "), "Uscdi", "USCDI")</f>
        <v>Security: Patient Privacy And Security</v>
      </c>
      <c r="U563" t="s">
        <v>1171</v>
      </c>
      <c r="V563" t="s">
        <v>1171</v>
      </c>
      <c r="W563" t="s">
        <v>1171</v>
      </c>
      <c r="X563" t="s">
        <v>1171</v>
      </c>
      <c r="Y563" t="s">
        <v>1171</v>
      </c>
      <c r="Z563" t="s">
        <v>1171</v>
      </c>
      <c r="AA563" t="s">
        <v>1171</v>
      </c>
      <c r="AB563" t="s">
        <v>1171</v>
      </c>
      <c r="AC563" t="s">
        <v>1141</v>
      </c>
      <c r="AD563" t="s">
        <v>1171</v>
      </c>
    </row>
    <row r="564" spans="1:30" ht="34" x14ac:dyDescent="0.2">
      <c r="A564" t="s">
        <v>1171</v>
      </c>
      <c r="B564" t="s">
        <v>1736</v>
      </c>
      <c r="C564" t="str">
        <f>"CONF-"&amp;TEXT(us_core_reqs[[#This Row],[ID*]], "0000")</f>
        <v>CONF-0563</v>
      </c>
      <c r="D564" s="11" t="s">
        <v>633</v>
      </c>
      <c r="E564" t="str">
        <f>SUBSTITUTE(us_core_reqs[[#This Row],[URL*]], "https://hl7.org/fhir/us/core/STU8/","")</f>
        <v>security.html#patient-privacy-and-security</v>
      </c>
      <c r="F564" s="11" t="s">
        <v>2224</v>
      </c>
      <c r="G564" t="s">
        <v>29</v>
      </c>
      <c r="I564" t="s">
        <v>58</v>
      </c>
      <c r="J564" t="s">
        <v>1171</v>
      </c>
      <c r="K564" t="s">
        <v>1171</v>
      </c>
      <c r="L564" t="s">
        <v>1173</v>
      </c>
      <c r="M564" t="s">
        <v>1171</v>
      </c>
      <c r="N564" t="s">
        <v>1171</v>
      </c>
      <c r="O564" t="s">
        <v>1171</v>
      </c>
      <c r="P564" t="s">
        <v>1171</v>
      </c>
      <c r="Q564" t="s">
        <v>1171</v>
      </c>
      <c r="R564" t="str">
        <f>_xlfn.TEXTBEFORE(_xlfn.TEXTAFTER(us_core_reqs[[#This Row],[URL*]],"/",-1),".")</f>
        <v>security</v>
      </c>
      <c r="S564" t="str">
        <f>_xlfn.TEXTAFTER(us_core_reqs[[#This Row],[URL*]],"#",-1)</f>
        <v>patient-privacy-and-security</v>
      </c>
      <c r="T564" t="str">
        <f>SUBSTITUTE(SUBSTITUTE(PROPER(SUBSTITUTE(us_core_reqs[[#This Row],[Page]], "-", " "))&amp;": "&amp;PROPER(SUBSTITUTE(us_core_reqs[[#This Row],[Section]], "-", " ")),"Us ","US "), "Uscdi", "USCDI")</f>
        <v>Security: Patient Privacy And Security</v>
      </c>
      <c r="U564" t="s">
        <v>1171</v>
      </c>
      <c r="V564" t="s">
        <v>1171</v>
      </c>
      <c r="W564" t="s">
        <v>1171</v>
      </c>
      <c r="X564" t="s">
        <v>1171</v>
      </c>
      <c r="Y564" t="s">
        <v>1171</v>
      </c>
      <c r="Z564" t="s">
        <v>1171</v>
      </c>
      <c r="AA564" t="s">
        <v>1171</v>
      </c>
      <c r="AB564" t="s">
        <v>1171</v>
      </c>
      <c r="AC564" t="s">
        <v>1171</v>
      </c>
      <c r="AD564" t="s">
        <v>1171</v>
      </c>
    </row>
    <row r="565" spans="1:30" ht="34" x14ac:dyDescent="0.2">
      <c r="A565" t="s">
        <v>1171</v>
      </c>
      <c r="B565" t="s">
        <v>1737</v>
      </c>
      <c r="C565" t="str">
        <f>"CONF-"&amp;TEXT(us_core_reqs[[#This Row],[ID*]], "0000")</f>
        <v>CONF-0564</v>
      </c>
      <c r="D565" s="11" t="s">
        <v>633</v>
      </c>
      <c r="E565" t="str">
        <f>SUBSTITUTE(us_core_reqs[[#This Row],[URL*]], "https://hl7.org/fhir/us/core/STU8/","")</f>
        <v>security.html#patient-privacy-and-security</v>
      </c>
      <c r="F565" s="11" t="s">
        <v>2230</v>
      </c>
      <c r="G565" t="s">
        <v>29</v>
      </c>
      <c r="I565" t="s">
        <v>30</v>
      </c>
      <c r="J565" t="s">
        <v>1171</v>
      </c>
      <c r="K565" t="s">
        <v>1171</v>
      </c>
      <c r="L565" t="s">
        <v>1173</v>
      </c>
      <c r="M565" t="s">
        <v>1171</v>
      </c>
      <c r="N565" t="s">
        <v>1171</v>
      </c>
      <c r="O565" t="s">
        <v>1171</v>
      </c>
      <c r="P565" t="s">
        <v>1171</v>
      </c>
      <c r="Q565" t="s">
        <v>1171</v>
      </c>
      <c r="R565" t="str">
        <f>_xlfn.TEXTBEFORE(_xlfn.TEXTAFTER(us_core_reqs[[#This Row],[URL*]],"/",-1),".")</f>
        <v>security</v>
      </c>
      <c r="S565" t="str">
        <f>_xlfn.TEXTAFTER(us_core_reqs[[#This Row],[URL*]],"#",-1)</f>
        <v>patient-privacy-and-security</v>
      </c>
      <c r="T565" t="str">
        <f>SUBSTITUTE(SUBSTITUTE(PROPER(SUBSTITUTE(us_core_reqs[[#This Row],[Page]], "-", " "))&amp;": "&amp;PROPER(SUBSTITUTE(us_core_reqs[[#This Row],[Section]], "-", " ")),"Us ","US "), "Uscdi", "USCDI")</f>
        <v>Security: Patient Privacy And Security</v>
      </c>
      <c r="U565" t="s">
        <v>1171</v>
      </c>
      <c r="V565" t="s">
        <v>1171</v>
      </c>
      <c r="W565" t="s">
        <v>1171</v>
      </c>
      <c r="X565" t="s">
        <v>1171</v>
      </c>
      <c r="Y565" t="s">
        <v>1171</v>
      </c>
      <c r="Z565" t="s">
        <v>1171</v>
      </c>
      <c r="AA565" t="s">
        <v>1171</v>
      </c>
      <c r="AB565" t="s">
        <v>1171</v>
      </c>
      <c r="AC565" t="s">
        <v>1140</v>
      </c>
      <c r="AD565" t="s">
        <v>1171</v>
      </c>
    </row>
    <row r="566" spans="1:30" ht="34" x14ac:dyDescent="0.2">
      <c r="A566" t="s">
        <v>1171</v>
      </c>
      <c r="B566" t="s">
        <v>1738</v>
      </c>
      <c r="C566" t="str">
        <f>"CONF-"&amp;TEXT(us_core_reqs[[#This Row],[ID*]], "0000")</f>
        <v>CONF-0565</v>
      </c>
      <c r="D566" s="11" t="s">
        <v>633</v>
      </c>
      <c r="E566" t="str">
        <f>SUBSTITUTE(us_core_reqs[[#This Row],[URL*]], "https://hl7.org/fhir/us/core/STU8/","")</f>
        <v>security.html#patient-privacy-and-security</v>
      </c>
      <c r="F566" s="11" t="s">
        <v>2230</v>
      </c>
      <c r="G566" t="s">
        <v>29</v>
      </c>
      <c r="I566" t="s">
        <v>58</v>
      </c>
      <c r="J566" t="s">
        <v>1171</v>
      </c>
      <c r="K566" t="s">
        <v>1171</v>
      </c>
      <c r="L566" t="s">
        <v>1173</v>
      </c>
      <c r="M566" t="s">
        <v>1171</v>
      </c>
      <c r="N566" t="s">
        <v>1171</v>
      </c>
      <c r="O566" t="s">
        <v>1171</v>
      </c>
      <c r="P566" t="s">
        <v>1171</v>
      </c>
      <c r="Q566" t="s">
        <v>1171</v>
      </c>
      <c r="R566" t="str">
        <f>_xlfn.TEXTBEFORE(_xlfn.TEXTAFTER(us_core_reqs[[#This Row],[URL*]],"/",-1),".")</f>
        <v>security</v>
      </c>
      <c r="S566" t="str">
        <f>_xlfn.TEXTAFTER(us_core_reqs[[#This Row],[URL*]],"#",-1)</f>
        <v>patient-privacy-and-security</v>
      </c>
      <c r="T566" t="str">
        <f>SUBSTITUTE(SUBSTITUTE(PROPER(SUBSTITUTE(us_core_reqs[[#This Row],[Page]], "-", " "))&amp;": "&amp;PROPER(SUBSTITUTE(us_core_reqs[[#This Row],[Section]], "-", " ")),"Us ","US "), "Uscdi", "USCDI")</f>
        <v>Security: Patient Privacy And Security</v>
      </c>
      <c r="U566" t="s">
        <v>1171</v>
      </c>
      <c r="V566" t="s">
        <v>1171</v>
      </c>
      <c r="W566" t="s">
        <v>1171</v>
      </c>
      <c r="X566" t="s">
        <v>1171</v>
      </c>
      <c r="Y566" t="s">
        <v>1171</v>
      </c>
      <c r="Z566" t="s">
        <v>1171</v>
      </c>
      <c r="AA566" t="s">
        <v>1171</v>
      </c>
      <c r="AB566" t="s">
        <v>1171</v>
      </c>
      <c r="AC566" t="s">
        <v>1171</v>
      </c>
      <c r="AD566" t="s">
        <v>1171</v>
      </c>
    </row>
    <row r="567" spans="1:30" ht="34" x14ac:dyDescent="0.2">
      <c r="A567" t="s">
        <v>1171</v>
      </c>
      <c r="B567" t="s">
        <v>1739</v>
      </c>
      <c r="C567" t="str">
        <f>"CONF-"&amp;TEXT(us_core_reqs[[#This Row],[ID*]], "0000")</f>
        <v>CONF-0566</v>
      </c>
      <c r="D567" s="11" t="s">
        <v>633</v>
      </c>
      <c r="E567" t="str">
        <f>SUBSTITUTE(us_core_reqs[[#This Row],[URL*]], "https://hl7.org/fhir/us/core/STU8/","")</f>
        <v>security.html#patient-privacy-and-security</v>
      </c>
      <c r="F567" s="11" t="s">
        <v>2017</v>
      </c>
      <c r="G567" t="s">
        <v>32</v>
      </c>
      <c r="I567" t="s">
        <v>30</v>
      </c>
      <c r="J567" t="s">
        <v>1171</v>
      </c>
      <c r="K567" t="s">
        <v>1171</v>
      </c>
      <c r="L567" t="s">
        <v>1173</v>
      </c>
      <c r="M567" t="s">
        <v>1171</v>
      </c>
      <c r="N567" t="s">
        <v>1171</v>
      </c>
      <c r="O567" t="s">
        <v>1171</v>
      </c>
      <c r="P567" t="s">
        <v>1171</v>
      </c>
      <c r="Q567" t="s">
        <v>1171</v>
      </c>
      <c r="R567" t="str">
        <f>_xlfn.TEXTBEFORE(_xlfn.TEXTAFTER(us_core_reqs[[#This Row],[URL*]],"/",-1),".")</f>
        <v>security</v>
      </c>
      <c r="S567" t="str">
        <f>_xlfn.TEXTAFTER(us_core_reqs[[#This Row],[URL*]],"#",-1)</f>
        <v>patient-privacy-and-security</v>
      </c>
      <c r="T567" t="str">
        <f>SUBSTITUTE(SUBSTITUTE(PROPER(SUBSTITUTE(us_core_reqs[[#This Row],[Page]], "-", " "))&amp;": "&amp;PROPER(SUBSTITUTE(us_core_reqs[[#This Row],[Section]], "-", " ")),"Us ","US "), "Uscdi", "USCDI")</f>
        <v>Security: Patient Privacy And Security</v>
      </c>
      <c r="U567" t="s">
        <v>1171</v>
      </c>
      <c r="V567" t="s">
        <v>1171</v>
      </c>
      <c r="W567" t="s">
        <v>1171</v>
      </c>
      <c r="X567" t="s">
        <v>1171</v>
      </c>
      <c r="Y567" t="s">
        <v>1171</v>
      </c>
      <c r="Z567" t="s">
        <v>1171</v>
      </c>
      <c r="AA567" t="s">
        <v>1171</v>
      </c>
      <c r="AB567" t="s">
        <v>1171</v>
      </c>
      <c r="AC567" t="s">
        <v>1171</v>
      </c>
      <c r="AD567" t="s">
        <v>1171</v>
      </c>
    </row>
    <row r="568" spans="1:30" ht="34" x14ac:dyDescent="0.2">
      <c r="A568" t="s">
        <v>1171</v>
      </c>
      <c r="B568" t="s">
        <v>1740</v>
      </c>
      <c r="C568" t="str">
        <f>"CONF-"&amp;TEXT(us_core_reqs[[#This Row],[ID*]], "0000")</f>
        <v>CONF-0567</v>
      </c>
      <c r="D568" s="11" t="s">
        <v>633</v>
      </c>
      <c r="E568" t="str">
        <f>SUBSTITUTE(us_core_reqs[[#This Row],[URL*]], "https://hl7.org/fhir/us/core/STU8/","")</f>
        <v>security.html#patient-privacy-and-security</v>
      </c>
      <c r="F568" s="11" t="s">
        <v>2017</v>
      </c>
      <c r="G568" t="s">
        <v>32</v>
      </c>
      <c r="I568" t="s">
        <v>58</v>
      </c>
      <c r="J568" t="s">
        <v>1171</v>
      </c>
      <c r="K568" t="s">
        <v>1171</v>
      </c>
      <c r="L568" t="s">
        <v>1173</v>
      </c>
      <c r="M568" t="s">
        <v>1171</v>
      </c>
      <c r="N568" t="s">
        <v>1171</v>
      </c>
      <c r="O568" t="s">
        <v>1171</v>
      </c>
      <c r="P568" t="s">
        <v>1171</v>
      </c>
      <c r="Q568" t="s">
        <v>1171</v>
      </c>
      <c r="R568" t="str">
        <f>_xlfn.TEXTBEFORE(_xlfn.TEXTAFTER(us_core_reqs[[#This Row],[URL*]],"/",-1),".")</f>
        <v>security</v>
      </c>
      <c r="S568" t="str">
        <f>_xlfn.TEXTAFTER(us_core_reqs[[#This Row],[URL*]],"#",-1)</f>
        <v>patient-privacy-and-security</v>
      </c>
      <c r="T568" t="str">
        <f>SUBSTITUTE(SUBSTITUTE(PROPER(SUBSTITUTE(us_core_reqs[[#This Row],[Page]], "-", " "))&amp;": "&amp;PROPER(SUBSTITUTE(us_core_reqs[[#This Row],[Section]], "-", " ")),"Us ","US "), "Uscdi", "USCDI")</f>
        <v>Security: Patient Privacy And Security</v>
      </c>
      <c r="U568" t="s">
        <v>1171</v>
      </c>
      <c r="V568" t="s">
        <v>1171</v>
      </c>
      <c r="W568" t="s">
        <v>1171</v>
      </c>
      <c r="X568" t="s">
        <v>1171</v>
      </c>
      <c r="Y568" t="s">
        <v>1171</v>
      </c>
      <c r="Z568" t="s">
        <v>1171</v>
      </c>
      <c r="AA568" t="s">
        <v>1171</v>
      </c>
      <c r="AB568" t="s">
        <v>1171</v>
      </c>
      <c r="AC568" t="s">
        <v>1171</v>
      </c>
      <c r="AD568" t="s">
        <v>1171</v>
      </c>
    </row>
    <row r="569" spans="1:30" ht="34" x14ac:dyDescent="0.2">
      <c r="A569" t="s">
        <v>1171</v>
      </c>
      <c r="B569" t="s">
        <v>1741</v>
      </c>
      <c r="C569" t="str">
        <f>"CONF-"&amp;TEXT(us_core_reqs[[#This Row],[ID*]], "0000")</f>
        <v>CONF-0568</v>
      </c>
      <c r="D569" s="11" t="s">
        <v>633</v>
      </c>
      <c r="E569" t="str">
        <f>SUBSTITUTE(us_core_reqs[[#This Row],[URL*]], "https://hl7.org/fhir/us/core/STU8/","")</f>
        <v>security.html#patient-privacy-and-security</v>
      </c>
      <c r="F569" s="11" t="s">
        <v>2215</v>
      </c>
      <c r="G569" t="s">
        <v>29</v>
      </c>
      <c r="I569" t="s">
        <v>30</v>
      </c>
      <c r="J569" t="s">
        <v>1171</v>
      </c>
      <c r="K569" t="s">
        <v>1171</v>
      </c>
      <c r="L569" t="s">
        <v>1173</v>
      </c>
      <c r="M569" t="s">
        <v>1171</v>
      </c>
      <c r="N569" t="s">
        <v>1171</v>
      </c>
      <c r="O569" t="s">
        <v>1171</v>
      </c>
      <c r="P569" t="s">
        <v>1171</v>
      </c>
      <c r="Q569" t="s">
        <v>1171</v>
      </c>
      <c r="R569" t="str">
        <f>_xlfn.TEXTBEFORE(_xlfn.TEXTAFTER(us_core_reqs[[#This Row],[URL*]],"/",-1),".")</f>
        <v>security</v>
      </c>
      <c r="S569" t="str">
        <f>_xlfn.TEXTAFTER(us_core_reqs[[#This Row],[URL*]],"#",-1)</f>
        <v>patient-privacy-and-security</v>
      </c>
      <c r="T569" t="str">
        <f>SUBSTITUTE(SUBSTITUTE(PROPER(SUBSTITUTE(us_core_reqs[[#This Row],[Page]], "-", " "))&amp;": "&amp;PROPER(SUBSTITUTE(us_core_reqs[[#This Row],[Section]], "-", " ")),"Us ","US "), "Uscdi", "USCDI")</f>
        <v>Security: Patient Privacy And Security</v>
      </c>
      <c r="U569" t="s">
        <v>1171</v>
      </c>
      <c r="V569" t="s">
        <v>1171</v>
      </c>
      <c r="W569" t="s">
        <v>1171</v>
      </c>
      <c r="X569" t="s">
        <v>1171</v>
      </c>
      <c r="Y569" t="s">
        <v>1171</v>
      </c>
      <c r="Z569" t="s">
        <v>1171</v>
      </c>
      <c r="AA569" t="s">
        <v>1171</v>
      </c>
      <c r="AB569" t="s">
        <v>1171</v>
      </c>
      <c r="AC569" t="s">
        <v>1141</v>
      </c>
      <c r="AD569" t="s">
        <v>1171</v>
      </c>
    </row>
    <row r="570" spans="1:30" ht="34" x14ac:dyDescent="0.2">
      <c r="A570" t="s">
        <v>1171</v>
      </c>
      <c r="B570" t="s">
        <v>1742</v>
      </c>
      <c r="C570" t="str">
        <f>"CONF-"&amp;TEXT(us_core_reqs[[#This Row],[ID*]], "0000")</f>
        <v>CONF-0569</v>
      </c>
      <c r="D570" s="11" t="s">
        <v>633</v>
      </c>
      <c r="E570" t="str">
        <f>SUBSTITUTE(us_core_reqs[[#This Row],[URL*]], "https://hl7.org/fhir/us/core/STU8/","")</f>
        <v>security.html#patient-privacy-and-security</v>
      </c>
      <c r="F570" s="11" t="s">
        <v>2215</v>
      </c>
      <c r="G570" t="s">
        <v>29</v>
      </c>
      <c r="I570" t="s">
        <v>58</v>
      </c>
      <c r="J570" t="s">
        <v>1171</v>
      </c>
      <c r="K570" t="s">
        <v>1171</v>
      </c>
      <c r="L570" t="s">
        <v>1173</v>
      </c>
      <c r="M570" t="s">
        <v>1171</v>
      </c>
      <c r="N570" t="s">
        <v>1171</v>
      </c>
      <c r="O570" t="s">
        <v>1171</v>
      </c>
      <c r="P570" t="s">
        <v>1171</v>
      </c>
      <c r="Q570" t="s">
        <v>1171</v>
      </c>
      <c r="R570" t="str">
        <f>_xlfn.TEXTBEFORE(_xlfn.TEXTAFTER(us_core_reqs[[#This Row],[URL*]],"/",-1),".")</f>
        <v>security</v>
      </c>
      <c r="S570" t="str">
        <f>_xlfn.TEXTAFTER(us_core_reqs[[#This Row],[URL*]],"#",-1)</f>
        <v>patient-privacy-and-security</v>
      </c>
      <c r="T570" t="str">
        <f>SUBSTITUTE(SUBSTITUTE(PROPER(SUBSTITUTE(us_core_reqs[[#This Row],[Page]], "-", " "))&amp;": "&amp;PROPER(SUBSTITUTE(us_core_reqs[[#This Row],[Section]], "-", " ")),"Us ","US "), "Uscdi", "USCDI")</f>
        <v>Security: Patient Privacy And Security</v>
      </c>
      <c r="U570" t="s">
        <v>1171</v>
      </c>
      <c r="V570" t="s">
        <v>1171</v>
      </c>
      <c r="W570" t="s">
        <v>1171</v>
      </c>
      <c r="X570" t="s">
        <v>1171</v>
      </c>
      <c r="Y570" t="s">
        <v>1171</v>
      </c>
      <c r="Z570" t="s">
        <v>1171</v>
      </c>
      <c r="AA570" t="s">
        <v>1171</v>
      </c>
      <c r="AB570" t="s">
        <v>1171</v>
      </c>
      <c r="AC570" t="s">
        <v>1171</v>
      </c>
      <c r="AD570" t="s">
        <v>1171</v>
      </c>
    </row>
    <row r="571" spans="1:30" ht="51" x14ac:dyDescent="0.2">
      <c r="A571" t="s">
        <v>1171</v>
      </c>
      <c r="B571" t="s">
        <v>1743</v>
      </c>
      <c r="C571" t="str">
        <f>"CONF-"&amp;TEXT(us_core_reqs[[#This Row],[ID*]], "0000")</f>
        <v>CONF-0570</v>
      </c>
      <c r="D571" s="11" t="s">
        <v>633</v>
      </c>
      <c r="E571" t="str">
        <f>SUBSTITUTE(us_core_reqs[[#This Row],[URL*]], "https://hl7.org/fhir/us/core/STU8/","")</f>
        <v>security.html#patient-privacy-and-security</v>
      </c>
      <c r="F571" s="11" t="s">
        <v>2158</v>
      </c>
      <c r="G571" t="s">
        <v>29</v>
      </c>
      <c r="I571" t="s">
        <v>30</v>
      </c>
      <c r="J571" t="s">
        <v>1171</v>
      </c>
      <c r="K571" t="s">
        <v>1171</v>
      </c>
      <c r="L571" t="s">
        <v>1173</v>
      </c>
      <c r="M571" t="s">
        <v>1171</v>
      </c>
      <c r="N571" t="s">
        <v>1171</v>
      </c>
      <c r="O571" t="s">
        <v>1171</v>
      </c>
      <c r="P571" t="s">
        <v>1171</v>
      </c>
      <c r="Q571" t="s">
        <v>1171</v>
      </c>
      <c r="R571" t="str">
        <f>_xlfn.TEXTBEFORE(_xlfn.TEXTAFTER(us_core_reqs[[#This Row],[URL*]],"/",-1),".")</f>
        <v>security</v>
      </c>
      <c r="S571" t="str">
        <f>_xlfn.TEXTAFTER(us_core_reqs[[#This Row],[URL*]],"#",-1)</f>
        <v>patient-privacy-and-security</v>
      </c>
      <c r="T571" t="str">
        <f>SUBSTITUTE(SUBSTITUTE(PROPER(SUBSTITUTE(us_core_reqs[[#This Row],[Page]], "-", " "))&amp;": "&amp;PROPER(SUBSTITUTE(us_core_reqs[[#This Row],[Section]], "-", " ")),"Us ","US "), "Uscdi", "USCDI")</f>
        <v>Security: Patient Privacy And Security</v>
      </c>
      <c r="U571" t="s">
        <v>1171</v>
      </c>
      <c r="V571" t="s">
        <v>1171</v>
      </c>
      <c r="W571" t="s">
        <v>1171</v>
      </c>
      <c r="X571" t="s">
        <v>1171</v>
      </c>
      <c r="Y571" t="s">
        <v>1171</v>
      </c>
      <c r="Z571" t="s">
        <v>1171</v>
      </c>
      <c r="AA571" t="s">
        <v>1171</v>
      </c>
      <c r="AB571" t="s">
        <v>1171</v>
      </c>
      <c r="AC571" t="s">
        <v>1140</v>
      </c>
      <c r="AD571" t="s">
        <v>1171</v>
      </c>
    </row>
    <row r="572" spans="1:30" ht="51" x14ac:dyDescent="0.2">
      <c r="A572" t="s">
        <v>1171</v>
      </c>
      <c r="B572" t="s">
        <v>1744</v>
      </c>
      <c r="C572" t="str">
        <f>"CONF-"&amp;TEXT(us_core_reqs[[#This Row],[ID*]], "0000")</f>
        <v>CONF-0571</v>
      </c>
      <c r="D572" s="11" t="s">
        <v>633</v>
      </c>
      <c r="E572" t="str">
        <f>SUBSTITUTE(us_core_reqs[[#This Row],[URL*]], "https://hl7.org/fhir/us/core/STU8/","")</f>
        <v>security.html#patient-privacy-and-security</v>
      </c>
      <c r="F572" s="11" t="s">
        <v>2159</v>
      </c>
      <c r="G572" t="s">
        <v>29</v>
      </c>
      <c r="I572" t="s">
        <v>58</v>
      </c>
      <c r="J572" t="s">
        <v>1171</v>
      </c>
      <c r="K572" t="s">
        <v>1171</v>
      </c>
      <c r="L572" t="s">
        <v>1173</v>
      </c>
      <c r="M572" t="s">
        <v>1171</v>
      </c>
      <c r="N572" t="s">
        <v>1171</v>
      </c>
      <c r="O572" t="s">
        <v>1171</v>
      </c>
      <c r="P572" t="s">
        <v>1171</v>
      </c>
      <c r="Q572" t="s">
        <v>1171</v>
      </c>
      <c r="R572" t="str">
        <f>_xlfn.TEXTBEFORE(_xlfn.TEXTAFTER(us_core_reqs[[#This Row],[URL*]],"/",-1),".")</f>
        <v>security</v>
      </c>
      <c r="S572" t="str">
        <f>_xlfn.TEXTAFTER(us_core_reqs[[#This Row],[URL*]],"#",-1)</f>
        <v>patient-privacy-and-security</v>
      </c>
      <c r="T572" t="str">
        <f>SUBSTITUTE(SUBSTITUTE(PROPER(SUBSTITUTE(us_core_reqs[[#This Row],[Page]], "-", " "))&amp;": "&amp;PROPER(SUBSTITUTE(us_core_reqs[[#This Row],[Section]], "-", " ")),"Us ","US "), "Uscdi", "USCDI")</f>
        <v>Security: Patient Privacy And Security</v>
      </c>
      <c r="U572" t="s">
        <v>1171</v>
      </c>
      <c r="V572" t="s">
        <v>1171</v>
      </c>
      <c r="W572" t="s">
        <v>1171</v>
      </c>
      <c r="X572" t="s">
        <v>1171</v>
      </c>
      <c r="Y572" t="s">
        <v>1171</v>
      </c>
      <c r="Z572" t="s">
        <v>1171</v>
      </c>
      <c r="AA572" t="s">
        <v>1171</v>
      </c>
      <c r="AB572" t="s">
        <v>1082</v>
      </c>
      <c r="AC572" t="s">
        <v>1171</v>
      </c>
      <c r="AD572" t="s">
        <v>1171</v>
      </c>
    </row>
    <row r="573" spans="1:30" ht="34" x14ac:dyDescent="0.2">
      <c r="A573" t="s">
        <v>1171</v>
      </c>
      <c r="B573" t="s">
        <v>1745</v>
      </c>
      <c r="C573" t="str">
        <f>"CONF-"&amp;TEXT(us_core_reqs[[#This Row],[ID*]], "0000")</f>
        <v>CONF-0572</v>
      </c>
      <c r="D573" s="11" t="s">
        <v>633</v>
      </c>
      <c r="E573" t="str">
        <f>SUBSTITUTE(us_core_reqs[[#This Row],[URL*]], "https://hl7.org/fhir/us/core/STU8/","")</f>
        <v>security.html#patient-privacy-and-security</v>
      </c>
      <c r="F573" s="11" t="s">
        <v>2187</v>
      </c>
      <c r="G573" t="s">
        <v>29</v>
      </c>
      <c r="I573" t="s">
        <v>30</v>
      </c>
      <c r="J573" t="s">
        <v>1171</v>
      </c>
      <c r="K573" t="s">
        <v>1171</v>
      </c>
      <c r="L573" t="s">
        <v>1173</v>
      </c>
      <c r="M573" t="s">
        <v>1171</v>
      </c>
      <c r="N573" t="s">
        <v>1171</v>
      </c>
      <c r="O573" t="s">
        <v>1171</v>
      </c>
      <c r="P573" t="s">
        <v>1171</v>
      </c>
      <c r="Q573" t="s">
        <v>1171</v>
      </c>
      <c r="R573" t="str">
        <f>_xlfn.TEXTBEFORE(_xlfn.TEXTAFTER(us_core_reqs[[#This Row],[URL*]],"/",-1),".")</f>
        <v>security</v>
      </c>
      <c r="S573" t="str">
        <f>_xlfn.TEXTAFTER(us_core_reqs[[#This Row],[URL*]],"#",-1)</f>
        <v>patient-privacy-and-security</v>
      </c>
      <c r="T573" t="str">
        <f>SUBSTITUTE(SUBSTITUTE(PROPER(SUBSTITUTE(us_core_reqs[[#This Row],[Page]], "-", " "))&amp;": "&amp;PROPER(SUBSTITUTE(us_core_reqs[[#This Row],[Section]], "-", " ")),"Us ","US "), "Uscdi", "USCDI")</f>
        <v>Security: Patient Privacy And Security</v>
      </c>
      <c r="U573" t="s">
        <v>1171</v>
      </c>
      <c r="V573" t="s">
        <v>1171</v>
      </c>
      <c r="W573" t="s">
        <v>1171</v>
      </c>
      <c r="X573" t="s">
        <v>1171</v>
      </c>
      <c r="Y573" t="s">
        <v>1171</v>
      </c>
      <c r="Z573" t="s">
        <v>1171</v>
      </c>
      <c r="AA573" t="s">
        <v>1171</v>
      </c>
      <c r="AB573" t="s">
        <v>1171</v>
      </c>
      <c r="AC573" t="s">
        <v>1141</v>
      </c>
      <c r="AD573" t="s">
        <v>1171</v>
      </c>
    </row>
    <row r="574" spans="1:30" ht="34" x14ac:dyDescent="0.2">
      <c r="A574" t="s">
        <v>1171</v>
      </c>
      <c r="B574" t="s">
        <v>1746</v>
      </c>
      <c r="C574" t="str">
        <f>"CONF-"&amp;TEXT(us_core_reqs[[#This Row],[ID*]], "0000")</f>
        <v>CONF-0573</v>
      </c>
      <c r="D574" s="11" t="s">
        <v>633</v>
      </c>
      <c r="E574" t="str">
        <f>SUBSTITUTE(us_core_reqs[[#This Row],[URL*]], "https://hl7.org/fhir/us/core/STU8/","")</f>
        <v>security.html#patient-privacy-and-security</v>
      </c>
      <c r="F574" s="11" t="s">
        <v>2187</v>
      </c>
      <c r="G574" t="s">
        <v>29</v>
      </c>
      <c r="I574" t="s">
        <v>58</v>
      </c>
      <c r="J574" t="s">
        <v>1171</v>
      </c>
      <c r="K574" t="s">
        <v>1171</v>
      </c>
      <c r="L574" t="s">
        <v>1173</v>
      </c>
      <c r="M574" t="s">
        <v>1171</v>
      </c>
      <c r="N574" t="s">
        <v>1171</v>
      </c>
      <c r="O574" t="s">
        <v>1171</v>
      </c>
      <c r="P574" t="s">
        <v>1171</v>
      </c>
      <c r="Q574" t="s">
        <v>1171</v>
      </c>
      <c r="R574" t="str">
        <f>_xlfn.TEXTBEFORE(_xlfn.TEXTAFTER(us_core_reqs[[#This Row],[URL*]],"/",-1),".")</f>
        <v>security</v>
      </c>
      <c r="S574" t="str">
        <f>_xlfn.TEXTAFTER(us_core_reqs[[#This Row],[URL*]],"#",-1)</f>
        <v>patient-privacy-and-security</v>
      </c>
      <c r="T574" t="str">
        <f>SUBSTITUTE(SUBSTITUTE(PROPER(SUBSTITUTE(us_core_reqs[[#This Row],[Page]], "-", " "))&amp;": "&amp;PROPER(SUBSTITUTE(us_core_reqs[[#This Row],[Section]], "-", " ")),"Us ","US "), "Uscdi", "USCDI")</f>
        <v>Security: Patient Privacy And Security</v>
      </c>
      <c r="U574" t="s">
        <v>1171</v>
      </c>
      <c r="V574" t="s">
        <v>1171</v>
      </c>
      <c r="W574" t="s">
        <v>1171</v>
      </c>
      <c r="X574" t="s">
        <v>1171</v>
      </c>
      <c r="Y574" t="s">
        <v>1171</v>
      </c>
      <c r="Z574" t="s">
        <v>1171</v>
      </c>
      <c r="AA574" t="s">
        <v>1171</v>
      </c>
      <c r="AB574" t="s">
        <v>1171</v>
      </c>
      <c r="AC574" t="s">
        <v>1171</v>
      </c>
      <c r="AD574" t="s">
        <v>1171</v>
      </c>
    </row>
    <row r="575" spans="1:30" ht="34" x14ac:dyDescent="0.2">
      <c r="A575" t="s">
        <v>1171</v>
      </c>
      <c r="B575" t="s">
        <v>1747</v>
      </c>
      <c r="C575" t="str">
        <f>"CONF-"&amp;TEXT(us_core_reqs[[#This Row],[ID*]], "0000")</f>
        <v>CONF-0574</v>
      </c>
      <c r="D575" s="11" t="s">
        <v>633</v>
      </c>
      <c r="E575" t="str">
        <f>SUBSTITUTE(us_core_reqs[[#This Row],[URL*]], "https://hl7.org/fhir/us/core/STU8/","")</f>
        <v>security.html#patient-privacy-and-security</v>
      </c>
      <c r="F575" s="11" t="s">
        <v>2018</v>
      </c>
      <c r="G575" t="s">
        <v>32</v>
      </c>
      <c r="I575" t="s">
        <v>30</v>
      </c>
      <c r="J575" t="s">
        <v>1171</v>
      </c>
      <c r="K575" t="s">
        <v>1171</v>
      </c>
      <c r="L575" t="s">
        <v>1173</v>
      </c>
      <c r="M575" t="s">
        <v>1171</v>
      </c>
      <c r="N575" t="s">
        <v>1171</v>
      </c>
      <c r="O575" t="s">
        <v>1171</v>
      </c>
      <c r="P575" t="s">
        <v>1171</v>
      </c>
      <c r="Q575" t="s">
        <v>1171</v>
      </c>
      <c r="R575" t="str">
        <f>_xlfn.TEXTBEFORE(_xlfn.TEXTAFTER(us_core_reqs[[#This Row],[URL*]],"/",-1),".")</f>
        <v>security</v>
      </c>
      <c r="S575" t="str">
        <f>_xlfn.TEXTAFTER(us_core_reqs[[#This Row],[URL*]],"#",-1)</f>
        <v>patient-privacy-and-security</v>
      </c>
      <c r="T575" t="str">
        <f>SUBSTITUTE(SUBSTITUTE(PROPER(SUBSTITUTE(us_core_reqs[[#This Row],[Page]], "-", " "))&amp;": "&amp;PROPER(SUBSTITUTE(us_core_reqs[[#This Row],[Section]], "-", " ")),"Us ","US "), "Uscdi", "USCDI")</f>
        <v>Security: Patient Privacy And Security</v>
      </c>
      <c r="U575" t="s">
        <v>1171</v>
      </c>
      <c r="V575" t="s">
        <v>1171</v>
      </c>
      <c r="W575" t="s">
        <v>1171</v>
      </c>
      <c r="X575" t="s">
        <v>1171</v>
      </c>
      <c r="Y575" t="s">
        <v>1171</v>
      </c>
      <c r="Z575" t="s">
        <v>1171</v>
      </c>
      <c r="AA575" t="s">
        <v>1171</v>
      </c>
      <c r="AB575" t="s">
        <v>1171</v>
      </c>
      <c r="AC575" t="s">
        <v>1171</v>
      </c>
      <c r="AD575" t="s">
        <v>1171</v>
      </c>
    </row>
    <row r="576" spans="1:30" ht="34" x14ac:dyDescent="0.2">
      <c r="A576" t="s">
        <v>1171</v>
      </c>
      <c r="B576" t="s">
        <v>1748</v>
      </c>
      <c r="C576" t="str">
        <f>"CONF-"&amp;TEXT(us_core_reqs[[#This Row],[ID*]], "0000")</f>
        <v>CONF-0575</v>
      </c>
      <c r="D576" s="11" t="s">
        <v>633</v>
      </c>
      <c r="E576" t="str">
        <f>SUBSTITUTE(us_core_reqs[[#This Row],[URL*]], "https://hl7.org/fhir/us/core/STU8/","")</f>
        <v>security.html#patient-privacy-and-security</v>
      </c>
      <c r="F576" s="11" t="s">
        <v>2018</v>
      </c>
      <c r="G576" t="s">
        <v>32</v>
      </c>
      <c r="I576" t="s">
        <v>58</v>
      </c>
      <c r="J576" t="s">
        <v>1171</v>
      </c>
      <c r="K576" t="s">
        <v>1171</v>
      </c>
      <c r="L576" t="s">
        <v>1173</v>
      </c>
      <c r="M576" t="s">
        <v>1171</v>
      </c>
      <c r="N576" t="s">
        <v>1171</v>
      </c>
      <c r="O576" t="s">
        <v>1171</v>
      </c>
      <c r="P576" t="s">
        <v>1171</v>
      </c>
      <c r="Q576" t="s">
        <v>1171</v>
      </c>
      <c r="R576" t="str">
        <f>_xlfn.TEXTBEFORE(_xlfn.TEXTAFTER(us_core_reqs[[#This Row],[URL*]],"/",-1),".")</f>
        <v>security</v>
      </c>
      <c r="S576" t="str">
        <f>_xlfn.TEXTAFTER(us_core_reqs[[#This Row],[URL*]],"#",-1)</f>
        <v>patient-privacy-and-security</v>
      </c>
      <c r="T576" t="str">
        <f>SUBSTITUTE(SUBSTITUTE(PROPER(SUBSTITUTE(us_core_reqs[[#This Row],[Page]], "-", " "))&amp;": "&amp;PROPER(SUBSTITUTE(us_core_reqs[[#This Row],[Section]], "-", " ")),"Us ","US "), "Uscdi", "USCDI")</f>
        <v>Security: Patient Privacy And Security</v>
      </c>
      <c r="U576" t="s">
        <v>1171</v>
      </c>
      <c r="V576" t="s">
        <v>1171</v>
      </c>
      <c r="W576" t="s">
        <v>1171</v>
      </c>
      <c r="X576" t="s">
        <v>1171</v>
      </c>
      <c r="Y576" t="s">
        <v>1171</v>
      </c>
      <c r="Z576" t="s">
        <v>1171</v>
      </c>
      <c r="AA576" t="s">
        <v>1171</v>
      </c>
      <c r="AB576" t="s">
        <v>1171</v>
      </c>
      <c r="AC576" t="s">
        <v>1171</v>
      </c>
      <c r="AD576" t="s">
        <v>1171</v>
      </c>
    </row>
    <row r="577" spans="1:30" ht="68" x14ac:dyDescent="0.2">
      <c r="A577" t="s">
        <v>1171</v>
      </c>
      <c r="B577" t="s">
        <v>1749</v>
      </c>
      <c r="C577" t="str">
        <f>"CONF-"&amp;TEXT(us_core_reqs[[#This Row],[ID*]], "0000")</f>
        <v>CONF-0576</v>
      </c>
      <c r="D577" s="11" t="s">
        <v>633</v>
      </c>
      <c r="E577" t="str">
        <f>SUBSTITUTE(us_core_reqs[[#This Row],[URL*]], "https://hl7.org/fhir/us/core/STU8/","")</f>
        <v>security.html#patient-privacy-and-security</v>
      </c>
      <c r="F577" s="11" t="s">
        <v>2019</v>
      </c>
      <c r="G577" t="s">
        <v>32</v>
      </c>
      <c r="I577" t="s">
        <v>30</v>
      </c>
      <c r="J577" t="s">
        <v>1171</v>
      </c>
      <c r="K577" t="s">
        <v>1171</v>
      </c>
      <c r="L577" t="s">
        <v>1173</v>
      </c>
      <c r="M577" t="s">
        <v>1171</v>
      </c>
      <c r="N577" t="s">
        <v>1171</v>
      </c>
      <c r="O577" t="s">
        <v>1171</v>
      </c>
      <c r="P577" t="s">
        <v>1171</v>
      </c>
      <c r="Q577" t="s">
        <v>1171</v>
      </c>
      <c r="R577" t="str">
        <f>_xlfn.TEXTBEFORE(_xlfn.TEXTAFTER(us_core_reqs[[#This Row],[URL*]],"/",-1),".")</f>
        <v>security</v>
      </c>
      <c r="S577" t="str">
        <f>_xlfn.TEXTAFTER(us_core_reqs[[#This Row],[URL*]],"#",-1)</f>
        <v>patient-privacy-and-security</v>
      </c>
      <c r="T577" t="str">
        <f>SUBSTITUTE(SUBSTITUTE(PROPER(SUBSTITUTE(us_core_reqs[[#This Row],[Page]], "-", " "))&amp;": "&amp;PROPER(SUBSTITUTE(us_core_reqs[[#This Row],[Section]], "-", " ")),"Us ","US "), "Uscdi", "USCDI")</f>
        <v>Security: Patient Privacy And Security</v>
      </c>
      <c r="U577" t="s">
        <v>1171</v>
      </c>
      <c r="V577" t="s">
        <v>1171</v>
      </c>
      <c r="W577" t="s">
        <v>1171</v>
      </c>
      <c r="X577" t="s">
        <v>1171</v>
      </c>
      <c r="Y577" t="s">
        <v>1171</v>
      </c>
      <c r="Z577" t="s">
        <v>1171</v>
      </c>
      <c r="AA577" t="s">
        <v>1171</v>
      </c>
      <c r="AB577" t="s">
        <v>1171</v>
      </c>
      <c r="AC577" t="s">
        <v>1171</v>
      </c>
      <c r="AD577" t="s">
        <v>1171</v>
      </c>
    </row>
    <row r="578" spans="1:30" ht="68" x14ac:dyDescent="0.2">
      <c r="A578" t="s">
        <v>1171</v>
      </c>
      <c r="B578" t="s">
        <v>1750</v>
      </c>
      <c r="C578" t="str">
        <f>"CONF-"&amp;TEXT(us_core_reqs[[#This Row],[ID*]], "0000")</f>
        <v>CONF-0577</v>
      </c>
      <c r="D578" s="11" t="s">
        <v>633</v>
      </c>
      <c r="E578" t="str">
        <f>SUBSTITUTE(us_core_reqs[[#This Row],[URL*]], "https://hl7.org/fhir/us/core/STU8/","")</f>
        <v>security.html#patient-privacy-and-security</v>
      </c>
      <c r="F578" s="11" t="s">
        <v>2019</v>
      </c>
      <c r="G578" t="s">
        <v>32</v>
      </c>
      <c r="I578" t="s">
        <v>58</v>
      </c>
      <c r="J578" t="s">
        <v>1171</v>
      </c>
      <c r="K578" t="s">
        <v>1171</v>
      </c>
      <c r="L578" t="s">
        <v>1173</v>
      </c>
      <c r="M578" t="s">
        <v>1171</v>
      </c>
      <c r="N578" t="s">
        <v>1171</v>
      </c>
      <c r="O578" t="s">
        <v>1171</v>
      </c>
      <c r="P578" t="s">
        <v>1171</v>
      </c>
      <c r="Q578" t="s">
        <v>1171</v>
      </c>
      <c r="R578" t="str">
        <f>_xlfn.TEXTBEFORE(_xlfn.TEXTAFTER(us_core_reqs[[#This Row],[URL*]],"/",-1),".")</f>
        <v>security</v>
      </c>
      <c r="S578" t="str">
        <f>_xlfn.TEXTAFTER(us_core_reqs[[#This Row],[URL*]],"#",-1)</f>
        <v>patient-privacy-and-security</v>
      </c>
      <c r="T578" t="str">
        <f>SUBSTITUTE(SUBSTITUTE(PROPER(SUBSTITUTE(us_core_reqs[[#This Row],[Page]], "-", " "))&amp;": "&amp;PROPER(SUBSTITUTE(us_core_reqs[[#This Row],[Section]], "-", " ")),"Us ","US "), "Uscdi", "USCDI")</f>
        <v>Security: Patient Privacy And Security</v>
      </c>
      <c r="U578" t="s">
        <v>1171</v>
      </c>
      <c r="V578" t="s">
        <v>1171</v>
      </c>
      <c r="W578" t="s">
        <v>1171</v>
      </c>
      <c r="X578" t="s">
        <v>1171</v>
      </c>
      <c r="Y578" t="s">
        <v>1171</v>
      </c>
      <c r="Z578" t="s">
        <v>1171</v>
      </c>
      <c r="AA578" t="s">
        <v>1171</v>
      </c>
      <c r="AB578" t="s">
        <v>1171</v>
      </c>
      <c r="AC578" t="s">
        <v>1171</v>
      </c>
      <c r="AD578" t="s">
        <v>1171</v>
      </c>
    </row>
    <row r="579" spans="1:30" ht="51" x14ac:dyDescent="0.2">
      <c r="A579" t="s">
        <v>1171</v>
      </c>
      <c r="B579" t="s">
        <v>1751</v>
      </c>
      <c r="C579" t="str">
        <f>"CONF-"&amp;TEXT(us_core_reqs[[#This Row],[ID*]], "0000")</f>
        <v>CONF-0578</v>
      </c>
      <c r="D579" s="11" t="s">
        <v>633</v>
      </c>
      <c r="E579" t="str">
        <f>SUBSTITUTE(us_core_reqs[[#This Row],[URL*]], "https://hl7.org/fhir/us/core/STU8/","")</f>
        <v>security.html#patient-privacy-and-security</v>
      </c>
      <c r="F579" s="11" t="s">
        <v>2192</v>
      </c>
      <c r="G579" t="s">
        <v>35</v>
      </c>
      <c r="I579" t="s">
        <v>30</v>
      </c>
      <c r="J579" t="s">
        <v>1171</v>
      </c>
      <c r="K579" t="s">
        <v>1171</v>
      </c>
      <c r="L579" t="s">
        <v>1173</v>
      </c>
      <c r="M579" t="s">
        <v>1171</v>
      </c>
      <c r="N579" t="s">
        <v>1171</v>
      </c>
      <c r="O579" t="s">
        <v>1171</v>
      </c>
      <c r="P579" t="s">
        <v>1171</v>
      </c>
      <c r="Q579" t="s">
        <v>1171</v>
      </c>
      <c r="R579" t="str">
        <f>_xlfn.TEXTBEFORE(_xlfn.TEXTAFTER(us_core_reqs[[#This Row],[URL*]],"/",-1),".")</f>
        <v>security</v>
      </c>
      <c r="S579" t="str">
        <f>_xlfn.TEXTAFTER(us_core_reqs[[#This Row],[URL*]],"#",-1)</f>
        <v>patient-privacy-and-security</v>
      </c>
      <c r="T579" t="str">
        <f>SUBSTITUTE(SUBSTITUTE(PROPER(SUBSTITUTE(us_core_reqs[[#This Row],[Page]], "-", " "))&amp;": "&amp;PROPER(SUBSTITUTE(us_core_reqs[[#This Row],[Section]], "-", " ")),"Us ","US "), "Uscdi", "USCDI")</f>
        <v>Security: Patient Privacy And Security</v>
      </c>
      <c r="U579" t="s">
        <v>1171</v>
      </c>
      <c r="V579" t="s">
        <v>1171</v>
      </c>
      <c r="W579" t="s">
        <v>1171</v>
      </c>
      <c r="X579" t="s">
        <v>1171</v>
      </c>
      <c r="Y579" t="s">
        <v>1171</v>
      </c>
      <c r="Z579" t="s">
        <v>1171</v>
      </c>
      <c r="AA579" t="s">
        <v>1171</v>
      </c>
      <c r="AB579" t="s">
        <v>1171</v>
      </c>
      <c r="AC579" t="s">
        <v>1171</v>
      </c>
      <c r="AD579" t="s">
        <v>1171</v>
      </c>
    </row>
    <row r="580" spans="1:30" ht="51" x14ac:dyDescent="0.2">
      <c r="A580" t="s">
        <v>1171</v>
      </c>
      <c r="B580" t="s">
        <v>1752</v>
      </c>
      <c r="C580" t="str">
        <f>"CONF-"&amp;TEXT(us_core_reqs[[#This Row],[ID*]], "0000")</f>
        <v>CONF-0579</v>
      </c>
      <c r="D580" s="11" t="s">
        <v>633</v>
      </c>
      <c r="E580" t="str">
        <f>SUBSTITUTE(us_core_reqs[[#This Row],[URL*]], "https://hl7.org/fhir/us/core/STU8/","")</f>
        <v>security.html#patient-privacy-and-security</v>
      </c>
      <c r="F580" s="11" t="s">
        <v>2192</v>
      </c>
      <c r="G580" t="s">
        <v>35</v>
      </c>
      <c r="I580" t="s">
        <v>58</v>
      </c>
      <c r="J580" t="s">
        <v>1171</v>
      </c>
      <c r="K580" t="s">
        <v>1171</v>
      </c>
      <c r="L580" t="s">
        <v>1173</v>
      </c>
      <c r="M580" t="s">
        <v>1171</v>
      </c>
      <c r="N580" t="s">
        <v>1171</v>
      </c>
      <c r="O580" t="s">
        <v>1171</v>
      </c>
      <c r="P580" t="s">
        <v>1171</v>
      </c>
      <c r="Q580" t="s">
        <v>1171</v>
      </c>
      <c r="R580" t="str">
        <f>_xlfn.TEXTBEFORE(_xlfn.TEXTAFTER(us_core_reqs[[#This Row],[URL*]],"/",-1),".")</f>
        <v>security</v>
      </c>
      <c r="S580" t="str">
        <f>_xlfn.TEXTAFTER(us_core_reqs[[#This Row],[URL*]],"#",-1)</f>
        <v>patient-privacy-and-security</v>
      </c>
      <c r="T580" t="str">
        <f>SUBSTITUTE(SUBSTITUTE(PROPER(SUBSTITUTE(us_core_reqs[[#This Row],[Page]], "-", " "))&amp;": "&amp;PROPER(SUBSTITUTE(us_core_reqs[[#This Row],[Section]], "-", " ")),"Us ","US "), "Uscdi", "USCDI")</f>
        <v>Security: Patient Privacy And Security</v>
      </c>
      <c r="U580" t="s">
        <v>1171</v>
      </c>
      <c r="V580" t="s">
        <v>1171</v>
      </c>
      <c r="W580" t="s">
        <v>1171</v>
      </c>
      <c r="X580" t="s">
        <v>1171</v>
      </c>
      <c r="Y580" t="s">
        <v>1171</v>
      </c>
      <c r="Z580" t="s">
        <v>1171</v>
      </c>
      <c r="AA580" t="s">
        <v>1171</v>
      </c>
      <c r="AB580" t="s">
        <v>1171</v>
      </c>
      <c r="AC580" t="s">
        <v>1171</v>
      </c>
      <c r="AD580" t="s">
        <v>1171</v>
      </c>
    </row>
    <row r="581" spans="1:30" ht="34" x14ac:dyDescent="0.2">
      <c r="A581" t="s">
        <v>1171</v>
      </c>
      <c r="B581" t="s">
        <v>1753</v>
      </c>
      <c r="C581" t="str">
        <f>"CONF-"&amp;TEXT(us_core_reqs[[#This Row],[ID*]], "0000")</f>
        <v>CONF-0580</v>
      </c>
      <c r="D581" s="11" t="s">
        <v>633</v>
      </c>
      <c r="E581" t="str">
        <f>SUBSTITUTE(us_core_reqs[[#This Row],[URL*]], "https://hl7.org/fhir/us/core/STU8/","")</f>
        <v>security.html#patient-privacy-and-security</v>
      </c>
      <c r="F581" s="11" t="s">
        <v>2199</v>
      </c>
      <c r="G581" t="s">
        <v>35</v>
      </c>
      <c r="I581" t="s">
        <v>30</v>
      </c>
      <c r="J581" t="s">
        <v>1171</v>
      </c>
      <c r="K581" t="s">
        <v>1171</v>
      </c>
      <c r="L581" t="s">
        <v>1173</v>
      </c>
      <c r="M581" t="s">
        <v>1171</v>
      </c>
      <c r="N581" t="s">
        <v>1171</v>
      </c>
      <c r="O581" t="s">
        <v>1171</v>
      </c>
      <c r="P581" t="s">
        <v>1171</v>
      </c>
      <c r="Q581" t="s">
        <v>1171</v>
      </c>
      <c r="R581" t="str">
        <f>_xlfn.TEXTBEFORE(_xlfn.TEXTAFTER(us_core_reqs[[#This Row],[URL*]],"/",-1),".")</f>
        <v>security</v>
      </c>
      <c r="S581" t="str">
        <f>_xlfn.TEXTAFTER(us_core_reqs[[#This Row],[URL*]],"#",-1)</f>
        <v>patient-privacy-and-security</v>
      </c>
      <c r="T581" t="str">
        <f>SUBSTITUTE(SUBSTITUTE(PROPER(SUBSTITUTE(us_core_reqs[[#This Row],[Page]], "-", " "))&amp;": "&amp;PROPER(SUBSTITUTE(us_core_reqs[[#This Row],[Section]], "-", " ")),"Us ","US "), "Uscdi", "USCDI")</f>
        <v>Security: Patient Privacy And Security</v>
      </c>
      <c r="U581" t="s">
        <v>1171</v>
      </c>
      <c r="V581" t="s">
        <v>1171</v>
      </c>
      <c r="W581" t="s">
        <v>1171</v>
      </c>
      <c r="X581" t="s">
        <v>1171</v>
      </c>
      <c r="Y581" t="s">
        <v>1171</v>
      </c>
      <c r="Z581" t="s">
        <v>1171</v>
      </c>
      <c r="AA581" t="s">
        <v>1171</v>
      </c>
      <c r="AB581" t="s">
        <v>1171</v>
      </c>
      <c r="AC581" t="s">
        <v>1171</v>
      </c>
      <c r="AD581" t="s">
        <v>1171</v>
      </c>
    </row>
    <row r="582" spans="1:30" ht="34" x14ac:dyDescent="0.2">
      <c r="A582" t="s">
        <v>1171</v>
      </c>
      <c r="B582" t="s">
        <v>1754</v>
      </c>
      <c r="C582" t="str">
        <f>"CONF-"&amp;TEXT(us_core_reqs[[#This Row],[ID*]], "0000")</f>
        <v>CONF-0581</v>
      </c>
      <c r="D582" s="11" t="s">
        <v>633</v>
      </c>
      <c r="E582" t="str">
        <f>SUBSTITUTE(us_core_reqs[[#This Row],[URL*]], "https://hl7.org/fhir/us/core/STU8/","")</f>
        <v>security.html#patient-privacy-and-security</v>
      </c>
      <c r="F582" s="11" t="s">
        <v>2199</v>
      </c>
      <c r="G582" t="s">
        <v>35</v>
      </c>
      <c r="I582" t="s">
        <v>58</v>
      </c>
      <c r="J582" t="s">
        <v>1171</v>
      </c>
      <c r="K582" t="s">
        <v>1171</v>
      </c>
      <c r="L582" t="s">
        <v>1173</v>
      </c>
      <c r="M582" t="s">
        <v>1171</v>
      </c>
      <c r="N582" t="s">
        <v>1171</v>
      </c>
      <c r="O582" t="s">
        <v>1171</v>
      </c>
      <c r="P582" t="s">
        <v>1171</v>
      </c>
      <c r="Q582" t="s">
        <v>1171</v>
      </c>
      <c r="R582" t="str">
        <f>_xlfn.TEXTBEFORE(_xlfn.TEXTAFTER(us_core_reqs[[#This Row],[URL*]],"/",-1),".")</f>
        <v>security</v>
      </c>
      <c r="S582" t="str">
        <f>_xlfn.TEXTAFTER(us_core_reqs[[#This Row],[URL*]],"#",-1)</f>
        <v>patient-privacy-and-security</v>
      </c>
      <c r="T582" t="str">
        <f>SUBSTITUTE(SUBSTITUTE(PROPER(SUBSTITUTE(us_core_reqs[[#This Row],[Page]], "-", " "))&amp;": "&amp;PROPER(SUBSTITUTE(us_core_reqs[[#This Row],[Section]], "-", " ")),"Us ","US "), "Uscdi", "USCDI")</f>
        <v>Security: Patient Privacy And Security</v>
      </c>
      <c r="U582" t="s">
        <v>1171</v>
      </c>
      <c r="V582" t="s">
        <v>1171</v>
      </c>
      <c r="W582" t="s">
        <v>1171</v>
      </c>
      <c r="X582" t="s">
        <v>1171</v>
      </c>
      <c r="Y582" t="s">
        <v>1171</v>
      </c>
      <c r="Z582" t="s">
        <v>1171</v>
      </c>
      <c r="AA582" t="s">
        <v>1171</v>
      </c>
      <c r="AB582" t="s">
        <v>1171</v>
      </c>
      <c r="AC582" t="s">
        <v>1171</v>
      </c>
      <c r="AD582" t="s">
        <v>1171</v>
      </c>
    </row>
    <row r="583" spans="1:30" ht="68" x14ac:dyDescent="0.2">
      <c r="A583" t="s">
        <v>1171</v>
      </c>
      <c r="B583" t="s">
        <v>1755</v>
      </c>
      <c r="C583" t="str">
        <f>"CONF-"&amp;TEXT(us_core_reqs[[#This Row],[ID*]], "0000")</f>
        <v>CONF-0582</v>
      </c>
      <c r="D583" s="11" t="s">
        <v>905</v>
      </c>
      <c r="E583" t="str">
        <f>SUBSTITUTE(us_core_reqs[[#This Row],[URL*]], "https://hl7.org/fhir/us/core/STU8/","")</f>
        <v>https://www.hl7.org/fhir/us/core/STU8/general-requirements.html#current-binding-for-coded-elements</v>
      </c>
      <c r="F583" s="11" t="s">
        <v>575</v>
      </c>
      <c r="G583" t="s">
        <v>29</v>
      </c>
      <c r="I583" t="s">
        <v>58</v>
      </c>
      <c r="J583" t="s">
        <v>1171</v>
      </c>
      <c r="K583" t="s">
        <v>1171</v>
      </c>
      <c r="L583" t="s">
        <v>1176</v>
      </c>
      <c r="M583" t="s">
        <v>576</v>
      </c>
      <c r="N583" t="s">
        <v>1171</v>
      </c>
      <c r="O583" t="s">
        <v>1171</v>
      </c>
      <c r="P583" t="s">
        <v>1171</v>
      </c>
      <c r="Q583" t="s">
        <v>1171</v>
      </c>
      <c r="R583" t="str">
        <f>_xlfn.TEXTBEFORE(_xlfn.TEXTAFTER(us_core_reqs[[#This Row],[URL*]],"/",-1),".")</f>
        <v>general-requirements</v>
      </c>
      <c r="S583" t="str">
        <f>_xlfn.TEXTAFTER(us_core_reqs[[#This Row],[URL*]],"#",-1)</f>
        <v>current-binding-for-coded-elements</v>
      </c>
      <c r="T583" t="str">
        <f>SUBSTITUTE(SUBSTITUTE(PROPER(SUBSTITUTE(us_core_reqs[[#This Row],[Page]], "-", " "))&amp;": "&amp;PROPER(SUBSTITUTE(us_core_reqs[[#This Row],[Section]], "-", " ")),"Us ","US "), "Uscdi", "USCDI")</f>
        <v>General Requirements: Current Binding For Coded Elements</v>
      </c>
      <c r="U583" t="s">
        <v>1171</v>
      </c>
      <c r="V583" t="s">
        <v>1171</v>
      </c>
      <c r="W583" t="s">
        <v>1171</v>
      </c>
      <c r="X583" t="s">
        <v>1171</v>
      </c>
      <c r="Y583" t="s">
        <v>1171</v>
      </c>
      <c r="Z583" t="s">
        <v>1171</v>
      </c>
      <c r="AA583" t="s">
        <v>1171</v>
      </c>
      <c r="AB583" t="s">
        <v>1171</v>
      </c>
      <c r="AC583" t="s">
        <v>1171</v>
      </c>
      <c r="AD583" t="s">
        <v>1171</v>
      </c>
    </row>
    <row r="584" spans="1:30" ht="68" x14ac:dyDescent="0.2">
      <c r="A584" t="s">
        <v>1171</v>
      </c>
      <c r="B584" t="s">
        <v>1756</v>
      </c>
      <c r="C584" t="str">
        <f>"CONF-"&amp;TEXT(us_core_reqs[[#This Row],[ID*]], "0000")</f>
        <v>CONF-0583</v>
      </c>
      <c r="D584" s="11" t="s">
        <v>905</v>
      </c>
      <c r="E584" t="str">
        <f>SUBSTITUTE(us_core_reqs[[#This Row],[URL*]], "https://hl7.org/fhir/us/core/STU8/","")</f>
        <v>https://www.hl7.org/fhir/us/core/STU8/general-requirements.html#current-binding-for-coded-elements</v>
      </c>
      <c r="F584" s="11" t="s">
        <v>575</v>
      </c>
      <c r="G584" t="s">
        <v>29</v>
      </c>
      <c r="I584" t="s">
        <v>30</v>
      </c>
      <c r="J584" t="s">
        <v>1171</v>
      </c>
      <c r="K584" t="s">
        <v>1171</v>
      </c>
      <c r="L584" t="s">
        <v>1176</v>
      </c>
      <c r="M584" t="s">
        <v>576</v>
      </c>
      <c r="N584" t="s">
        <v>1171</v>
      </c>
      <c r="O584" t="s">
        <v>1171</v>
      </c>
      <c r="P584" t="s">
        <v>1171</v>
      </c>
      <c r="Q584" t="s">
        <v>1171</v>
      </c>
      <c r="R584" t="str">
        <f>_xlfn.TEXTBEFORE(_xlfn.TEXTAFTER(us_core_reqs[[#This Row],[URL*]],"/",-1),".")</f>
        <v>general-requirements</v>
      </c>
      <c r="S584" t="str">
        <f>_xlfn.TEXTAFTER(us_core_reqs[[#This Row],[URL*]],"#",-1)</f>
        <v>current-binding-for-coded-elements</v>
      </c>
      <c r="T584" t="str">
        <f>SUBSTITUTE(SUBSTITUTE(PROPER(SUBSTITUTE(us_core_reqs[[#This Row],[Page]], "-", " "))&amp;": "&amp;PROPER(SUBSTITUTE(us_core_reqs[[#This Row],[Section]], "-", " ")),"Us ","US "), "Uscdi", "USCDI")</f>
        <v>General Requirements: Current Binding For Coded Elements</v>
      </c>
      <c r="U584" t="s">
        <v>1171</v>
      </c>
      <c r="V584" t="s">
        <v>1171</v>
      </c>
      <c r="W584" t="s">
        <v>1171</v>
      </c>
      <c r="X584" t="s">
        <v>1171</v>
      </c>
      <c r="Y584" t="s">
        <v>1171</v>
      </c>
      <c r="Z584" t="s">
        <v>1171</v>
      </c>
      <c r="AA584" t="s">
        <v>1171</v>
      </c>
      <c r="AB584" t="s">
        <v>1171</v>
      </c>
      <c r="AC584" t="s">
        <v>1141</v>
      </c>
      <c r="AD584" t="s">
        <v>1171</v>
      </c>
    </row>
    <row r="585" spans="1:30" ht="68" x14ac:dyDescent="0.2">
      <c r="A585" t="s">
        <v>1171</v>
      </c>
      <c r="B585" t="s">
        <v>1757</v>
      </c>
      <c r="C585" t="str">
        <f>"CONF-"&amp;TEXT(us_core_reqs[[#This Row],[ID*]], "0000")</f>
        <v>CONF-0584</v>
      </c>
      <c r="D585" s="11" t="s">
        <v>899</v>
      </c>
      <c r="E585" t="str">
        <f>SUBSTITUTE(us_core_reqs[[#This Row],[URL*]], "https://hl7.org/fhir/us/core/STU8/","")</f>
        <v>StructureDefinition-us-core-questionnaireresponse.html#mandatory-and-must-support-data-elements</v>
      </c>
      <c r="F585" s="11" t="s">
        <v>577</v>
      </c>
      <c r="G585" t="s">
        <v>29</v>
      </c>
      <c r="I585" t="s">
        <v>30</v>
      </c>
      <c r="J585" t="s">
        <v>1171</v>
      </c>
      <c r="K585" t="s">
        <v>1171</v>
      </c>
      <c r="L585" t="s">
        <v>1176</v>
      </c>
      <c r="M585" t="s">
        <v>530</v>
      </c>
      <c r="N585" t="s">
        <v>1171</v>
      </c>
      <c r="O585" t="s">
        <v>1171</v>
      </c>
      <c r="P585" t="s">
        <v>1171</v>
      </c>
      <c r="Q585" t="s">
        <v>1171</v>
      </c>
      <c r="R585" t="str">
        <f>_xlfn.TEXTBEFORE(_xlfn.TEXTAFTER(us_core_reqs[[#This Row],[URL*]],"/",-1),".")</f>
        <v>StructureDefinition-us-core-questionnaireresponse</v>
      </c>
      <c r="S585" t="str">
        <f>_xlfn.TEXTAFTER(us_core_reqs[[#This Row],[URL*]],"#",-1)</f>
        <v>mandatory-and-must-support-data-elements</v>
      </c>
      <c r="T585" t="str">
        <f>SUBSTITUTE(SUBSTITUTE(PROPER(SUBSTITUTE(us_core_reqs[[#This Row],[Page]], "-", " "))&amp;": "&amp;PROPER(SUBSTITUTE(us_core_reqs[[#This Row],[Section]], "-", " ")),"Us ","US "), "Uscdi", "USCDI")</f>
        <v>Structuredefinition US Core Questionnaireresponse: Mandatory And Must Support Data Elements</v>
      </c>
      <c r="U585" t="s">
        <v>1171</v>
      </c>
      <c r="V585" t="s">
        <v>1171</v>
      </c>
      <c r="W585" t="s">
        <v>1171</v>
      </c>
      <c r="X585" t="s">
        <v>1171</v>
      </c>
      <c r="Y585" t="s">
        <v>1171</v>
      </c>
      <c r="Z585" t="s">
        <v>1171</v>
      </c>
      <c r="AA585" t="s">
        <v>1171</v>
      </c>
      <c r="AB585" t="s">
        <v>1171</v>
      </c>
      <c r="AC585" t="s">
        <v>1140</v>
      </c>
      <c r="AD585" t="s">
        <v>1171</v>
      </c>
    </row>
    <row r="586" spans="1:30" ht="51" x14ac:dyDescent="0.2">
      <c r="A586" t="s">
        <v>1171</v>
      </c>
      <c r="B586" t="s">
        <v>1758</v>
      </c>
      <c r="C586" t="str">
        <f>"CONF-"&amp;TEXT(us_core_reqs[[#This Row],[ID*]], "0000")</f>
        <v>CONF-0585</v>
      </c>
      <c r="D586" s="11" t="s">
        <v>1160</v>
      </c>
      <c r="E586" t="str">
        <f>SUBSTITUTE(us_core_reqs[[#This Row],[URL*]], "https://hl7.org/fhir/us/core/STU8/","")</f>
        <v>https://hl7.org/fhir/us/core/STU7/StructureDefinition-us-core-allergyintolerance.html#mandatory-and-must-support-data-elements</v>
      </c>
      <c r="F586" s="11" t="s">
        <v>1161</v>
      </c>
      <c r="G586" t="s">
        <v>64</v>
      </c>
      <c r="I586" t="s">
        <v>30</v>
      </c>
      <c r="J586" t="s">
        <v>1171</v>
      </c>
      <c r="K586" t="s">
        <v>1171</v>
      </c>
      <c r="L586" t="s">
        <v>1173</v>
      </c>
      <c r="M586" t="s">
        <v>1171</v>
      </c>
      <c r="N586" t="s">
        <v>1171</v>
      </c>
      <c r="O586" t="s">
        <v>1171</v>
      </c>
      <c r="P586" t="s">
        <v>1171</v>
      </c>
      <c r="Q586" t="s">
        <v>1171</v>
      </c>
      <c r="R586" t="str">
        <f>_xlfn.TEXTBEFORE(_xlfn.TEXTAFTER(us_core_reqs[[#This Row],[URL*]],"/",-1),".")</f>
        <v>StructureDefinition-us-core-allergyintolerance</v>
      </c>
      <c r="S586" t="str">
        <f>_xlfn.TEXTAFTER(us_core_reqs[[#This Row],[URL*]],"#",-1)</f>
        <v>mandatory-and-must-support-data-elements</v>
      </c>
      <c r="T586" t="str">
        <f>SUBSTITUTE(SUBSTITUTE(PROPER(SUBSTITUTE(us_core_reqs[[#This Row],[Page]], "-", " "))&amp;": "&amp;PROPER(SUBSTITUTE(us_core_reqs[[#This Row],[Section]], "-", " ")),"Us ","US "), "Uscdi", "USCDI")</f>
        <v>Structuredefinition US Core Allergyintolerance: Mandatory And Must Support Data Elements</v>
      </c>
      <c r="U586" t="s">
        <v>1171</v>
      </c>
      <c r="V586" t="s">
        <v>1171</v>
      </c>
      <c r="W586" t="s">
        <v>1171</v>
      </c>
      <c r="X586" t="s">
        <v>1171</v>
      </c>
      <c r="Y586" t="s">
        <v>1171</v>
      </c>
      <c r="Z586" t="s">
        <v>1171</v>
      </c>
      <c r="AA586" t="s">
        <v>1171</v>
      </c>
      <c r="AB586" t="s">
        <v>1167</v>
      </c>
      <c r="AC586" t="s">
        <v>1171</v>
      </c>
      <c r="AD586" t="s">
        <v>1171</v>
      </c>
    </row>
    <row r="587" spans="1:30" ht="51" x14ac:dyDescent="0.2">
      <c r="A587" t="s">
        <v>1171</v>
      </c>
      <c r="B587" t="s">
        <v>1759</v>
      </c>
      <c r="C587" t="str">
        <f>"CONF-"&amp;TEXT(us_core_reqs[[#This Row],[ID*]], "0000")</f>
        <v>CONF-0586</v>
      </c>
      <c r="D587" s="11" t="s">
        <v>1160</v>
      </c>
      <c r="E587" t="str">
        <f>SUBSTITUTE(us_core_reqs[[#This Row],[URL*]], "https://hl7.org/fhir/us/core/STU8/","")</f>
        <v>https://hl7.org/fhir/us/core/STU7/StructureDefinition-us-core-allergyintolerance.html#mandatory-and-must-support-data-elements</v>
      </c>
      <c r="F587" s="11" t="s">
        <v>1162</v>
      </c>
      <c r="G587" t="s">
        <v>64</v>
      </c>
      <c r="I587" t="s">
        <v>30</v>
      </c>
      <c r="J587" t="s">
        <v>1171</v>
      </c>
      <c r="K587" t="s">
        <v>1171</v>
      </c>
      <c r="L587" t="s">
        <v>1173</v>
      </c>
      <c r="M587" t="s">
        <v>1171</v>
      </c>
      <c r="N587" t="s">
        <v>1171</v>
      </c>
      <c r="O587" t="s">
        <v>1171</v>
      </c>
      <c r="P587" t="s">
        <v>1171</v>
      </c>
      <c r="Q587" t="s">
        <v>1171</v>
      </c>
      <c r="R587" t="str">
        <f>_xlfn.TEXTBEFORE(_xlfn.TEXTAFTER(us_core_reqs[[#This Row],[URL*]],"/",-1),".")</f>
        <v>StructureDefinition-us-core-allergyintolerance</v>
      </c>
      <c r="S587" t="str">
        <f>_xlfn.TEXTAFTER(us_core_reqs[[#This Row],[URL*]],"#",-1)</f>
        <v>mandatory-and-must-support-data-elements</v>
      </c>
      <c r="T587" t="str">
        <f>SUBSTITUTE(SUBSTITUTE(PROPER(SUBSTITUTE(us_core_reqs[[#This Row],[Page]], "-", " "))&amp;": "&amp;PROPER(SUBSTITUTE(us_core_reqs[[#This Row],[Section]], "-", " ")),"Us ","US "), "Uscdi", "USCDI")</f>
        <v>Structuredefinition US Core Allergyintolerance: Mandatory And Must Support Data Elements</v>
      </c>
      <c r="U587" t="s">
        <v>1171</v>
      </c>
      <c r="V587" t="s">
        <v>1171</v>
      </c>
      <c r="W587" t="s">
        <v>1171</v>
      </c>
      <c r="X587" t="s">
        <v>1171</v>
      </c>
      <c r="Y587" t="s">
        <v>1171</v>
      </c>
      <c r="Z587" t="s">
        <v>1171</v>
      </c>
      <c r="AA587" t="s">
        <v>1171</v>
      </c>
      <c r="AB587" t="s">
        <v>1167</v>
      </c>
      <c r="AC587" t="s">
        <v>1171</v>
      </c>
      <c r="AD587" t="s">
        <v>1171</v>
      </c>
    </row>
    <row r="588" spans="1:30" ht="51" x14ac:dyDescent="0.2">
      <c r="A588" t="s">
        <v>1171</v>
      </c>
      <c r="B588" t="s">
        <v>1760</v>
      </c>
      <c r="C588" t="str">
        <f>"CONF-"&amp;TEXT(us_core_reqs[[#This Row],[ID*]], "0000")</f>
        <v>CONF-0587</v>
      </c>
      <c r="D588" s="11" t="s">
        <v>1160</v>
      </c>
      <c r="E588" t="str">
        <f>SUBSTITUTE(us_core_reqs[[#This Row],[URL*]], "https://hl7.org/fhir/us/core/STU8/","")</f>
        <v>https://hl7.org/fhir/us/core/STU7/StructureDefinition-us-core-allergyintolerance.html#mandatory-and-must-support-data-elements</v>
      </c>
      <c r="F588" s="11" t="s">
        <v>1163</v>
      </c>
      <c r="G588" t="s">
        <v>29</v>
      </c>
      <c r="I588" t="s">
        <v>30</v>
      </c>
      <c r="J588" t="s">
        <v>1171</v>
      </c>
      <c r="K588" t="s">
        <v>1171</v>
      </c>
      <c r="L588" t="s">
        <v>1173</v>
      </c>
      <c r="M588" t="s">
        <v>1171</v>
      </c>
      <c r="N588" t="s">
        <v>1171</v>
      </c>
      <c r="O588" t="s">
        <v>1171</v>
      </c>
      <c r="P588" t="s">
        <v>1171</v>
      </c>
      <c r="Q588" t="s">
        <v>1171</v>
      </c>
      <c r="R588" t="str">
        <f>_xlfn.TEXTBEFORE(_xlfn.TEXTAFTER(us_core_reqs[[#This Row],[URL*]],"/",-1),".")</f>
        <v>StructureDefinition-us-core-allergyintolerance</v>
      </c>
      <c r="S588" t="str">
        <f>_xlfn.TEXTAFTER(us_core_reqs[[#This Row],[URL*]],"#",-1)</f>
        <v>mandatory-and-must-support-data-elements</v>
      </c>
      <c r="T588" t="str">
        <f>SUBSTITUTE(SUBSTITUTE(PROPER(SUBSTITUTE(us_core_reqs[[#This Row],[Page]], "-", " "))&amp;": "&amp;PROPER(SUBSTITUTE(us_core_reqs[[#This Row],[Section]], "-", " ")),"Us ","US "), "Uscdi", "USCDI")</f>
        <v>Structuredefinition US Core Allergyintolerance: Mandatory And Must Support Data Elements</v>
      </c>
      <c r="U588" t="s">
        <v>1171</v>
      </c>
      <c r="V588" t="s">
        <v>1171</v>
      </c>
      <c r="W588" t="s">
        <v>1171</v>
      </c>
      <c r="X588" t="s">
        <v>1171</v>
      </c>
      <c r="Y588" t="s">
        <v>1171</v>
      </c>
      <c r="Z588" t="s">
        <v>1171</v>
      </c>
      <c r="AA588" t="s">
        <v>1171</v>
      </c>
      <c r="AB588" t="s">
        <v>1171</v>
      </c>
      <c r="AC588" t="s">
        <v>1171</v>
      </c>
      <c r="AD588" t="s">
        <v>1171</v>
      </c>
    </row>
    <row r="589" spans="1:30" ht="51" x14ac:dyDescent="0.2">
      <c r="A589" t="s">
        <v>1171</v>
      </c>
      <c r="B589" t="s">
        <v>1761</v>
      </c>
      <c r="C589" t="str">
        <f>"CONF-"&amp;TEXT(us_core_reqs[[#This Row],[ID*]], "0000")</f>
        <v>CONF-0588</v>
      </c>
      <c r="D589" s="11" t="s">
        <v>1160</v>
      </c>
      <c r="E589" t="str">
        <f>SUBSTITUTE(us_core_reqs[[#This Row],[URL*]], "https://hl7.org/fhir/us/core/STU8/","")</f>
        <v>https://hl7.org/fhir/us/core/STU7/StructureDefinition-us-core-allergyintolerance.html#mandatory-and-must-support-data-elements</v>
      </c>
      <c r="F589" s="11" t="s">
        <v>1164</v>
      </c>
      <c r="G589" t="s">
        <v>29</v>
      </c>
      <c r="I589" t="s">
        <v>30</v>
      </c>
      <c r="J589" t="s">
        <v>1171</v>
      </c>
      <c r="K589" t="s">
        <v>1171</v>
      </c>
      <c r="L589" t="s">
        <v>1173</v>
      </c>
      <c r="M589" t="s">
        <v>1171</v>
      </c>
      <c r="N589" t="s">
        <v>1171</v>
      </c>
      <c r="O589" t="s">
        <v>1171</v>
      </c>
      <c r="P589" t="s">
        <v>1171</v>
      </c>
      <c r="Q589" t="s">
        <v>1171</v>
      </c>
      <c r="R589" t="str">
        <f>_xlfn.TEXTBEFORE(_xlfn.TEXTAFTER(us_core_reqs[[#This Row],[URL*]],"/",-1),".")</f>
        <v>StructureDefinition-us-core-allergyintolerance</v>
      </c>
      <c r="S589" t="str">
        <f>_xlfn.TEXTAFTER(us_core_reqs[[#This Row],[URL*]],"#",-1)</f>
        <v>mandatory-and-must-support-data-elements</v>
      </c>
      <c r="T589" t="str">
        <f>SUBSTITUTE(SUBSTITUTE(PROPER(SUBSTITUTE(us_core_reqs[[#This Row],[Page]], "-", " "))&amp;": "&amp;PROPER(SUBSTITUTE(us_core_reqs[[#This Row],[Section]], "-", " ")),"Us ","US "), "Uscdi", "USCDI")</f>
        <v>Structuredefinition US Core Allergyintolerance: Mandatory And Must Support Data Elements</v>
      </c>
      <c r="U589" t="s">
        <v>1171</v>
      </c>
      <c r="V589" t="s">
        <v>1171</v>
      </c>
      <c r="W589" t="s">
        <v>1171</v>
      </c>
      <c r="X589" t="s">
        <v>1171</v>
      </c>
      <c r="Y589" t="s">
        <v>1171</v>
      </c>
      <c r="Z589" t="s">
        <v>1171</v>
      </c>
      <c r="AA589" t="s">
        <v>1171</v>
      </c>
      <c r="AB589" t="s">
        <v>1171</v>
      </c>
      <c r="AC589" t="s">
        <v>1171</v>
      </c>
      <c r="AD589" t="s">
        <v>1171</v>
      </c>
    </row>
    <row r="590" spans="1:30" ht="102" x14ac:dyDescent="0.2">
      <c r="A590" t="s">
        <v>1171</v>
      </c>
      <c r="B590" t="s">
        <v>1762</v>
      </c>
      <c r="C590" t="str">
        <f>"CONF-"&amp;TEXT(us_core_reqs[[#This Row],[ID*]], "0000")</f>
        <v>CONF-0800</v>
      </c>
      <c r="D590" s="11" t="s">
        <v>612</v>
      </c>
      <c r="E590" t="str">
        <f>SUBSTITUTE(us_core_reqs[[#This Row],[URL*]], "https://hl7.org/fhir/us/core/STU8/","")</f>
        <v>must-support.html#must-support-elements</v>
      </c>
      <c r="F590" s="11" t="s">
        <v>647</v>
      </c>
      <c r="G590" t="s">
        <v>35</v>
      </c>
      <c r="I590" t="s">
        <v>58</v>
      </c>
      <c r="J590" t="s">
        <v>1171</v>
      </c>
      <c r="K590" t="s">
        <v>1171</v>
      </c>
      <c r="L590" t="s">
        <v>1173</v>
      </c>
      <c r="M590" t="s">
        <v>1171</v>
      </c>
      <c r="N590" t="s">
        <v>1171</v>
      </c>
      <c r="O590" t="s">
        <v>1171</v>
      </c>
      <c r="P590" t="s">
        <v>1171</v>
      </c>
      <c r="Q590" t="s">
        <v>1171</v>
      </c>
      <c r="R590" t="str">
        <f>_xlfn.TEXTBEFORE(_xlfn.TEXTAFTER(us_core_reqs[[#This Row],[URL*]],"/",-1),".")</f>
        <v>must-support</v>
      </c>
      <c r="S590" t="str">
        <f>_xlfn.TEXTAFTER(us_core_reqs[[#This Row],[URL*]],"#",-1)</f>
        <v>must-support-elements</v>
      </c>
      <c r="T590" t="str">
        <f>SUBSTITUTE(SUBSTITUTE(PROPER(SUBSTITUTE(us_core_reqs[[#This Row],[Page]], "-", " "))&amp;": "&amp;PROPER(SUBSTITUTE(us_core_reqs[[#This Row],[Section]], "-", " ")),"Us ","US "), "Uscdi", "USCDI")</f>
        <v>Must Support: Must Support Elements</v>
      </c>
      <c r="U590" t="s">
        <v>1171</v>
      </c>
      <c r="V590" t="s">
        <v>1171</v>
      </c>
      <c r="W590" t="s">
        <v>1171</v>
      </c>
      <c r="X590" t="s">
        <v>1171</v>
      </c>
      <c r="Y590" t="s">
        <v>1171</v>
      </c>
      <c r="Z590" t="s">
        <v>1171</v>
      </c>
      <c r="AA590" t="s">
        <v>1171</v>
      </c>
      <c r="AB590" t="s">
        <v>1171</v>
      </c>
      <c r="AC590" t="s">
        <v>1171</v>
      </c>
      <c r="AD590" t="s">
        <v>1171</v>
      </c>
    </row>
    <row r="591" spans="1:30" ht="102" x14ac:dyDescent="0.2">
      <c r="A591" t="s">
        <v>1171</v>
      </c>
      <c r="B591" t="s">
        <v>1763</v>
      </c>
      <c r="C591" t="str">
        <f>"CONF-"&amp;TEXT(us_core_reqs[[#This Row],[ID*]], "0000")</f>
        <v>CONF-0801</v>
      </c>
      <c r="D591" s="11" t="s">
        <v>614</v>
      </c>
      <c r="E591" t="str">
        <f>SUBSTITUTE(us_core_reqs[[#This Row],[URL*]], "https://hl7.org/fhir/us/core/STU8/","")</f>
        <v>must-support.html#defined-pattern-elements</v>
      </c>
      <c r="F591" s="11" t="s">
        <v>653</v>
      </c>
      <c r="G591" t="s">
        <v>29</v>
      </c>
      <c r="I591" t="s">
        <v>30</v>
      </c>
      <c r="J591" t="b">
        <v>1</v>
      </c>
      <c r="K591" t="s">
        <v>1171</v>
      </c>
      <c r="L591" t="s">
        <v>1176</v>
      </c>
      <c r="M591" t="s">
        <v>1125</v>
      </c>
      <c r="N591" t="s">
        <v>1171</v>
      </c>
      <c r="O591" t="s">
        <v>1171</v>
      </c>
      <c r="P591" t="s">
        <v>1171</v>
      </c>
      <c r="Q591" t="s">
        <v>1171</v>
      </c>
      <c r="R591" t="str">
        <f>_xlfn.TEXTBEFORE(_xlfn.TEXTAFTER(us_core_reqs[[#This Row],[URL*]],"/",-1),".")</f>
        <v>must-support</v>
      </c>
      <c r="S591" t="str">
        <f>_xlfn.TEXTAFTER(us_core_reqs[[#This Row],[URL*]],"#",-1)</f>
        <v>defined-pattern-elements</v>
      </c>
      <c r="T591" t="str">
        <f>SUBSTITUTE(SUBSTITUTE(PROPER(SUBSTITUTE(us_core_reqs[[#This Row],[Page]], "-", " "))&amp;": "&amp;PROPER(SUBSTITUTE(us_core_reqs[[#This Row],[Section]], "-", " ")),"Us ","US "), "Uscdi", "USCDI")</f>
        <v>Must Support: Defined Pattern Elements</v>
      </c>
      <c r="U591" t="s">
        <v>1171</v>
      </c>
      <c r="V591" t="s">
        <v>1171</v>
      </c>
      <c r="W591" t="s">
        <v>1171</v>
      </c>
      <c r="X591" t="s">
        <v>1171</v>
      </c>
      <c r="Y591" t="s">
        <v>1171</v>
      </c>
      <c r="Z591" t="s">
        <v>1171</v>
      </c>
      <c r="AA591" t="s">
        <v>1171</v>
      </c>
      <c r="AB591" t="s">
        <v>405</v>
      </c>
      <c r="AC591" t="s">
        <v>1140</v>
      </c>
      <c r="AD591" t="s">
        <v>1156</v>
      </c>
    </row>
    <row r="592" spans="1:30" ht="102" x14ac:dyDescent="0.2">
      <c r="A592" t="s">
        <v>1171</v>
      </c>
      <c r="B592" t="s">
        <v>1764</v>
      </c>
      <c r="C592" t="str">
        <f>"CONF-"&amp;TEXT(us_core_reqs[[#This Row],[ID*]], "0000")</f>
        <v>CONF-0802</v>
      </c>
      <c r="D592" s="11" t="s">
        <v>1851</v>
      </c>
      <c r="E592" t="str">
        <f>SUBSTITUTE(us_core_reqs[[#This Row],[URL*]], "https://hl7.org/fhir/us/core/STU8/","")</f>
        <v>must-support.html#must-support---primitive-elements</v>
      </c>
      <c r="F592" s="11" t="s">
        <v>654</v>
      </c>
      <c r="G592" t="s">
        <v>29</v>
      </c>
      <c r="I592" t="s">
        <v>30</v>
      </c>
      <c r="J592" t="b">
        <v>1</v>
      </c>
      <c r="K592" t="s">
        <v>1171</v>
      </c>
      <c r="L592" t="s">
        <v>1176</v>
      </c>
      <c r="M592" t="s">
        <v>1124</v>
      </c>
      <c r="N592" t="s">
        <v>1171</v>
      </c>
      <c r="O592" t="s">
        <v>1171</v>
      </c>
      <c r="P592" t="s">
        <v>1171</v>
      </c>
      <c r="Q592" t="s">
        <v>1171</v>
      </c>
      <c r="R592" t="str">
        <f>_xlfn.TEXTBEFORE(_xlfn.TEXTAFTER(us_core_reqs[[#This Row],[URL*]],"/",-1),".")</f>
        <v>must-support</v>
      </c>
      <c r="S592" t="str">
        <f>_xlfn.TEXTAFTER(us_core_reqs[[#This Row],[URL*]],"#",-1)</f>
        <v>must-support---primitive-elements</v>
      </c>
      <c r="T592" t="str">
        <f>SUBSTITUTE(SUBSTITUTE(PROPER(SUBSTITUTE(us_core_reqs[[#This Row],[Page]], "-", " "))&amp;": "&amp;PROPER(SUBSTITUTE(us_core_reqs[[#This Row],[Section]], "-", " ")),"Us ","US "), "Uscdi", "USCDI")</f>
        <v>Must Support: Must Support   Primitive Elements</v>
      </c>
      <c r="U592" t="s">
        <v>1171</v>
      </c>
      <c r="V592" t="s">
        <v>1171</v>
      </c>
      <c r="W592" t="s">
        <v>1171</v>
      </c>
      <c r="X592" t="s">
        <v>1171</v>
      </c>
      <c r="Y592" t="s">
        <v>1171</v>
      </c>
      <c r="Z592" t="s">
        <v>1171</v>
      </c>
      <c r="AA592" t="s">
        <v>1171</v>
      </c>
      <c r="AB592" t="s">
        <v>405</v>
      </c>
      <c r="AC592" t="s">
        <v>1140</v>
      </c>
      <c r="AD592" t="s">
        <v>1156</v>
      </c>
    </row>
    <row r="593" spans="1:30" ht="51" x14ac:dyDescent="0.2">
      <c r="A593" t="s">
        <v>1171</v>
      </c>
      <c r="B593" t="s">
        <v>1765</v>
      </c>
      <c r="C593" t="str">
        <f>"CONF-"&amp;TEXT(us_core_reqs[[#This Row],[ID*]], "0000")</f>
        <v>CONF-0803</v>
      </c>
      <c r="D593" s="11" t="s">
        <v>616</v>
      </c>
      <c r="E593" t="str">
        <f>SUBSTITUTE(us_core_reqs[[#This Row],[URL*]], "https://hl7.org/fhir/us/core/STU8/","")</f>
        <v>must-support.html#must-support---complex-elements</v>
      </c>
      <c r="F593" s="11" t="s">
        <v>655</v>
      </c>
      <c r="G593" t="s">
        <v>29</v>
      </c>
      <c r="I593" t="s">
        <v>30</v>
      </c>
      <c r="J593" t="b">
        <v>1</v>
      </c>
      <c r="K593" t="s">
        <v>1171</v>
      </c>
      <c r="L593" t="s">
        <v>1173</v>
      </c>
      <c r="M593" t="s">
        <v>1171</v>
      </c>
      <c r="N593" t="s">
        <v>1171</v>
      </c>
      <c r="O593" t="s">
        <v>1171</v>
      </c>
      <c r="P593" t="s">
        <v>1171</v>
      </c>
      <c r="Q593" t="s">
        <v>1171</v>
      </c>
      <c r="R593" t="str">
        <f>_xlfn.TEXTBEFORE(_xlfn.TEXTAFTER(us_core_reqs[[#This Row],[URL*]],"/",-1),".")</f>
        <v>must-support</v>
      </c>
      <c r="S593" t="str">
        <f>_xlfn.TEXTAFTER(us_core_reqs[[#This Row],[URL*]],"#",-1)</f>
        <v>must-support---complex-elements</v>
      </c>
      <c r="T593" t="str">
        <f>SUBSTITUTE(SUBSTITUTE(PROPER(SUBSTITUTE(us_core_reqs[[#This Row],[Page]], "-", " "))&amp;": "&amp;PROPER(SUBSTITUTE(us_core_reqs[[#This Row],[Section]], "-", " ")),"Us ","US "), "Uscdi", "USCDI")</f>
        <v>Must Support: Must Support   Complex Elements</v>
      </c>
      <c r="U593" t="s">
        <v>1171</v>
      </c>
      <c r="V593" t="s">
        <v>1171</v>
      </c>
      <c r="W593" t="s">
        <v>1171</v>
      </c>
      <c r="X593" t="s">
        <v>1171</v>
      </c>
      <c r="Y593" t="s">
        <v>1171</v>
      </c>
      <c r="Z593" t="s">
        <v>1171</v>
      </c>
      <c r="AA593" t="s">
        <v>1171</v>
      </c>
      <c r="AB593" t="s">
        <v>405</v>
      </c>
      <c r="AC593" t="s">
        <v>1140</v>
      </c>
      <c r="AD593" t="s">
        <v>1156</v>
      </c>
    </row>
    <row r="594" spans="1:30" ht="51" x14ac:dyDescent="0.2">
      <c r="A594" t="s">
        <v>1171</v>
      </c>
      <c r="B594" t="s">
        <v>1766</v>
      </c>
      <c r="C594" t="str">
        <f>"CONF-"&amp;TEXT(us_core_reqs[[#This Row],[ID*]], "0000")</f>
        <v>CONF-0804</v>
      </c>
      <c r="D594" s="11" t="s">
        <v>616</v>
      </c>
      <c r="E594" t="str">
        <f>SUBSTITUTE(us_core_reqs[[#This Row],[URL*]], "https://hl7.org/fhir/us/core/STU8/","")</f>
        <v>must-support.html#must-support---complex-elements</v>
      </c>
      <c r="F594" s="11" t="s">
        <v>656</v>
      </c>
      <c r="G594" t="s">
        <v>29</v>
      </c>
      <c r="I594" t="s">
        <v>30</v>
      </c>
      <c r="J594" t="s">
        <v>1171</v>
      </c>
      <c r="K594" t="s">
        <v>1171</v>
      </c>
      <c r="L594" t="s">
        <v>1176</v>
      </c>
      <c r="M594" t="s">
        <v>1123</v>
      </c>
      <c r="N594" t="s">
        <v>1171</v>
      </c>
      <c r="O594" t="s">
        <v>1171</v>
      </c>
      <c r="P594" t="s">
        <v>1171</v>
      </c>
      <c r="Q594" t="s">
        <v>1171</v>
      </c>
      <c r="R594" t="str">
        <f>_xlfn.TEXTBEFORE(_xlfn.TEXTAFTER(us_core_reqs[[#This Row],[URL*]],"/",-1),".")</f>
        <v>must-support</v>
      </c>
      <c r="S594" t="str">
        <f>_xlfn.TEXTAFTER(us_core_reqs[[#This Row],[URL*]],"#",-1)</f>
        <v>must-support---complex-elements</v>
      </c>
      <c r="T594" t="str">
        <f>SUBSTITUTE(SUBSTITUTE(PROPER(SUBSTITUTE(us_core_reqs[[#This Row],[Page]], "-", " "))&amp;": "&amp;PROPER(SUBSTITUTE(us_core_reqs[[#This Row],[Section]], "-", " ")),"Us ","US "), "Uscdi", "USCDI")</f>
        <v>Must Support: Must Support   Complex Elements</v>
      </c>
      <c r="U594" t="s">
        <v>1171</v>
      </c>
      <c r="V594" t="s">
        <v>1171</v>
      </c>
      <c r="W594" t="s">
        <v>1171</v>
      </c>
      <c r="X594" t="s">
        <v>1171</v>
      </c>
      <c r="Y594" t="s">
        <v>1171</v>
      </c>
      <c r="Z594" t="s">
        <v>1171</v>
      </c>
      <c r="AA594" t="s">
        <v>1171</v>
      </c>
      <c r="AB594" t="s">
        <v>405</v>
      </c>
      <c r="AC594" t="s">
        <v>1140</v>
      </c>
      <c r="AD594" t="s">
        <v>1156</v>
      </c>
    </row>
    <row r="595" spans="1:30" ht="68" x14ac:dyDescent="0.2">
      <c r="A595" t="s">
        <v>1171</v>
      </c>
      <c r="B595" t="s">
        <v>1767</v>
      </c>
      <c r="C595" t="str">
        <f>"CONF-"&amp;TEXT(us_core_reqs[[#This Row],[ID*]], "0000")</f>
        <v>CONF-0805</v>
      </c>
      <c r="D595" s="11" t="s">
        <v>616</v>
      </c>
      <c r="E595" t="str">
        <f>SUBSTITUTE(us_core_reqs[[#This Row],[URL*]], "https://hl7.org/fhir/us/core/STU8/","")</f>
        <v>must-support.html#must-support---complex-elements</v>
      </c>
      <c r="F595" s="11" t="s">
        <v>658</v>
      </c>
      <c r="G595" t="s">
        <v>29</v>
      </c>
      <c r="I595" t="s">
        <v>30</v>
      </c>
      <c r="J595" t="b">
        <v>1</v>
      </c>
      <c r="K595" t="s">
        <v>1171</v>
      </c>
      <c r="L595" t="s">
        <v>1173</v>
      </c>
      <c r="M595" t="s">
        <v>1171</v>
      </c>
      <c r="N595" t="s">
        <v>1171</v>
      </c>
      <c r="O595" t="s">
        <v>1171</v>
      </c>
      <c r="P595" t="s">
        <v>1171</v>
      </c>
      <c r="Q595" t="s">
        <v>1171</v>
      </c>
      <c r="R595" t="str">
        <f>_xlfn.TEXTBEFORE(_xlfn.TEXTAFTER(us_core_reqs[[#This Row],[URL*]],"/",-1),".")</f>
        <v>must-support</v>
      </c>
      <c r="S595" t="str">
        <f>_xlfn.TEXTAFTER(us_core_reqs[[#This Row],[URL*]],"#",-1)</f>
        <v>must-support---complex-elements</v>
      </c>
      <c r="T595" t="str">
        <f>SUBSTITUTE(SUBSTITUTE(PROPER(SUBSTITUTE(us_core_reqs[[#This Row],[Page]], "-", " "))&amp;": "&amp;PROPER(SUBSTITUTE(us_core_reqs[[#This Row],[Section]], "-", " ")),"Us ","US "), "Uscdi", "USCDI")</f>
        <v>Must Support: Must Support   Complex Elements</v>
      </c>
      <c r="U595" t="s">
        <v>1171</v>
      </c>
      <c r="V595" t="s">
        <v>1171</v>
      </c>
      <c r="W595" t="s">
        <v>1171</v>
      </c>
      <c r="X595" t="s">
        <v>1171</v>
      </c>
      <c r="Y595" t="s">
        <v>1171</v>
      </c>
      <c r="Z595" t="s">
        <v>1171</v>
      </c>
      <c r="AA595" t="s">
        <v>1171</v>
      </c>
      <c r="AB595" t="s">
        <v>405</v>
      </c>
      <c r="AC595" t="s">
        <v>1140</v>
      </c>
      <c r="AD595" t="s">
        <v>1156</v>
      </c>
    </row>
    <row r="596" spans="1:30" ht="51" x14ac:dyDescent="0.2">
      <c r="A596" t="s">
        <v>1171</v>
      </c>
      <c r="B596" t="s">
        <v>1768</v>
      </c>
      <c r="C596" t="str">
        <f>"CONF-"&amp;TEXT(us_core_reqs[[#This Row],[ID*]], "0000")</f>
        <v>CONF-0808</v>
      </c>
      <c r="D596" s="11" t="s">
        <v>618</v>
      </c>
      <c r="E596" t="str">
        <f>SUBSTITUTE(us_core_reqs[[#This Row],[URL*]], "https://hl7.org/fhir/us/core/STU8/","")</f>
        <v>must-support.html#must-support-targets-for-us-core-profiles</v>
      </c>
      <c r="F596" s="11" t="s">
        <v>668</v>
      </c>
      <c r="G596" t="s">
        <v>29</v>
      </c>
      <c r="I596" t="s">
        <v>30</v>
      </c>
      <c r="J596" t="s">
        <v>1171</v>
      </c>
      <c r="K596" t="s">
        <v>1171</v>
      </c>
      <c r="L596" t="s">
        <v>1176</v>
      </c>
      <c r="M596" t="s">
        <v>1122</v>
      </c>
      <c r="N596" t="s">
        <v>1171</v>
      </c>
      <c r="O596" t="s">
        <v>1171</v>
      </c>
      <c r="P596" t="s">
        <v>1171</v>
      </c>
      <c r="Q596" t="s">
        <v>1171</v>
      </c>
      <c r="R596" t="str">
        <f>_xlfn.TEXTBEFORE(_xlfn.TEXTAFTER(us_core_reqs[[#This Row],[URL*]],"/",-1),".")</f>
        <v>must-support</v>
      </c>
      <c r="S596" t="str">
        <f>_xlfn.TEXTAFTER(us_core_reqs[[#This Row],[URL*]],"#",-1)</f>
        <v>must-support-targets-for-us-core-profiles</v>
      </c>
      <c r="T596" t="str">
        <f>SUBSTITUTE(SUBSTITUTE(PROPER(SUBSTITUTE(us_core_reqs[[#This Row],[Page]], "-", " "))&amp;": "&amp;PROPER(SUBSTITUTE(us_core_reqs[[#This Row],[Section]], "-", " ")),"Us ","US "), "Uscdi", "USCDI")</f>
        <v>Must Support: Must Support Targets For US Core Profiles</v>
      </c>
      <c r="U596" t="s">
        <v>1171</v>
      </c>
      <c r="V596" t="s">
        <v>1171</v>
      </c>
      <c r="W596" t="s">
        <v>1171</v>
      </c>
      <c r="X596" t="s">
        <v>1171</v>
      </c>
      <c r="Y596" t="s">
        <v>1171</v>
      </c>
      <c r="Z596" t="s">
        <v>1171</v>
      </c>
      <c r="AA596" t="s">
        <v>1171</v>
      </c>
      <c r="AB596" t="s">
        <v>1171</v>
      </c>
      <c r="AC596" t="s">
        <v>1140</v>
      </c>
      <c r="AD596" t="s">
        <v>1154</v>
      </c>
    </row>
    <row r="597" spans="1:30" ht="51" x14ac:dyDescent="0.2">
      <c r="A597" t="s">
        <v>1171</v>
      </c>
      <c r="B597" t="s">
        <v>1769</v>
      </c>
      <c r="C597" t="str">
        <f>"CONF-"&amp;TEXT(us_core_reqs[[#This Row],[ID*]], "0000")</f>
        <v>CONF-0809</v>
      </c>
      <c r="D597" s="11" t="s">
        <v>618</v>
      </c>
      <c r="E597" t="str">
        <f>SUBSTITUTE(us_core_reqs[[#This Row],[URL*]], "https://hl7.org/fhir/us/core/STU8/","")</f>
        <v>must-support.html#must-support-targets-for-us-core-profiles</v>
      </c>
      <c r="F597" s="11" t="s">
        <v>669</v>
      </c>
      <c r="G597" t="s">
        <v>29</v>
      </c>
      <c r="I597" t="s">
        <v>30</v>
      </c>
      <c r="J597" t="b">
        <v>1</v>
      </c>
      <c r="K597" t="s">
        <v>1171</v>
      </c>
      <c r="L597" t="s">
        <v>1176</v>
      </c>
      <c r="M597" t="s">
        <v>1121</v>
      </c>
      <c r="N597" t="s">
        <v>1171</v>
      </c>
      <c r="O597" t="s">
        <v>1171</v>
      </c>
      <c r="P597" t="s">
        <v>1171</v>
      </c>
      <c r="Q597" t="s">
        <v>1171</v>
      </c>
      <c r="R597" t="str">
        <f>_xlfn.TEXTBEFORE(_xlfn.TEXTAFTER(us_core_reqs[[#This Row],[URL*]],"/",-1),".")</f>
        <v>must-support</v>
      </c>
      <c r="S597" t="str">
        <f>_xlfn.TEXTAFTER(us_core_reqs[[#This Row],[URL*]],"#",-1)</f>
        <v>must-support-targets-for-us-core-profiles</v>
      </c>
      <c r="T597" t="str">
        <f>SUBSTITUTE(SUBSTITUTE(PROPER(SUBSTITUTE(us_core_reqs[[#This Row],[Page]], "-", " "))&amp;": "&amp;PROPER(SUBSTITUTE(us_core_reqs[[#This Row],[Section]], "-", " ")),"Us ","US "), "Uscdi", "USCDI")</f>
        <v>Must Support: Must Support Targets For US Core Profiles</v>
      </c>
      <c r="U597" t="s">
        <v>1171</v>
      </c>
      <c r="V597" t="s">
        <v>1171</v>
      </c>
      <c r="W597" t="s">
        <v>1171</v>
      </c>
      <c r="X597" t="s">
        <v>1171</v>
      </c>
      <c r="Y597" t="s">
        <v>1171</v>
      </c>
      <c r="Z597" t="s">
        <v>1171</v>
      </c>
      <c r="AA597" t="s">
        <v>1171</v>
      </c>
      <c r="AB597" t="s">
        <v>405</v>
      </c>
      <c r="AC597" t="s">
        <v>1140</v>
      </c>
      <c r="AD597" t="s">
        <v>1156</v>
      </c>
    </row>
    <row r="598" spans="1:30" ht="68" x14ac:dyDescent="0.2">
      <c r="A598" t="s">
        <v>1171</v>
      </c>
      <c r="B598" t="s">
        <v>1770</v>
      </c>
      <c r="C598" t="str">
        <f>"CONF-"&amp;TEXT(us_core_reqs[[#This Row],[ID*]], "0000")</f>
        <v>CONF-0810</v>
      </c>
      <c r="D598" s="11" t="s">
        <v>618</v>
      </c>
      <c r="E598" t="str">
        <f>SUBSTITUTE(us_core_reqs[[#This Row],[URL*]], "https://hl7.org/fhir/us/core/STU8/","")</f>
        <v>must-support.html#must-support-targets-for-us-core-profiles</v>
      </c>
      <c r="F598" s="11" t="s">
        <v>671</v>
      </c>
      <c r="G598" t="s">
        <v>29</v>
      </c>
      <c r="I598" t="s">
        <v>30</v>
      </c>
      <c r="J598" t="s">
        <v>1171</v>
      </c>
      <c r="K598" t="s">
        <v>1171</v>
      </c>
      <c r="L598" t="s">
        <v>1176</v>
      </c>
      <c r="M598" t="s">
        <v>1120</v>
      </c>
      <c r="N598" t="s">
        <v>1171</v>
      </c>
      <c r="O598" t="s">
        <v>1171</v>
      </c>
      <c r="P598" t="s">
        <v>1171</v>
      </c>
      <c r="Q598" t="s">
        <v>1171</v>
      </c>
      <c r="R598" t="str">
        <f>_xlfn.TEXTBEFORE(_xlfn.TEXTAFTER(us_core_reqs[[#This Row],[URL*]],"/",-1),".")</f>
        <v>must-support</v>
      </c>
      <c r="S598" t="str">
        <f>_xlfn.TEXTAFTER(us_core_reqs[[#This Row],[URL*]],"#",-1)</f>
        <v>must-support-targets-for-us-core-profiles</v>
      </c>
      <c r="T598" t="str">
        <f>SUBSTITUTE(SUBSTITUTE(PROPER(SUBSTITUTE(us_core_reqs[[#This Row],[Page]], "-", " "))&amp;": "&amp;PROPER(SUBSTITUTE(us_core_reqs[[#This Row],[Section]], "-", " ")),"Us ","US "), "Uscdi", "USCDI")</f>
        <v>Must Support: Must Support Targets For US Core Profiles</v>
      </c>
      <c r="U598" t="s">
        <v>1171</v>
      </c>
      <c r="V598" t="s">
        <v>1171</v>
      </c>
      <c r="W598" t="s">
        <v>1171</v>
      </c>
      <c r="X598" t="s">
        <v>1171</v>
      </c>
      <c r="Y598" t="s">
        <v>1171</v>
      </c>
      <c r="Z598" t="s">
        <v>1171</v>
      </c>
      <c r="AA598" t="s">
        <v>1171</v>
      </c>
      <c r="AB598" t="s">
        <v>1171</v>
      </c>
      <c r="AC598" t="s">
        <v>1140</v>
      </c>
      <c r="AD598" t="s">
        <v>1154</v>
      </c>
    </row>
    <row r="599" spans="1:30" ht="68" x14ac:dyDescent="0.2">
      <c r="A599" t="s">
        <v>1171</v>
      </c>
      <c r="B599" t="s">
        <v>1771</v>
      </c>
      <c r="C599" t="str">
        <f>"CONF-"&amp;TEXT(us_core_reqs[[#This Row],[ID*]], "0000")</f>
        <v>CONF-0811</v>
      </c>
      <c r="D599" s="11" t="s">
        <v>618</v>
      </c>
      <c r="E599" t="str">
        <f>SUBSTITUTE(us_core_reqs[[#This Row],[URL*]], "https://hl7.org/fhir/us/core/STU8/","")</f>
        <v>must-support.html#must-support-targets-for-us-core-profiles</v>
      </c>
      <c r="F599" s="11" t="s">
        <v>672</v>
      </c>
      <c r="G599" t="s">
        <v>29</v>
      </c>
      <c r="I599" t="s">
        <v>30</v>
      </c>
      <c r="J599" t="b">
        <v>1</v>
      </c>
      <c r="K599" t="s">
        <v>1171</v>
      </c>
      <c r="L599" t="s">
        <v>1176</v>
      </c>
      <c r="M599" t="s">
        <v>1119</v>
      </c>
      <c r="N599" t="s">
        <v>1171</v>
      </c>
      <c r="O599" t="s">
        <v>1171</v>
      </c>
      <c r="P599" t="s">
        <v>1171</v>
      </c>
      <c r="Q599" t="s">
        <v>1171</v>
      </c>
      <c r="R599" t="str">
        <f>_xlfn.TEXTBEFORE(_xlfn.TEXTAFTER(us_core_reqs[[#This Row],[URL*]],"/",-1),".")</f>
        <v>must-support</v>
      </c>
      <c r="S599" t="str">
        <f>_xlfn.TEXTAFTER(us_core_reqs[[#This Row],[URL*]],"#",-1)</f>
        <v>must-support-targets-for-us-core-profiles</v>
      </c>
      <c r="T599" t="str">
        <f>SUBSTITUTE(SUBSTITUTE(PROPER(SUBSTITUTE(us_core_reqs[[#This Row],[Page]], "-", " "))&amp;": "&amp;PROPER(SUBSTITUTE(us_core_reqs[[#This Row],[Section]], "-", " ")),"Us ","US "), "Uscdi", "USCDI")</f>
        <v>Must Support: Must Support Targets For US Core Profiles</v>
      </c>
      <c r="U599" t="s">
        <v>1171</v>
      </c>
      <c r="V599" t="s">
        <v>1171</v>
      </c>
      <c r="W599" t="s">
        <v>1171</v>
      </c>
      <c r="X599" t="s">
        <v>1171</v>
      </c>
      <c r="Y599" t="s">
        <v>1171</v>
      </c>
      <c r="Z599" t="s">
        <v>1171</v>
      </c>
      <c r="AA599" t="s">
        <v>1171</v>
      </c>
      <c r="AB599" t="s">
        <v>405</v>
      </c>
      <c r="AC599" t="s">
        <v>1140</v>
      </c>
      <c r="AD599" t="s">
        <v>1156</v>
      </c>
    </row>
    <row r="600" spans="1:30" ht="68" x14ac:dyDescent="0.2">
      <c r="A600" t="s">
        <v>1171</v>
      </c>
      <c r="B600" t="s">
        <v>1772</v>
      </c>
      <c r="C600" t="str">
        <f>"CONF-"&amp;TEXT(us_core_reqs[[#This Row],[ID*]], "0000")</f>
        <v>CONF-0812</v>
      </c>
      <c r="D600" s="11" t="s">
        <v>621</v>
      </c>
      <c r="E600" t="str">
        <f>SUBSTITUTE(us_core_reqs[[#This Row],[URL*]], "https://hl7.org/fhir/us/core/STU8/","")</f>
        <v>must-support.html#must-support---slices</v>
      </c>
      <c r="F600" s="11" t="s">
        <v>1153</v>
      </c>
      <c r="G600" t="s">
        <v>29</v>
      </c>
      <c r="I600" t="s">
        <v>30</v>
      </c>
      <c r="J600" t="b">
        <v>1</v>
      </c>
      <c r="K600" t="s">
        <v>1171</v>
      </c>
      <c r="L600" t="s">
        <v>1176</v>
      </c>
      <c r="M600" t="s">
        <v>1118</v>
      </c>
      <c r="N600" t="s">
        <v>1171</v>
      </c>
      <c r="O600" t="s">
        <v>1171</v>
      </c>
      <c r="P600" t="s">
        <v>1171</v>
      </c>
      <c r="Q600" t="s">
        <v>1171</v>
      </c>
      <c r="R600" t="str">
        <f>_xlfn.TEXTBEFORE(_xlfn.TEXTAFTER(us_core_reqs[[#This Row],[URL*]],"/",-1),".")</f>
        <v>must-support</v>
      </c>
      <c r="S600" t="str">
        <f>_xlfn.TEXTAFTER(us_core_reqs[[#This Row],[URL*]],"#",-1)</f>
        <v>must-support---slices</v>
      </c>
      <c r="T600" t="str">
        <f>SUBSTITUTE(SUBSTITUTE(PROPER(SUBSTITUTE(us_core_reqs[[#This Row],[Page]], "-", " "))&amp;": "&amp;PROPER(SUBSTITUTE(us_core_reqs[[#This Row],[Section]], "-", " ")),"Us ","US "), "Uscdi", "USCDI")</f>
        <v>Must Support: Must Support   Slices</v>
      </c>
      <c r="U600" t="s">
        <v>1171</v>
      </c>
      <c r="V600" t="s">
        <v>1171</v>
      </c>
      <c r="W600" t="s">
        <v>1171</v>
      </c>
      <c r="X600" t="s">
        <v>1171</v>
      </c>
      <c r="Y600" t="s">
        <v>1171</v>
      </c>
      <c r="Z600" t="s">
        <v>1171</v>
      </c>
      <c r="AA600" t="s">
        <v>1171</v>
      </c>
      <c r="AB600" t="s">
        <v>405</v>
      </c>
      <c r="AC600" t="s">
        <v>1140</v>
      </c>
      <c r="AD600" t="s">
        <v>1156</v>
      </c>
    </row>
    <row r="601" spans="1:30" ht="51" x14ac:dyDescent="0.2">
      <c r="A601" t="s">
        <v>1171</v>
      </c>
      <c r="B601" t="s">
        <v>1773</v>
      </c>
      <c r="C601" t="str">
        <f>"CONF-"&amp;TEXT(us_core_reqs[[#This Row],[ID*]], "0000")</f>
        <v>CONF-0813</v>
      </c>
      <c r="D601" s="11" t="s">
        <v>621</v>
      </c>
      <c r="E601" t="str">
        <f>SUBSTITUTE(us_core_reqs[[#This Row],[URL*]], "https://hl7.org/fhir/us/core/STU8/","")</f>
        <v>must-support.html#must-support---slices</v>
      </c>
      <c r="F601" s="11" t="s">
        <v>1152</v>
      </c>
      <c r="G601" t="s">
        <v>35</v>
      </c>
      <c r="I601" t="s">
        <v>30</v>
      </c>
      <c r="J601" t="s">
        <v>1171</v>
      </c>
      <c r="K601" t="s">
        <v>1171</v>
      </c>
      <c r="L601" t="s">
        <v>1176</v>
      </c>
      <c r="M601" t="s">
        <v>1117</v>
      </c>
      <c r="N601" t="s">
        <v>1171</v>
      </c>
      <c r="O601" t="s">
        <v>1171</v>
      </c>
      <c r="P601" t="s">
        <v>1171</v>
      </c>
      <c r="Q601" t="s">
        <v>1171</v>
      </c>
      <c r="R601" t="str">
        <f>_xlfn.TEXTBEFORE(_xlfn.TEXTAFTER(us_core_reqs[[#This Row],[URL*]],"/",-1),".")</f>
        <v>must-support</v>
      </c>
      <c r="S601" t="str">
        <f>_xlfn.TEXTAFTER(us_core_reqs[[#This Row],[URL*]],"#",-1)</f>
        <v>must-support---slices</v>
      </c>
      <c r="T601" t="str">
        <f>SUBSTITUTE(SUBSTITUTE(PROPER(SUBSTITUTE(us_core_reqs[[#This Row],[Page]], "-", " "))&amp;": "&amp;PROPER(SUBSTITUTE(us_core_reqs[[#This Row],[Section]], "-", " ")),"Us ","US "), "Uscdi", "USCDI")</f>
        <v>Must Support: Must Support   Slices</v>
      </c>
      <c r="U601" t="s">
        <v>1171</v>
      </c>
      <c r="V601" t="s">
        <v>1171</v>
      </c>
      <c r="W601" t="s">
        <v>1171</v>
      </c>
      <c r="X601" t="s">
        <v>1171</v>
      </c>
      <c r="Y601" t="s">
        <v>1171</v>
      </c>
      <c r="Z601" t="s">
        <v>1171</v>
      </c>
      <c r="AA601" t="s">
        <v>1171</v>
      </c>
      <c r="AB601" t="s">
        <v>405</v>
      </c>
      <c r="AC601" t="s">
        <v>1171</v>
      </c>
      <c r="AD601" t="s">
        <v>1171</v>
      </c>
    </row>
    <row r="602" spans="1:30" ht="51" x14ac:dyDescent="0.2">
      <c r="A602" t="s">
        <v>1171</v>
      </c>
      <c r="B602" t="s">
        <v>1774</v>
      </c>
      <c r="C602" t="str">
        <f>"CONF-"&amp;TEXT(us_core_reqs[[#This Row],[ID*]], "0000")</f>
        <v>CONF-0814</v>
      </c>
      <c r="D602" s="11" t="s">
        <v>621</v>
      </c>
      <c r="E602" t="str">
        <f>SUBSTITUTE(us_core_reqs[[#This Row],[URL*]], "https://hl7.org/fhir/us/core/STU8/","")</f>
        <v>must-support.html#must-support---slices</v>
      </c>
      <c r="F602" s="11" t="s">
        <v>1151</v>
      </c>
      <c r="G602" t="s">
        <v>29</v>
      </c>
      <c r="I602" t="s">
        <v>30</v>
      </c>
      <c r="J602" t="b">
        <v>1</v>
      </c>
      <c r="K602" t="s">
        <v>1171</v>
      </c>
      <c r="L602" t="s">
        <v>1176</v>
      </c>
      <c r="M602" t="s">
        <v>1116</v>
      </c>
      <c r="N602" t="s">
        <v>1171</v>
      </c>
      <c r="O602" t="s">
        <v>1171</v>
      </c>
      <c r="P602" t="s">
        <v>1171</v>
      </c>
      <c r="Q602" t="s">
        <v>1171</v>
      </c>
      <c r="R602" t="str">
        <f>_xlfn.TEXTBEFORE(_xlfn.TEXTAFTER(us_core_reqs[[#This Row],[URL*]],"/",-1),".")</f>
        <v>must-support</v>
      </c>
      <c r="S602" t="str">
        <f>_xlfn.TEXTAFTER(us_core_reqs[[#This Row],[URL*]],"#",-1)</f>
        <v>must-support---slices</v>
      </c>
      <c r="T602" t="str">
        <f>SUBSTITUTE(SUBSTITUTE(PROPER(SUBSTITUTE(us_core_reqs[[#This Row],[Page]], "-", " "))&amp;": "&amp;PROPER(SUBSTITUTE(us_core_reqs[[#This Row],[Section]], "-", " ")),"Us ","US "), "Uscdi", "USCDI")</f>
        <v>Must Support: Must Support   Slices</v>
      </c>
      <c r="U602" t="s">
        <v>1171</v>
      </c>
      <c r="V602" t="s">
        <v>1171</v>
      </c>
      <c r="W602" t="s">
        <v>1171</v>
      </c>
      <c r="X602" t="s">
        <v>1171</v>
      </c>
      <c r="Y602" t="s">
        <v>1171</v>
      </c>
      <c r="Z602" t="s">
        <v>1171</v>
      </c>
      <c r="AA602" t="s">
        <v>1171</v>
      </c>
      <c r="AB602" t="s">
        <v>405</v>
      </c>
      <c r="AC602" t="s">
        <v>1140</v>
      </c>
      <c r="AD602" t="s">
        <v>1156</v>
      </c>
    </row>
    <row r="603" spans="1:30" ht="85" x14ac:dyDescent="0.2">
      <c r="A603" t="s">
        <v>1171</v>
      </c>
      <c r="B603" t="s">
        <v>1775</v>
      </c>
      <c r="C603" t="str">
        <f>"CONF-"&amp;TEXT(us_core_reqs[[#This Row],[ID*]], "0000")</f>
        <v>CONF-0815</v>
      </c>
      <c r="D603" s="11" t="s">
        <v>1878</v>
      </c>
      <c r="E603" t="str">
        <f>SUBSTITUTE(us_core_reqs[[#This Row],[URL*]], "https://hl7.org/fhir/us/core/STU8/","")</f>
        <v>general-guidance.html#client-best-practices-for-search</v>
      </c>
      <c r="F603" s="11" t="s">
        <v>1114</v>
      </c>
      <c r="G603" t="s">
        <v>32</v>
      </c>
      <c r="I603" t="s">
        <v>58</v>
      </c>
      <c r="J603" t="s">
        <v>1171</v>
      </c>
      <c r="K603" t="s">
        <v>1171</v>
      </c>
      <c r="L603" t="s">
        <v>1176</v>
      </c>
      <c r="M603" t="s">
        <v>1115</v>
      </c>
      <c r="N603" t="s">
        <v>1171</v>
      </c>
      <c r="O603" t="s">
        <v>1171</v>
      </c>
      <c r="P603" t="s">
        <v>1171</v>
      </c>
      <c r="Q603" t="s">
        <v>1171</v>
      </c>
      <c r="R603" t="str">
        <f>_xlfn.TEXTBEFORE(_xlfn.TEXTAFTER(us_core_reqs[[#This Row],[URL*]],"/",-1),".")</f>
        <v>general-guidance</v>
      </c>
      <c r="S603" t="str">
        <f>_xlfn.TEXTAFTER(us_core_reqs[[#This Row],[URL*]],"#",-1)</f>
        <v>client-best-practices-for-search</v>
      </c>
      <c r="T603" t="str">
        <f>SUBSTITUTE(SUBSTITUTE(PROPER(SUBSTITUTE(us_core_reqs[[#This Row],[Page]], "-", " "))&amp;": "&amp;PROPER(SUBSTITUTE(us_core_reqs[[#This Row],[Section]], "-", " ")),"Us ","US "), "Uscdi", "USCDI")</f>
        <v>General Guidance: Client Best Practices For Search</v>
      </c>
      <c r="U603" t="s">
        <v>1171</v>
      </c>
      <c r="V603" t="s">
        <v>1171</v>
      </c>
      <c r="W603" t="s">
        <v>1171</v>
      </c>
      <c r="X603" t="s">
        <v>1171</v>
      </c>
      <c r="Y603" t="s">
        <v>1171</v>
      </c>
      <c r="Z603" t="s">
        <v>1171</v>
      </c>
      <c r="AA603" t="s">
        <v>1171</v>
      </c>
      <c r="AB603" t="s">
        <v>1171</v>
      </c>
      <c r="AC603" t="s">
        <v>1171</v>
      </c>
      <c r="AD603" t="s">
        <v>1171</v>
      </c>
    </row>
    <row r="604" spans="1:30" ht="51" x14ac:dyDescent="0.2">
      <c r="A604" t="s">
        <v>1171</v>
      </c>
      <c r="B604" t="s">
        <v>1776</v>
      </c>
      <c r="C604" t="str">
        <f>"CONF-"&amp;TEXT(us_core_reqs[[#This Row],[ID*]], "0000")</f>
        <v>CONF-0816</v>
      </c>
      <c r="D604" s="11" t="s">
        <v>1878</v>
      </c>
      <c r="E604" t="str">
        <f>SUBSTITUTE(us_core_reqs[[#This Row],[URL*]], "https://hl7.org/fhir/us/core/STU8/","")</f>
        <v>general-guidance.html#client-best-practices-for-search</v>
      </c>
      <c r="F604" s="11" t="s">
        <v>713</v>
      </c>
      <c r="G604" t="s">
        <v>32</v>
      </c>
      <c r="I604" t="s">
        <v>58</v>
      </c>
      <c r="J604" t="s">
        <v>1171</v>
      </c>
      <c r="K604" t="s">
        <v>1171</v>
      </c>
      <c r="L604" t="s">
        <v>1176</v>
      </c>
      <c r="M604" t="s">
        <v>1113</v>
      </c>
      <c r="N604" t="s">
        <v>1171</v>
      </c>
      <c r="O604" t="s">
        <v>1171</v>
      </c>
      <c r="P604" t="s">
        <v>1171</v>
      </c>
      <c r="Q604" t="s">
        <v>1171</v>
      </c>
      <c r="R604" t="str">
        <f>_xlfn.TEXTBEFORE(_xlfn.TEXTAFTER(us_core_reqs[[#This Row],[URL*]],"/",-1),".")</f>
        <v>general-guidance</v>
      </c>
      <c r="S604" t="str">
        <f>_xlfn.TEXTAFTER(us_core_reqs[[#This Row],[URL*]],"#",-1)</f>
        <v>client-best-practices-for-search</v>
      </c>
      <c r="T604" t="str">
        <f>SUBSTITUTE(SUBSTITUTE(PROPER(SUBSTITUTE(us_core_reqs[[#This Row],[Page]], "-", " "))&amp;": "&amp;PROPER(SUBSTITUTE(us_core_reqs[[#This Row],[Section]], "-", " ")),"Us ","US "), "Uscdi", "USCDI")</f>
        <v>General Guidance: Client Best Practices For Search</v>
      </c>
      <c r="U604" t="s">
        <v>1171</v>
      </c>
      <c r="V604" t="s">
        <v>1171</v>
      </c>
      <c r="W604" t="s">
        <v>1171</v>
      </c>
      <c r="X604" t="s">
        <v>1171</v>
      </c>
      <c r="Y604" t="s">
        <v>1171</v>
      </c>
      <c r="Z604" t="s">
        <v>1171</v>
      </c>
      <c r="AA604" t="s">
        <v>1171</v>
      </c>
      <c r="AB604" t="s">
        <v>1171</v>
      </c>
      <c r="AC604" t="s">
        <v>1171</v>
      </c>
      <c r="AD604" t="s">
        <v>1171</v>
      </c>
    </row>
    <row r="605" spans="1:30" ht="34" x14ac:dyDescent="0.2">
      <c r="A605" t="s">
        <v>1171</v>
      </c>
      <c r="B605" t="s">
        <v>1777</v>
      </c>
      <c r="C605" t="str">
        <f>"CONF-"&amp;TEXT(us_core_reqs[[#This Row],[ID*]], "0000")</f>
        <v>CONF-0817</v>
      </c>
      <c r="D605" s="11" t="s">
        <v>1878</v>
      </c>
      <c r="E605" t="str">
        <f>SUBSTITUTE(us_core_reqs[[#This Row],[URL*]], "https://hl7.org/fhir/us/core/STU8/","")</f>
        <v>general-guidance.html#client-best-practices-for-search</v>
      </c>
      <c r="F605" s="11" t="s">
        <v>2232</v>
      </c>
      <c r="G605" t="s">
        <v>1834</v>
      </c>
      <c r="I605" t="s">
        <v>58</v>
      </c>
      <c r="J605" t="s">
        <v>1171</v>
      </c>
      <c r="K605" t="s">
        <v>1171</v>
      </c>
      <c r="L605" t="s">
        <v>1176</v>
      </c>
      <c r="M605" t="s">
        <v>1112</v>
      </c>
      <c r="N605" t="s">
        <v>1171</v>
      </c>
      <c r="O605" t="s">
        <v>1171</v>
      </c>
      <c r="P605" t="s">
        <v>1171</v>
      </c>
      <c r="Q605" t="s">
        <v>1171</v>
      </c>
      <c r="R605" t="str">
        <f>_xlfn.TEXTBEFORE(_xlfn.TEXTAFTER(us_core_reqs[[#This Row],[URL*]],"/",-1),".")</f>
        <v>general-guidance</v>
      </c>
      <c r="S605" t="str">
        <f>_xlfn.TEXTAFTER(us_core_reqs[[#This Row],[URL*]],"#",-1)</f>
        <v>client-best-practices-for-search</v>
      </c>
      <c r="T605" t="str">
        <f>SUBSTITUTE(SUBSTITUTE(PROPER(SUBSTITUTE(us_core_reqs[[#This Row],[Page]], "-", " "))&amp;": "&amp;PROPER(SUBSTITUTE(us_core_reqs[[#This Row],[Section]], "-", " ")),"Us ","US "), "Uscdi", "USCDI")</f>
        <v>General Guidance: Client Best Practices For Search</v>
      </c>
      <c r="U605" t="s">
        <v>1171</v>
      </c>
      <c r="V605" t="s">
        <v>1171</v>
      </c>
      <c r="W605" t="s">
        <v>1171</v>
      </c>
      <c r="X605" t="s">
        <v>1171</v>
      </c>
      <c r="Y605" t="s">
        <v>1171</v>
      </c>
      <c r="Z605" t="s">
        <v>1171</v>
      </c>
      <c r="AA605" t="s">
        <v>1171</v>
      </c>
      <c r="AB605" t="s">
        <v>1171</v>
      </c>
      <c r="AC605" t="s">
        <v>1171</v>
      </c>
      <c r="AD605" t="s">
        <v>1171</v>
      </c>
    </row>
    <row r="606" spans="1:30" ht="51" x14ac:dyDescent="0.2">
      <c r="A606" t="s">
        <v>1171</v>
      </c>
      <c r="B606" t="s">
        <v>1778</v>
      </c>
      <c r="C606" t="str">
        <f>"CONF-"&amp;TEXT(us_core_reqs[[#This Row],[ID*]], "0000")</f>
        <v>CONF-0818</v>
      </c>
      <c r="D606" s="11" t="s">
        <v>627</v>
      </c>
      <c r="E606" t="str">
        <f>SUBSTITUTE(us_core_reqs[[#This Row],[URL*]], "https://hl7.org/fhir/us/core/STU8/","")</f>
        <v>clinical-notes.html#clinical-notes</v>
      </c>
      <c r="F606" s="11" t="s">
        <v>2160</v>
      </c>
      <c r="G606" t="s">
        <v>29</v>
      </c>
      <c r="I606" t="s">
        <v>30</v>
      </c>
      <c r="J606" t="s">
        <v>1171</v>
      </c>
      <c r="K606" t="s">
        <v>1171</v>
      </c>
      <c r="L606" t="s">
        <v>1173</v>
      </c>
      <c r="M606" t="s">
        <v>1171</v>
      </c>
      <c r="N606" t="s">
        <v>1171</v>
      </c>
      <c r="O606" t="s">
        <v>1171</v>
      </c>
      <c r="P606" t="s">
        <v>1171</v>
      </c>
      <c r="Q606" t="s">
        <v>1171</v>
      </c>
      <c r="R606" t="str">
        <f>_xlfn.TEXTBEFORE(_xlfn.TEXTAFTER(us_core_reqs[[#This Row],[URL*]],"/",-1),".")</f>
        <v>clinical-notes</v>
      </c>
      <c r="S606" t="str">
        <f>_xlfn.TEXTAFTER(us_core_reqs[[#This Row],[URL*]],"#",-1)</f>
        <v>clinical-notes</v>
      </c>
      <c r="T606" t="str">
        <f>SUBSTITUTE(SUBSTITUTE(PROPER(SUBSTITUTE(us_core_reqs[[#This Row],[Page]], "-", " "))&amp;": "&amp;PROPER(SUBSTITUTE(us_core_reqs[[#This Row],[Section]], "-", " ")),"Us ","US "), "Uscdi", "USCDI")</f>
        <v>Clinical Notes: Clinical Notes</v>
      </c>
      <c r="U606" t="s">
        <v>1171</v>
      </c>
      <c r="V606" t="s">
        <v>1171</v>
      </c>
      <c r="W606" t="s">
        <v>1171</v>
      </c>
      <c r="X606" t="s">
        <v>1171</v>
      </c>
      <c r="Y606" t="s">
        <v>1171</v>
      </c>
      <c r="Z606" t="s">
        <v>1171</v>
      </c>
      <c r="AA606" t="s">
        <v>1171</v>
      </c>
      <c r="AB606" t="s">
        <v>1171</v>
      </c>
      <c r="AC606" t="s">
        <v>1140</v>
      </c>
      <c r="AD606" t="s">
        <v>1140</v>
      </c>
    </row>
    <row r="607" spans="1:30" ht="68" x14ac:dyDescent="0.2">
      <c r="A607" t="s">
        <v>1171</v>
      </c>
      <c r="B607" t="s">
        <v>1779</v>
      </c>
      <c r="C607" t="str">
        <f>"CONF-"&amp;TEXT(us_core_reqs[[#This Row],[ID*]], "0000")</f>
        <v>CONF-0819</v>
      </c>
      <c r="D607" s="11" t="s">
        <v>627</v>
      </c>
      <c r="E607" t="str">
        <f>SUBSTITUTE(us_core_reqs[[#This Row],[URL*]], "https://hl7.org/fhir/us/core/STU8/","")</f>
        <v>clinical-notes.html#clinical-notes</v>
      </c>
      <c r="F607" s="11" t="s">
        <v>2161</v>
      </c>
      <c r="G607" t="s">
        <v>29</v>
      </c>
      <c r="I607" t="s">
        <v>30</v>
      </c>
      <c r="J607" t="s">
        <v>1171</v>
      </c>
      <c r="K607" t="s">
        <v>1171</v>
      </c>
      <c r="L607" t="s">
        <v>1173</v>
      </c>
      <c r="M607" t="s">
        <v>1171</v>
      </c>
      <c r="N607" t="s">
        <v>1171</v>
      </c>
      <c r="O607" t="s">
        <v>1171</v>
      </c>
      <c r="P607" t="s">
        <v>1171</v>
      </c>
      <c r="Q607" t="s">
        <v>1171</v>
      </c>
      <c r="R607" t="str">
        <f>_xlfn.TEXTBEFORE(_xlfn.TEXTAFTER(us_core_reqs[[#This Row],[URL*]],"/",-1),".")</f>
        <v>clinical-notes</v>
      </c>
      <c r="S607" t="str">
        <f>_xlfn.TEXTAFTER(us_core_reqs[[#This Row],[URL*]],"#",-1)</f>
        <v>clinical-notes</v>
      </c>
      <c r="T607" t="str">
        <f>SUBSTITUTE(SUBSTITUTE(PROPER(SUBSTITUTE(us_core_reqs[[#This Row],[Page]], "-", " "))&amp;": "&amp;PROPER(SUBSTITUTE(us_core_reqs[[#This Row],[Section]], "-", " ")),"Us ","US "), "Uscdi", "USCDI")</f>
        <v>Clinical Notes: Clinical Notes</v>
      </c>
      <c r="U607" t="s">
        <v>1171</v>
      </c>
      <c r="V607" t="s">
        <v>1171</v>
      </c>
      <c r="W607" t="s">
        <v>1171</v>
      </c>
      <c r="X607" t="s">
        <v>1171</v>
      </c>
      <c r="Y607" t="s">
        <v>1171</v>
      </c>
      <c r="Z607" t="s">
        <v>1171</v>
      </c>
      <c r="AA607" t="s">
        <v>1171</v>
      </c>
      <c r="AB607" t="s">
        <v>1171</v>
      </c>
      <c r="AC607" t="s">
        <v>1140</v>
      </c>
      <c r="AD607" t="s">
        <v>1140</v>
      </c>
    </row>
    <row r="608" spans="1:30" ht="51" x14ac:dyDescent="0.2">
      <c r="A608" t="s">
        <v>1171</v>
      </c>
      <c r="B608" t="s">
        <v>1780</v>
      </c>
      <c r="C608" t="str">
        <f>"CONF-"&amp;TEXT(us_core_reqs[[#This Row],[ID*]], "0000")</f>
        <v>CONF-0820</v>
      </c>
      <c r="D608" s="11" t="s">
        <v>631</v>
      </c>
      <c r="E608" t="str">
        <f>SUBSTITUTE(us_core_reqs[[#This Row],[URL*]], "https://hl7.org/fhir/us/core/STU8/","")</f>
        <v>screening-and-assessments.html#structured-screening-and-assessments</v>
      </c>
      <c r="F608" s="11" t="s">
        <v>735</v>
      </c>
      <c r="G608" t="s">
        <v>29</v>
      </c>
      <c r="I608" t="s">
        <v>30</v>
      </c>
      <c r="J608" t="s">
        <v>1171</v>
      </c>
      <c r="K608" t="s">
        <v>1171</v>
      </c>
      <c r="L608" t="s">
        <v>1176</v>
      </c>
      <c r="M608" t="s">
        <v>1111</v>
      </c>
      <c r="N608" t="s">
        <v>1171</v>
      </c>
      <c r="O608" t="s">
        <v>1171</v>
      </c>
      <c r="P608" t="s">
        <v>1171</v>
      </c>
      <c r="Q608" t="s">
        <v>1171</v>
      </c>
      <c r="R608" t="str">
        <f>_xlfn.TEXTBEFORE(_xlfn.TEXTAFTER(us_core_reqs[[#This Row],[URL*]],"/",-1),".")</f>
        <v>screening-and-assessments</v>
      </c>
      <c r="S608" t="str">
        <f>_xlfn.TEXTAFTER(us_core_reqs[[#This Row],[URL*]],"#",-1)</f>
        <v>structured-screening-and-assessments</v>
      </c>
      <c r="T608" t="str">
        <f>SUBSTITUTE(SUBSTITUTE(PROPER(SUBSTITUTE(us_core_reqs[[#This Row],[Page]], "-", " "))&amp;": "&amp;PROPER(SUBSTITUTE(us_core_reqs[[#This Row],[Section]], "-", " ")),"Us ","US "), "Uscdi", "USCDI")</f>
        <v>Screening And Assessments: Structured Screening And Assessments</v>
      </c>
      <c r="U608" t="s">
        <v>1171</v>
      </c>
      <c r="V608" t="s">
        <v>1171</v>
      </c>
      <c r="W608" t="s">
        <v>1171</v>
      </c>
      <c r="X608" t="s">
        <v>1171</v>
      </c>
      <c r="Y608" t="s">
        <v>1171</v>
      </c>
      <c r="Z608" t="s">
        <v>1171</v>
      </c>
      <c r="AA608" t="s">
        <v>1171</v>
      </c>
      <c r="AB608" t="s">
        <v>1171</v>
      </c>
      <c r="AC608" t="s">
        <v>1140</v>
      </c>
      <c r="AD608" t="s">
        <v>1154</v>
      </c>
    </row>
    <row r="609" spans="1:30" ht="51" x14ac:dyDescent="0.2">
      <c r="A609" t="s">
        <v>1171</v>
      </c>
      <c r="B609" t="s">
        <v>1781</v>
      </c>
      <c r="C609" t="str">
        <f>"CONF-"&amp;TEXT(us_core_reqs[[#This Row],[ID*]], "0000")</f>
        <v>CONF-0821</v>
      </c>
      <c r="D609" s="11" t="s">
        <v>631</v>
      </c>
      <c r="E609" t="str">
        <f>SUBSTITUTE(us_core_reqs[[#This Row],[URL*]], "https://hl7.org/fhir/us/core/STU8/","")</f>
        <v>screening-and-assessments.html#structured-screening-and-assessments</v>
      </c>
      <c r="F609" s="11" t="s">
        <v>736</v>
      </c>
      <c r="G609" t="s">
        <v>32</v>
      </c>
      <c r="I609" t="s">
        <v>30</v>
      </c>
      <c r="J609" t="s">
        <v>1171</v>
      </c>
      <c r="K609" t="s">
        <v>1171</v>
      </c>
      <c r="L609" t="s">
        <v>1176</v>
      </c>
      <c r="M609" t="s">
        <v>1111</v>
      </c>
      <c r="N609" t="s">
        <v>1171</v>
      </c>
      <c r="O609" t="s">
        <v>1171</v>
      </c>
      <c r="P609" t="s">
        <v>1171</v>
      </c>
      <c r="Q609" t="s">
        <v>1171</v>
      </c>
      <c r="R609" t="str">
        <f>_xlfn.TEXTBEFORE(_xlfn.TEXTAFTER(us_core_reqs[[#This Row],[URL*]],"/",-1),".")</f>
        <v>screening-and-assessments</v>
      </c>
      <c r="S609" t="str">
        <f>_xlfn.TEXTAFTER(us_core_reqs[[#This Row],[URL*]],"#",-1)</f>
        <v>structured-screening-and-assessments</v>
      </c>
      <c r="T609" t="str">
        <f>SUBSTITUTE(SUBSTITUTE(PROPER(SUBSTITUTE(us_core_reqs[[#This Row],[Page]], "-", " "))&amp;": "&amp;PROPER(SUBSTITUTE(us_core_reqs[[#This Row],[Section]], "-", " ")),"Us ","US "), "Uscdi", "USCDI")</f>
        <v>Screening And Assessments: Structured Screening And Assessments</v>
      </c>
      <c r="U609" t="s">
        <v>1171</v>
      </c>
      <c r="V609" t="s">
        <v>1171</v>
      </c>
      <c r="W609" t="s">
        <v>1171</v>
      </c>
      <c r="X609" t="s">
        <v>1171</v>
      </c>
      <c r="Y609" t="s">
        <v>1171</v>
      </c>
      <c r="Z609" t="s">
        <v>1171</v>
      </c>
      <c r="AA609" t="s">
        <v>1171</v>
      </c>
      <c r="AB609" t="s">
        <v>1171</v>
      </c>
      <c r="AC609" t="s">
        <v>1171</v>
      </c>
      <c r="AD609" t="s">
        <v>1171</v>
      </c>
    </row>
    <row r="610" spans="1:30" ht="68" x14ac:dyDescent="0.2">
      <c r="A610" t="s">
        <v>1171</v>
      </c>
      <c r="B610" t="s">
        <v>1782</v>
      </c>
      <c r="C610" t="str">
        <f>"CONF-"&amp;TEXT(us_core_reqs[[#This Row],[ID*]], "0000")</f>
        <v>CONF-0822</v>
      </c>
      <c r="D610" s="11" t="s">
        <v>632</v>
      </c>
      <c r="E610" t="str">
        <f>SUBSTITUTE(us_core_reqs[[#This Row],[URL*]], "https://hl7.org/fhir/us/core/STU8/","")</f>
        <v>screening-and-assessments.html#category-codes</v>
      </c>
      <c r="F610" s="11" t="s">
        <v>739</v>
      </c>
      <c r="G610" t="s">
        <v>29</v>
      </c>
      <c r="I610" t="s">
        <v>30</v>
      </c>
      <c r="J610" t="s">
        <v>1171</v>
      </c>
      <c r="K610" t="s">
        <v>1171</v>
      </c>
      <c r="L610" t="s">
        <v>1173</v>
      </c>
      <c r="M610" t="s">
        <v>1171</v>
      </c>
      <c r="N610" t="s">
        <v>1171</v>
      </c>
      <c r="O610" t="s">
        <v>1171</v>
      </c>
      <c r="P610" t="s">
        <v>1171</v>
      </c>
      <c r="Q610" t="s">
        <v>1171</v>
      </c>
      <c r="R610" t="str">
        <f>_xlfn.TEXTBEFORE(_xlfn.TEXTAFTER(us_core_reqs[[#This Row],[URL*]],"/",-1),".")</f>
        <v>screening-and-assessments</v>
      </c>
      <c r="S610" t="str">
        <f>_xlfn.TEXTAFTER(us_core_reqs[[#This Row],[URL*]],"#",-1)</f>
        <v>category-codes</v>
      </c>
      <c r="T610" t="str">
        <f>SUBSTITUTE(SUBSTITUTE(PROPER(SUBSTITUTE(us_core_reqs[[#This Row],[Page]], "-", " "))&amp;": "&amp;PROPER(SUBSTITUTE(us_core_reqs[[#This Row],[Section]], "-", " ")),"Us ","US "), "Uscdi", "USCDI")</f>
        <v>Screening And Assessments: Category Codes</v>
      </c>
      <c r="U610" t="s">
        <v>1171</v>
      </c>
      <c r="V610" t="s">
        <v>1171</v>
      </c>
      <c r="W610" t="s">
        <v>1171</v>
      </c>
      <c r="X610" t="s">
        <v>1171</v>
      </c>
      <c r="Y610" t="s">
        <v>1171</v>
      </c>
      <c r="Z610" t="s">
        <v>1171</v>
      </c>
      <c r="AA610" t="s">
        <v>1171</v>
      </c>
      <c r="AB610" t="s">
        <v>1171</v>
      </c>
      <c r="AC610" t="s">
        <v>1140</v>
      </c>
      <c r="AD610" t="s">
        <v>1140</v>
      </c>
    </row>
    <row r="611" spans="1:30" ht="68" x14ac:dyDescent="0.2">
      <c r="A611" t="s">
        <v>1171</v>
      </c>
      <c r="B611" t="s">
        <v>1783</v>
      </c>
      <c r="C611" t="str">
        <f>"CONF-"&amp;TEXT(us_core_reqs[[#This Row],[ID*]], "0000")</f>
        <v>CONF-0823</v>
      </c>
      <c r="D611" s="11" t="s">
        <v>632</v>
      </c>
      <c r="E611" t="str">
        <f>SUBSTITUTE(us_core_reqs[[#This Row],[URL*]], "https://hl7.org/fhir/us/core/STU8/","")</f>
        <v>screening-and-assessments.html#category-codes</v>
      </c>
      <c r="F611" s="11" t="s">
        <v>740</v>
      </c>
      <c r="G611" t="s">
        <v>29</v>
      </c>
      <c r="I611" t="s">
        <v>30</v>
      </c>
      <c r="J611" t="s">
        <v>1171</v>
      </c>
      <c r="K611" t="s">
        <v>1171</v>
      </c>
      <c r="L611" t="s">
        <v>1173</v>
      </c>
      <c r="M611" t="s">
        <v>1171</v>
      </c>
      <c r="N611" t="s">
        <v>1171</v>
      </c>
      <c r="O611" t="s">
        <v>1171</v>
      </c>
      <c r="P611" t="s">
        <v>1171</v>
      </c>
      <c r="Q611" t="s">
        <v>1171</v>
      </c>
      <c r="R611" t="str">
        <f>_xlfn.TEXTBEFORE(_xlfn.TEXTAFTER(us_core_reqs[[#This Row],[URL*]],"/",-1),".")</f>
        <v>screening-and-assessments</v>
      </c>
      <c r="S611" t="str">
        <f>_xlfn.TEXTAFTER(us_core_reqs[[#This Row],[URL*]],"#",-1)</f>
        <v>category-codes</v>
      </c>
      <c r="T611" t="str">
        <f>SUBSTITUTE(SUBSTITUTE(PROPER(SUBSTITUTE(us_core_reqs[[#This Row],[Page]], "-", " "))&amp;": "&amp;PROPER(SUBSTITUTE(us_core_reqs[[#This Row],[Section]], "-", " ")),"Us ","US "), "Uscdi", "USCDI")</f>
        <v>Screening And Assessments: Category Codes</v>
      </c>
      <c r="U611" t="s">
        <v>1171</v>
      </c>
      <c r="V611" t="s">
        <v>1171</v>
      </c>
      <c r="W611" t="s">
        <v>1171</v>
      </c>
      <c r="X611" t="s">
        <v>1171</v>
      </c>
      <c r="Y611" t="s">
        <v>1171</v>
      </c>
      <c r="Z611" t="s">
        <v>1171</v>
      </c>
      <c r="AA611" t="s">
        <v>1171</v>
      </c>
      <c r="AB611" t="s">
        <v>1171</v>
      </c>
      <c r="AC611" t="s">
        <v>1140</v>
      </c>
      <c r="AD611" t="s">
        <v>1140</v>
      </c>
    </row>
    <row r="612" spans="1:30" ht="34" x14ac:dyDescent="0.2">
      <c r="A612" t="s">
        <v>1171</v>
      </c>
      <c r="B612" t="s">
        <v>1784</v>
      </c>
      <c r="C612" t="str">
        <f>"CONF-"&amp;TEXT(us_core_reqs[[#This Row],[ID*]], "0000")</f>
        <v>CONF-0824</v>
      </c>
      <c r="D612" s="11" t="s">
        <v>632</v>
      </c>
      <c r="E612" t="str">
        <f>SUBSTITUTE(us_core_reqs[[#This Row],[URL*]], "https://hl7.org/fhir/us/core/STU8/","")</f>
        <v>screening-and-assessments.html#category-codes</v>
      </c>
      <c r="F612" s="11" t="s">
        <v>741</v>
      </c>
      <c r="G612" t="s">
        <v>29</v>
      </c>
      <c r="I612" t="s">
        <v>30</v>
      </c>
      <c r="J612" t="s">
        <v>1171</v>
      </c>
      <c r="K612" t="s">
        <v>1171</v>
      </c>
      <c r="L612" t="s">
        <v>1173</v>
      </c>
      <c r="M612" t="s">
        <v>1171</v>
      </c>
      <c r="N612" t="s">
        <v>1171</v>
      </c>
      <c r="O612" t="s">
        <v>1171</v>
      </c>
      <c r="P612" t="s">
        <v>1171</v>
      </c>
      <c r="Q612" t="s">
        <v>1171</v>
      </c>
      <c r="R612" t="str">
        <f>_xlfn.TEXTBEFORE(_xlfn.TEXTAFTER(us_core_reqs[[#This Row],[URL*]],"/",-1),".")</f>
        <v>screening-and-assessments</v>
      </c>
      <c r="S612" t="str">
        <f>_xlfn.TEXTAFTER(us_core_reqs[[#This Row],[URL*]],"#",-1)</f>
        <v>category-codes</v>
      </c>
      <c r="T612" t="str">
        <f>SUBSTITUTE(SUBSTITUTE(PROPER(SUBSTITUTE(us_core_reqs[[#This Row],[Page]], "-", " "))&amp;": "&amp;PROPER(SUBSTITUTE(us_core_reqs[[#This Row],[Section]], "-", " ")),"Us ","US "), "Uscdi", "USCDI")</f>
        <v>Screening And Assessments: Category Codes</v>
      </c>
      <c r="U612" t="s">
        <v>1171</v>
      </c>
      <c r="V612" t="s">
        <v>1171</v>
      </c>
      <c r="W612" t="s">
        <v>1171</v>
      </c>
      <c r="X612" t="s">
        <v>1171</v>
      </c>
      <c r="Y612" t="s">
        <v>1171</v>
      </c>
      <c r="Z612" t="s">
        <v>1171</v>
      </c>
      <c r="AA612" t="s">
        <v>1171</v>
      </c>
      <c r="AB612" t="s">
        <v>1171</v>
      </c>
      <c r="AC612" t="s">
        <v>1140</v>
      </c>
      <c r="AD612" t="s">
        <v>1140</v>
      </c>
    </row>
    <row r="613" spans="1:30" ht="68" x14ac:dyDescent="0.2">
      <c r="A613" t="s">
        <v>1171</v>
      </c>
      <c r="B613" t="s">
        <v>1785</v>
      </c>
      <c r="C613" t="str">
        <f>"CONF-"&amp;TEXT(us_core_reqs[[#This Row],[ID*]], "0000")</f>
        <v>CONF-0825</v>
      </c>
      <c r="D613" s="11" t="s">
        <v>632</v>
      </c>
      <c r="E613" t="str">
        <f>SUBSTITUTE(us_core_reqs[[#This Row],[URL*]], "https://hl7.org/fhir/us/core/STU8/","")</f>
        <v>screening-and-assessments.html#category-codes</v>
      </c>
      <c r="F613" s="11" t="s">
        <v>742</v>
      </c>
      <c r="G613" t="s">
        <v>32</v>
      </c>
      <c r="I613" t="s">
        <v>30</v>
      </c>
      <c r="J613" t="s">
        <v>1171</v>
      </c>
      <c r="K613" t="s">
        <v>1171</v>
      </c>
      <c r="L613" t="s">
        <v>1173</v>
      </c>
      <c r="M613" t="s">
        <v>1171</v>
      </c>
      <c r="N613" t="s">
        <v>1171</v>
      </c>
      <c r="O613" t="s">
        <v>1171</v>
      </c>
      <c r="P613" t="s">
        <v>1171</v>
      </c>
      <c r="Q613" t="s">
        <v>1171</v>
      </c>
      <c r="R613" t="str">
        <f>_xlfn.TEXTBEFORE(_xlfn.TEXTAFTER(us_core_reqs[[#This Row],[URL*]],"/",-1),".")</f>
        <v>screening-and-assessments</v>
      </c>
      <c r="S613" t="str">
        <f>_xlfn.TEXTAFTER(us_core_reqs[[#This Row],[URL*]],"#",-1)</f>
        <v>category-codes</v>
      </c>
      <c r="T613" t="str">
        <f>SUBSTITUTE(SUBSTITUTE(PROPER(SUBSTITUTE(us_core_reqs[[#This Row],[Page]], "-", " "))&amp;": "&amp;PROPER(SUBSTITUTE(us_core_reqs[[#This Row],[Section]], "-", " ")),"Us ","US "), "Uscdi", "USCDI")</f>
        <v>Screening And Assessments: Category Codes</v>
      </c>
      <c r="U613" t="s">
        <v>1171</v>
      </c>
      <c r="V613" t="s">
        <v>1171</v>
      </c>
      <c r="W613" t="s">
        <v>1171</v>
      </c>
      <c r="X613" t="s">
        <v>1171</v>
      </c>
      <c r="Y613" t="s">
        <v>1171</v>
      </c>
      <c r="Z613" t="s">
        <v>1171</v>
      </c>
      <c r="AA613" t="s">
        <v>1171</v>
      </c>
      <c r="AB613" t="s">
        <v>1171</v>
      </c>
      <c r="AC613" t="s">
        <v>1171</v>
      </c>
      <c r="AD613" t="s">
        <v>1171</v>
      </c>
    </row>
    <row r="614" spans="1:30" ht="51" x14ac:dyDescent="0.2">
      <c r="A614" t="s">
        <v>1171</v>
      </c>
      <c r="B614" t="s">
        <v>1786</v>
      </c>
      <c r="C614" t="str">
        <f>"CONF-"&amp;TEXT(us_core_reqs[[#This Row],[ID*]], "0000")</f>
        <v>CONF-0826</v>
      </c>
      <c r="D614" s="11" t="s">
        <v>632</v>
      </c>
      <c r="E614" t="str">
        <f>SUBSTITUTE(us_core_reqs[[#This Row],[URL*]], "https://hl7.org/fhir/us/core/STU8/","")</f>
        <v>screening-and-assessments.html#category-codes</v>
      </c>
      <c r="F614" s="11" t="s">
        <v>2020</v>
      </c>
      <c r="G614" t="s">
        <v>32</v>
      </c>
      <c r="I614" t="s">
        <v>30</v>
      </c>
      <c r="J614" t="s">
        <v>1171</v>
      </c>
      <c r="K614" t="s">
        <v>1171</v>
      </c>
      <c r="L614" t="s">
        <v>1173</v>
      </c>
      <c r="M614" t="s">
        <v>1171</v>
      </c>
      <c r="N614" t="s">
        <v>1171</v>
      </c>
      <c r="O614" t="s">
        <v>1171</v>
      </c>
      <c r="P614" t="s">
        <v>1171</v>
      </c>
      <c r="Q614" t="s">
        <v>1171</v>
      </c>
      <c r="R614" t="str">
        <f>_xlfn.TEXTBEFORE(_xlfn.TEXTAFTER(us_core_reqs[[#This Row],[URL*]],"/",-1),".")</f>
        <v>screening-and-assessments</v>
      </c>
      <c r="S614" t="str">
        <f>_xlfn.TEXTAFTER(us_core_reqs[[#This Row],[URL*]],"#",-1)</f>
        <v>category-codes</v>
      </c>
      <c r="T614" t="str">
        <f>SUBSTITUTE(SUBSTITUTE(PROPER(SUBSTITUTE(us_core_reqs[[#This Row],[Page]], "-", " "))&amp;": "&amp;PROPER(SUBSTITUTE(us_core_reqs[[#This Row],[Section]], "-", " ")),"Us ","US "), "Uscdi", "USCDI")</f>
        <v>Screening And Assessments: Category Codes</v>
      </c>
      <c r="U614" t="s">
        <v>1171</v>
      </c>
      <c r="V614" t="s">
        <v>1171</v>
      </c>
      <c r="W614" t="s">
        <v>1171</v>
      </c>
      <c r="X614" t="s">
        <v>1171</v>
      </c>
      <c r="Y614" t="s">
        <v>1171</v>
      </c>
      <c r="Z614" t="s">
        <v>1171</v>
      </c>
      <c r="AA614" t="s">
        <v>1171</v>
      </c>
      <c r="AB614" t="s">
        <v>1171</v>
      </c>
      <c r="AC614" t="s">
        <v>1171</v>
      </c>
      <c r="AD614" t="s">
        <v>1171</v>
      </c>
    </row>
    <row r="615" spans="1:30" ht="68" x14ac:dyDescent="0.2">
      <c r="A615" t="s">
        <v>1171</v>
      </c>
      <c r="B615" t="s">
        <v>1787</v>
      </c>
      <c r="C615" t="str">
        <f>"CONF-"&amp;TEXT(us_core_reqs[[#This Row],[ID*]], "0000")</f>
        <v>CONF-0827</v>
      </c>
      <c r="D615" s="11" t="s">
        <v>1083</v>
      </c>
      <c r="E615" t="str">
        <f>SUBSTITUTE(us_core_reqs[[#This Row],[URL*]], "https://hl7.org/fhir/us/core/STU8/","")</f>
        <v>CapabilityStatement-us-core-Client.html#behavior, CapabilityStatement-us-core-Server.html#behavior</v>
      </c>
      <c r="F615" s="11" t="s">
        <v>2233</v>
      </c>
      <c r="G615" t="s">
        <v>1833</v>
      </c>
      <c r="I615" t="s">
        <v>30</v>
      </c>
      <c r="J615" t="s">
        <v>1171</v>
      </c>
      <c r="K615" t="s">
        <v>1171</v>
      </c>
      <c r="L615" t="s">
        <v>1173</v>
      </c>
      <c r="M615" t="s">
        <v>1171</v>
      </c>
      <c r="N615" t="s">
        <v>1171</v>
      </c>
      <c r="O615" t="s">
        <v>1171</v>
      </c>
      <c r="P615" t="s">
        <v>1171</v>
      </c>
      <c r="Q615" t="s">
        <v>1171</v>
      </c>
      <c r="R615" t="str">
        <f>_xlfn.TEXTBEFORE(_xlfn.TEXTAFTER(us_core_reqs[[#This Row],[URL*]],"/",-1),".")</f>
        <v>CapabilityStatement-us-core-Server</v>
      </c>
      <c r="S615" t="str">
        <f>_xlfn.TEXTAFTER(us_core_reqs[[#This Row],[URL*]],"#",-1)</f>
        <v>behavior</v>
      </c>
      <c r="T615" t="str">
        <f>SUBSTITUTE(SUBSTITUTE(PROPER(SUBSTITUTE(us_core_reqs[[#This Row],[Page]], "-", " "))&amp;": "&amp;PROPER(SUBSTITUTE(us_core_reqs[[#This Row],[Section]], "-", " ")),"Us ","US "), "Uscdi", "USCDI")</f>
        <v>Capabilitystatement US Core Server: Behavior</v>
      </c>
      <c r="U615" t="s">
        <v>1171</v>
      </c>
      <c r="V615" t="s">
        <v>1171</v>
      </c>
      <c r="W615" t="s">
        <v>1171</v>
      </c>
      <c r="X615" t="s">
        <v>1171</v>
      </c>
      <c r="Y615" t="s">
        <v>1171</v>
      </c>
      <c r="Z615" t="s">
        <v>1171</v>
      </c>
      <c r="AA615" t="s">
        <v>1171</v>
      </c>
      <c r="AB615" t="s">
        <v>1171</v>
      </c>
      <c r="AC615" t="s">
        <v>1141</v>
      </c>
      <c r="AD615" t="s">
        <v>1141</v>
      </c>
    </row>
    <row r="616" spans="1:30" ht="68" x14ac:dyDescent="0.2">
      <c r="A616" t="s">
        <v>1171</v>
      </c>
      <c r="B616" t="s">
        <v>1788</v>
      </c>
      <c r="C616" t="str">
        <f>"CONF-"&amp;TEXT(us_core_reqs[[#This Row],[ID*]], "0000")</f>
        <v>CONF-0828</v>
      </c>
      <c r="D616" s="11" t="s">
        <v>1083</v>
      </c>
      <c r="E616" t="str">
        <f>SUBSTITUTE(us_core_reqs[[#This Row],[URL*]], "https://hl7.org/fhir/us/core/STU8/","")</f>
        <v>CapabilityStatement-us-core-Client.html#behavior, CapabilityStatement-us-core-Server.html#behavior</v>
      </c>
      <c r="F616" s="11" t="s">
        <v>748</v>
      </c>
      <c r="G616" t="s">
        <v>32</v>
      </c>
      <c r="I616" t="s">
        <v>30</v>
      </c>
      <c r="J616" t="s">
        <v>1171</v>
      </c>
      <c r="K616" t="s">
        <v>1171</v>
      </c>
      <c r="L616" t="s">
        <v>1173</v>
      </c>
      <c r="M616" t="s">
        <v>1171</v>
      </c>
      <c r="N616" t="s">
        <v>1171</v>
      </c>
      <c r="O616" t="s">
        <v>1171</v>
      </c>
      <c r="P616" t="s">
        <v>1171</v>
      </c>
      <c r="Q616" t="s">
        <v>1171</v>
      </c>
      <c r="R616" t="str">
        <f>_xlfn.TEXTBEFORE(_xlfn.TEXTAFTER(us_core_reqs[[#This Row],[URL*]],"/",-1),".")</f>
        <v>CapabilityStatement-us-core-Server</v>
      </c>
      <c r="S616" t="str">
        <f>_xlfn.TEXTAFTER(us_core_reqs[[#This Row],[URL*]],"#",-1)</f>
        <v>behavior</v>
      </c>
      <c r="T616" t="str">
        <f>SUBSTITUTE(SUBSTITUTE(PROPER(SUBSTITUTE(us_core_reqs[[#This Row],[Page]], "-", " "))&amp;": "&amp;PROPER(SUBSTITUTE(us_core_reqs[[#This Row],[Section]], "-", " ")),"Us ","US "), "Uscdi", "USCDI")</f>
        <v>Capabilitystatement US Core Server: Behavior</v>
      </c>
      <c r="U616" t="s">
        <v>1171</v>
      </c>
      <c r="V616" t="s">
        <v>1171</v>
      </c>
      <c r="W616" t="s">
        <v>1171</v>
      </c>
      <c r="X616" t="s">
        <v>1171</v>
      </c>
      <c r="Y616" t="s">
        <v>1171</v>
      </c>
      <c r="Z616" t="s">
        <v>1171</v>
      </c>
      <c r="AA616" t="s">
        <v>1171</v>
      </c>
      <c r="AB616" t="s">
        <v>1171</v>
      </c>
      <c r="AC616" t="s">
        <v>1171</v>
      </c>
      <c r="AD616" t="s">
        <v>1171</v>
      </c>
    </row>
    <row r="617" spans="1:30" ht="68" x14ac:dyDescent="0.2">
      <c r="A617" t="s">
        <v>1171</v>
      </c>
      <c r="B617" t="s">
        <v>1789</v>
      </c>
      <c r="C617" t="str">
        <f>"CONF-"&amp;TEXT(us_core_reqs[[#This Row],[ID*]], "0000")</f>
        <v>CONF-0829</v>
      </c>
      <c r="D617" s="11" t="s">
        <v>1083</v>
      </c>
      <c r="E617" t="str">
        <f>SUBSTITUTE(us_core_reqs[[#This Row],[URL*]], "https://hl7.org/fhir/us/core/STU8/","")</f>
        <v>CapabilityStatement-us-core-Client.html#behavior, CapabilityStatement-us-core-Server.html#behavior</v>
      </c>
      <c r="F617" s="11" t="s">
        <v>2233</v>
      </c>
      <c r="G617" t="s">
        <v>1833</v>
      </c>
      <c r="I617" t="s">
        <v>58</v>
      </c>
      <c r="J617" t="s">
        <v>1171</v>
      </c>
      <c r="K617" t="s">
        <v>1171</v>
      </c>
      <c r="L617" t="s">
        <v>1173</v>
      </c>
      <c r="M617" t="s">
        <v>1171</v>
      </c>
      <c r="N617" t="s">
        <v>1171</v>
      </c>
      <c r="O617" t="s">
        <v>1171</v>
      </c>
      <c r="P617" t="s">
        <v>1171</v>
      </c>
      <c r="Q617" t="s">
        <v>1171</v>
      </c>
      <c r="R617" t="str">
        <f>_xlfn.TEXTBEFORE(_xlfn.TEXTAFTER(us_core_reqs[[#This Row],[URL*]],"/",-1),".")</f>
        <v>CapabilityStatement-us-core-Server</v>
      </c>
      <c r="S617" t="str">
        <f>_xlfn.TEXTAFTER(us_core_reqs[[#This Row],[URL*]],"#",-1)</f>
        <v>behavior</v>
      </c>
      <c r="T617" t="str">
        <f>SUBSTITUTE(SUBSTITUTE(PROPER(SUBSTITUTE(us_core_reqs[[#This Row],[Page]], "-", " "))&amp;": "&amp;PROPER(SUBSTITUTE(us_core_reqs[[#This Row],[Section]], "-", " ")),"Us ","US "), "Uscdi", "USCDI")</f>
        <v>Capabilitystatement US Core Server: Behavior</v>
      </c>
      <c r="U617" t="s">
        <v>1171</v>
      </c>
      <c r="V617" t="s">
        <v>1171</v>
      </c>
      <c r="W617" t="s">
        <v>1171</v>
      </c>
      <c r="X617" t="s">
        <v>1171</v>
      </c>
      <c r="Y617" t="s">
        <v>1171</v>
      </c>
      <c r="Z617" t="s">
        <v>1171</v>
      </c>
      <c r="AA617" t="s">
        <v>1171</v>
      </c>
      <c r="AB617" t="s">
        <v>1171</v>
      </c>
      <c r="AC617" t="s">
        <v>1171</v>
      </c>
      <c r="AD617" t="s">
        <v>1171</v>
      </c>
    </row>
    <row r="618" spans="1:30" ht="68" x14ac:dyDescent="0.2">
      <c r="A618" t="s">
        <v>1171</v>
      </c>
      <c r="B618" t="s">
        <v>1790</v>
      </c>
      <c r="C618" t="str">
        <f>"CONF-"&amp;TEXT(us_core_reqs[[#This Row],[ID*]], "0000")</f>
        <v>CONF-0830</v>
      </c>
      <c r="D618" s="11" t="s">
        <v>1083</v>
      </c>
      <c r="E618" t="str">
        <f>SUBSTITUTE(us_core_reqs[[#This Row],[URL*]], "https://hl7.org/fhir/us/core/STU8/","")</f>
        <v>CapabilityStatement-us-core-Client.html#behavior, CapabilityStatement-us-core-Server.html#behavior</v>
      </c>
      <c r="F618" s="11" t="s">
        <v>749</v>
      </c>
      <c r="G618" t="s">
        <v>32</v>
      </c>
      <c r="I618" t="s">
        <v>58</v>
      </c>
      <c r="J618" t="s">
        <v>1171</v>
      </c>
      <c r="K618" t="s">
        <v>1171</v>
      </c>
      <c r="L618" t="s">
        <v>1173</v>
      </c>
      <c r="M618" t="s">
        <v>1171</v>
      </c>
      <c r="N618" t="s">
        <v>1171</v>
      </c>
      <c r="O618" t="s">
        <v>1171</v>
      </c>
      <c r="P618" t="s">
        <v>1171</v>
      </c>
      <c r="Q618" t="s">
        <v>1171</v>
      </c>
      <c r="R618" t="str">
        <f>_xlfn.TEXTBEFORE(_xlfn.TEXTAFTER(us_core_reqs[[#This Row],[URL*]],"/",-1),".")</f>
        <v>CapabilityStatement-us-core-Server</v>
      </c>
      <c r="S618" t="str">
        <f>_xlfn.TEXTAFTER(us_core_reqs[[#This Row],[URL*]],"#",-1)</f>
        <v>behavior</v>
      </c>
      <c r="T618" t="str">
        <f>SUBSTITUTE(SUBSTITUTE(PROPER(SUBSTITUTE(us_core_reqs[[#This Row],[Page]], "-", " "))&amp;": "&amp;PROPER(SUBSTITUTE(us_core_reqs[[#This Row],[Section]], "-", " ")),"Us ","US "), "Uscdi", "USCDI")</f>
        <v>Capabilitystatement US Core Server: Behavior</v>
      </c>
      <c r="U618" t="s">
        <v>1171</v>
      </c>
      <c r="V618" t="s">
        <v>1171</v>
      </c>
      <c r="W618" t="s">
        <v>1171</v>
      </c>
      <c r="X618" t="s">
        <v>1171</v>
      </c>
      <c r="Y618" t="s">
        <v>1171</v>
      </c>
      <c r="Z618" t="s">
        <v>1171</v>
      </c>
      <c r="AA618" t="s">
        <v>1171</v>
      </c>
      <c r="AB618" t="s">
        <v>1171</v>
      </c>
      <c r="AC618" t="s">
        <v>1171</v>
      </c>
      <c r="AD618" t="s">
        <v>1171</v>
      </c>
    </row>
    <row r="619" spans="1:30" ht="51" x14ac:dyDescent="0.2">
      <c r="A619" t="s">
        <v>1171</v>
      </c>
      <c r="B619" t="s">
        <v>1791</v>
      </c>
      <c r="C619" t="str">
        <f>"CONF-"&amp;TEXT(us_core_reqs[[#This Row],[ID*]], "0000")</f>
        <v>CONF-0831</v>
      </c>
      <c r="D619" s="11" t="s">
        <v>638</v>
      </c>
      <c r="E619" t="str">
        <f>SUBSTITUTE(us_core_reqs[[#This Row],[URL*]], "https://hl7.org/fhir/us/core/STU8/","")</f>
        <v>StructureDefinition-us-core-condition-problems-health-concerns.html#mandatory-and-must-support-data-elements</v>
      </c>
      <c r="F619" s="11" t="s">
        <v>753</v>
      </c>
      <c r="G619" t="s">
        <v>29</v>
      </c>
      <c r="H619" t="s">
        <v>2033</v>
      </c>
      <c r="I619" t="s">
        <v>30</v>
      </c>
      <c r="J619" t="s">
        <v>1171</v>
      </c>
      <c r="K619" t="s">
        <v>1171</v>
      </c>
      <c r="L619" t="s">
        <v>1173</v>
      </c>
      <c r="M619" t="s">
        <v>1171</v>
      </c>
      <c r="N619" t="s">
        <v>1171</v>
      </c>
      <c r="O619" t="s">
        <v>1171</v>
      </c>
      <c r="P619" t="s">
        <v>1171</v>
      </c>
      <c r="Q619" t="s">
        <v>1171</v>
      </c>
      <c r="R619" t="str">
        <f>_xlfn.TEXTBEFORE(_xlfn.TEXTAFTER(us_core_reqs[[#This Row],[URL*]],"/",-1),".")</f>
        <v>StructureDefinition-us-core-condition-problems-health-concerns</v>
      </c>
      <c r="S619" t="str">
        <f>_xlfn.TEXTAFTER(us_core_reqs[[#This Row],[URL*]],"#",-1)</f>
        <v>mandatory-and-must-support-data-elements</v>
      </c>
      <c r="T619" t="str">
        <f>SUBSTITUTE(SUBSTITUTE(PROPER(SUBSTITUTE(us_core_reqs[[#This Row],[Page]], "-", " "))&amp;": "&amp;PROPER(SUBSTITUTE(us_core_reqs[[#This Row],[Section]], "-", " ")),"Us ","US "), "Uscdi", "USCDI")</f>
        <v>Structuredefinition US Core Condition Problems Health Concerns: Mandatory And Must Support Data Elements</v>
      </c>
      <c r="U619" t="s">
        <v>1171</v>
      </c>
      <c r="V619" t="s">
        <v>1171</v>
      </c>
      <c r="W619" t="s">
        <v>1171</v>
      </c>
      <c r="X619" t="s">
        <v>1171</v>
      </c>
      <c r="Y619" t="s">
        <v>1171</v>
      </c>
      <c r="Z619" t="s">
        <v>1171</v>
      </c>
      <c r="AA619" t="s">
        <v>1171</v>
      </c>
      <c r="AB619" t="s">
        <v>1171</v>
      </c>
      <c r="AC619" t="s">
        <v>1140</v>
      </c>
      <c r="AD619" t="s">
        <v>1140</v>
      </c>
    </row>
    <row r="620" spans="1:30" ht="51" x14ac:dyDescent="0.2">
      <c r="A620" t="s">
        <v>1171</v>
      </c>
      <c r="B620" t="s">
        <v>1792</v>
      </c>
      <c r="C620" t="str">
        <f>"CONF-"&amp;TEXT(us_core_reqs[[#This Row],[ID*]], "0000")</f>
        <v>CONF-0832</v>
      </c>
      <c r="D620" s="11" t="s">
        <v>638</v>
      </c>
      <c r="E620" t="str">
        <f>SUBSTITUTE(us_core_reqs[[#This Row],[URL*]], "https://hl7.org/fhir/us/core/STU8/","")</f>
        <v>StructureDefinition-us-core-condition-problems-health-concerns.html#mandatory-and-must-support-data-elements</v>
      </c>
      <c r="F620" s="11" t="s">
        <v>754</v>
      </c>
      <c r="G620" t="s">
        <v>29</v>
      </c>
      <c r="H620" t="s">
        <v>2033</v>
      </c>
      <c r="I620" t="s">
        <v>30</v>
      </c>
      <c r="J620" t="s">
        <v>1171</v>
      </c>
      <c r="K620" t="s">
        <v>1171</v>
      </c>
      <c r="L620" t="s">
        <v>1173</v>
      </c>
      <c r="M620" t="s">
        <v>1171</v>
      </c>
      <c r="N620" t="s">
        <v>1171</v>
      </c>
      <c r="O620" t="s">
        <v>1171</v>
      </c>
      <c r="P620" t="s">
        <v>1171</v>
      </c>
      <c r="Q620" t="s">
        <v>1171</v>
      </c>
      <c r="R620" t="str">
        <f>_xlfn.TEXTBEFORE(_xlfn.TEXTAFTER(us_core_reqs[[#This Row],[URL*]],"/",-1),".")</f>
        <v>StructureDefinition-us-core-condition-problems-health-concerns</v>
      </c>
      <c r="S620" t="str">
        <f>_xlfn.TEXTAFTER(us_core_reqs[[#This Row],[URL*]],"#",-1)</f>
        <v>mandatory-and-must-support-data-elements</v>
      </c>
      <c r="T620" t="str">
        <f>SUBSTITUTE(SUBSTITUTE(PROPER(SUBSTITUTE(us_core_reqs[[#This Row],[Page]], "-", " "))&amp;": "&amp;PROPER(SUBSTITUTE(us_core_reqs[[#This Row],[Section]], "-", " ")),"Us ","US "), "Uscdi", "USCDI")</f>
        <v>Structuredefinition US Core Condition Problems Health Concerns: Mandatory And Must Support Data Elements</v>
      </c>
      <c r="U620" t="s">
        <v>1171</v>
      </c>
      <c r="V620" t="s">
        <v>1171</v>
      </c>
      <c r="W620" t="s">
        <v>1171</v>
      </c>
      <c r="X620" t="s">
        <v>1171</v>
      </c>
      <c r="Y620" t="s">
        <v>1171</v>
      </c>
      <c r="Z620" t="s">
        <v>1171</v>
      </c>
      <c r="AA620" t="s">
        <v>1171</v>
      </c>
      <c r="AB620" t="s">
        <v>1171</v>
      </c>
      <c r="AC620" t="s">
        <v>1140</v>
      </c>
      <c r="AD620" t="s">
        <v>1140</v>
      </c>
    </row>
    <row r="621" spans="1:30" ht="51" x14ac:dyDescent="0.2">
      <c r="A621" t="s">
        <v>1171</v>
      </c>
      <c r="B621" t="s">
        <v>1793</v>
      </c>
      <c r="C621" t="str">
        <f>"CONF-"&amp;TEXT(us_core_reqs[[#This Row],[ID*]], "0000")</f>
        <v>CONF-0833</v>
      </c>
      <c r="D621" s="11" t="s">
        <v>638</v>
      </c>
      <c r="E621" t="str">
        <f>SUBSTITUTE(us_core_reqs[[#This Row],[URL*]], "https://hl7.org/fhir/us/core/STU8/","")</f>
        <v>StructureDefinition-us-core-condition-problems-health-concerns.html#mandatory-and-must-support-data-elements</v>
      </c>
      <c r="F621" s="11" t="s">
        <v>755</v>
      </c>
      <c r="G621" t="s">
        <v>29</v>
      </c>
      <c r="I621" t="s">
        <v>30</v>
      </c>
      <c r="J621" t="b">
        <v>1</v>
      </c>
      <c r="K621" t="s">
        <v>1171</v>
      </c>
      <c r="L621" t="s">
        <v>1176</v>
      </c>
      <c r="M621" t="s">
        <v>1155</v>
      </c>
      <c r="N621" t="s">
        <v>1171</v>
      </c>
      <c r="O621" t="s">
        <v>1171</v>
      </c>
      <c r="P621" t="s">
        <v>1171</v>
      </c>
      <c r="Q621" t="s">
        <v>1171</v>
      </c>
      <c r="R621" t="str">
        <f>_xlfn.TEXTBEFORE(_xlfn.TEXTAFTER(us_core_reqs[[#This Row],[URL*]],"/",-1),".")</f>
        <v>StructureDefinition-us-core-condition-problems-health-concerns</v>
      </c>
      <c r="S621" t="str">
        <f>_xlfn.TEXTAFTER(us_core_reqs[[#This Row],[URL*]],"#",-1)</f>
        <v>mandatory-and-must-support-data-elements</v>
      </c>
      <c r="T621" t="str">
        <f>SUBSTITUTE(SUBSTITUTE(PROPER(SUBSTITUTE(us_core_reqs[[#This Row],[Page]], "-", " "))&amp;": "&amp;PROPER(SUBSTITUTE(us_core_reqs[[#This Row],[Section]], "-", " ")),"Us ","US "), "Uscdi", "USCDI")</f>
        <v>Structuredefinition US Core Condition Problems Health Concerns: Mandatory And Must Support Data Elements</v>
      </c>
      <c r="U621" t="s">
        <v>1171</v>
      </c>
      <c r="V621" t="s">
        <v>1171</v>
      </c>
      <c r="W621" t="s">
        <v>1171</v>
      </c>
      <c r="X621" t="s">
        <v>1171</v>
      </c>
      <c r="Y621" t="s">
        <v>1171</v>
      </c>
      <c r="Z621" t="s">
        <v>1171</v>
      </c>
      <c r="AA621" t="s">
        <v>1171</v>
      </c>
      <c r="AB621" t="s">
        <v>405</v>
      </c>
      <c r="AC621" t="s">
        <v>1140</v>
      </c>
      <c r="AD621" t="s">
        <v>1156</v>
      </c>
    </row>
    <row r="622" spans="1:30" ht="51" x14ac:dyDescent="0.2">
      <c r="A622" t="s">
        <v>1171</v>
      </c>
      <c r="B622" t="s">
        <v>1794</v>
      </c>
      <c r="C622" t="str">
        <f>"CONF-"&amp;TEXT(us_core_reqs[[#This Row],[ID*]], "0000")</f>
        <v>CONF-0834</v>
      </c>
      <c r="D622" s="11" t="s">
        <v>638</v>
      </c>
      <c r="E622" t="str">
        <f>SUBSTITUTE(us_core_reqs[[#This Row],[URL*]], "https://hl7.org/fhir/us/core/STU8/","")</f>
        <v>StructureDefinition-us-core-condition-problems-health-concerns.html#mandatory-and-must-support-data-elements</v>
      </c>
      <c r="F622" s="11" t="s">
        <v>756</v>
      </c>
      <c r="G622" t="s">
        <v>32</v>
      </c>
      <c r="I622" t="s">
        <v>30</v>
      </c>
      <c r="J622" t="b">
        <v>1</v>
      </c>
      <c r="K622" t="s">
        <v>1171</v>
      </c>
      <c r="L622" t="s">
        <v>1173</v>
      </c>
      <c r="M622" t="s">
        <v>1171</v>
      </c>
      <c r="N622" t="s">
        <v>1171</v>
      </c>
      <c r="O622" t="s">
        <v>1171</v>
      </c>
      <c r="P622" t="s">
        <v>1171</v>
      </c>
      <c r="Q622" t="s">
        <v>1171</v>
      </c>
      <c r="R622" t="str">
        <f>_xlfn.TEXTBEFORE(_xlfn.TEXTAFTER(us_core_reqs[[#This Row],[URL*]],"/",-1),".")</f>
        <v>StructureDefinition-us-core-condition-problems-health-concerns</v>
      </c>
      <c r="S622" t="str">
        <f>_xlfn.TEXTAFTER(us_core_reqs[[#This Row],[URL*]],"#",-1)</f>
        <v>mandatory-and-must-support-data-elements</v>
      </c>
      <c r="T622" t="str">
        <f>SUBSTITUTE(SUBSTITUTE(PROPER(SUBSTITUTE(us_core_reqs[[#This Row],[Page]], "-", " "))&amp;": "&amp;PROPER(SUBSTITUTE(us_core_reqs[[#This Row],[Section]], "-", " ")),"Us ","US "), "Uscdi", "USCDI")</f>
        <v>Structuredefinition US Core Condition Problems Health Concerns: Mandatory And Must Support Data Elements</v>
      </c>
      <c r="U622" t="s">
        <v>1171</v>
      </c>
      <c r="V622" t="s">
        <v>1171</v>
      </c>
      <c r="W622" t="s">
        <v>1171</v>
      </c>
      <c r="X622" t="s">
        <v>1171</v>
      </c>
      <c r="Y622" t="s">
        <v>1171</v>
      </c>
      <c r="Z622" t="s">
        <v>1171</v>
      </c>
      <c r="AA622" t="s">
        <v>1171</v>
      </c>
      <c r="AB622" t="s">
        <v>1171</v>
      </c>
      <c r="AC622" t="s">
        <v>1171</v>
      </c>
      <c r="AD622" t="s">
        <v>1171</v>
      </c>
    </row>
    <row r="623" spans="1:30" ht="51" x14ac:dyDescent="0.2">
      <c r="A623" t="s">
        <v>1171</v>
      </c>
      <c r="B623" t="s">
        <v>1795</v>
      </c>
      <c r="C623" t="str">
        <f>"CONF-"&amp;TEXT(us_core_reqs[[#This Row],[ID*]], "0000")</f>
        <v>CONF-0835</v>
      </c>
      <c r="D623" s="11" t="s">
        <v>638</v>
      </c>
      <c r="E623" t="str">
        <f>SUBSTITUTE(us_core_reqs[[#This Row],[URL*]], "https://hl7.org/fhir/us/core/STU8/","")</f>
        <v>StructureDefinition-us-core-condition-problems-health-concerns.html#mandatory-and-must-support-data-elements</v>
      </c>
      <c r="F623" s="11" t="s">
        <v>757</v>
      </c>
      <c r="G623" t="s">
        <v>35</v>
      </c>
      <c r="I623" t="s">
        <v>30</v>
      </c>
      <c r="J623" t="b">
        <v>1</v>
      </c>
      <c r="K623" t="s">
        <v>1171</v>
      </c>
      <c r="L623" t="s">
        <v>1173</v>
      </c>
      <c r="M623" t="s">
        <v>1171</v>
      </c>
      <c r="N623" t="s">
        <v>1171</v>
      </c>
      <c r="O623" t="s">
        <v>1171</v>
      </c>
      <c r="P623" t="s">
        <v>1171</v>
      </c>
      <c r="Q623" t="s">
        <v>1171</v>
      </c>
      <c r="R623" t="str">
        <f>_xlfn.TEXTBEFORE(_xlfn.TEXTAFTER(us_core_reqs[[#This Row],[URL*]],"/",-1),".")</f>
        <v>StructureDefinition-us-core-condition-problems-health-concerns</v>
      </c>
      <c r="S623" t="str">
        <f>_xlfn.TEXTAFTER(us_core_reqs[[#This Row],[URL*]],"#",-1)</f>
        <v>mandatory-and-must-support-data-elements</v>
      </c>
      <c r="T623" t="str">
        <f>SUBSTITUTE(SUBSTITUTE(PROPER(SUBSTITUTE(us_core_reqs[[#This Row],[Page]], "-", " "))&amp;": "&amp;PROPER(SUBSTITUTE(us_core_reqs[[#This Row],[Section]], "-", " ")),"Us ","US "), "Uscdi", "USCDI")</f>
        <v>Structuredefinition US Core Condition Problems Health Concerns: Mandatory And Must Support Data Elements</v>
      </c>
      <c r="U623" t="s">
        <v>1171</v>
      </c>
      <c r="V623" t="s">
        <v>1171</v>
      </c>
      <c r="W623" t="s">
        <v>1171</v>
      </c>
      <c r="X623" t="s">
        <v>1171</v>
      </c>
      <c r="Y623" t="s">
        <v>1171</v>
      </c>
      <c r="Z623" t="s">
        <v>1171</v>
      </c>
      <c r="AA623" t="s">
        <v>1171</v>
      </c>
      <c r="AB623" t="s">
        <v>1171</v>
      </c>
      <c r="AC623" t="s">
        <v>1171</v>
      </c>
      <c r="AD623" t="s">
        <v>1171</v>
      </c>
    </row>
    <row r="624" spans="1:30" ht="68" x14ac:dyDescent="0.2">
      <c r="A624" t="s">
        <v>1171</v>
      </c>
      <c r="B624" t="s">
        <v>1796</v>
      </c>
      <c r="C624" t="str">
        <f>"CONF-"&amp;TEXT(us_core_reqs[[#This Row],[ID*]], "0000")</f>
        <v>CONF-0836</v>
      </c>
      <c r="D624" s="11" t="s">
        <v>641</v>
      </c>
      <c r="E624" t="str">
        <f>SUBSTITUTE(us_core_reqs[[#This Row],[URL*]], "https://hl7.org/fhir/us/core/STU8/","")</f>
        <v>StructureDefinition-us-core-diagnosticreport-note.html#mandatory-and-must-support-data-elements</v>
      </c>
      <c r="F624" s="11" t="s">
        <v>760</v>
      </c>
      <c r="G624" t="s">
        <v>32</v>
      </c>
      <c r="I624" t="s">
        <v>30</v>
      </c>
      <c r="J624" t="s">
        <v>1171</v>
      </c>
      <c r="K624" t="s">
        <v>1171</v>
      </c>
      <c r="L624" t="s">
        <v>1176</v>
      </c>
      <c r="M624" t="s">
        <v>1110</v>
      </c>
      <c r="N624" t="s">
        <v>1171</v>
      </c>
      <c r="O624" t="s">
        <v>1171</v>
      </c>
      <c r="P624" t="s">
        <v>1171</v>
      </c>
      <c r="Q624" t="s">
        <v>1171</v>
      </c>
      <c r="R624" t="str">
        <f>_xlfn.TEXTBEFORE(_xlfn.TEXTAFTER(us_core_reqs[[#This Row],[URL*]],"/",-1),".")</f>
        <v>StructureDefinition-us-core-diagnosticreport-note</v>
      </c>
      <c r="S624" t="str">
        <f>_xlfn.TEXTAFTER(us_core_reqs[[#This Row],[URL*]],"#",-1)</f>
        <v>mandatory-and-must-support-data-elements</v>
      </c>
      <c r="T624" t="str">
        <f>SUBSTITUTE(SUBSTITUTE(PROPER(SUBSTITUTE(us_core_reqs[[#This Row],[Page]], "-", " "))&amp;": "&amp;PROPER(SUBSTITUTE(us_core_reqs[[#This Row],[Section]], "-", " ")),"Us ","US "), "Uscdi", "USCDI")</f>
        <v>Structuredefinition US Core Diagnosticreport Note: Mandatory And Must Support Data Elements</v>
      </c>
      <c r="U624" t="s">
        <v>1171</v>
      </c>
      <c r="V624" t="s">
        <v>1171</v>
      </c>
      <c r="W624" t="s">
        <v>1171</v>
      </c>
      <c r="X624" t="s">
        <v>1171</v>
      </c>
      <c r="Y624" t="s">
        <v>1171</v>
      </c>
      <c r="Z624" t="s">
        <v>1171</v>
      </c>
      <c r="AA624" t="s">
        <v>1171</v>
      </c>
      <c r="AB624" t="s">
        <v>1171</v>
      </c>
      <c r="AC624" t="s">
        <v>1171</v>
      </c>
      <c r="AD624" t="s">
        <v>1171</v>
      </c>
    </row>
    <row r="625" spans="1:30" ht="51" x14ac:dyDescent="0.2">
      <c r="A625" t="s">
        <v>1171</v>
      </c>
      <c r="B625" t="s">
        <v>1797</v>
      </c>
      <c r="C625" t="str">
        <f>"CONF-"&amp;TEXT(us_core_reqs[[#This Row],[ID*]], "0000")</f>
        <v>CONF-0837</v>
      </c>
      <c r="D625" s="11" t="s">
        <v>641</v>
      </c>
      <c r="E625" t="str">
        <f>SUBSTITUTE(us_core_reqs[[#This Row],[URL*]], "https://hl7.org/fhir/us/core/STU8/","")</f>
        <v>StructureDefinition-us-core-diagnosticreport-note.html#mandatory-and-must-support-data-elements</v>
      </c>
      <c r="F625" s="11" t="s">
        <v>761</v>
      </c>
      <c r="G625" t="s">
        <v>32</v>
      </c>
      <c r="I625" t="s">
        <v>30</v>
      </c>
      <c r="J625" t="s">
        <v>1171</v>
      </c>
      <c r="K625" t="s">
        <v>1171</v>
      </c>
      <c r="L625" t="s">
        <v>1173</v>
      </c>
      <c r="M625" t="s">
        <v>1171</v>
      </c>
      <c r="N625" t="s">
        <v>1171</v>
      </c>
      <c r="O625" t="s">
        <v>1171</v>
      </c>
      <c r="P625" t="s">
        <v>1171</v>
      </c>
      <c r="Q625" t="s">
        <v>1171</v>
      </c>
      <c r="R625" t="str">
        <f>_xlfn.TEXTBEFORE(_xlfn.TEXTAFTER(us_core_reqs[[#This Row],[URL*]],"/",-1),".")</f>
        <v>StructureDefinition-us-core-diagnosticreport-note</v>
      </c>
      <c r="S625" t="str">
        <f>_xlfn.TEXTAFTER(us_core_reqs[[#This Row],[URL*]],"#",-1)</f>
        <v>mandatory-and-must-support-data-elements</v>
      </c>
      <c r="T625" t="str">
        <f>SUBSTITUTE(SUBSTITUTE(PROPER(SUBSTITUTE(us_core_reqs[[#This Row],[Page]], "-", " "))&amp;": "&amp;PROPER(SUBSTITUTE(us_core_reqs[[#This Row],[Section]], "-", " ")),"Us ","US "), "Uscdi", "USCDI")</f>
        <v>Structuredefinition US Core Diagnosticreport Note: Mandatory And Must Support Data Elements</v>
      </c>
      <c r="U625" t="s">
        <v>1171</v>
      </c>
      <c r="V625" t="s">
        <v>1171</v>
      </c>
      <c r="W625" t="s">
        <v>1171</v>
      </c>
      <c r="X625" t="s">
        <v>1171</v>
      </c>
      <c r="Y625" t="s">
        <v>1171</v>
      </c>
      <c r="Z625" t="s">
        <v>1171</v>
      </c>
      <c r="AA625" t="s">
        <v>1171</v>
      </c>
      <c r="AB625" t="s">
        <v>1171</v>
      </c>
      <c r="AC625" t="s">
        <v>1171</v>
      </c>
      <c r="AD625" t="s">
        <v>1171</v>
      </c>
    </row>
    <row r="626" spans="1:30" ht="85" x14ac:dyDescent="0.2">
      <c r="A626" t="s">
        <v>1171</v>
      </c>
      <c r="B626" t="s">
        <v>1798</v>
      </c>
      <c r="C626" t="str">
        <f>"CONF-"&amp;TEXT(us_core_reqs[[#This Row],[ID*]], "0000")</f>
        <v>CONF-0838</v>
      </c>
      <c r="D626" s="11" t="s">
        <v>641</v>
      </c>
      <c r="E626" t="str">
        <f>SUBSTITUTE(us_core_reqs[[#This Row],[URL*]], "https://hl7.org/fhir/us/core/STU8/","")</f>
        <v>StructureDefinition-us-core-diagnosticreport-note.html#mandatory-and-must-support-data-elements</v>
      </c>
      <c r="F626" s="11" t="s">
        <v>762</v>
      </c>
      <c r="G626" t="s">
        <v>32</v>
      </c>
      <c r="I626" t="s">
        <v>30</v>
      </c>
      <c r="J626" t="s">
        <v>1171</v>
      </c>
      <c r="K626" t="s">
        <v>1171</v>
      </c>
      <c r="L626" t="s">
        <v>1173</v>
      </c>
      <c r="M626" t="s">
        <v>1171</v>
      </c>
      <c r="N626" t="s">
        <v>1171</v>
      </c>
      <c r="O626" t="s">
        <v>1171</v>
      </c>
      <c r="P626" t="s">
        <v>1171</v>
      </c>
      <c r="Q626" t="s">
        <v>1171</v>
      </c>
      <c r="R626" t="str">
        <f>_xlfn.TEXTBEFORE(_xlfn.TEXTAFTER(us_core_reqs[[#This Row],[URL*]],"/",-1),".")</f>
        <v>StructureDefinition-us-core-diagnosticreport-note</v>
      </c>
      <c r="S626" t="str">
        <f>_xlfn.TEXTAFTER(us_core_reqs[[#This Row],[URL*]],"#",-1)</f>
        <v>mandatory-and-must-support-data-elements</v>
      </c>
      <c r="T626" t="str">
        <f>SUBSTITUTE(SUBSTITUTE(PROPER(SUBSTITUTE(us_core_reqs[[#This Row],[Page]], "-", " "))&amp;": "&amp;PROPER(SUBSTITUTE(us_core_reqs[[#This Row],[Section]], "-", " ")),"Us ","US "), "Uscdi", "USCDI")</f>
        <v>Structuredefinition US Core Diagnosticreport Note: Mandatory And Must Support Data Elements</v>
      </c>
      <c r="U626" t="s">
        <v>1171</v>
      </c>
      <c r="V626" t="s">
        <v>1171</v>
      </c>
      <c r="W626" t="s">
        <v>1171</v>
      </c>
      <c r="X626" t="s">
        <v>1171</v>
      </c>
      <c r="Y626" t="s">
        <v>1171</v>
      </c>
      <c r="Z626" t="s">
        <v>1171</v>
      </c>
      <c r="AA626" t="s">
        <v>1171</v>
      </c>
      <c r="AB626" t="s">
        <v>1171</v>
      </c>
      <c r="AC626" t="s">
        <v>1171</v>
      </c>
      <c r="AD626" t="s">
        <v>1171</v>
      </c>
    </row>
    <row r="627" spans="1:30" ht="102" x14ac:dyDescent="0.2">
      <c r="A627" t="s">
        <v>1171</v>
      </c>
      <c r="B627" t="s">
        <v>1799</v>
      </c>
      <c r="C627" t="str">
        <f>"CONF-"&amp;TEXT(us_core_reqs[[#This Row],[ID*]], "0000")</f>
        <v>CONF-0839</v>
      </c>
      <c r="D627" s="11" t="s">
        <v>642</v>
      </c>
      <c r="E627" t="str">
        <f>SUBSTITUTE(us_core_reqs[[#This Row],[URL*]], "https://hl7.org/fhir/us/core/STU8/","")</f>
        <v>StructureDefinition-us-core-documentreference.html</v>
      </c>
      <c r="F627" s="11" t="s">
        <v>1084</v>
      </c>
      <c r="G627" t="s">
        <v>32</v>
      </c>
      <c r="I627" t="s">
        <v>30</v>
      </c>
      <c r="J627" t="s">
        <v>1171</v>
      </c>
      <c r="K627" t="s">
        <v>1171</v>
      </c>
      <c r="L627" t="s">
        <v>1176</v>
      </c>
      <c r="M627" t="s">
        <v>1109</v>
      </c>
      <c r="N627" t="s">
        <v>1171</v>
      </c>
      <c r="O627" t="s">
        <v>1171</v>
      </c>
      <c r="P627" t="s">
        <v>1171</v>
      </c>
      <c r="Q627" t="s">
        <v>1171</v>
      </c>
      <c r="R627" t="str">
        <f>_xlfn.TEXTBEFORE(_xlfn.TEXTAFTER(us_core_reqs[[#This Row],[URL*]],"/",-1),".")</f>
        <v>StructureDefinition-us-core-documentreference</v>
      </c>
      <c r="S627" t="e">
        <f>_xlfn.TEXTAFTER(us_core_reqs[[#This Row],[URL*]],"#",-1)</f>
        <v>#N/A</v>
      </c>
      <c r="T627" t="e">
        <f>SUBSTITUTE(SUBSTITUTE(PROPER(SUBSTITUTE(us_core_reqs[[#This Row],[Page]], "-", " "))&amp;": "&amp;PROPER(SUBSTITUTE(us_core_reqs[[#This Row],[Section]], "-", " ")),"Us ","US "), "Uscdi", "USCDI")</f>
        <v>#N/A</v>
      </c>
      <c r="U627" t="s">
        <v>1171</v>
      </c>
      <c r="V627" t="s">
        <v>1171</v>
      </c>
      <c r="W627" t="s">
        <v>1171</v>
      </c>
      <c r="X627" t="s">
        <v>1171</v>
      </c>
      <c r="Y627" t="s">
        <v>1171</v>
      </c>
      <c r="Z627" t="s">
        <v>1171</v>
      </c>
      <c r="AA627" t="s">
        <v>1171</v>
      </c>
      <c r="AB627" t="s">
        <v>1171</v>
      </c>
      <c r="AC627" t="s">
        <v>1171</v>
      </c>
      <c r="AD627" t="s">
        <v>1171</v>
      </c>
    </row>
    <row r="628" spans="1:30" ht="85" x14ac:dyDescent="0.2">
      <c r="A628" t="s">
        <v>1171</v>
      </c>
      <c r="B628" t="s">
        <v>1800</v>
      </c>
      <c r="C628" t="str">
        <f>"CONF-"&amp;TEXT(us_core_reqs[[#This Row],[ID*]], "0000")</f>
        <v>CONF-0840</v>
      </c>
      <c r="D628" s="11" t="s">
        <v>765</v>
      </c>
      <c r="E628" t="str">
        <f>SUBSTITUTE(us_core_reqs[[#This Row],[URL*]], "https://hl7.org/fhir/us/core/STU8/","")</f>
        <v>StructureDefinition-us-core-encounter.html#mandatory-and-must-support-data-elements</v>
      </c>
      <c r="F628" s="11" t="s">
        <v>766</v>
      </c>
      <c r="G628" t="s">
        <v>29</v>
      </c>
      <c r="I628" t="s">
        <v>30</v>
      </c>
      <c r="J628" t="s">
        <v>1171</v>
      </c>
      <c r="K628" t="s">
        <v>1171</v>
      </c>
      <c r="L628" t="s">
        <v>1176</v>
      </c>
      <c r="M628" t="s">
        <v>800</v>
      </c>
      <c r="N628" t="s">
        <v>1171</v>
      </c>
      <c r="O628" t="s">
        <v>1171</v>
      </c>
      <c r="P628" t="s">
        <v>1171</v>
      </c>
      <c r="Q628" t="s">
        <v>1171</v>
      </c>
      <c r="R628" t="str">
        <f>_xlfn.TEXTBEFORE(_xlfn.TEXTAFTER(us_core_reqs[[#This Row],[URL*]],"/",-1),".")</f>
        <v>StructureDefinition-us-core-encounter</v>
      </c>
      <c r="S628" t="str">
        <f>_xlfn.TEXTAFTER(us_core_reqs[[#This Row],[URL*]],"#",-1)</f>
        <v>mandatory-and-must-support-data-elements</v>
      </c>
      <c r="T628" t="str">
        <f>SUBSTITUTE(SUBSTITUTE(PROPER(SUBSTITUTE(us_core_reqs[[#This Row],[Page]], "-", " "))&amp;": "&amp;PROPER(SUBSTITUTE(us_core_reqs[[#This Row],[Section]], "-", " ")),"Us ","US "), "Uscdi", "USCDI")</f>
        <v>Structuredefinition US Core Encounter: Mandatory And Must Support Data Elements</v>
      </c>
      <c r="U628" t="s">
        <v>1171</v>
      </c>
      <c r="V628" t="s">
        <v>1171</v>
      </c>
      <c r="W628" t="s">
        <v>1171</v>
      </c>
      <c r="X628" t="s">
        <v>1171</v>
      </c>
      <c r="Y628" t="s">
        <v>1171</v>
      </c>
      <c r="Z628" t="s">
        <v>1171</v>
      </c>
      <c r="AA628" t="s">
        <v>1171</v>
      </c>
      <c r="AB628" t="s">
        <v>405</v>
      </c>
      <c r="AC628" t="s">
        <v>1140</v>
      </c>
      <c r="AD628" t="s">
        <v>1156</v>
      </c>
    </row>
    <row r="629" spans="1:30" ht="119" x14ac:dyDescent="0.2">
      <c r="A629" t="s">
        <v>1171</v>
      </c>
      <c r="B629" t="s">
        <v>1801</v>
      </c>
      <c r="C629" t="str">
        <f>"CONF-"&amp;TEXT(us_core_reqs[[#This Row],[ID*]], "0000")</f>
        <v>CONF-0841</v>
      </c>
      <c r="D629" s="11" t="s">
        <v>773</v>
      </c>
      <c r="E629" t="str">
        <f>SUBSTITUTE(us_core_reqs[[#This Row],[URL*]], "https://hl7.org/fhir/us/core/STU8/","")</f>
        <v>StructureDefinition-us-core-immunization.html#mandatory-and-must-support-data-elements</v>
      </c>
      <c r="F629" s="11" t="s">
        <v>772</v>
      </c>
      <c r="G629" t="s">
        <v>35</v>
      </c>
      <c r="I629" t="s">
        <v>30</v>
      </c>
      <c r="J629" t="s">
        <v>1171</v>
      </c>
      <c r="K629" t="s">
        <v>1171</v>
      </c>
      <c r="L629" t="s">
        <v>1173</v>
      </c>
      <c r="M629" t="s">
        <v>1171</v>
      </c>
      <c r="N629" t="s">
        <v>1171</v>
      </c>
      <c r="O629" t="s">
        <v>1171</v>
      </c>
      <c r="P629" t="s">
        <v>1171</v>
      </c>
      <c r="Q629" t="s">
        <v>1171</v>
      </c>
      <c r="R629" t="str">
        <f>_xlfn.TEXTBEFORE(_xlfn.TEXTAFTER(us_core_reqs[[#This Row],[URL*]],"/",-1),".")</f>
        <v>StructureDefinition-us-core-immunization</v>
      </c>
      <c r="S629" t="str">
        <f>_xlfn.TEXTAFTER(us_core_reqs[[#This Row],[URL*]],"#",-1)</f>
        <v>mandatory-and-must-support-data-elements</v>
      </c>
      <c r="T629" t="str">
        <f>SUBSTITUTE(SUBSTITUTE(PROPER(SUBSTITUTE(us_core_reqs[[#This Row],[Page]], "-", " "))&amp;": "&amp;PROPER(SUBSTITUTE(us_core_reqs[[#This Row],[Section]], "-", " ")),"Us ","US "), "Uscdi", "USCDI")</f>
        <v>Structuredefinition US Core Immunization: Mandatory And Must Support Data Elements</v>
      </c>
      <c r="U629" t="s">
        <v>1171</v>
      </c>
      <c r="V629" t="s">
        <v>1171</v>
      </c>
      <c r="W629" t="s">
        <v>1171</v>
      </c>
      <c r="X629" t="s">
        <v>1171</v>
      </c>
      <c r="Y629" t="s">
        <v>1171</v>
      </c>
      <c r="Z629" t="s">
        <v>1171</v>
      </c>
      <c r="AA629" t="s">
        <v>1171</v>
      </c>
      <c r="AB629" t="s">
        <v>1171</v>
      </c>
      <c r="AC629" t="s">
        <v>1171</v>
      </c>
      <c r="AD629" t="s">
        <v>1171</v>
      </c>
    </row>
    <row r="630" spans="1:30" ht="51" x14ac:dyDescent="0.2">
      <c r="A630" t="s">
        <v>1171</v>
      </c>
      <c r="B630" t="s">
        <v>1802</v>
      </c>
      <c r="C630" t="str">
        <f>"CONF-"&amp;TEXT(us_core_reqs[[#This Row],[ID*]], "0000")</f>
        <v>CONF-0842</v>
      </c>
      <c r="D630" s="11" t="s">
        <v>775</v>
      </c>
      <c r="E630" t="str">
        <f>SUBSTITUTE(us_core_reqs[[#This Row],[URL*]], "https://hl7.org/fhir/us/core/STU8/","")</f>
        <v>StructureDefinition-us-core-medicationrequest.html#mandatory-and-must-support-data-elements</v>
      </c>
      <c r="F630" s="11" t="s">
        <v>774</v>
      </c>
      <c r="G630" t="s">
        <v>29</v>
      </c>
      <c r="I630" t="s">
        <v>30</v>
      </c>
      <c r="J630" t="s">
        <v>1171</v>
      </c>
      <c r="K630" t="s">
        <v>1171</v>
      </c>
      <c r="L630" t="s">
        <v>1173</v>
      </c>
      <c r="M630" t="s">
        <v>1171</v>
      </c>
      <c r="N630" t="s">
        <v>1171</v>
      </c>
      <c r="O630" t="s">
        <v>1171</v>
      </c>
      <c r="P630" t="s">
        <v>1171</v>
      </c>
      <c r="Q630" t="s">
        <v>1171</v>
      </c>
      <c r="R630" t="str">
        <f>_xlfn.TEXTBEFORE(_xlfn.TEXTAFTER(us_core_reqs[[#This Row],[URL*]],"/",-1),".")</f>
        <v>StructureDefinition-us-core-medicationrequest</v>
      </c>
      <c r="S630" t="str">
        <f>_xlfn.TEXTAFTER(us_core_reqs[[#This Row],[URL*]],"#",-1)</f>
        <v>mandatory-and-must-support-data-elements</v>
      </c>
      <c r="T630" t="str">
        <f>SUBSTITUTE(SUBSTITUTE(PROPER(SUBSTITUTE(us_core_reqs[[#This Row],[Page]], "-", " "))&amp;": "&amp;PROPER(SUBSTITUTE(us_core_reqs[[#This Row],[Section]], "-", " ")),"Us ","US "), "Uscdi", "USCDI")</f>
        <v>Structuredefinition US Core Medicationrequest: Mandatory And Must Support Data Elements</v>
      </c>
      <c r="U630" t="s">
        <v>1171</v>
      </c>
      <c r="V630" t="s">
        <v>1171</v>
      </c>
      <c r="W630" t="s">
        <v>1171</v>
      </c>
      <c r="X630" t="s">
        <v>1171</v>
      </c>
      <c r="Y630" t="s">
        <v>1171</v>
      </c>
      <c r="Z630" t="s">
        <v>1171</v>
      </c>
      <c r="AA630" t="s">
        <v>1171</v>
      </c>
      <c r="AB630" t="s">
        <v>1171</v>
      </c>
      <c r="AC630" t="s">
        <v>1140</v>
      </c>
      <c r="AD630" t="s">
        <v>1154</v>
      </c>
    </row>
    <row r="631" spans="1:30" ht="102" x14ac:dyDescent="0.2">
      <c r="A631" t="s">
        <v>1171</v>
      </c>
      <c r="B631" t="s">
        <v>1803</v>
      </c>
      <c r="C631" t="str">
        <f>"CONF-"&amp;TEXT(us_core_reqs[[#This Row],[ID*]], "0000")</f>
        <v>CONF-0843</v>
      </c>
      <c r="D631" s="11" t="s">
        <v>778</v>
      </c>
      <c r="E631" t="str">
        <f>SUBSTITUTE(us_core_reqs[[#This Row],[URL*]], "https://hl7.org/fhir/us/core/STU8/","")</f>
        <v>StructureDefinition-us-core-observation-lab.html#mandatory-and-must-support-data-elements</v>
      </c>
      <c r="F631" s="11" t="s">
        <v>776</v>
      </c>
      <c r="G631" t="s">
        <v>32</v>
      </c>
      <c r="I631" t="s">
        <v>30</v>
      </c>
      <c r="J631" t="s">
        <v>1171</v>
      </c>
      <c r="K631" t="s">
        <v>1171</v>
      </c>
      <c r="L631" t="s">
        <v>1176</v>
      </c>
      <c r="M631" t="s">
        <v>1108</v>
      </c>
      <c r="N631" t="s">
        <v>1171</v>
      </c>
      <c r="O631" t="s">
        <v>1171</v>
      </c>
      <c r="P631" t="s">
        <v>1171</v>
      </c>
      <c r="Q631" t="s">
        <v>1171</v>
      </c>
      <c r="R631" t="str">
        <f>_xlfn.TEXTBEFORE(_xlfn.TEXTAFTER(us_core_reqs[[#This Row],[URL*]],"/",-1),".")</f>
        <v>StructureDefinition-us-core-observation-lab</v>
      </c>
      <c r="S631" t="str">
        <f>_xlfn.TEXTAFTER(us_core_reqs[[#This Row],[URL*]],"#",-1)</f>
        <v>mandatory-and-must-support-data-elements</v>
      </c>
      <c r="T631" t="str">
        <f>SUBSTITUTE(SUBSTITUTE(PROPER(SUBSTITUTE(us_core_reqs[[#This Row],[Page]], "-", " "))&amp;": "&amp;PROPER(SUBSTITUTE(us_core_reqs[[#This Row],[Section]], "-", " ")),"Us ","US "), "Uscdi", "USCDI")</f>
        <v>Structuredefinition US Core Observation Lab: Mandatory And Must Support Data Elements</v>
      </c>
      <c r="U631" t="s">
        <v>1171</v>
      </c>
      <c r="V631" t="s">
        <v>1171</v>
      </c>
      <c r="W631" t="s">
        <v>1171</v>
      </c>
      <c r="X631" t="s">
        <v>1171</v>
      </c>
      <c r="Y631" t="s">
        <v>1171</v>
      </c>
      <c r="Z631" t="s">
        <v>1171</v>
      </c>
      <c r="AA631" t="s">
        <v>1171</v>
      </c>
      <c r="AB631" t="s">
        <v>1171</v>
      </c>
      <c r="AC631" t="s">
        <v>1171</v>
      </c>
      <c r="AD631" t="s">
        <v>1171</v>
      </c>
    </row>
    <row r="632" spans="1:30" ht="51" x14ac:dyDescent="0.2">
      <c r="A632" t="s">
        <v>1171</v>
      </c>
      <c r="B632" t="s">
        <v>1804</v>
      </c>
      <c r="C632" t="str">
        <f>"CONF-"&amp;TEXT(us_core_reqs[[#This Row],[ID*]], "0000")</f>
        <v>CONF-0844</v>
      </c>
      <c r="D632" s="11" t="s">
        <v>778</v>
      </c>
      <c r="E632" t="str">
        <f>SUBSTITUTE(us_core_reqs[[#This Row],[URL*]], "https://hl7.org/fhir/us/core/STU8/","")</f>
        <v>StructureDefinition-us-core-observation-lab.html#mandatory-and-must-support-data-elements</v>
      </c>
      <c r="F632" s="11" t="s">
        <v>2021</v>
      </c>
      <c r="G632" t="s">
        <v>32</v>
      </c>
      <c r="I632" t="s">
        <v>30</v>
      </c>
      <c r="J632" t="s">
        <v>1171</v>
      </c>
      <c r="K632" t="s">
        <v>1171</v>
      </c>
      <c r="L632" t="s">
        <v>1173</v>
      </c>
      <c r="M632" t="s">
        <v>1171</v>
      </c>
      <c r="N632" t="s">
        <v>1171</v>
      </c>
      <c r="O632" t="s">
        <v>1171</v>
      </c>
      <c r="P632" t="s">
        <v>1171</v>
      </c>
      <c r="Q632" t="s">
        <v>1171</v>
      </c>
      <c r="R632" t="str">
        <f>_xlfn.TEXTBEFORE(_xlfn.TEXTAFTER(us_core_reqs[[#This Row],[URL*]],"/",-1),".")</f>
        <v>StructureDefinition-us-core-observation-lab</v>
      </c>
      <c r="S632" t="str">
        <f>_xlfn.TEXTAFTER(us_core_reqs[[#This Row],[URL*]],"#",-1)</f>
        <v>mandatory-and-must-support-data-elements</v>
      </c>
      <c r="T632" t="str">
        <f>SUBSTITUTE(SUBSTITUTE(PROPER(SUBSTITUTE(us_core_reqs[[#This Row],[Page]], "-", " "))&amp;": "&amp;PROPER(SUBSTITUTE(us_core_reqs[[#This Row],[Section]], "-", " ")),"Us ","US "), "Uscdi", "USCDI")</f>
        <v>Structuredefinition US Core Observation Lab: Mandatory And Must Support Data Elements</v>
      </c>
      <c r="U632" t="s">
        <v>1171</v>
      </c>
      <c r="V632" t="s">
        <v>1171</v>
      </c>
      <c r="W632" t="s">
        <v>1171</v>
      </c>
      <c r="X632" t="s">
        <v>1171</v>
      </c>
      <c r="Y632" t="s">
        <v>1171</v>
      </c>
      <c r="Z632" t="s">
        <v>1171</v>
      </c>
      <c r="AA632" t="s">
        <v>1171</v>
      </c>
      <c r="AB632" t="s">
        <v>1171</v>
      </c>
      <c r="AC632" t="s">
        <v>1171</v>
      </c>
      <c r="AD632" t="s">
        <v>1171</v>
      </c>
    </row>
    <row r="633" spans="1:30" ht="51" x14ac:dyDescent="0.2">
      <c r="A633" t="s">
        <v>1171</v>
      </c>
      <c r="B633" t="s">
        <v>1805</v>
      </c>
      <c r="C633" t="str">
        <f>"CONF-"&amp;TEXT(us_core_reqs[[#This Row],[ID*]], "0000")</f>
        <v>CONF-0845</v>
      </c>
      <c r="D633" s="11" t="s">
        <v>783</v>
      </c>
      <c r="E633" t="str">
        <f>SUBSTITUTE(us_core_reqs[[#This Row],[URL*]], "https://hl7.org/fhir/us/core/STU8/","")</f>
        <v>StructureDefinition-us-core-observation-screening-assessment.html#mandatory-and-must-support-data-elements</v>
      </c>
      <c r="F633" s="11" t="s">
        <v>779</v>
      </c>
      <c r="G633" t="s">
        <v>29</v>
      </c>
      <c r="I633" t="s">
        <v>30</v>
      </c>
      <c r="J633" t="s">
        <v>1171</v>
      </c>
      <c r="K633" t="s">
        <v>1171</v>
      </c>
      <c r="L633" t="s">
        <v>1173</v>
      </c>
      <c r="M633" t="s">
        <v>1171</v>
      </c>
      <c r="N633" t="s">
        <v>1171</v>
      </c>
      <c r="O633" t="s">
        <v>1171</v>
      </c>
      <c r="P633" t="s">
        <v>1171</v>
      </c>
      <c r="Q633" t="s">
        <v>1171</v>
      </c>
      <c r="R633" t="str">
        <f>_xlfn.TEXTBEFORE(_xlfn.TEXTAFTER(us_core_reqs[[#This Row],[URL*]],"/",-1),".")</f>
        <v>StructureDefinition-us-core-observation-screening-assessment</v>
      </c>
      <c r="S633" t="str">
        <f>_xlfn.TEXTAFTER(us_core_reqs[[#This Row],[URL*]],"#",-1)</f>
        <v>mandatory-and-must-support-data-elements</v>
      </c>
      <c r="T633" t="str">
        <f>SUBSTITUTE(SUBSTITUTE(PROPER(SUBSTITUTE(us_core_reqs[[#This Row],[Page]], "-", " "))&amp;": "&amp;PROPER(SUBSTITUTE(us_core_reqs[[#This Row],[Section]], "-", " ")),"Us ","US "), "Uscdi", "USCDI")</f>
        <v>Structuredefinition US Core Observation Screening Assessment: Mandatory And Must Support Data Elements</v>
      </c>
      <c r="U633" t="s">
        <v>1171</v>
      </c>
      <c r="V633" t="s">
        <v>1171</v>
      </c>
      <c r="W633" t="s">
        <v>1171</v>
      </c>
      <c r="X633" t="s">
        <v>1171</v>
      </c>
      <c r="Y633" t="s">
        <v>1171</v>
      </c>
      <c r="Z633" t="s">
        <v>1171</v>
      </c>
      <c r="AA633" t="s">
        <v>1171</v>
      </c>
      <c r="AB633" t="s">
        <v>1171</v>
      </c>
      <c r="AC633" t="s">
        <v>1140</v>
      </c>
      <c r="AD633" t="s">
        <v>1140</v>
      </c>
    </row>
    <row r="634" spans="1:30" ht="85" x14ac:dyDescent="0.2">
      <c r="A634" t="s">
        <v>1171</v>
      </c>
      <c r="B634" t="s">
        <v>1806</v>
      </c>
      <c r="C634" t="str">
        <f>"CONF-"&amp;TEXT(us_core_reqs[[#This Row],[ID*]], "0000")</f>
        <v>CONF-0846</v>
      </c>
      <c r="D634" s="11" t="s">
        <v>783</v>
      </c>
      <c r="E634" t="str">
        <f>SUBSTITUTE(us_core_reqs[[#This Row],[URL*]], "https://hl7.org/fhir/us/core/STU8/","")</f>
        <v>StructureDefinition-us-core-observation-screening-assessment.html#mandatory-and-must-support-data-elements</v>
      </c>
      <c r="F634" s="11" t="s">
        <v>780</v>
      </c>
      <c r="G634" t="s">
        <v>29</v>
      </c>
      <c r="I634" t="s">
        <v>30</v>
      </c>
      <c r="J634" t="b">
        <v>1</v>
      </c>
      <c r="K634" t="s">
        <v>1171</v>
      </c>
      <c r="L634" t="s">
        <v>1176</v>
      </c>
      <c r="M634" t="s">
        <v>1155</v>
      </c>
      <c r="N634" t="s">
        <v>1171</v>
      </c>
      <c r="O634" t="s">
        <v>1171</v>
      </c>
      <c r="P634" t="s">
        <v>1171</v>
      </c>
      <c r="Q634" t="s">
        <v>1171</v>
      </c>
      <c r="R634" t="str">
        <f>_xlfn.TEXTBEFORE(_xlfn.TEXTAFTER(us_core_reqs[[#This Row],[URL*]],"/",-1),".")</f>
        <v>StructureDefinition-us-core-observation-screening-assessment</v>
      </c>
      <c r="S634" t="str">
        <f>_xlfn.TEXTAFTER(us_core_reqs[[#This Row],[URL*]],"#",-1)</f>
        <v>mandatory-and-must-support-data-elements</v>
      </c>
      <c r="T634" t="str">
        <f>SUBSTITUTE(SUBSTITUTE(PROPER(SUBSTITUTE(us_core_reqs[[#This Row],[Page]], "-", " "))&amp;": "&amp;PROPER(SUBSTITUTE(us_core_reqs[[#This Row],[Section]], "-", " ")),"Us ","US "), "Uscdi", "USCDI")</f>
        <v>Structuredefinition US Core Observation Screening Assessment: Mandatory And Must Support Data Elements</v>
      </c>
      <c r="U634" t="s">
        <v>1171</v>
      </c>
      <c r="V634" t="s">
        <v>1171</v>
      </c>
      <c r="W634" t="s">
        <v>1171</v>
      </c>
      <c r="X634" t="s">
        <v>1171</v>
      </c>
      <c r="Y634" t="s">
        <v>1171</v>
      </c>
      <c r="Z634" t="s">
        <v>1171</v>
      </c>
      <c r="AA634" t="s">
        <v>1171</v>
      </c>
      <c r="AB634" t="s">
        <v>405</v>
      </c>
      <c r="AC634" t="s">
        <v>1140</v>
      </c>
      <c r="AD634" t="s">
        <v>1156</v>
      </c>
    </row>
    <row r="635" spans="1:30" ht="85" x14ac:dyDescent="0.2">
      <c r="A635" t="s">
        <v>1171</v>
      </c>
      <c r="B635" t="s">
        <v>1807</v>
      </c>
      <c r="C635" t="str">
        <f>"CONF-"&amp;TEXT(us_core_reqs[[#This Row],[ID*]], "0000")</f>
        <v>CONF-0847</v>
      </c>
      <c r="D635" s="11" t="s">
        <v>783</v>
      </c>
      <c r="E635" t="str">
        <f>SUBSTITUTE(us_core_reqs[[#This Row],[URL*]], "https://hl7.org/fhir/us/core/STU8/","")</f>
        <v>StructureDefinition-us-core-observation-screening-assessment.html#mandatory-and-must-support-data-elements</v>
      </c>
      <c r="F635" s="11" t="s">
        <v>781</v>
      </c>
      <c r="G635" t="s">
        <v>32</v>
      </c>
      <c r="I635" t="s">
        <v>30</v>
      </c>
      <c r="J635" t="b">
        <v>1</v>
      </c>
      <c r="K635" t="s">
        <v>1171</v>
      </c>
      <c r="L635" t="s">
        <v>1173</v>
      </c>
      <c r="M635" t="s">
        <v>1171</v>
      </c>
      <c r="N635" t="s">
        <v>1171</v>
      </c>
      <c r="O635" t="s">
        <v>1171</v>
      </c>
      <c r="P635" t="s">
        <v>1171</v>
      </c>
      <c r="Q635" t="s">
        <v>1171</v>
      </c>
      <c r="R635" t="str">
        <f>_xlfn.TEXTBEFORE(_xlfn.TEXTAFTER(us_core_reqs[[#This Row],[URL*]],"/",-1),".")</f>
        <v>StructureDefinition-us-core-observation-screening-assessment</v>
      </c>
      <c r="S635" t="str">
        <f>_xlfn.TEXTAFTER(us_core_reqs[[#This Row],[URL*]],"#",-1)</f>
        <v>mandatory-and-must-support-data-elements</v>
      </c>
      <c r="T635" t="str">
        <f>SUBSTITUTE(SUBSTITUTE(PROPER(SUBSTITUTE(us_core_reqs[[#This Row],[Page]], "-", " "))&amp;": "&amp;PROPER(SUBSTITUTE(us_core_reqs[[#This Row],[Section]], "-", " ")),"Us ","US "), "Uscdi", "USCDI")</f>
        <v>Structuredefinition US Core Observation Screening Assessment: Mandatory And Must Support Data Elements</v>
      </c>
      <c r="U635" t="s">
        <v>1171</v>
      </c>
      <c r="V635" t="s">
        <v>1171</v>
      </c>
      <c r="W635" t="s">
        <v>1171</v>
      </c>
      <c r="X635" t="s">
        <v>1171</v>
      </c>
      <c r="Y635" t="s">
        <v>1171</v>
      </c>
      <c r="Z635" t="s">
        <v>1171</v>
      </c>
      <c r="AA635" t="s">
        <v>1171</v>
      </c>
      <c r="AB635" t="s">
        <v>1171</v>
      </c>
      <c r="AC635" t="s">
        <v>1171</v>
      </c>
      <c r="AD635" t="s">
        <v>1171</v>
      </c>
    </row>
    <row r="636" spans="1:30" ht="51" x14ac:dyDescent="0.2">
      <c r="A636" t="s">
        <v>1171</v>
      </c>
      <c r="B636" t="s">
        <v>1808</v>
      </c>
      <c r="C636" t="str">
        <f>"CONF-"&amp;TEXT(us_core_reqs[[#This Row],[ID*]], "0000")</f>
        <v>CONF-0848</v>
      </c>
      <c r="D636" s="11" t="s">
        <v>783</v>
      </c>
      <c r="E636" t="str">
        <f>SUBSTITUTE(us_core_reqs[[#This Row],[URL*]], "https://hl7.org/fhir/us/core/STU8/","")</f>
        <v>StructureDefinition-us-core-observation-screening-assessment.html#mandatory-and-must-support-data-elements</v>
      </c>
      <c r="F636" s="11" t="s">
        <v>782</v>
      </c>
      <c r="G636" t="s">
        <v>35</v>
      </c>
      <c r="I636" t="s">
        <v>30</v>
      </c>
      <c r="J636" t="b">
        <v>1</v>
      </c>
      <c r="K636" t="s">
        <v>1171</v>
      </c>
      <c r="L636" t="s">
        <v>1173</v>
      </c>
      <c r="M636" t="s">
        <v>1171</v>
      </c>
      <c r="N636" t="s">
        <v>1171</v>
      </c>
      <c r="O636" t="s">
        <v>1171</v>
      </c>
      <c r="P636" t="s">
        <v>1171</v>
      </c>
      <c r="Q636" t="s">
        <v>1171</v>
      </c>
      <c r="R636" t="str">
        <f>_xlfn.TEXTBEFORE(_xlfn.TEXTAFTER(us_core_reqs[[#This Row],[URL*]],"/",-1),".")</f>
        <v>StructureDefinition-us-core-observation-screening-assessment</v>
      </c>
      <c r="S636" t="str">
        <f>_xlfn.TEXTAFTER(us_core_reqs[[#This Row],[URL*]],"#",-1)</f>
        <v>mandatory-and-must-support-data-elements</v>
      </c>
      <c r="T636" t="str">
        <f>SUBSTITUTE(SUBSTITUTE(PROPER(SUBSTITUTE(us_core_reqs[[#This Row],[Page]], "-", " "))&amp;": "&amp;PROPER(SUBSTITUTE(us_core_reqs[[#This Row],[Section]], "-", " ")),"Us ","US "), "Uscdi", "USCDI")</f>
        <v>Structuredefinition US Core Observation Screening Assessment: Mandatory And Must Support Data Elements</v>
      </c>
      <c r="U636" t="s">
        <v>1171</v>
      </c>
      <c r="V636" t="s">
        <v>1171</v>
      </c>
      <c r="W636" t="s">
        <v>1171</v>
      </c>
      <c r="X636" t="s">
        <v>1171</v>
      </c>
      <c r="Y636" t="s">
        <v>1171</v>
      </c>
      <c r="Z636" t="s">
        <v>1171</v>
      </c>
      <c r="AA636" t="s">
        <v>1171</v>
      </c>
      <c r="AB636" t="s">
        <v>1171</v>
      </c>
      <c r="AC636" t="s">
        <v>1171</v>
      </c>
      <c r="AD636" t="s">
        <v>1171</v>
      </c>
    </row>
    <row r="637" spans="1:30" ht="68" x14ac:dyDescent="0.2">
      <c r="A637" t="s">
        <v>1171</v>
      </c>
      <c r="B637" t="s">
        <v>1809</v>
      </c>
      <c r="C637" t="str">
        <f>"CONF-"&amp;TEXT(us_core_reqs[[#This Row],[ID*]], "0000")</f>
        <v>CONF-0849</v>
      </c>
      <c r="D637" s="11" t="s">
        <v>783</v>
      </c>
      <c r="E637" t="str">
        <f>SUBSTITUTE(us_core_reqs[[#This Row],[URL*]], "https://hl7.org/fhir/us/core/STU8/","")</f>
        <v>StructureDefinition-us-core-observation-screening-assessment.html#mandatory-and-must-support-data-elements</v>
      </c>
      <c r="F637" s="11" t="s">
        <v>2162</v>
      </c>
      <c r="G637" t="s">
        <v>29</v>
      </c>
      <c r="I637" t="s">
        <v>58</v>
      </c>
      <c r="J637" t="s">
        <v>1171</v>
      </c>
      <c r="K637" t="s">
        <v>1171</v>
      </c>
      <c r="L637" t="s">
        <v>1173</v>
      </c>
      <c r="M637" t="s">
        <v>1171</v>
      </c>
      <c r="N637" t="s">
        <v>1171</v>
      </c>
      <c r="O637" t="s">
        <v>1171</v>
      </c>
      <c r="P637" t="s">
        <v>1171</v>
      </c>
      <c r="Q637" t="s">
        <v>1171</v>
      </c>
      <c r="R637" t="str">
        <f>_xlfn.TEXTBEFORE(_xlfn.TEXTAFTER(us_core_reqs[[#This Row],[URL*]],"/",-1),".")</f>
        <v>StructureDefinition-us-core-observation-screening-assessment</v>
      </c>
      <c r="S637" t="str">
        <f>_xlfn.TEXTAFTER(us_core_reqs[[#This Row],[URL*]],"#",-1)</f>
        <v>mandatory-and-must-support-data-elements</v>
      </c>
      <c r="T637" t="str">
        <f>SUBSTITUTE(SUBSTITUTE(PROPER(SUBSTITUTE(us_core_reqs[[#This Row],[Page]], "-", " "))&amp;": "&amp;PROPER(SUBSTITUTE(us_core_reqs[[#This Row],[Section]], "-", " ")),"Us ","US "), "Uscdi", "USCDI")</f>
        <v>Structuredefinition US Core Observation Screening Assessment: Mandatory And Must Support Data Elements</v>
      </c>
      <c r="U637" t="s">
        <v>1171</v>
      </c>
      <c r="V637" t="s">
        <v>1171</v>
      </c>
      <c r="W637" t="s">
        <v>1171</v>
      </c>
      <c r="X637" t="s">
        <v>1171</v>
      </c>
      <c r="Y637" t="s">
        <v>1171</v>
      </c>
      <c r="Z637" t="s">
        <v>1171</v>
      </c>
      <c r="AA637" t="s">
        <v>1171</v>
      </c>
      <c r="AB637" t="s">
        <v>1171</v>
      </c>
      <c r="AC637" t="s">
        <v>1171</v>
      </c>
      <c r="AD637" t="s">
        <v>1171</v>
      </c>
    </row>
    <row r="638" spans="1:30" ht="51" x14ac:dyDescent="0.2">
      <c r="A638" t="s">
        <v>1171</v>
      </c>
      <c r="B638" t="s">
        <v>1810</v>
      </c>
      <c r="C638" t="str">
        <f>"CONF-"&amp;TEXT(us_core_reqs[[#This Row],[ID*]], "0000")</f>
        <v>CONF-0850</v>
      </c>
      <c r="D638" s="11" t="s">
        <v>783</v>
      </c>
      <c r="E638" t="str">
        <f>SUBSTITUTE(us_core_reqs[[#This Row],[URL*]], "https://hl7.org/fhir/us/core/STU8/","")</f>
        <v>StructureDefinition-us-core-observation-screening-assessment.html#mandatory-and-must-support-data-elements</v>
      </c>
      <c r="F638" s="11" t="s">
        <v>2022</v>
      </c>
      <c r="G638" t="s">
        <v>32</v>
      </c>
      <c r="I638" t="s">
        <v>30</v>
      </c>
      <c r="J638" t="s">
        <v>1171</v>
      </c>
      <c r="K638" t="s">
        <v>1171</v>
      </c>
      <c r="L638" t="s">
        <v>1173</v>
      </c>
      <c r="M638" t="s">
        <v>1171</v>
      </c>
      <c r="N638" t="s">
        <v>1171</v>
      </c>
      <c r="O638" t="s">
        <v>1171</v>
      </c>
      <c r="P638" t="s">
        <v>1171</v>
      </c>
      <c r="Q638" t="s">
        <v>1171</v>
      </c>
      <c r="R638" t="str">
        <f>_xlfn.TEXTBEFORE(_xlfn.TEXTAFTER(us_core_reqs[[#This Row],[URL*]],"/",-1),".")</f>
        <v>StructureDefinition-us-core-observation-screening-assessment</v>
      </c>
      <c r="S638" t="str">
        <f>_xlfn.TEXTAFTER(us_core_reqs[[#This Row],[URL*]],"#",-1)</f>
        <v>mandatory-and-must-support-data-elements</v>
      </c>
      <c r="T638" t="str">
        <f>SUBSTITUTE(SUBSTITUTE(PROPER(SUBSTITUTE(us_core_reqs[[#This Row],[Page]], "-", " "))&amp;": "&amp;PROPER(SUBSTITUTE(us_core_reqs[[#This Row],[Section]], "-", " ")),"Us ","US "), "Uscdi", "USCDI")</f>
        <v>Structuredefinition US Core Observation Screening Assessment: Mandatory And Must Support Data Elements</v>
      </c>
      <c r="U638" t="s">
        <v>1171</v>
      </c>
      <c r="V638" t="s">
        <v>1171</v>
      </c>
      <c r="W638" t="s">
        <v>1171</v>
      </c>
      <c r="X638" t="s">
        <v>1171</v>
      </c>
      <c r="Y638" t="s">
        <v>1171</v>
      </c>
      <c r="Z638" t="s">
        <v>1171</v>
      </c>
      <c r="AA638" t="s">
        <v>1171</v>
      </c>
      <c r="AB638" t="s">
        <v>1171</v>
      </c>
      <c r="AC638" t="s">
        <v>1171</v>
      </c>
      <c r="AD638" t="s">
        <v>1171</v>
      </c>
    </row>
    <row r="639" spans="1:30" ht="136" x14ac:dyDescent="0.2">
      <c r="A639" t="s">
        <v>1171</v>
      </c>
      <c r="B639" t="s">
        <v>1811</v>
      </c>
      <c r="C639" t="str">
        <f>"CONF-"&amp;TEXT(us_core_reqs[[#This Row],[ID*]], "0000")</f>
        <v>CONF-0851</v>
      </c>
      <c r="D639" s="11" t="s">
        <v>794</v>
      </c>
      <c r="E639" t="str">
        <f>SUBSTITUTE(us_core_reqs[[#This Row],[URL*]], "https://hl7.org/fhir/us/core/STU8/","")</f>
        <v>StructureDefinition-us-core-patient.html#mandatory-and-must-support-data-elements</v>
      </c>
      <c r="F639" s="11" t="s">
        <v>796</v>
      </c>
      <c r="G639" t="s">
        <v>35</v>
      </c>
      <c r="I639" t="s">
        <v>30</v>
      </c>
      <c r="J639" t="s">
        <v>1171</v>
      </c>
      <c r="K639" t="s">
        <v>1171</v>
      </c>
      <c r="L639" t="s">
        <v>1173</v>
      </c>
      <c r="M639" t="s">
        <v>1171</v>
      </c>
      <c r="N639" t="s">
        <v>1171</v>
      </c>
      <c r="O639" t="s">
        <v>1171</v>
      </c>
      <c r="P639" t="s">
        <v>1171</v>
      </c>
      <c r="Q639" t="s">
        <v>1171</v>
      </c>
      <c r="R639" t="str">
        <f>_xlfn.TEXTBEFORE(_xlfn.TEXTAFTER(us_core_reqs[[#This Row],[URL*]],"/",-1),".")</f>
        <v>StructureDefinition-us-core-patient</v>
      </c>
      <c r="S639" t="str">
        <f>_xlfn.TEXTAFTER(us_core_reqs[[#This Row],[URL*]],"#",-1)</f>
        <v>mandatory-and-must-support-data-elements</v>
      </c>
      <c r="T639" t="str">
        <f>SUBSTITUTE(SUBSTITUTE(PROPER(SUBSTITUTE(us_core_reqs[[#This Row],[Page]], "-", " "))&amp;": "&amp;PROPER(SUBSTITUTE(us_core_reqs[[#This Row],[Section]], "-", " ")),"Us ","US "), "Uscdi", "USCDI")</f>
        <v>Structuredefinition US Core Patient: Mandatory And Must Support Data Elements</v>
      </c>
      <c r="U639" t="s">
        <v>1171</v>
      </c>
      <c r="V639" t="s">
        <v>1171</v>
      </c>
      <c r="W639" t="s">
        <v>1171</v>
      </c>
      <c r="X639" t="s">
        <v>1171</v>
      </c>
      <c r="Y639" t="s">
        <v>1171</v>
      </c>
      <c r="Z639" t="s">
        <v>1171</v>
      </c>
      <c r="AA639" t="s">
        <v>1171</v>
      </c>
      <c r="AB639" t="s">
        <v>1171</v>
      </c>
      <c r="AC639" t="s">
        <v>1171</v>
      </c>
      <c r="AD639" t="s">
        <v>1171</v>
      </c>
    </row>
    <row r="640" spans="1:30" ht="102" x14ac:dyDescent="0.2">
      <c r="A640" t="s">
        <v>1171</v>
      </c>
      <c r="B640" t="s">
        <v>1812</v>
      </c>
      <c r="C640" t="str">
        <f>"CONF-"&amp;TEXT(us_core_reqs[[#This Row],[ID*]], "0000")</f>
        <v>CONF-0852</v>
      </c>
      <c r="D640" s="11" t="s">
        <v>794</v>
      </c>
      <c r="E640" t="str">
        <f>SUBSTITUTE(us_core_reqs[[#This Row],[URL*]], "https://hl7.org/fhir/us/core/STU8/","")</f>
        <v>StructureDefinition-us-core-patient.html#mandatory-and-must-support-data-elements</v>
      </c>
      <c r="F640" s="11" t="s">
        <v>795</v>
      </c>
      <c r="G640" t="s">
        <v>29</v>
      </c>
      <c r="I640" t="s">
        <v>30</v>
      </c>
      <c r="J640" t="s">
        <v>1171</v>
      </c>
      <c r="K640" t="s">
        <v>1171</v>
      </c>
      <c r="L640" t="s">
        <v>1176</v>
      </c>
      <c r="M640" t="s">
        <v>800</v>
      </c>
      <c r="N640" t="s">
        <v>1171</v>
      </c>
      <c r="O640" t="s">
        <v>1171</v>
      </c>
      <c r="P640" t="s">
        <v>1171</v>
      </c>
      <c r="Q640" t="s">
        <v>1171</v>
      </c>
      <c r="R640" t="str">
        <f>_xlfn.TEXTBEFORE(_xlfn.TEXTAFTER(us_core_reqs[[#This Row],[URL*]],"/",-1),".")</f>
        <v>StructureDefinition-us-core-patient</v>
      </c>
      <c r="S640" t="str">
        <f>_xlfn.TEXTAFTER(us_core_reqs[[#This Row],[URL*]],"#",-1)</f>
        <v>mandatory-and-must-support-data-elements</v>
      </c>
      <c r="T640" t="str">
        <f>SUBSTITUTE(SUBSTITUTE(PROPER(SUBSTITUTE(us_core_reqs[[#This Row],[Page]], "-", " "))&amp;": "&amp;PROPER(SUBSTITUTE(us_core_reqs[[#This Row],[Section]], "-", " ")),"Us ","US "), "Uscdi", "USCDI")</f>
        <v>Structuredefinition US Core Patient: Mandatory And Must Support Data Elements</v>
      </c>
      <c r="U640" t="s">
        <v>1171</v>
      </c>
      <c r="V640" t="s">
        <v>1171</v>
      </c>
      <c r="W640" t="s">
        <v>1171</v>
      </c>
      <c r="X640" t="s">
        <v>1171</v>
      </c>
      <c r="Y640" t="s">
        <v>1171</v>
      </c>
      <c r="Z640" t="s">
        <v>1171</v>
      </c>
      <c r="AA640" t="s">
        <v>1171</v>
      </c>
      <c r="AB640" t="s">
        <v>405</v>
      </c>
      <c r="AC640" t="s">
        <v>1140</v>
      </c>
      <c r="AD640" t="s">
        <v>1156</v>
      </c>
    </row>
    <row r="641" spans="1:30" ht="102" x14ac:dyDescent="0.2">
      <c r="A641" t="s">
        <v>1171</v>
      </c>
      <c r="B641" t="s">
        <v>1813</v>
      </c>
      <c r="C641" t="str">
        <f>"CONF-"&amp;TEXT(us_core_reqs[[#This Row],[ID*]], "0000")</f>
        <v>CONF-0853</v>
      </c>
      <c r="D641" s="11" t="s">
        <v>794</v>
      </c>
      <c r="E641" t="str">
        <f>SUBSTITUTE(us_core_reqs[[#This Row],[URL*]], "https://hl7.org/fhir/us/core/STU8/","")</f>
        <v>StructureDefinition-us-core-patient.html#mandatory-and-must-support-data-elements</v>
      </c>
      <c r="F641" s="11" t="s">
        <v>797</v>
      </c>
      <c r="G641" t="s">
        <v>29</v>
      </c>
      <c r="I641" t="s">
        <v>58</v>
      </c>
      <c r="J641" t="s">
        <v>1171</v>
      </c>
      <c r="K641" t="s">
        <v>1171</v>
      </c>
      <c r="L641" t="s">
        <v>1176</v>
      </c>
      <c r="M641" t="s">
        <v>799</v>
      </c>
      <c r="N641" t="s">
        <v>1171</v>
      </c>
      <c r="O641" t="s">
        <v>1171</v>
      </c>
      <c r="P641" t="s">
        <v>1171</v>
      </c>
      <c r="Q641" t="s">
        <v>1171</v>
      </c>
      <c r="R641" t="str">
        <f>_xlfn.TEXTBEFORE(_xlfn.TEXTAFTER(us_core_reqs[[#This Row],[URL*]],"/",-1),".")</f>
        <v>StructureDefinition-us-core-patient</v>
      </c>
      <c r="S641" t="str">
        <f>_xlfn.TEXTAFTER(us_core_reqs[[#This Row],[URL*]],"#",-1)</f>
        <v>mandatory-and-must-support-data-elements</v>
      </c>
      <c r="T641" t="str">
        <f>SUBSTITUTE(SUBSTITUTE(PROPER(SUBSTITUTE(us_core_reqs[[#This Row],[Page]], "-", " "))&amp;": "&amp;PROPER(SUBSTITUTE(us_core_reqs[[#This Row],[Section]], "-", " ")),"Us ","US "), "Uscdi", "USCDI")</f>
        <v>Structuredefinition US Core Patient: Mandatory And Must Support Data Elements</v>
      </c>
      <c r="U641" t="s">
        <v>1171</v>
      </c>
      <c r="V641" t="s">
        <v>1171</v>
      </c>
      <c r="W641" t="s">
        <v>1171</v>
      </c>
      <c r="X641" t="s">
        <v>1171</v>
      </c>
      <c r="Y641" t="s">
        <v>1171</v>
      </c>
      <c r="Z641" t="s">
        <v>1171</v>
      </c>
      <c r="AA641" t="s">
        <v>1171</v>
      </c>
      <c r="AB641" t="s">
        <v>1171</v>
      </c>
      <c r="AC641" t="s">
        <v>1171</v>
      </c>
      <c r="AD641" t="s">
        <v>1171</v>
      </c>
    </row>
    <row r="642" spans="1:30" ht="102" x14ac:dyDescent="0.2">
      <c r="A642" t="s">
        <v>1171</v>
      </c>
      <c r="B642" t="s">
        <v>1814</v>
      </c>
      <c r="C642" t="str">
        <f>"CONF-"&amp;TEXT(us_core_reqs[[#This Row],[ID*]], "0000")</f>
        <v>CONF-0854</v>
      </c>
      <c r="D642" s="11" t="s">
        <v>794</v>
      </c>
      <c r="E642" t="str">
        <f>SUBSTITUTE(us_core_reqs[[#This Row],[URL*]], "https://hl7.org/fhir/us/core/STU8/","")</f>
        <v>StructureDefinition-us-core-patient.html#mandatory-and-must-support-data-elements</v>
      </c>
      <c r="F642" s="11" t="s">
        <v>798</v>
      </c>
      <c r="G642" t="s">
        <v>29</v>
      </c>
      <c r="I642" t="s">
        <v>58</v>
      </c>
      <c r="J642" t="s">
        <v>1171</v>
      </c>
      <c r="K642" t="s">
        <v>1171</v>
      </c>
      <c r="L642" t="s">
        <v>1176</v>
      </c>
      <c r="M642" t="s">
        <v>799</v>
      </c>
      <c r="N642" t="s">
        <v>1171</v>
      </c>
      <c r="O642" t="s">
        <v>1171</v>
      </c>
      <c r="P642" t="s">
        <v>1171</v>
      </c>
      <c r="Q642" t="s">
        <v>1171</v>
      </c>
      <c r="R642" t="str">
        <f>_xlfn.TEXTBEFORE(_xlfn.TEXTAFTER(us_core_reqs[[#This Row],[URL*]],"/",-1),".")</f>
        <v>StructureDefinition-us-core-patient</v>
      </c>
      <c r="S642" t="str">
        <f>_xlfn.TEXTAFTER(us_core_reqs[[#This Row],[URL*]],"#",-1)</f>
        <v>mandatory-and-must-support-data-elements</v>
      </c>
      <c r="T642" t="str">
        <f>SUBSTITUTE(SUBSTITUTE(PROPER(SUBSTITUTE(us_core_reqs[[#This Row],[Page]], "-", " "))&amp;": "&amp;PROPER(SUBSTITUTE(us_core_reqs[[#This Row],[Section]], "-", " ")),"Us ","US "), "Uscdi", "USCDI")</f>
        <v>Structuredefinition US Core Patient: Mandatory And Must Support Data Elements</v>
      </c>
      <c r="U642" t="s">
        <v>1171</v>
      </c>
      <c r="V642" t="s">
        <v>1171</v>
      </c>
      <c r="W642" t="s">
        <v>1171</v>
      </c>
      <c r="X642" t="s">
        <v>1171</v>
      </c>
      <c r="Y642" t="s">
        <v>1171</v>
      </c>
      <c r="Z642" t="s">
        <v>1171</v>
      </c>
      <c r="AA642" t="s">
        <v>1171</v>
      </c>
      <c r="AB642" t="s">
        <v>1171</v>
      </c>
      <c r="AC642" t="s">
        <v>1171</v>
      </c>
      <c r="AD642" t="s">
        <v>1171</v>
      </c>
    </row>
    <row r="643" spans="1:30" ht="34" x14ac:dyDescent="0.2">
      <c r="A643" t="s">
        <v>1171</v>
      </c>
      <c r="B643" t="s">
        <v>1815</v>
      </c>
      <c r="C643" t="str">
        <f>"CONF-"&amp;TEXT(us_core_reqs[[#This Row],[ID*]], "0000")</f>
        <v>CONF-0855</v>
      </c>
      <c r="D643" s="11" t="s">
        <v>794</v>
      </c>
      <c r="E643" t="str">
        <f>SUBSTITUTE(us_core_reqs[[#This Row],[URL*]], "https://hl7.org/fhir/us/core/STU8/","")</f>
        <v>StructureDefinition-us-core-patient.html#mandatory-and-must-support-data-elements</v>
      </c>
      <c r="F643" s="11" t="s">
        <v>801</v>
      </c>
      <c r="G643" t="s">
        <v>32</v>
      </c>
      <c r="I643" t="s">
        <v>30</v>
      </c>
      <c r="J643" t="s">
        <v>1171</v>
      </c>
      <c r="K643" t="s">
        <v>1171</v>
      </c>
      <c r="L643" t="s">
        <v>1173</v>
      </c>
      <c r="M643" t="s">
        <v>1171</v>
      </c>
      <c r="N643" t="s">
        <v>1171</v>
      </c>
      <c r="O643" t="s">
        <v>1171</v>
      </c>
      <c r="P643" t="s">
        <v>1171</v>
      </c>
      <c r="Q643" t="s">
        <v>1171</v>
      </c>
      <c r="R643" t="str">
        <f>_xlfn.TEXTBEFORE(_xlfn.TEXTAFTER(us_core_reqs[[#This Row],[URL*]],"/",-1),".")</f>
        <v>StructureDefinition-us-core-patient</v>
      </c>
      <c r="S643" t="str">
        <f>_xlfn.TEXTAFTER(us_core_reqs[[#This Row],[URL*]],"#",-1)</f>
        <v>mandatory-and-must-support-data-elements</v>
      </c>
      <c r="T643" t="str">
        <f>SUBSTITUTE(SUBSTITUTE(PROPER(SUBSTITUTE(us_core_reqs[[#This Row],[Page]], "-", " "))&amp;": "&amp;PROPER(SUBSTITUTE(us_core_reqs[[#This Row],[Section]], "-", " ")),"Us ","US "), "Uscdi", "USCDI")</f>
        <v>Structuredefinition US Core Patient: Mandatory And Must Support Data Elements</v>
      </c>
      <c r="U643" t="s">
        <v>1171</v>
      </c>
      <c r="V643" t="s">
        <v>1171</v>
      </c>
      <c r="W643" t="s">
        <v>1171</v>
      </c>
      <c r="X643" t="s">
        <v>1171</v>
      </c>
      <c r="Y643" t="s">
        <v>1171</v>
      </c>
      <c r="Z643" t="s">
        <v>1171</v>
      </c>
      <c r="AA643" t="s">
        <v>1171</v>
      </c>
      <c r="AB643" t="s">
        <v>1171</v>
      </c>
      <c r="AC643" t="s">
        <v>1171</v>
      </c>
      <c r="AD643" t="s">
        <v>1171</v>
      </c>
    </row>
    <row r="644" spans="1:30" ht="34" x14ac:dyDescent="0.2">
      <c r="A644" t="s">
        <v>1171</v>
      </c>
      <c r="B644" t="s">
        <v>1816</v>
      </c>
      <c r="C644" t="str">
        <f>"CONF-"&amp;TEXT(us_core_reqs[[#This Row],[ID*]], "0000")</f>
        <v>CONF-0856</v>
      </c>
      <c r="D644" s="11" t="s">
        <v>807</v>
      </c>
      <c r="E644" t="str">
        <f>SUBSTITUTE(us_core_reqs[[#This Row],[URL*]], "https://hl7.org/fhir/us/core/STU8/","")</f>
        <v>StructureDefinition-us-core-procedure.html#mandatory-and-must-support-data-elements</v>
      </c>
      <c r="F644" s="11" t="s">
        <v>806</v>
      </c>
      <c r="G644" t="s">
        <v>29</v>
      </c>
      <c r="I644" t="s">
        <v>30</v>
      </c>
      <c r="J644" t="s">
        <v>1171</v>
      </c>
      <c r="K644" t="s">
        <v>1171</v>
      </c>
      <c r="L644" t="s">
        <v>1176</v>
      </c>
      <c r="M644" t="s">
        <v>808</v>
      </c>
      <c r="N644" t="s">
        <v>1171</v>
      </c>
      <c r="O644" t="s">
        <v>1171</v>
      </c>
      <c r="P644" t="s">
        <v>1171</v>
      </c>
      <c r="Q644" t="s">
        <v>1171</v>
      </c>
      <c r="R644" t="str">
        <f>_xlfn.TEXTBEFORE(_xlfn.TEXTAFTER(us_core_reqs[[#This Row],[URL*]],"/",-1),".")</f>
        <v>StructureDefinition-us-core-procedure</v>
      </c>
      <c r="S644" t="str">
        <f>_xlfn.TEXTAFTER(us_core_reqs[[#This Row],[URL*]],"#",-1)</f>
        <v>mandatory-and-must-support-data-elements</v>
      </c>
      <c r="T644" t="str">
        <f>SUBSTITUTE(SUBSTITUTE(PROPER(SUBSTITUTE(us_core_reqs[[#This Row],[Page]], "-", " "))&amp;": "&amp;PROPER(SUBSTITUTE(us_core_reqs[[#This Row],[Section]], "-", " ")),"Us ","US "), "Uscdi", "USCDI")</f>
        <v>Structuredefinition US Core Procedure: Mandatory And Must Support Data Elements</v>
      </c>
      <c r="U644" t="s">
        <v>1171</v>
      </c>
      <c r="V644" t="s">
        <v>1171</v>
      </c>
      <c r="W644" t="s">
        <v>1171</v>
      </c>
      <c r="X644" t="s">
        <v>1171</v>
      </c>
      <c r="Y644" t="s">
        <v>1171</v>
      </c>
      <c r="Z644" t="s">
        <v>1171</v>
      </c>
      <c r="AA644" t="s">
        <v>1171</v>
      </c>
      <c r="AB644" t="s">
        <v>1171</v>
      </c>
      <c r="AC644" t="s">
        <v>1140</v>
      </c>
      <c r="AD644" t="s">
        <v>1154</v>
      </c>
    </row>
    <row r="645" spans="1:30" ht="153" x14ac:dyDescent="0.2">
      <c r="A645" t="s">
        <v>1171</v>
      </c>
      <c r="B645" t="s">
        <v>1817</v>
      </c>
      <c r="C645" t="str">
        <f>"CONF-"&amp;TEXT(us_core_reqs[[#This Row],[ID*]], "0000")</f>
        <v>CONF-0857</v>
      </c>
      <c r="D645" s="11" t="s">
        <v>815</v>
      </c>
      <c r="E645" t="str">
        <f>SUBSTITUTE(us_core_reqs[[#This Row],[URL*]], "https://hl7.org/fhir/us/core/STU8/","")</f>
        <v>StructureDefinition-us-core-servicerequest.html#root</v>
      </c>
      <c r="F645" s="11" t="s">
        <v>2023</v>
      </c>
      <c r="G645" t="s">
        <v>32</v>
      </c>
      <c r="I645" t="s">
        <v>30</v>
      </c>
      <c r="J645" t="s">
        <v>1171</v>
      </c>
      <c r="K645" t="s">
        <v>1171</v>
      </c>
      <c r="L645" t="s">
        <v>1173</v>
      </c>
      <c r="M645" t="s">
        <v>1171</v>
      </c>
      <c r="N645" t="s">
        <v>1171</v>
      </c>
      <c r="O645" t="s">
        <v>1171</v>
      </c>
      <c r="P645" t="s">
        <v>1171</v>
      </c>
      <c r="Q645" t="s">
        <v>1171</v>
      </c>
      <c r="R645" t="str">
        <f>_xlfn.TEXTBEFORE(_xlfn.TEXTAFTER(us_core_reqs[[#This Row],[URL*]],"/",-1),".")</f>
        <v>StructureDefinition-us-core-servicerequest</v>
      </c>
      <c r="S645" t="str">
        <f>_xlfn.TEXTAFTER(us_core_reqs[[#This Row],[URL*]],"#",-1)</f>
        <v>root</v>
      </c>
      <c r="T645" t="str">
        <f>SUBSTITUTE(SUBSTITUTE(PROPER(SUBSTITUTE(us_core_reqs[[#This Row],[Page]], "-", " "))&amp;": "&amp;PROPER(SUBSTITUTE(us_core_reqs[[#This Row],[Section]], "-", " ")),"Us ","US "), "Uscdi", "USCDI")</f>
        <v>Structuredefinition US Core Servicerequest: Root</v>
      </c>
      <c r="U645" t="s">
        <v>1171</v>
      </c>
      <c r="V645" t="s">
        <v>1171</v>
      </c>
      <c r="W645" t="s">
        <v>1171</v>
      </c>
      <c r="X645" t="s">
        <v>1171</v>
      </c>
      <c r="Y645" t="s">
        <v>1171</v>
      </c>
      <c r="Z645" t="s">
        <v>1171</v>
      </c>
      <c r="AA645" t="s">
        <v>1171</v>
      </c>
      <c r="AB645" t="s">
        <v>1171</v>
      </c>
      <c r="AC645" t="s">
        <v>1171</v>
      </c>
      <c r="AD645" t="s">
        <v>1171</v>
      </c>
    </row>
    <row r="646" spans="1:30" ht="289" x14ac:dyDescent="0.2">
      <c r="A646" t="s">
        <v>1171</v>
      </c>
      <c r="B646" t="s">
        <v>1818</v>
      </c>
      <c r="C646" t="str">
        <f>"CONF-"&amp;TEXT(us_core_reqs[[#This Row],[ID*]], "0000")</f>
        <v>CONF-0858</v>
      </c>
      <c r="D646" s="11" t="s">
        <v>815</v>
      </c>
      <c r="E646" t="str">
        <f>SUBSTITUTE(us_core_reqs[[#This Row],[URL*]], "https://hl7.org/fhir/us/core/STU8/","")</f>
        <v>StructureDefinition-us-core-servicerequest.html#root</v>
      </c>
      <c r="F646" s="11" t="s">
        <v>2024</v>
      </c>
      <c r="G646" t="s">
        <v>32</v>
      </c>
      <c r="I646" t="s">
        <v>30</v>
      </c>
      <c r="J646" t="s">
        <v>1171</v>
      </c>
      <c r="K646" t="s">
        <v>1171</v>
      </c>
      <c r="L646" t="s">
        <v>1173</v>
      </c>
      <c r="M646" t="s">
        <v>1171</v>
      </c>
      <c r="N646" t="s">
        <v>1171</v>
      </c>
      <c r="O646" t="s">
        <v>1171</v>
      </c>
      <c r="P646" t="s">
        <v>1171</v>
      </c>
      <c r="Q646" t="s">
        <v>1171</v>
      </c>
      <c r="R646" t="str">
        <f>_xlfn.TEXTBEFORE(_xlfn.TEXTAFTER(us_core_reqs[[#This Row],[URL*]],"/",-1),".")</f>
        <v>StructureDefinition-us-core-servicerequest</v>
      </c>
      <c r="S646" t="str">
        <f>_xlfn.TEXTAFTER(us_core_reqs[[#This Row],[URL*]],"#",-1)</f>
        <v>root</v>
      </c>
      <c r="T646" t="str">
        <f>SUBSTITUTE(SUBSTITUTE(PROPER(SUBSTITUTE(us_core_reqs[[#This Row],[Page]], "-", " "))&amp;": "&amp;PROPER(SUBSTITUTE(us_core_reqs[[#This Row],[Section]], "-", " ")),"Us ","US "), "Uscdi", "USCDI")</f>
        <v>Structuredefinition US Core Servicerequest: Root</v>
      </c>
      <c r="U646" t="s">
        <v>1171</v>
      </c>
      <c r="V646" t="s">
        <v>1171</v>
      </c>
      <c r="W646" t="s">
        <v>1171</v>
      </c>
      <c r="X646" t="s">
        <v>1171</v>
      </c>
      <c r="Y646" t="s">
        <v>1171</v>
      </c>
      <c r="Z646" t="s">
        <v>1171</v>
      </c>
      <c r="AA646" t="s">
        <v>1171</v>
      </c>
      <c r="AB646" t="s">
        <v>1171</v>
      </c>
      <c r="AC646" t="s">
        <v>1171</v>
      </c>
      <c r="AD646" t="s">
        <v>1171</v>
      </c>
    </row>
    <row r="647" spans="1:30" ht="153" x14ac:dyDescent="0.2">
      <c r="A647" t="s">
        <v>1171</v>
      </c>
      <c r="B647" t="s">
        <v>1819</v>
      </c>
      <c r="C647" t="str">
        <f>"CONF-"&amp;TEXT(us_core_reqs[[#This Row],[ID*]], "0000")</f>
        <v>CONF-0859</v>
      </c>
      <c r="D647" s="11" t="s">
        <v>815</v>
      </c>
      <c r="E647" t="str">
        <f>SUBSTITUTE(us_core_reqs[[#This Row],[URL*]], "https://hl7.org/fhir/us/core/STU8/","")</f>
        <v>StructureDefinition-us-core-servicerequest.html#root</v>
      </c>
      <c r="F647" s="11" t="s">
        <v>2025</v>
      </c>
      <c r="G647" t="s">
        <v>32</v>
      </c>
      <c r="I647" t="s">
        <v>30</v>
      </c>
      <c r="J647" t="s">
        <v>1171</v>
      </c>
      <c r="K647" t="s">
        <v>1171</v>
      </c>
      <c r="L647" t="s">
        <v>1173</v>
      </c>
      <c r="M647" t="s">
        <v>1171</v>
      </c>
      <c r="N647" t="s">
        <v>1171</v>
      </c>
      <c r="O647" t="s">
        <v>1171</v>
      </c>
      <c r="P647" t="s">
        <v>1171</v>
      </c>
      <c r="Q647" t="s">
        <v>1171</v>
      </c>
      <c r="R647" t="str">
        <f>_xlfn.TEXTBEFORE(_xlfn.TEXTAFTER(us_core_reqs[[#This Row],[URL*]],"/",-1),".")</f>
        <v>StructureDefinition-us-core-servicerequest</v>
      </c>
      <c r="S647" t="str">
        <f>_xlfn.TEXTAFTER(us_core_reqs[[#This Row],[URL*]],"#",-1)</f>
        <v>root</v>
      </c>
      <c r="T647" t="str">
        <f>SUBSTITUTE(SUBSTITUTE(PROPER(SUBSTITUTE(us_core_reqs[[#This Row],[Page]], "-", " "))&amp;": "&amp;PROPER(SUBSTITUTE(us_core_reqs[[#This Row],[Section]], "-", " ")),"Us ","US "), "Uscdi", "USCDI")</f>
        <v>Structuredefinition US Core Servicerequest: Root</v>
      </c>
      <c r="U647" t="s">
        <v>1171</v>
      </c>
      <c r="V647" t="s">
        <v>1171</v>
      </c>
      <c r="W647" t="s">
        <v>1171</v>
      </c>
      <c r="X647" t="s">
        <v>1171</v>
      </c>
      <c r="Y647" t="s">
        <v>1171</v>
      </c>
      <c r="Z647" t="s">
        <v>1171</v>
      </c>
      <c r="AA647" t="s">
        <v>1171</v>
      </c>
      <c r="AB647" t="s">
        <v>1171</v>
      </c>
      <c r="AC647" t="s">
        <v>1171</v>
      </c>
      <c r="AD647" t="s">
        <v>1171</v>
      </c>
    </row>
    <row r="648" spans="1:30" ht="289" x14ac:dyDescent="0.2">
      <c r="A648" t="s">
        <v>1171</v>
      </c>
      <c r="B648" t="s">
        <v>1820</v>
      </c>
      <c r="C648" t="str">
        <f>"CONF-"&amp;TEXT(us_core_reqs[[#This Row],[ID*]], "0000")</f>
        <v>CONF-0860</v>
      </c>
      <c r="D648" s="11" t="s">
        <v>815</v>
      </c>
      <c r="E648" t="str">
        <f>SUBSTITUTE(us_core_reqs[[#This Row],[URL*]], "https://hl7.org/fhir/us/core/STU8/","")</f>
        <v>StructureDefinition-us-core-servicerequest.html#root</v>
      </c>
      <c r="F648" s="11" t="s">
        <v>2026</v>
      </c>
      <c r="G648" t="s">
        <v>32</v>
      </c>
      <c r="I648" t="s">
        <v>30</v>
      </c>
      <c r="J648" t="s">
        <v>1171</v>
      </c>
      <c r="K648" t="s">
        <v>1171</v>
      </c>
      <c r="L648" t="s">
        <v>1173</v>
      </c>
      <c r="M648" t="s">
        <v>1171</v>
      </c>
      <c r="N648" t="s">
        <v>1171</v>
      </c>
      <c r="O648" t="s">
        <v>1171</v>
      </c>
      <c r="P648" t="s">
        <v>1171</v>
      </c>
      <c r="Q648" t="s">
        <v>1171</v>
      </c>
      <c r="R648" t="str">
        <f>_xlfn.TEXTBEFORE(_xlfn.TEXTAFTER(us_core_reqs[[#This Row],[URL*]],"/",-1),".")</f>
        <v>StructureDefinition-us-core-servicerequest</v>
      </c>
      <c r="S648" t="str">
        <f>_xlfn.TEXTAFTER(us_core_reqs[[#This Row],[URL*]],"#",-1)</f>
        <v>root</v>
      </c>
      <c r="T648" t="str">
        <f>SUBSTITUTE(SUBSTITUTE(PROPER(SUBSTITUTE(us_core_reqs[[#This Row],[Page]], "-", " "))&amp;": "&amp;PROPER(SUBSTITUTE(us_core_reqs[[#This Row],[Section]], "-", " ")),"Us ","US "), "Uscdi", "USCDI")</f>
        <v>Structuredefinition US Core Servicerequest: Root</v>
      </c>
      <c r="U648" t="s">
        <v>1171</v>
      </c>
      <c r="V648" t="s">
        <v>1171</v>
      </c>
      <c r="W648" t="s">
        <v>1171</v>
      </c>
      <c r="X648" t="s">
        <v>1171</v>
      </c>
      <c r="Y648" t="s">
        <v>1171</v>
      </c>
      <c r="Z648" t="s">
        <v>1171</v>
      </c>
      <c r="AA648" t="s">
        <v>1171</v>
      </c>
      <c r="AB648" t="s">
        <v>1171</v>
      </c>
      <c r="AC648" t="s">
        <v>1171</v>
      </c>
      <c r="AD648" t="s">
        <v>1171</v>
      </c>
    </row>
    <row r="649" spans="1:30" ht="153" x14ac:dyDescent="0.2">
      <c r="A649" t="s">
        <v>1171</v>
      </c>
      <c r="B649" t="s">
        <v>1821</v>
      </c>
      <c r="C649" t="str">
        <f>"CONF-"&amp;TEXT(us_core_reqs[[#This Row],[ID*]], "0000")</f>
        <v>CONF-0861</v>
      </c>
      <c r="D649" s="11" t="s">
        <v>879</v>
      </c>
      <c r="E649" t="str">
        <f>SUBSTITUTE(us_core_reqs[[#This Row],[URL*]], "https://hl7.org/fhir/us/core/STU8/","")</f>
        <v>StructureDefinition-us-core-simple-observation.html#mandatory-and-must-support-data-elements</v>
      </c>
      <c r="F649" s="11" t="s">
        <v>1127</v>
      </c>
      <c r="G649" t="s">
        <v>32</v>
      </c>
      <c r="I649" t="s">
        <v>30</v>
      </c>
      <c r="J649" t="b">
        <v>1</v>
      </c>
      <c r="K649" t="s">
        <v>1171</v>
      </c>
      <c r="L649" t="s">
        <v>1176</v>
      </c>
      <c r="M649" t="s">
        <v>1135</v>
      </c>
      <c r="N649" t="s">
        <v>1171</v>
      </c>
      <c r="O649" t="s">
        <v>1171</v>
      </c>
      <c r="P649" t="s">
        <v>1171</v>
      </c>
      <c r="Q649" t="s">
        <v>1171</v>
      </c>
      <c r="R649" t="str">
        <f>_xlfn.TEXTBEFORE(_xlfn.TEXTAFTER(us_core_reqs[[#This Row],[URL*]],"/",-1),".")</f>
        <v>StructureDefinition-us-core-simple-observation</v>
      </c>
      <c r="S649" t="str">
        <f>_xlfn.TEXTAFTER(us_core_reqs[[#This Row],[URL*]],"#",-1)</f>
        <v>mandatory-and-must-support-data-elements</v>
      </c>
      <c r="T649" t="str">
        <f>SUBSTITUTE(SUBSTITUTE(PROPER(SUBSTITUTE(us_core_reqs[[#This Row],[Page]], "-", " "))&amp;": "&amp;PROPER(SUBSTITUTE(us_core_reqs[[#This Row],[Section]], "-", " ")),"Us ","US "), "Uscdi", "USCDI")</f>
        <v>Structuredefinition US Core Simple Observation: Mandatory And Must Support Data Elements</v>
      </c>
      <c r="U649" t="s">
        <v>1171</v>
      </c>
      <c r="V649" t="s">
        <v>1171</v>
      </c>
      <c r="W649" t="s">
        <v>1171</v>
      </c>
      <c r="X649" t="s">
        <v>1171</v>
      </c>
      <c r="Y649" t="s">
        <v>1171</v>
      </c>
      <c r="Z649" t="s">
        <v>1171</v>
      </c>
      <c r="AA649" t="s">
        <v>1171</v>
      </c>
      <c r="AB649" t="s">
        <v>1171</v>
      </c>
      <c r="AC649" t="s">
        <v>1171</v>
      </c>
      <c r="AD649" t="s">
        <v>1171</v>
      </c>
    </row>
    <row r="650" spans="1:30" ht="102" x14ac:dyDescent="0.2">
      <c r="A650" t="s">
        <v>1171</v>
      </c>
      <c r="B650" t="s">
        <v>1822</v>
      </c>
      <c r="C650" t="str">
        <f>"CONF-"&amp;TEXT(us_core_reqs[[#This Row],[ID*]], "0000")</f>
        <v>CONF-0862</v>
      </c>
      <c r="D650" s="11" t="s">
        <v>879</v>
      </c>
      <c r="E650" t="str">
        <f>SUBSTITUTE(us_core_reqs[[#This Row],[URL*]], "https://hl7.org/fhir/us/core/STU8/","")</f>
        <v>StructureDefinition-us-core-simple-observation.html#mandatory-and-must-support-data-elements</v>
      </c>
      <c r="F650" s="11" t="s">
        <v>1128</v>
      </c>
      <c r="G650" t="s">
        <v>29</v>
      </c>
      <c r="I650" t="s">
        <v>30</v>
      </c>
      <c r="J650" t="b">
        <v>1</v>
      </c>
      <c r="K650" t="s">
        <v>1171</v>
      </c>
      <c r="L650" t="s">
        <v>1176</v>
      </c>
      <c r="M650" t="s">
        <v>1135</v>
      </c>
      <c r="N650" t="s">
        <v>1171</v>
      </c>
      <c r="O650" t="s">
        <v>1171</v>
      </c>
      <c r="P650" t="s">
        <v>1171</v>
      </c>
      <c r="Q650" t="s">
        <v>1171</v>
      </c>
      <c r="R650" t="str">
        <f>_xlfn.TEXTBEFORE(_xlfn.TEXTAFTER(us_core_reqs[[#This Row],[URL*]],"/",-1),".")</f>
        <v>StructureDefinition-us-core-simple-observation</v>
      </c>
      <c r="S650" t="str">
        <f>_xlfn.TEXTAFTER(us_core_reqs[[#This Row],[URL*]],"#",-1)</f>
        <v>mandatory-and-must-support-data-elements</v>
      </c>
      <c r="T650" t="str">
        <f>SUBSTITUTE(SUBSTITUTE(PROPER(SUBSTITUTE(us_core_reqs[[#This Row],[Page]], "-", " "))&amp;": "&amp;PROPER(SUBSTITUTE(us_core_reqs[[#This Row],[Section]], "-", " ")),"Us ","US "), "Uscdi", "USCDI")</f>
        <v>Structuredefinition US Core Simple Observation: Mandatory And Must Support Data Elements</v>
      </c>
      <c r="U650" t="s">
        <v>1171</v>
      </c>
      <c r="V650" t="s">
        <v>1171</v>
      </c>
      <c r="W650" t="s">
        <v>1171</v>
      </c>
      <c r="X650" t="s">
        <v>1171</v>
      </c>
      <c r="Y650" t="s">
        <v>1171</v>
      </c>
      <c r="Z650" t="s">
        <v>1171</v>
      </c>
      <c r="AA650" t="s">
        <v>1171</v>
      </c>
      <c r="AB650" t="s">
        <v>405</v>
      </c>
      <c r="AC650" t="s">
        <v>1140</v>
      </c>
      <c r="AD650" t="s">
        <v>1156</v>
      </c>
    </row>
    <row r="651" spans="1:30" ht="170" x14ac:dyDescent="0.2">
      <c r="A651" t="s">
        <v>1171</v>
      </c>
      <c r="B651" t="s">
        <v>1823</v>
      </c>
      <c r="C651" t="str">
        <f>"CONF-"&amp;TEXT(us_core_reqs[[#This Row],[ID*]], "0000")</f>
        <v>CONF-0863</v>
      </c>
      <c r="D651" s="11" t="s">
        <v>879</v>
      </c>
      <c r="E651" t="str">
        <f>SUBSTITUTE(us_core_reqs[[#This Row],[URL*]], "https://hl7.org/fhir/us/core/STU8/","")</f>
        <v>StructureDefinition-us-core-simple-observation.html#mandatory-and-must-support-data-elements</v>
      </c>
      <c r="F651" s="11" t="s">
        <v>1129</v>
      </c>
      <c r="G651" t="s">
        <v>35</v>
      </c>
      <c r="I651" t="s">
        <v>30</v>
      </c>
      <c r="J651" t="b">
        <v>1</v>
      </c>
      <c r="K651" t="s">
        <v>1171</v>
      </c>
      <c r="L651" t="s">
        <v>1176</v>
      </c>
      <c r="M651" t="s">
        <v>1135</v>
      </c>
      <c r="N651" t="s">
        <v>1171</v>
      </c>
      <c r="O651" t="s">
        <v>1171</v>
      </c>
      <c r="P651" t="s">
        <v>1171</v>
      </c>
      <c r="Q651" t="s">
        <v>1171</v>
      </c>
      <c r="R651" t="str">
        <f>_xlfn.TEXTBEFORE(_xlfn.TEXTAFTER(us_core_reqs[[#This Row],[URL*]],"/",-1),".")</f>
        <v>StructureDefinition-us-core-simple-observation</v>
      </c>
      <c r="S651" t="str">
        <f>_xlfn.TEXTAFTER(us_core_reqs[[#This Row],[URL*]],"#",-1)</f>
        <v>mandatory-and-must-support-data-elements</v>
      </c>
      <c r="T651" t="str">
        <f>SUBSTITUTE(SUBSTITUTE(PROPER(SUBSTITUTE(us_core_reqs[[#This Row],[Page]], "-", " "))&amp;": "&amp;PROPER(SUBSTITUTE(us_core_reqs[[#This Row],[Section]], "-", " ")),"Us ","US "), "Uscdi", "USCDI")</f>
        <v>Structuredefinition US Core Simple Observation: Mandatory And Must Support Data Elements</v>
      </c>
      <c r="U651" t="s">
        <v>1171</v>
      </c>
      <c r="V651" t="s">
        <v>1171</v>
      </c>
      <c r="W651" t="s">
        <v>1171</v>
      </c>
      <c r="X651" t="s">
        <v>1171</v>
      </c>
      <c r="Y651" t="s">
        <v>1171</v>
      </c>
      <c r="Z651" t="s">
        <v>1171</v>
      </c>
      <c r="AA651" t="s">
        <v>1171</v>
      </c>
      <c r="AB651" t="s">
        <v>1171</v>
      </c>
      <c r="AC651" t="s">
        <v>1171</v>
      </c>
      <c r="AD651" t="s">
        <v>1171</v>
      </c>
    </row>
    <row r="652" spans="1:30" ht="51" x14ac:dyDescent="0.2">
      <c r="A652" t="s">
        <v>1171</v>
      </c>
      <c r="B652" t="s">
        <v>1824</v>
      </c>
      <c r="C652" t="str">
        <f>"CONF-"&amp;TEXT(us_core_reqs[[#This Row],[ID*]], "0000")</f>
        <v>CONF-0864</v>
      </c>
      <c r="D652" s="11" t="s">
        <v>879</v>
      </c>
      <c r="E652" t="str">
        <f>SUBSTITUTE(us_core_reqs[[#This Row],[URL*]], "https://hl7.org/fhir/us/core/STU8/","")</f>
        <v>StructureDefinition-us-core-simple-observation.html#mandatory-and-must-support-data-elements</v>
      </c>
      <c r="F652" s="11" t="s">
        <v>1126</v>
      </c>
      <c r="G652" t="s">
        <v>29</v>
      </c>
      <c r="I652" t="s">
        <v>30</v>
      </c>
      <c r="J652" t="s">
        <v>1171</v>
      </c>
      <c r="K652" t="s">
        <v>1171</v>
      </c>
      <c r="L652" t="s">
        <v>1173</v>
      </c>
      <c r="M652" t="s">
        <v>1171</v>
      </c>
      <c r="N652" t="s">
        <v>1171</v>
      </c>
      <c r="O652" t="s">
        <v>1171</v>
      </c>
      <c r="P652" t="s">
        <v>45</v>
      </c>
      <c r="Q652" t="s">
        <v>1159</v>
      </c>
      <c r="R652" t="str">
        <f>_xlfn.TEXTBEFORE(_xlfn.TEXTAFTER(us_core_reqs[[#This Row],[URL*]],"/",-1),".")</f>
        <v>StructureDefinition-us-core-simple-observation</v>
      </c>
      <c r="S652" t="str">
        <f>_xlfn.TEXTAFTER(us_core_reqs[[#This Row],[URL*]],"#",-1)</f>
        <v>mandatory-and-must-support-data-elements</v>
      </c>
      <c r="T652" t="str">
        <f>SUBSTITUTE(SUBSTITUTE(PROPER(SUBSTITUTE(us_core_reqs[[#This Row],[Page]], "-", " "))&amp;": "&amp;PROPER(SUBSTITUTE(us_core_reqs[[#This Row],[Section]], "-", " ")),"Us ","US "), "Uscdi", "USCDI")</f>
        <v>Structuredefinition US Core Simple Observation: Mandatory And Must Support Data Elements</v>
      </c>
      <c r="U652" t="s">
        <v>1171</v>
      </c>
      <c r="V652" t="s">
        <v>1171</v>
      </c>
      <c r="W652" t="s">
        <v>1171</v>
      </c>
      <c r="X652" t="s">
        <v>1171</v>
      </c>
      <c r="Y652" t="s">
        <v>1171</v>
      </c>
      <c r="Z652" t="s">
        <v>1171</v>
      </c>
      <c r="AA652" t="s">
        <v>1171</v>
      </c>
      <c r="AB652" t="s">
        <v>1158</v>
      </c>
      <c r="AC652" t="s">
        <v>1140</v>
      </c>
      <c r="AD652" t="s">
        <v>1154</v>
      </c>
    </row>
    <row r="653" spans="1:30" ht="51" x14ac:dyDescent="0.2">
      <c r="A653" t="s">
        <v>1171</v>
      </c>
      <c r="B653" t="s">
        <v>1825</v>
      </c>
      <c r="C653" t="str">
        <f>"CONF-"&amp;TEXT(us_core_reqs[[#This Row],[ID*]], "0000")</f>
        <v>CONF-0865</v>
      </c>
      <c r="D653" s="11" t="s">
        <v>879</v>
      </c>
      <c r="E653" t="str">
        <f>SUBSTITUTE(us_core_reqs[[#This Row],[URL*]], "https://hl7.org/fhir/us/core/STU8/","")</f>
        <v>StructureDefinition-us-core-simple-observation.html#mandatory-and-must-support-data-elements</v>
      </c>
      <c r="F653" s="11" t="s">
        <v>1131</v>
      </c>
      <c r="G653" t="s">
        <v>35</v>
      </c>
      <c r="I653" t="s">
        <v>30</v>
      </c>
      <c r="J653" t="s">
        <v>1171</v>
      </c>
      <c r="K653" t="s">
        <v>1171</v>
      </c>
      <c r="L653" t="s">
        <v>1176</v>
      </c>
      <c r="M653" t="s">
        <v>1136</v>
      </c>
      <c r="N653" t="s">
        <v>1171</v>
      </c>
      <c r="O653" t="s">
        <v>1171</v>
      </c>
      <c r="P653" t="s">
        <v>1171</v>
      </c>
      <c r="Q653" t="s">
        <v>1171</v>
      </c>
      <c r="R653" t="str">
        <f>_xlfn.TEXTBEFORE(_xlfn.TEXTAFTER(us_core_reqs[[#This Row],[URL*]],"/",-1),".")</f>
        <v>StructureDefinition-us-core-simple-observation</v>
      </c>
      <c r="S653" t="str">
        <f>_xlfn.TEXTAFTER(us_core_reqs[[#This Row],[URL*]],"#",-1)</f>
        <v>mandatory-and-must-support-data-elements</v>
      </c>
      <c r="T653" t="str">
        <f>SUBSTITUTE(SUBSTITUTE(PROPER(SUBSTITUTE(us_core_reqs[[#This Row],[Page]], "-", " "))&amp;": "&amp;PROPER(SUBSTITUTE(us_core_reqs[[#This Row],[Section]], "-", " ")),"Us ","US "), "Uscdi", "USCDI")</f>
        <v>Structuredefinition US Core Simple Observation: Mandatory And Must Support Data Elements</v>
      </c>
      <c r="U653" t="s">
        <v>1171</v>
      </c>
      <c r="V653" t="s">
        <v>1171</v>
      </c>
      <c r="W653" t="s">
        <v>1171</v>
      </c>
      <c r="X653" t="s">
        <v>1171</v>
      </c>
      <c r="Y653" t="s">
        <v>1171</v>
      </c>
      <c r="Z653" t="s">
        <v>1171</v>
      </c>
      <c r="AA653" t="s">
        <v>1171</v>
      </c>
      <c r="AB653" t="s">
        <v>1171</v>
      </c>
      <c r="AC653" t="s">
        <v>1171</v>
      </c>
      <c r="AD653" t="s">
        <v>1171</v>
      </c>
    </row>
    <row r="654" spans="1:30" ht="51" x14ac:dyDescent="0.2">
      <c r="A654" t="s">
        <v>1171</v>
      </c>
      <c r="B654" t="s">
        <v>1826</v>
      </c>
      <c r="C654" t="str">
        <f>"CONF-"&amp;TEXT(us_core_reqs[[#This Row],[ID*]], "0000")</f>
        <v>CONF-0866</v>
      </c>
      <c r="D654" s="11" t="s">
        <v>879</v>
      </c>
      <c r="E654" t="str">
        <f>SUBSTITUTE(us_core_reqs[[#This Row],[URL*]], "https://hl7.org/fhir/us/core/STU8/","")</f>
        <v>StructureDefinition-us-core-simple-observation.html#mandatory-and-must-support-data-elements</v>
      </c>
      <c r="F654" s="11" t="s">
        <v>2188</v>
      </c>
      <c r="G654" t="s">
        <v>29</v>
      </c>
      <c r="I654" t="s">
        <v>30</v>
      </c>
      <c r="J654" t="s">
        <v>1171</v>
      </c>
      <c r="K654" t="s">
        <v>1171</v>
      </c>
      <c r="L654" t="s">
        <v>1173</v>
      </c>
      <c r="M654" t="s">
        <v>1171</v>
      </c>
      <c r="N654" t="s">
        <v>1171</v>
      </c>
      <c r="O654" t="s">
        <v>1171</v>
      </c>
      <c r="P654" t="s">
        <v>45</v>
      </c>
      <c r="Q654" t="s">
        <v>1159</v>
      </c>
      <c r="R654" t="str">
        <f>_xlfn.TEXTBEFORE(_xlfn.TEXTAFTER(us_core_reqs[[#This Row],[URL*]],"/",-1),".")</f>
        <v>StructureDefinition-us-core-simple-observation</v>
      </c>
      <c r="S654" t="str">
        <f>_xlfn.TEXTAFTER(us_core_reqs[[#This Row],[URL*]],"#",-1)</f>
        <v>mandatory-and-must-support-data-elements</v>
      </c>
      <c r="T654" t="str">
        <f>SUBSTITUTE(SUBSTITUTE(PROPER(SUBSTITUTE(us_core_reqs[[#This Row],[Page]], "-", " "))&amp;": "&amp;PROPER(SUBSTITUTE(us_core_reqs[[#This Row],[Section]], "-", " ")),"Us ","US "), "Uscdi", "USCDI")</f>
        <v>Structuredefinition US Core Simple Observation: Mandatory And Must Support Data Elements</v>
      </c>
      <c r="U654" t="s">
        <v>1171</v>
      </c>
      <c r="V654" t="s">
        <v>1171</v>
      </c>
      <c r="W654" t="s">
        <v>1171</v>
      </c>
      <c r="X654" t="s">
        <v>1171</v>
      </c>
      <c r="Y654" t="s">
        <v>1171</v>
      </c>
      <c r="Z654" t="s">
        <v>1171</v>
      </c>
      <c r="AA654" t="s">
        <v>1171</v>
      </c>
      <c r="AB654" t="s">
        <v>1158</v>
      </c>
      <c r="AC654" t="s">
        <v>1140</v>
      </c>
      <c r="AD654" t="s">
        <v>1157</v>
      </c>
    </row>
    <row r="655" spans="1:30" ht="51" x14ac:dyDescent="0.2">
      <c r="A655" t="s">
        <v>1171</v>
      </c>
      <c r="B655" t="s">
        <v>1827</v>
      </c>
      <c r="C655" t="str">
        <f>"CONF-"&amp;TEXT(us_core_reqs[[#This Row],[ID*]], "0000")</f>
        <v>CONF-0867</v>
      </c>
      <c r="D655" s="11" t="s">
        <v>879</v>
      </c>
      <c r="E655" t="str">
        <f>SUBSTITUTE(us_core_reqs[[#This Row],[URL*]], "https://hl7.org/fhir/us/core/STU8/","")</f>
        <v>StructureDefinition-us-core-simple-observation.html#mandatory-and-must-support-data-elements</v>
      </c>
      <c r="F655" s="11" t="s">
        <v>1132</v>
      </c>
      <c r="G655" t="s">
        <v>35</v>
      </c>
      <c r="I655" t="s">
        <v>30</v>
      </c>
      <c r="J655" t="s">
        <v>1171</v>
      </c>
      <c r="K655" t="s">
        <v>1171</v>
      </c>
      <c r="L655" t="s">
        <v>1176</v>
      </c>
      <c r="M655" t="s">
        <v>1137</v>
      </c>
      <c r="N655" t="s">
        <v>1171</v>
      </c>
      <c r="O655" t="s">
        <v>1171</v>
      </c>
      <c r="P655" t="s">
        <v>1171</v>
      </c>
      <c r="Q655" t="s">
        <v>1171</v>
      </c>
      <c r="R655" t="str">
        <f>_xlfn.TEXTBEFORE(_xlfn.TEXTAFTER(us_core_reqs[[#This Row],[URL*]],"/",-1),".")</f>
        <v>StructureDefinition-us-core-simple-observation</v>
      </c>
      <c r="S655" t="str">
        <f>_xlfn.TEXTAFTER(us_core_reqs[[#This Row],[URL*]],"#",-1)</f>
        <v>mandatory-and-must-support-data-elements</v>
      </c>
      <c r="T655" t="str">
        <f>SUBSTITUTE(SUBSTITUTE(PROPER(SUBSTITUTE(us_core_reqs[[#This Row],[Page]], "-", " "))&amp;": "&amp;PROPER(SUBSTITUTE(us_core_reqs[[#This Row],[Section]], "-", " ")),"Us ","US "), "Uscdi", "USCDI")</f>
        <v>Structuredefinition US Core Simple Observation: Mandatory And Must Support Data Elements</v>
      </c>
      <c r="U655" t="s">
        <v>1171</v>
      </c>
      <c r="V655" t="s">
        <v>1171</v>
      </c>
      <c r="W655" t="s">
        <v>1171</v>
      </c>
      <c r="X655" t="s">
        <v>1171</v>
      </c>
      <c r="Y655" t="s">
        <v>1171</v>
      </c>
      <c r="Z655" t="s">
        <v>1171</v>
      </c>
      <c r="AA655" t="s">
        <v>1171</v>
      </c>
      <c r="AB655" t="s">
        <v>1171</v>
      </c>
      <c r="AC655" t="s">
        <v>1171</v>
      </c>
      <c r="AD655" t="s">
        <v>1171</v>
      </c>
    </row>
    <row r="656" spans="1:30" ht="102" x14ac:dyDescent="0.2">
      <c r="A656" t="s">
        <v>1171</v>
      </c>
      <c r="B656" t="s">
        <v>1828</v>
      </c>
      <c r="C656" t="str">
        <f>"CONF-"&amp;TEXT(us_core_reqs[[#This Row],[ID*]], "0000")</f>
        <v>CONF-0868</v>
      </c>
      <c r="D656" s="11" t="s">
        <v>879</v>
      </c>
      <c r="E656" t="str">
        <f>SUBSTITUTE(us_core_reqs[[#This Row],[URL*]], "https://hl7.org/fhir/us/core/STU8/","")</f>
        <v>StructureDefinition-us-core-simple-observation.html#mandatory-and-must-support-data-elements</v>
      </c>
      <c r="F656" s="11" t="s">
        <v>2163</v>
      </c>
      <c r="G656" t="s">
        <v>29</v>
      </c>
      <c r="I656" t="s">
        <v>30</v>
      </c>
      <c r="J656" t="s">
        <v>1171</v>
      </c>
      <c r="K656" t="s">
        <v>1171</v>
      </c>
      <c r="L656" t="s">
        <v>1173</v>
      </c>
      <c r="M656" t="s">
        <v>1171</v>
      </c>
      <c r="N656" t="s">
        <v>1171</v>
      </c>
      <c r="O656" t="s">
        <v>1171</v>
      </c>
      <c r="P656" t="s">
        <v>1171</v>
      </c>
      <c r="Q656" t="s">
        <v>1171</v>
      </c>
      <c r="R656" t="str">
        <f>_xlfn.TEXTBEFORE(_xlfn.TEXTAFTER(us_core_reqs[[#This Row],[URL*]],"/",-1),".")</f>
        <v>StructureDefinition-us-core-simple-observation</v>
      </c>
      <c r="S656" t="str">
        <f>_xlfn.TEXTAFTER(us_core_reqs[[#This Row],[URL*]],"#",-1)</f>
        <v>mandatory-and-must-support-data-elements</v>
      </c>
      <c r="T656" t="str">
        <f>SUBSTITUTE(SUBSTITUTE(PROPER(SUBSTITUTE(us_core_reqs[[#This Row],[Page]], "-", " "))&amp;": "&amp;PROPER(SUBSTITUTE(us_core_reqs[[#This Row],[Section]], "-", " ")),"Us ","US "), "Uscdi", "USCDI")</f>
        <v>Structuredefinition US Core Simple Observation: Mandatory And Must Support Data Elements</v>
      </c>
      <c r="U656" t="s">
        <v>1171</v>
      </c>
      <c r="V656" t="s">
        <v>1171</v>
      </c>
      <c r="W656" t="s">
        <v>1171</v>
      </c>
      <c r="X656" t="s">
        <v>1171</v>
      </c>
      <c r="Y656" t="s">
        <v>1171</v>
      </c>
      <c r="Z656" t="s">
        <v>1171</v>
      </c>
      <c r="AA656" t="s">
        <v>1171</v>
      </c>
      <c r="AB656" t="s">
        <v>1171</v>
      </c>
      <c r="AC656" t="s">
        <v>1140</v>
      </c>
      <c r="AD656" t="s">
        <v>1140</v>
      </c>
    </row>
    <row r="657" spans="1:30" ht="102" x14ac:dyDescent="0.2">
      <c r="A657" t="s">
        <v>1171</v>
      </c>
      <c r="B657" t="s">
        <v>1829</v>
      </c>
      <c r="C657" t="str">
        <f>"CONF-"&amp;TEXT(us_core_reqs[[#This Row],[ID*]], "0000")</f>
        <v>CONF-0869</v>
      </c>
      <c r="D657" s="11" t="s">
        <v>879</v>
      </c>
      <c r="E657" t="str">
        <f>SUBSTITUTE(us_core_reqs[[#This Row],[URL*]], "https://hl7.org/fhir/us/core/STU8/","")</f>
        <v>StructureDefinition-us-core-simple-observation.html#mandatory-and-must-support-data-elements</v>
      </c>
      <c r="F657" s="11" t="s">
        <v>2164</v>
      </c>
      <c r="G657" t="s">
        <v>29</v>
      </c>
      <c r="I657" t="s">
        <v>58</v>
      </c>
      <c r="J657" t="s">
        <v>1171</v>
      </c>
      <c r="K657" t="s">
        <v>1171</v>
      </c>
      <c r="L657" t="s">
        <v>1173</v>
      </c>
      <c r="M657" t="s">
        <v>1171</v>
      </c>
      <c r="N657" t="s">
        <v>1171</v>
      </c>
      <c r="O657" t="s">
        <v>1171</v>
      </c>
      <c r="P657" t="s">
        <v>1171</v>
      </c>
      <c r="Q657" t="s">
        <v>1171</v>
      </c>
      <c r="R657" t="str">
        <f>_xlfn.TEXTBEFORE(_xlfn.TEXTAFTER(us_core_reqs[[#This Row],[URL*]],"/",-1),".")</f>
        <v>StructureDefinition-us-core-simple-observation</v>
      </c>
      <c r="S657" t="str">
        <f>_xlfn.TEXTAFTER(us_core_reqs[[#This Row],[URL*]],"#",-1)</f>
        <v>mandatory-and-must-support-data-elements</v>
      </c>
      <c r="T657" t="str">
        <f>SUBSTITUTE(SUBSTITUTE(PROPER(SUBSTITUTE(us_core_reqs[[#This Row],[Page]], "-", " "))&amp;": "&amp;PROPER(SUBSTITUTE(us_core_reqs[[#This Row],[Section]], "-", " ")),"Us ","US "), "Uscdi", "USCDI")</f>
        <v>Structuredefinition US Core Simple Observation: Mandatory And Must Support Data Elements</v>
      </c>
      <c r="U657" t="s">
        <v>1171</v>
      </c>
      <c r="V657" t="s">
        <v>1171</v>
      </c>
      <c r="W657" t="s">
        <v>1171</v>
      </c>
      <c r="X657" t="s">
        <v>1171</v>
      </c>
      <c r="Y657" t="s">
        <v>1171</v>
      </c>
      <c r="Z657" t="s">
        <v>1171</v>
      </c>
      <c r="AA657" t="s">
        <v>1171</v>
      </c>
      <c r="AB657" t="s">
        <v>1171</v>
      </c>
      <c r="AC657" t="s">
        <v>1171</v>
      </c>
      <c r="AD657" t="s">
        <v>1171</v>
      </c>
    </row>
    <row r="658" spans="1:30" ht="68" x14ac:dyDescent="0.2">
      <c r="A658" t="s">
        <v>1171</v>
      </c>
      <c r="B658" t="s">
        <v>1830</v>
      </c>
      <c r="C658" t="str">
        <f>"CONF-"&amp;TEXT(us_core_reqs[[#This Row],[ID*]], "0000")</f>
        <v>CONF-0870</v>
      </c>
      <c r="D658" s="11" t="s">
        <v>621</v>
      </c>
      <c r="E658" t="str">
        <f>SUBSTITUTE(us_core_reqs[[#This Row],[URL*]], "https://hl7.org/fhir/us/core/STU8/","")</f>
        <v>must-support.html#must-support---slices</v>
      </c>
      <c r="F658" s="11" t="s">
        <v>1145</v>
      </c>
      <c r="G658" t="s">
        <v>29</v>
      </c>
      <c r="I658" t="s">
        <v>30</v>
      </c>
      <c r="J658" t="s">
        <v>1171</v>
      </c>
      <c r="K658" t="s">
        <v>1171</v>
      </c>
      <c r="L658" t="b">
        <v>1</v>
      </c>
      <c r="M658" t="s">
        <v>1150</v>
      </c>
      <c r="N658" t="s">
        <v>1171</v>
      </c>
      <c r="O658" t="s">
        <v>1171</v>
      </c>
      <c r="P658" t="s">
        <v>1171</v>
      </c>
      <c r="Q658" t="s">
        <v>1171</v>
      </c>
      <c r="R658" t="str">
        <f>_xlfn.TEXTBEFORE(_xlfn.TEXTAFTER(us_core_reqs[[#This Row],[URL*]],"/",-1),".")</f>
        <v>must-support</v>
      </c>
      <c r="S658" t="str">
        <f>_xlfn.TEXTAFTER(us_core_reqs[[#This Row],[URL*]],"#",-1)</f>
        <v>must-support---slices</v>
      </c>
      <c r="T658" t="str">
        <f>SUBSTITUTE(SUBSTITUTE(PROPER(SUBSTITUTE(us_core_reqs[[#This Row],[Page]], "-", " "))&amp;": "&amp;PROPER(SUBSTITUTE(us_core_reqs[[#This Row],[Section]], "-", " ")),"Us ","US "), "Uscdi", "USCDI")</f>
        <v>Must Support: Must Support   Slices</v>
      </c>
      <c r="U658" t="s">
        <v>1171</v>
      </c>
      <c r="V658" t="s">
        <v>1171</v>
      </c>
      <c r="W658" t="s">
        <v>1171</v>
      </c>
      <c r="X658" t="s">
        <v>1171</v>
      </c>
      <c r="Y658" t="s">
        <v>1171</v>
      </c>
      <c r="Z658" t="s">
        <v>1171</v>
      </c>
      <c r="AA658" t="s">
        <v>1171</v>
      </c>
      <c r="AB658" t="s">
        <v>1171</v>
      </c>
      <c r="AC658" t="s">
        <v>1140</v>
      </c>
      <c r="AD658" t="s">
        <v>1140</v>
      </c>
    </row>
    <row r="659" spans="1:30" ht="51" x14ac:dyDescent="0.2">
      <c r="A659" t="s">
        <v>1171</v>
      </c>
      <c r="B659" t="s">
        <v>1831</v>
      </c>
      <c r="C659" t="str">
        <f>"CONF-"&amp;TEXT(us_core_reqs[[#This Row],[ID*]], "0000")</f>
        <v>CONF-0871</v>
      </c>
      <c r="D659" s="11" t="s">
        <v>621</v>
      </c>
      <c r="E659" t="str">
        <f>SUBSTITUTE(us_core_reqs[[#This Row],[URL*]], "https://hl7.org/fhir/us/core/STU8/","")</f>
        <v>must-support.html#must-support---slices</v>
      </c>
      <c r="F659" s="11" t="s">
        <v>1146</v>
      </c>
      <c r="G659" t="s">
        <v>35</v>
      </c>
      <c r="I659" t="s">
        <v>30</v>
      </c>
      <c r="J659" t="s">
        <v>1171</v>
      </c>
      <c r="K659" t="s">
        <v>1171</v>
      </c>
      <c r="L659" t="s">
        <v>1176</v>
      </c>
      <c r="M659" t="s">
        <v>1148</v>
      </c>
      <c r="N659" t="s">
        <v>1171</v>
      </c>
      <c r="O659" t="s">
        <v>1171</v>
      </c>
      <c r="P659" t="s">
        <v>1171</v>
      </c>
      <c r="Q659" t="s">
        <v>1171</v>
      </c>
      <c r="R659" t="str">
        <f>_xlfn.TEXTBEFORE(_xlfn.TEXTAFTER(us_core_reqs[[#This Row],[URL*]],"/",-1),".")</f>
        <v>must-support</v>
      </c>
      <c r="S659" t="str">
        <f>_xlfn.TEXTAFTER(us_core_reqs[[#This Row],[URL*]],"#",-1)</f>
        <v>must-support---slices</v>
      </c>
      <c r="T659" t="str">
        <f>SUBSTITUTE(SUBSTITUTE(PROPER(SUBSTITUTE(us_core_reqs[[#This Row],[Page]], "-", " "))&amp;": "&amp;PROPER(SUBSTITUTE(us_core_reqs[[#This Row],[Section]], "-", " ")),"Us ","US "), "Uscdi", "USCDI")</f>
        <v>Must Support: Must Support   Slices</v>
      </c>
      <c r="U659" t="s">
        <v>1171</v>
      </c>
      <c r="V659" t="s">
        <v>1171</v>
      </c>
      <c r="W659" t="s">
        <v>1171</v>
      </c>
      <c r="X659" t="s">
        <v>1171</v>
      </c>
      <c r="Y659" t="s">
        <v>1171</v>
      </c>
      <c r="Z659" t="s">
        <v>1171</v>
      </c>
      <c r="AA659" t="s">
        <v>1171</v>
      </c>
      <c r="AB659" t="s">
        <v>1171</v>
      </c>
      <c r="AC659" t="s">
        <v>1171</v>
      </c>
      <c r="AD659" t="s">
        <v>1171</v>
      </c>
    </row>
    <row r="660" spans="1:30" ht="51" x14ac:dyDescent="0.2">
      <c r="A660" t="s">
        <v>1171</v>
      </c>
      <c r="B660" t="s">
        <v>1832</v>
      </c>
      <c r="C660" t="str">
        <f>"CONF-"&amp;TEXT(us_core_reqs[[#This Row],[ID*]], "0000")</f>
        <v>CONF-0872</v>
      </c>
      <c r="D660" s="11" t="s">
        <v>621</v>
      </c>
      <c r="E660" t="str">
        <f>SUBSTITUTE(us_core_reqs[[#This Row],[URL*]], "https://hl7.org/fhir/us/core/STU8/","")</f>
        <v>must-support.html#must-support---slices</v>
      </c>
      <c r="F660" s="11" t="s">
        <v>1147</v>
      </c>
      <c r="G660" t="s">
        <v>29</v>
      </c>
      <c r="I660" t="s">
        <v>30</v>
      </c>
      <c r="J660" t="s">
        <v>1171</v>
      </c>
      <c r="K660" t="s">
        <v>1171</v>
      </c>
      <c r="L660" t="s">
        <v>1176</v>
      </c>
      <c r="M660" t="s">
        <v>1149</v>
      </c>
      <c r="N660" t="s">
        <v>1171</v>
      </c>
      <c r="O660" t="s">
        <v>1171</v>
      </c>
      <c r="P660" t="s">
        <v>1171</v>
      </c>
      <c r="Q660" t="s">
        <v>1171</v>
      </c>
      <c r="R660" t="str">
        <f>_xlfn.TEXTBEFORE(_xlfn.TEXTAFTER(us_core_reqs[[#This Row],[URL*]],"/",-1),".")</f>
        <v>must-support</v>
      </c>
      <c r="S660" t="str">
        <f>_xlfn.TEXTAFTER(us_core_reqs[[#This Row],[URL*]],"#",-1)</f>
        <v>must-support---slices</v>
      </c>
      <c r="T660" t="str">
        <f>SUBSTITUTE(SUBSTITUTE(PROPER(SUBSTITUTE(us_core_reqs[[#This Row],[Page]], "-", " "))&amp;": "&amp;PROPER(SUBSTITUTE(us_core_reqs[[#This Row],[Section]], "-", " ")),"Us ","US "), "Uscdi", "USCDI")</f>
        <v>Must Support: Must Support   Slices</v>
      </c>
      <c r="U660" t="s">
        <v>1171</v>
      </c>
      <c r="V660" t="s">
        <v>1171</v>
      </c>
      <c r="W660" t="s">
        <v>1171</v>
      </c>
      <c r="X660" t="s">
        <v>1171</v>
      </c>
      <c r="Y660" t="s">
        <v>1171</v>
      </c>
      <c r="Z660" t="s">
        <v>1171</v>
      </c>
      <c r="AA660" t="s">
        <v>1171</v>
      </c>
      <c r="AB660" t="s">
        <v>1171</v>
      </c>
      <c r="AC660" t="s">
        <v>1140</v>
      </c>
      <c r="AD660" t="s">
        <v>1140</v>
      </c>
    </row>
    <row r="661" spans="1:30" ht="102" x14ac:dyDescent="0.2">
      <c r="A661" t="b">
        <v>1</v>
      </c>
      <c r="B661">
        <v>873</v>
      </c>
      <c r="C661" t="str">
        <f>"CONF-"&amp;TEXT(us_core_reqs[[#This Row],[ID*]], "0000")</f>
        <v>CONF-0873</v>
      </c>
      <c r="D661" s="11" t="s">
        <v>614</v>
      </c>
      <c r="E661" t="str">
        <f>SUBSTITUTE(us_core_reqs[[#This Row],[URL*]], "https://hl7.org/fhir/us/core/STU8/","")</f>
        <v>must-support.html#defined-pattern-elements</v>
      </c>
      <c r="F661" s="11" t="s">
        <v>653</v>
      </c>
      <c r="G661" t="s">
        <v>29</v>
      </c>
      <c r="I661" t="s">
        <v>30</v>
      </c>
      <c r="J661" t="b">
        <v>1</v>
      </c>
      <c r="K661" t="s">
        <v>1171</v>
      </c>
      <c r="L661" t="b">
        <v>0</v>
      </c>
      <c r="N661" t="s">
        <v>1171</v>
      </c>
      <c r="O661" t="s">
        <v>1171</v>
      </c>
      <c r="P661" t="s">
        <v>1171</v>
      </c>
      <c r="Q661" t="s">
        <v>1171</v>
      </c>
      <c r="R661" t="str">
        <f>_xlfn.TEXTBEFORE(_xlfn.TEXTAFTER(us_core_reqs[[#This Row],[URL*]],"/",-1),".")</f>
        <v>must-support</v>
      </c>
      <c r="S661" t="str">
        <f>_xlfn.TEXTAFTER(us_core_reqs[[#This Row],[URL*]],"#",-1)</f>
        <v>defined-pattern-elements</v>
      </c>
      <c r="T661" t="str">
        <f>SUBSTITUTE(SUBSTITUTE(PROPER(SUBSTITUTE(us_core_reqs[[#This Row],[Page]], "-", " "))&amp;": "&amp;PROPER(SUBSTITUTE(us_core_reqs[[#This Row],[Section]], "-", " ")),"Us ","US "), "Uscdi", "USCDI")</f>
        <v>Must Support: Defined Pattern Elements</v>
      </c>
      <c r="U661" t="s">
        <v>1171</v>
      </c>
      <c r="V661" t="s">
        <v>1171</v>
      </c>
      <c r="W661" t="s">
        <v>1171</v>
      </c>
      <c r="X661" t="s">
        <v>1171</v>
      </c>
      <c r="Y661" t="s">
        <v>1171</v>
      </c>
      <c r="Z661" t="s">
        <v>1171</v>
      </c>
      <c r="AA661" t="s">
        <v>1171</v>
      </c>
      <c r="AB661" t="s">
        <v>1171</v>
      </c>
      <c r="AC661" t="s">
        <v>1140</v>
      </c>
      <c r="AD661" t="s">
        <v>1140</v>
      </c>
    </row>
    <row r="662" spans="1:30" ht="51" x14ac:dyDescent="0.2">
      <c r="A662" t="b">
        <v>1</v>
      </c>
      <c r="B662">
        <v>874</v>
      </c>
      <c r="C662" t="str">
        <f>"CONF-"&amp;TEXT(us_core_reqs[[#This Row],[ID*]], "0000")</f>
        <v>CONF-0874</v>
      </c>
      <c r="D662" s="11" t="s">
        <v>1851</v>
      </c>
      <c r="E662" t="str">
        <f>SUBSTITUTE(us_core_reqs[[#This Row],[URL*]], "https://hl7.org/fhir/us/core/STU8/","")</f>
        <v>must-support.html#must-support---primitive-elements</v>
      </c>
      <c r="F662" s="11" t="s">
        <v>1852</v>
      </c>
      <c r="G662" t="s">
        <v>29</v>
      </c>
      <c r="I662" t="s">
        <v>30</v>
      </c>
      <c r="J662" t="b">
        <v>1</v>
      </c>
      <c r="K662" t="s">
        <v>1171</v>
      </c>
      <c r="L662" t="b">
        <v>0</v>
      </c>
      <c r="N662" t="s">
        <v>1171</v>
      </c>
      <c r="O662" t="s">
        <v>1171</v>
      </c>
      <c r="P662" t="s">
        <v>1171</v>
      </c>
      <c r="Q662" t="s">
        <v>1171</v>
      </c>
      <c r="R662" t="str">
        <f>_xlfn.TEXTBEFORE(_xlfn.TEXTAFTER(us_core_reqs[[#This Row],[URL*]],"/",-1),".")</f>
        <v>must-support</v>
      </c>
      <c r="S662" t="str">
        <f>_xlfn.TEXTAFTER(us_core_reqs[[#This Row],[URL*]],"#",-1)</f>
        <v>must-support---primitive-elements</v>
      </c>
      <c r="T662" t="str">
        <f>SUBSTITUTE(SUBSTITUTE(PROPER(SUBSTITUTE(us_core_reqs[[#This Row],[Page]], "-", " "))&amp;": "&amp;PROPER(SUBSTITUTE(us_core_reqs[[#This Row],[Section]], "-", " ")),"Us ","US "), "Uscdi", "USCDI")</f>
        <v>Must Support: Must Support   Primitive Elements</v>
      </c>
      <c r="U662" t="s">
        <v>1171</v>
      </c>
      <c r="V662" t="s">
        <v>1171</v>
      </c>
      <c r="W662" t="s">
        <v>1171</v>
      </c>
      <c r="X662" t="s">
        <v>1171</v>
      </c>
      <c r="Y662" t="s">
        <v>1171</v>
      </c>
      <c r="Z662" t="s">
        <v>1171</v>
      </c>
      <c r="AA662" t="s">
        <v>1171</v>
      </c>
      <c r="AB662" t="s">
        <v>1171</v>
      </c>
      <c r="AC662" t="s">
        <v>1140</v>
      </c>
      <c r="AD662" t="s">
        <v>1140</v>
      </c>
    </row>
    <row r="663" spans="1:30" ht="51" x14ac:dyDescent="0.2">
      <c r="A663" t="b">
        <v>1</v>
      </c>
      <c r="B663">
        <v>875</v>
      </c>
      <c r="C663" t="str">
        <f>"CONF-"&amp;TEXT(us_core_reqs[[#This Row],[ID*]], "0000")</f>
        <v>CONF-0875</v>
      </c>
      <c r="D663" s="11" t="s">
        <v>616</v>
      </c>
      <c r="E663" t="str">
        <f>SUBSTITUTE(us_core_reqs[[#This Row],[URL*]], "https://hl7.org/fhir/us/core/STU8/","")</f>
        <v>must-support.html#must-support---complex-elements</v>
      </c>
      <c r="F663" s="11" t="s">
        <v>1855</v>
      </c>
      <c r="G663" t="s">
        <v>29</v>
      </c>
      <c r="I663" t="s">
        <v>30</v>
      </c>
      <c r="J663" t="b">
        <v>1</v>
      </c>
      <c r="K663" t="s">
        <v>1171</v>
      </c>
      <c r="L663" t="b">
        <v>0</v>
      </c>
      <c r="N663" t="s">
        <v>1171</v>
      </c>
      <c r="O663" t="s">
        <v>1171</v>
      </c>
      <c r="P663" t="s">
        <v>1171</v>
      </c>
      <c r="Q663" t="s">
        <v>1171</v>
      </c>
      <c r="R663" t="str">
        <f>_xlfn.TEXTBEFORE(_xlfn.TEXTAFTER(us_core_reqs[[#This Row],[URL*]],"/",-1),".")</f>
        <v>must-support</v>
      </c>
      <c r="S663" t="str">
        <f>_xlfn.TEXTAFTER(us_core_reqs[[#This Row],[URL*]],"#",-1)</f>
        <v>must-support---complex-elements</v>
      </c>
      <c r="T663" t="str">
        <f>SUBSTITUTE(SUBSTITUTE(PROPER(SUBSTITUTE(us_core_reqs[[#This Row],[Page]], "-", " "))&amp;": "&amp;PROPER(SUBSTITUTE(us_core_reqs[[#This Row],[Section]], "-", " ")),"Us ","US "), "Uscdi", "USCDI")</f>
        <v>Must Support: Must Support   Complex Elements</v>
      </c>
      <c r="U663" t="s">
        <v>1171</v>
      </c>
      <c r="V663" t="s">
        <v>1171</v>
      </c>
      <c r="W663" t="s">
        <v>1171</v>
      </c>
      <c r="X663" t="s">
        <v>1171</v>
      </c>
      <c r="Y663" t="s">
        <v>1171</v>
      </c>
      <c r="Z663" t="s">
        <v>1171</v>
      </c>
      <c r="AA663" t="s">
        <v>1171</v>
      </c>
      <c r="AB663" t="s">
        <v>1171</v>
      </c>
      <c r="AC663" t="s">
        <v>1140</v>
      </c>
      <c r="AD663" t="s">
        <v>1140</v>
      </c>
    </row>
    <row r="664" spans="1:30" ht="68" x14ac:dyDescent="0.2">
      <c r="A664" t="b">
        <v>1</v>
      </c>
      <c r="B664">
        <v>876</v>
      </c>
      <c r="C664" t="str">
        <f>"CONF-"&amp;TEXT(us_core_reqs[[#This Row],[ID*]], "0000")</f>
        <v>CONF-0876</v>
      </c>
      <c r="D664" s="11" t="s">
        <v>616</v>
      </c>
      <c r="E664" t="str">
        <f>SUBSTITUTE(us_core_reqs[[#This Row],[URL*]], "https://hl7.org/fhir/us/core/STU8/","")</f>
        <v>must-support.html#must-support---complex-elements</v>
      </c>
      <c r="F664" s="11" t="s">
        <v>1854</v>
      </c>
      <c r="G664" t="s">
        <v>29</v>
      </c>
      <c r="I664" t="s">
        <v>30</v>
      </c>
      <c r="J664" t="b">
        <v>1</v>
      </c>
      <c r="L664" t="b">
        <v>0</v>
      </c>
      <c r="N664" t="s">
        <v>1171</v>
      </c>
      <c r="O664" t="s">
        <v>1171</v>
      </c>
      <c r="P664" t="s">
        <v>1171</v>
      </c>
      <c r="Q664" t="s">
        <v>1171</v>
      </c>
      <c r="R664" t="str">
        <f>_xlfn.TEXTBEFORE(_xlfn.TEXTAFTER(us_core_reqs[[#This Row],[URL*]],"/",-1),".")</f>
        <v>must-support</v>
      </c>
      <c r="S664" t="str">
        <f>_xlfn.TEXTAFTER(us_core_reqs[[#This Row],[URL*]],"#",-1)</f>
        <v>must-support---complex-elements</v>
      </c>
      <c r="T664" t="str">
        <f>SUBSTITUTE(SUBSTITUTE(PROPER(SUBSTITUTE(us_core_reqs[[#This Row],[Page]], "-", " "))&amp;": "&amp;PROPER(SUBSTITUTE(us_core_reqs[[#This Row],[Section]], "-", " ")),"Us ","US "), "Uscdi", "USCDI")</f>
        <v>Must Support: Must Support   Complex Elements</v>
      </c>
      <c r="U664" t="s">
        <v>1171</v>
      </c>
      <c r="V664" t="s">
        <v>1171</v>
      </c>
      <c r="W664" t="s">
        <v>1171</v>
      </c>
      <c r="X664" t="s">
        <v>1171</v>
      </c>
      <c r="Y664" t="s">
        <v>1171</v>
      </c>
      <c r="Z664" t="s">
        <v>1171</v>
      </c>
      <c r="AA664" t="s">
        <v>1171</v>
      </c>
      <c r="AB664" t="s">
        <v>1171</v>
      </c>
      <c r="AC664" t="s">
        <v>1140</v>
      </c>
      <c r="AD664" t="s">
        <v>1140</v>
      </c>
    </row>
    <row r="665" spans="1:30" ht="51" x14ac:dyDescent="0.2">
      <c r="A665" t="b">
        <v>1</v>
      </c>
      <c r="B665">
        <v>877</v>
      </c>
      <c r="C665" t="str">
        <f>"CONF-"&amp;TEXT(us_core_reqs[[#This Row],[ID*]], "0000")</f>
        <v>CONF-0877</v>
      </c>
      <c r="D665" s="11" t="s">
        <v>617</v>
      </c>
      <c r="E665" t="str">
        <f>SUBSTITUTE(us_core_reqs[[#This Row],[URL*]], "https://hl7.org/fhir/us/core/STU8/","")</f>
        <v>must-support.html#must-support---resource-references</v>
      </c>
      <c r="F665" s="11" t="s">
        <v>1858</v>
      </c>
      <c r="G665" t="s">
        <v>64</v>
      </c>
      <c r="I665" t="s">
        <v>30</v>
      </c>
      <c r="K665" t="s">
        <v>1171</v>
      </c>
      <c r="L665" t="b">
        <v>0</v>
      </c>
      <c r="N665" t="s">
        <v>1171</v>
      </c>
      <c r="O665" t="s">
        <v>1171</v>
      </c>
      <c r="P665" t="s">
        <v>1171</v>
      </c>
      <c r="Q665" t="s">
        <v>1171</v>
      </c>
      <c r="R665" t="str">
        <f>_xlfn.TEXTBEFORE(_xlfn.TEXTAFTER(us_core_reqs[[#This Row],[URL*]],"/",-1),".")</f>
        <v>must-support</v>
      </c>
      <c r="S665" t="str">
        <f>_xlfn.TEXTAFTER(us_core_reqs[[#This Row],[URL*]],"#",-1)</f>
        <v>must-support---resource-references</v>
      </c>
      <c r="T665" t="str">
        <f>SUBSTITUTE(SUBSTITUTE(PROPER(SUBSTITUTE(us_core_reqs[[#This Row],[Page]], "-", " "))&amp;": "&amp;PROPER(SUBSTITUTE(us_core_reqs[[#This Row],[Section]], "-", " ")),"Us ","US "), "Uscdi", "USCDI")</f>
        <v>Must Support: Must Support   Resource References</v>
      </c>
      <c r="U665" t="s">
        <v>1171</v>
      </c>
      <c r="V665" t="s">
        <v>1171</v>
      </c>
      <c r="W665" t="s">
        <v>1171</v>
      </c>
      <c r="X665" t="s">
        <v>1171</v>
      </c>
      <c r="Y665" t="s">
        <v>1171</v>
      </c>
      <c r="Z665" t="s">
        <v>1171</v>
      </c>
      <c r="AA665" t="s">
        <v>1171</v>
      </c>
      <c r="AB665" t="s">
        <v>1171</v>
      </c>
      <c r="AC665" t="s">
        <v>1140</v>
      </c>
      <c r="AD665" t="s">
        <v>1140</v>
      </c>
    </row>
    <row r="666" spans="1:30" ht="51" x14ac:dyDescent="0.2">
      <c r="A666" t="b">
        <v>1</v>
      </c>
      <c r="B666">
        <v>878</v>
      </c>
      <c r="C666" t="str">
        <f>"CONF-"&amp;TEXT(us_core_reqs[[#This Row],[ID*]], "0000")</f>
        <v>CONF-0878</v>
      </c>
      <c r="D666" s="11" t="s">
        <v>617</v>
      </c>
      <c r="E666" t="str">
        <f>SUBSTITUTE(us_core_reqs[[#This Row],[URL*]], "https://hl7.org/fhir/us/core/STU8/","")</f>
        <v>must-support.html#must-support---resource-references</v>
      </c>
      <c r="F666" s="11" t="s">
        <v>1859</v>
      </c>
      <c r="G666" t="s">
        <v>29</v>
      </c>
      <c r="I666" t="s">
        <v>30</v>
      </c>
      <c r="J666" t="b">
        <v>1</v>
      </c>
      <c r="K666" t="s">
        <v>1171</v>
      </c>
      <c r="L666" t="b">
        <v>0</v>
      </c>
      <c r="N666" t="s">
        <v>1171</v>
      </c>
      <c r="O666" t="s">
        <v>1171</v>
      </c>
      <c r="P666" t="s">
        <v>1171</v>
      </c>
      <c r="Q666" t="s">
        <v>1171</v>
      </c>
      <c r="R666" t="str">
        <f>_xlfn.TEXTBEFORE(_xlfn.TEXTAFTER(us_core_reqs[[#This Row],[URL*]],"/",-1),".")</f>
        <v>must-support</v>
      </c>
      <c r="S666" t="str">
        <f>_xlfn.TEXTAFTER(us_core_reqs[[#This Row],[URL*]],"#",-1)</f>
        <v>must-support---resource-references</v>
      </c>
      <c r="T666" t="str">
        <f>SUBSTITUTE(SUBSTITUTE(PROPER(SUBSTITUTE(us_core_reqs[[#This Row],[Page]], "-", " "))&amp;": "&amp;PROPER(SUBSTITUTE(us_core_reqs[[#This Row],[Section]], "-", " ")),"Us ","US "), "Uscdi", "USCDI")</f>
        <v>Must Support: Must Support   Resource References</v>
      </c>
      <c r="U666" t="s">
        <v>1171</v>
      </c>
      <c r="V666" t="s">
        <v>1171</v>
      </c>
      <c r="W666" t="s">
        <v>1171</v>
      </c>
      <c r="X666" t="s">
        <v>1171</v>
      </c>
      <c r="Y666" t="s">
        <v>1171</v>
      </c>
      <c r="Z666" t="s">
        <v>1171</v>
      </c>
      <c r="AA666" t="s">
        <v>1171</v>
      </c>
      <c r="AB666" t="s">
        <v>1171</v>
      </c>
      <c r="AC666" t="s">
        <v>1140</v>
      </c>
      <c r="AD666" t="s">
        <v>1140</v>
      </c>
    </row>
    <row r="667" spans="1:30" ht="68" x14ac:dyDescent="0.2">
      <c r="A667" t="b">
        <v>1</v>
      </c>
      <c r="B667">
        <v>879</v>
      </c>
      <c r="C667" t="str">
        <f>"CONF-"&amp;TEXT(us_core_reqs[[#This Row],[ID*]], "0000")</f>
        <v>CONF-0879</v>
      </c>
      <c r="D667" s="11" t="s">
        <v>617</v>
      </c>
      <c r="E667" t="str">
        <f>SUBSTITUTE(us_core_reqs[[#This Row],[URL*]], "https://hl7.org/fhir/us/core/STU8/","")</f>
        <v>must-support.html#must-support---resource-references</v>
      </c>
      <c r="F667" s="11" t="s">
        <v>1860</v>
      </c>
      <c r="G667" t="s">
        <v>64</v>
      </c>
      <c r="I667" t="s">
        <v>30</v>
      </c>
      <c r="K667" t="s">
        <v>1171</v>
      </c>
      <c r="L667" t="b">
        <v>0</v>
      </c>
      <c r="N667" t="s">
        <v>1171</v>
      </c>
      <c r="O667" t="s">
        <v>1171</v>
      </c>
      <c r="P667" t="s">
        <v>1171</v>
      </c>
      <c r="Q667" t="s">
        <v>1171</v>
      </c>
      <c r="R667" t="str">
        <f>_xlfn.TEXTBEFORE(_xlfn.TEXTAFTER(us_core_reqs[[#This Row],[URL*]],"/",-1),".")</f>
        <v>must-support</v>
      </c>
      <c r="S667" t="str">
        <f>_xlfn.TEXTAFTER(us_core_reqs[[#This Row],[URL*]],"#",-1)</f>
        <v>must-support---resource-references</v>
      </c>
      <c r="T667" t="str">
        <f>SUBSTITUTE(SUBSTITUTE(PROPER(SUBSTITUTE(us_core_reqs[[#This Row],[Page]], "-", " "))&amp;": "&amp;PROPER(SUBSTITUTE(us_core_reqs[[#This Row],[Section]], "-", " ")),"Us ","US "), "Uscdi", "USCDI")</f>
        <v>Must Support: Must Support   Resource References</v>
      </c>
      <c r="U667" t="s">
        <v>1171</v>
      </c>
      <c r="V667" t="s">
        <v>1171</v>
      </c>
      <c r="W667" t="s">
        <v>1171</v>
      </c>
      <c r="X667" t="s">
        <v>1171</v>
      </c>
      <c r="Y667" t="s">
        <v>1171</v>
      </c>
      <c r="Z667" t="s">
        <v>1171</v>
      </c>
      <c r="AA667" t="s">
        <v>1171</v>
      </c>
      <c r="AB667" t="s">
        <v>1171</v>
      </c>
      <c r="AC667" t="s">
        <v>1140</v>
      </c>
      <c r="AD667" t="s">
        <v>1140</v>
      </c>
    </row>
    <row r="668" spans="1:30" ht="68" x14ac:dyDescent="0.2">
      <c r="A668" t="b">
        <v>1</v>
      </c>
      <c r="B668">
        <v>880</v>
      </c>
      <c r="C668" t="str">
        <f>"CONF-"&amp;TEXT(us_core_reqs[[#This Row],[ID*]], "0000")</f>
        <v>CONF-0880</v>
      </c>
      <c r="D668" s="11" t="s">
        <v>617</v>
      </c>
      <c r="E668" t="str">
        <f>SUBSTITUTE(us_core_reqs[[#This Row],[URL*]], "https://hl7.org/fhir/us/core/STU8/","")</f>
        <v>must-support.html#must-support---resource-references</v>
      </c>
      <c r="F668" s="11" t="s">
        <v>1861</v>
      </c>
      <c r="G668" t="s">
        <v>29</v>
      </c>
      <c r="I668" t="s">
        <v>30</v>
      </c>
      <c r="J668" t="b">
        <v>1</v>
      </c>
      <c r="K668" t="s">
        <v>1171</v>
      </c>
      <c r="L668" t="b">
        <v>0</v>
      </c>
      <c r="N668" t="s">
        <v>1171</v>
      </c>
      <c r="O668" t="s">
        <v>1171</v>
      </c>
      <c r="P668" t="s">
        <v>1171</v>
      </c>
      <c r="Q668" t="s">
        <v>1171</v>
      </c>
      <c r="R668" t="str">
        <f>_xlfn.TEXTBEFORE(_xlfn.TEXTAFTER(us_core_reqs[[#This Row],[URL*]],"/",-1),".")</f>
        <v>must-support</v>
      </c>
      <c r="S668" t="str">
        <f>_xlfn.TEXTAFTER(us_core_reqs[[#This Row],[URL*]],"#",-1)</f>
        <v>must-support---resource-references</v>
      </c>
      <c r="T668" t="str">
        <f>SUBSTITUTE(SUBSTITUTE(PROPER(SUBSTITUTE(us_core_reqs[[#This Row],[Page]], "-", " "))&amp;": "&amp;PROPER(SUBSTITUTE(us_core_reqs[[#This Row],[Section]], "-", " ")),"Us ","US "), "Uscdi", "USCDI")</f>
        <v>Must Support: Must Support   Resource References</v>
      </c>
      <c r="U668" t="s">
        <v>1171</v>
      </c>
      <c r="V668" t="s">
        <v>1171</v>
      </c>
      <c r="W668" t="s">
        <v>1171</v>
      </c>
      <c r="X668" t="s">
        <v>1171</v>
      </c>
      <c r="Y668" t="s">
        <v>1171</v>
      </c>
      <c r="Z668" t="s">
        <v>1171</v>
      </c>
      <c r="AA668" t="s">
        <v>1171</v>
      </c>
      <c r="AB668" t="s">
        <v>1171</v>
      </c>
      <c r="AC668" t="s">
        <v>1140</v>
      </c>
      <c r="AD668" t="s">
        <v>1140</v>
      </c>
    </row>
    <row r="669" spans="1:30" ht="119" x14ac:dyDescent="0.2">
      <c r="A669" t="b">
        <v>1</v>
      </c>
      <c r="B669">
        <v>881</v>
      </c>
      <c r="C669" t="str">
        <f>"CONF-"&amp;TEXT(us_core_reqs[[#This Row],[ID*]], "0000")</f>
        <v>CONF-0881</v>
      </c>
      <c r="D669" s="11" t="s">
        <v>617</v>
      </c>
      <c r="E669" t="str">
        <f>SUBSTITUTE(us_core_reqs[[#This Row],[URL*]], "https://hl7.org/fhir/us/core/STU8/","")</f>
        <v>must-support.html#must-support---resource-references</v>
      </c>
      <c r="F669" s="11" t="s">
        <v>1865</v>
      </c>
      <c r="G669" t="s">
        <v>29</v>
      </c>
      <c r="I669" t="s">
        <v>30</v>
      </c>
      <c r="K669" t="s">
        <v>1171</v>
      </c>
      <c r="L669" t="b">
        <v>0</v>
      </c>
      <c r="N669" t="s">
        <v>1171</v>
      </c>
      <c r="O669" t="s">
        <v>1171</v>
      </c>
      <c r="P669" t="s">
        <v>1171</v>
      </c>
      <c r="Q669" t="s">
        <v>1171</v>
      </c>
      <c r="R669" t="str">
        <f>_xlfn.TEXTBEFORE(_xlfn.TEXTAFTER(us_core_reqs[[#This Row],[URL*]],"/",-1),".")</f>
        <v>must-support</v>
      </c>
      <c r="S669" t="str">
        <f>_xlfn.TEXTAFTER(us_core_reqs[[#This Row],[URL*]],"#",-1)</f>
        <v>must-support---resource-references</v>
      </c>
      <c r="T669" t="str">
        <f>SUBSTITUTE(SUBSTITUTE(PROPER(SUBSTITUTE(us_core_reqs[[#This Row],[Page]], "-", " "))&amp;": "&amp;PROPER(SUBSTITUTE(us_core_reqs[[#This Row],[Section]], "-", " ")),"Us ","US "), "Uscdi", "USCDI")</f>
        <v>Must Support: Must Support   Resource References</v>
      </c>
      <c r="U669" t="s">
        <v>1171</v>
      </c>
      <c r="V669" t="s">
        <v>1171</v>
      </c>
      <c r="W669" t="s">
        <v>1171</v>
      </c>
      <c r="X669" t="s">
        <v>1171</v>
      </c>
      <c r="Y669" t="s">
        <v>1171</v>
      </c>
      <c r="Z669" t="s">
        <v>1171</v>
      </c>
      <c r="AA669" t="s">
        <v>1171</v>
      </c>
      <c r="AB669" t="s">
        <v>1171</v>
      </c>
      <c r="AC669" t="s">
        <v>1140</v>
      </c>
      <c r="AD669" t="s">
        <v>1140</v>
      </c>
    </row>
    <row r="670" spans="1:30" ht="119" x14ac:dyDescent="0.2">
      <c r="A670" t="b">
        <v>1</v>
      </c>
      <c r="B670">
        <v>882</v>
      </c>
      <c r="C670" t="str">
        <f>"CONF-"&amp;TEXT(us_core_reqs[[#This Row],[ID*]], "0000")</f>
        <v>CONF-0882</v>
      </c>
      <c r="D670" s="11" t="s">
        <v>617</v>
      </c>
      <c r="E670" t="str">
        <f>SUBSTITUTE(us_core_reqs[[#This Row],[URL*]], "https://hl7.org/fhir/us/core/STU8/","")</f>
        <v>must-support.html#must-support---resource-references</v>
      </c>
      <c r="F670" s="11" t="s">
        <v>1864</v>
      </c>
      <c r="G670" t="s">
        <v>29</v>
      </c>
      <c r="I670" t="s">
        <v>58</v>
      </c>
      <c r="K670" t="s">
        <v>1171</v>
      </c>
      <c r="L670" t="b">
        <v>0</v>
      </c>
      <c r="N670" t="s">
        <v>1171</v>
      </c>
      <c r="O670" t="s">
        <v>1171</v>
      </c>
      <c r="P670" t="s">
        <v>1171</v>
      </c>
      <c r="Q670" t="s">
        <v>1171</v>
      </c>
      <c r="R670" t="str">
        <f>_xlfn.TEXTBEFORE(_xlfn.TEXTAFTER(us_core_reqs[[#This Row],[URL*]],"/",-1),".")</f>
        <v>must-support</v>
      </c>
      <c r="S670" t="str">
        <f>_xlfn.TEXTAFTER(us_core_reqs[[#This Row],[URL*]],"#",-1)</f>
        <v>must-support---resource-references</v>
      </c>
      <c r="T670" t="str">
        <f>SUBSTITUTE(SUBSTITUTE(PROPER(SUBSTITUTE(us_core_reqs[[#This Row],[Page]], "-", " "))&amp;": "&amp;PROPER(SUBSTITUTE(us_core_reqs[[#This Row],[Section]], "-", " ")),"Us ","US "), "Uscdi", "USCDI")</f>
        <v>Must Support: Must Support   Resource References</v>
      </c>
      <c r="U670" t="s">
        <v>1171</v>
      </c>
      <c r="V670" t="s">
        <v>1171</v>
      </c>
      <c r="W670" t="s">
        <v>1171</v>
      </c>
      <c r="X670" t="s">
        <v>1171</v>
      </c>
      <c r="Y670" t="s">
        <v>1171</v>
      </c>
      <c r="Z670" t="s">
        <v>1171</v>
      </c>
      <c r="AA670" t="s">
        <v>1171</v>
      </c>
      <c r="AB670" t="s">
        <v>1171</v>
      </c>
      <c r="AC670" t="s">
        <v>1140</v>
      </c>
      <c r="AD670" t="s">
        <v>1140</v>
      </c>
    </row>
    <row r="671" spans="1:30" ht="68" x14ac:dyDescent="0.2">
      <c r="A671" t="b">
        <v>1</v>
      </c>
      <c r="B671">
        <v>883</v>
      </c>
      <c r="C671" t="str">
        <f>"CONF-"&amp;TEXT(us_core_reqs[[#This Row],[ID*]], "0000")</f>
        <v>CONF-0883</v>
      </c>
      <c r="D671" s="11" t="s">
        <v>617</v>
      </c>
      <c r="E671" t="str">
        <f>SUBSTITUTE(us_core_reqs[[#This Row],[URL*]], "https://hl7.org/fhir/us/core/STU8/","")</f>
        <v>must-support.html#must-support---resource-references</v>
      </c>
      <c r="F671" s="11" t="s">
        <v>1863</v>
      </c>
      <c r="G671" t="s">
        <v>29</v>
      </c>
      <c r="I671" t="s">
        <v>30</v>
      </c>
      <c r="J671" t="b">
        <v>1</v>
      </c>
      <c r="K671" t="s">
        <v>1171</v>
      </c>
      <c r="L671" t="b">
        <v>0</v>
      </c>
      <c r="N671" t="s">
        <v>1171</v>
      </c>
      <c r="O671" t="s">
        <v>1171</v>
      </c>
      <c r="P671" t="s">
        <v>1171</v>
      </c>
      <c r="Q671" t="s">
        <v>1171</v>
      </c>
      <c r="R671" t="str">
        <f>_xlfn.TEXTBEFORE(_xlfn.TEXTAFTER(us_core_reqs[[#This Row],[URL*]],"/",-1),".")</f>
        <v>must-support</v>
      </c>
      <c r="S671" t="str">
        <f>_xlfn.TEXTAFTER(us_core_reqs[[#This Row],[URL*]],"#",-1)</f>
        <v>must-support---resource-references</v>
      </c>
      <c r="T671" t="str">
        <f>SUBSTITUTE(SUBSTITUTE(PROPER(SUBSTITUTE(us_core_reqs[[#This Row],[Page]], "-", " "))&amp;": "&amp;PROPER(SUBSTITUTE(us_core_reqs[[#This Row],[Section]], "-", " ")),"Us ","US "), "Uscdi", "USCDI")</f>
        <v>Must Support: Must Support   Resource References</v>
      </c>
      <c r="U671" t="s">
        <v>1171</v>
      </c>
      <c r="V671" t="s">
        <v>1171</v>
      </c>
      <c r="W671" t="s">
        <v>1171</v>
      </c>
      <c r="X671" t="s">
        <v>1171</v>
      </c>
      <c r="Y671" t="s">
        <v>1171</v>
      </c>
      <c r="Z671" t="s">
        <v>1171</v>
      </c>
      <c r="AA671" t="s">
        <v>1171</v>
      </c>
      <c r="AB671" t="s">
        <v>1171</v>
      </c>
      <c r="AC671" t="s">
        <v>1140</v>
      </c>
      <c r="AD671" t="s">
        <v>1140</v>
      </c>
    </row>
    <row r="672" spans="1:30" ht="51" x14ac:dyDescent="0.2">
      <c r="A672" t="b">
        <v>1</v>
      </c>
      <c r="B672">
        <v>884</v>
      </c>
      <c r="C672" t="str">
        <f>"CONF-"&amp;TEXT(us_core_reqs[[#This Row],[ID*]], "0000")</f>
        <v>CONF-0884</v>
      </c>
      <c r="D672" s="11" t="s">
        <v>619</v>
      </c>
      <c r="E672" t="str">
        <f>SUBSTITUTE(us_core_reqs[[#This Row],[URL*]], "https://hl7.org/fhir/us/core/STU8/","")</f>
        <v>must-support.html#must-support---choice-of-data-types</v>
      </c>
      <c r="F672" s="11" t="s">
        <v>1868</v>
      </c>
      <c r="G672" t="s">
        <v>29</v>
      </c>
      <c r="I672" t="s">
        <v>30</v>
      </c>
      <c r="J672" t="b">
        <v>1</v>
      </c>
      <c r="L672" t="b">
        <v>0</v>
      </c>
      <c r="R672" t="str">
        <f>_xlfn.TEXTBEFORE(_xlfn.TEXTAFTER(us_core_reqs[[#This Row],[URL*]],"/",-1),".")</f>
        <v>must-support</v>
      </c>
      <c r="S672" t="str">
        <f>_xlfn.TEXTAFTER(us_core_reqs[[#This Row],[URL*]],"#",-1)</f>
        <v>must-support---choice-of-data-types</v>
      </c>
      <c r="T672" t="str">
        <f>SUBSTITUTE(SUBSTITUTE(PROPER(SUBSTITUTE(us_core_reqs[[#This Row],[Page]], "-", " "))&amp;": "&amp;PROPER(SUBSTITUTE(us_core_reqs[[#This Row],[Section]], "-", " ")),"Us ","US "), "Uscdi", "USCDI")</f>
        <v>Must Support: Must Support   Choice Of Data Types</v>
      </c>
    </row>
    <row r="673" spans="1:20" ht="153" x14ac:dyDescent="0.2">
      <c r="A673" t="b">
        <v>1</v>
      </c>
      <c r="B673">
        <v>885</v>
      </c>
      <c r="C673" t="str">
        <f>"CONF-"&amp;TEXT(us_core_reqs[[#This Row],[ID*]], "0000")</f>
        <v>CONF-0885</v>
      </c>
      <c r="D673" s="11" t="s">
        <v>1889</v>
      </c>
      <c r="E673" t="str">
        <f>SUBSTITUTE(us_core_reqs[[#This Row],[URL*]], "https://hl7.org/fhir/us/core/STU8/","")</f>
        <v>basic-provenance.html#individual-level-provenance</v>
      </c>
      <c r="F673" s="11" t="s">
        <v>1890</v>
      </c>
      <c r="G673" t="s">
        <v>32</v>
      </c>
      <c r="I673" t="s">
        <v>30</v>
      </c>
      <c r="L673" t="b">
        <v>0</v>
      </c>
      <c r="R673" t="str">
        <f>_xlfn.TEXTBEFORE(_xlfn.TEXTAFTER(us_core_reqs[[#This Row],[URL*]],"/",-1),".")</f>
        <v>basic-provenance</v>
      </c>
      <c r="S673" t="str">
        <f>_xlfn.TEXTAFTER(us_core_reqs[[#This Row],[URL*]],"#",-1)</f>
        <v>individual-level-provenance</v>
      </c>
      <c r="T673" t="str">
        <f>SUBSTITUTE(SUBSTITUTE(PROPER(SUBSTITUTE(us_core_reqs[[#This Row],[Page]], "-", " "))&amp;": "&amp;PROPER(SUBSTITUTE(us_core_reqs[[#This Row],[Section]], "-", " ")),"Us ","US "), "Uscdi", "USCDI")</f>
        <v>Basic Provenance: Individual Level Provenance</v>
      </c>
    </row>
  </sheetData>
  <phoneticPr fontId="19" type="noConversion"/>
  <hyperlinks>
    <hyperlink ref="D81" r:id="rId1" location="must-support-el+D647ements" xr:uid="{A14B4D5F-33FE-294C-9B9A-081DD89AA7C2}"/>
  </hyperlinks>
  <pageMargins left="0.7" right="0.7" top="0.75" bottom="0.75" header="0.3" footer="0.3"/>
  <pageSetup orientation="portrait" horizontalDpi="0" verticalDpi="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2D98A-080C-3945-A7E0-CB54FB3A65A9}">
  <dimension ref="A1:X660"/>
  <sheetViews>
    <sheetView zoomScaleNormal="100" workbookViewId="0">
      <pane xSplit="8" ySplit="1" topLeftCell="I16" activePane="bottomRight" state="frozen"/>
      <selection pane="topRight" activeCell="I1" sqref="I1"/>
      <selection pane="bottomLeft" activeCell="A2" sqref="A2"/>
      <selection pane="bottomRight" activeCell="C23" sqref="C23"/>
    </sheetView>
  </sheetViews>
  <sheetFormatPr baseColWidth="10" defaultColWidth="10.6640625" defaultRowHeight="16" x14ac:dyDescent="0.2"/>
  <cols>
    <col min="1" max="1" width="10.6640625" style="7"/>
    <col min="2" max="2" width="79.83203125" style="7" customWidth="1"/>
    <col min="3" max="3" width="53.6640625" style="8" customWidth="1"/>
    <col min="4" max="4" width="13.1640625" style="7" customWidth="1"/>
    <col min="5" max="5" width="10.6640625" style="7" customWidth="1"/>
    <col min="6" max="6" width="13.1640625" style="8" customWidth="1"/>
    <col min="7" max="7" width="14" style="7" customWidth="1"/>
    <col min="8" max="8" width="24.6640625" style="12" customWidth="1"/>
    <col min="9" max="9" width="10" style="22" customWidth="1"/>
    <col min="10" max="10" width="22" style="22" customWidth="1"/>
    <col min="11" max="11" width="10.5" style="22" customWidth="1"/>
    <col min="12" max="12" width="25.6640625" style="22" customWidth="1"/>
    <col min="13" max="13" width="20" style="9" customWidth="1"/>
    <col min="14" max="14" width="28.5" style="9" customWidth="1"/>
    <col min="15" max="18" width="10.6640625" style="10" customWidth="1"/>
    <col min="19" max="19" width="10.5" style="12" customWidth="1"/>
    <col min="20" max="20" width="42.5" style="10" customWidth="1"/>
    <col min="21" max="22" width="44.1640625" style="12" customWidth="1"/>
    <col min="23" max="16384" width="10.6640625" style="6"/>
  </cols>
  <sheetData>
    <row r="1" spans="1:23" s="5" customFormat="1" ht="48" x14ac:dyDescent="0.2">
      <c r="A1" s="2" t="s">
        <v>7</v>
      </c>
      <c r="B1" s="1" t="s">
        <v>8</v>
      </c>
      <c r="C1" s="2" t="s">
        <v>9</v>
      </c>
      <c r="D1" s="1" t="s">
        <v>10</v>
      </c>
      <c r="E1" s="1" t="s">
        <v>11</v>
      </c>
      <c r="F1" s="2" t="s">
        <v>12</v>
      </c>
      <c r="G1" s="1" t="s">
        <v>13</v>
      </c>
      <c r="H1" s="13" t="s">
        <v>14</v>
      </c>
      <c r="I1" s="24" t="s">
        <v>15</v>
      </c>
      <c r="J1" s="24" t="s">
        <v>16</v>
      </c>
      <c r="K1" s="24" t="s">
        <v>17</v>
      </c>
      <c r="L1" s="24" t="s">
        <v>18</v>
      </c>
      <c r="M1" s="3" t="s">
        <v>19</v>
      </c>
      <c r="N1" s="3" t="s">
        <v>20</v>
      </c>
      <c r="O1" s="4" t="s">
        <v>21</v>
      </c>
      <c r="P1" s="4" t="s">
        <v>22</v>
      </c>
      <c r="Q1" s="4" t="s">
        <v>23</v>
      </c>
      <c r="R1" s="4" t="s">
        <v>24</v>
      </c>
      <c r="S1" s="13" t="s">
        <v>25</v>
      </c>
      <c r="T1" s="4" t="s">
        <v>26</v>
      </c>
      <c r="U1" s="13" t="s">
        <v>27</v>
      </c>
      <c r="V1" s="13" t="s">
        <v>28</v>
      </c>
      <c r="W1" s="5" t="s">
        <v>1139</v>
      </c>
    </row>
    <row r="2" spans="1:23" s="5" customFormat="1" ht="68" x14ac:dyDescent="0.2">
      <c r="A2" s="7">
        <v>1</v>
      </c>
      <c r="B2" s="7" t="s">
        <v>610</v>
      </c>
      <c r="C2" s="8" t="s">
        <v>961</v>
      </c>
      <c r="D2" s="7" t="s">
        <v>29</v>
      </c>
      <c r="E2" s="7" t="s">
        <v>30</v>
      </c>
      <c r="F2" s="7"/>
      <c r="G2" s="7" t="b">
        <v>0</v>
      </c>
      <c r="H2" s="12"/>
      <c r="I2" s="22"/>
      <c r="J2" s="22"/>
      <c r="K2" s="22"/>
      <c r="L2" s="22"/>
      <c r="M2" s="9" t="str" cm="1">
        <f t="array" ref="M2">PAGE_NAME(B2)</f>
        <v>general-requirements</v>
      </c>
      <c r="N2" s="9" t="str" cm="1">
        <f t="array" ref="N2">SECTION_NAME(B2)</f>
        <v>profile-only-support</v>
      </c>
      <c r="O2" s="10" t="str">
        <f t="shared" ref="O2" si="0">IF(ISNUMBER(SEARCH("MAY", C2)), "MAY", IF(ISNUMBER(SEARCH("SHOULD", C2)), "SHOULD", IF(ISNUMBER(SEARCH("SHALL", C2)), "SHALL", IF(ISNUMBER(SEARCH("SHOULD NOT", C2)), "SHOULD NOT", IF(ISNUMBER(SEARCH("SHALL NOT", C2)), "SHALL NOT", "")))))</f>
        <v>SHALL</v>
      </c>
      <c r="P2" s="10" t="str">
        <f t="shared" ref="P2:P65" si="1">IF(ISNUMBER(SEARCH("Server", C2)), "Server", IF(ISNUMBER(SEARCH("Server", C2)), "Server", IF(ISNUMBER(SEARCH("Client", C2)), "Client", IF(ISNUMBER(SEARCH("Client", C2)), "Client", IF(ISNUMBER(SEARCH("US Core Responder", C2)), "Server", IF(ISNUMBER(SEARCH("US Core Requestor", C2)), "Client", ""))))))</f>
        <v>Server</v>
      </c>
      <c r="Q2" s="10" t="s">
        <v>31</v>
      </c>
      <c r="R2" s="10"/>
      <c r="S2" s="12"/>
      <c r="T2" s="10"/>
      <c r="U2" s="12"/>
      <c r="V2" s="12"/>
      <c r="W2" s="5" t="s">
        <v>1140</v>
      </c>
    </row>
    <row r="3" spans="1:23" s="5" customFormat="1" ht="68" x14ac:dyDescent="0.2">
      <c r="A3" s="7">
        <v>2</v>
      </c>
      <c r="B3" s="7" t="s">
        <v>610</v>
      </c>
      <c r="C3" s="8" t="s">
        <v>962</v>
      </c>
      <c r="D3" s="7" t="s">
        <v>32</v>
      </c>
      <c r="E3" s="7" t="s">
        <v>30</v>
      </c>
      <c r="F3" s="8"/>
      <c r="G3" s="7" t="b">
        <v>0</v>
      </c>
      <c r="H3" s="12"/>
      <c r="I3" s="22"/>
      <c r="J3" s="22"/>
      <c r="K3" s="22"/>
      <c r="L3" s="22"/>
      <c r="M3" s="9" t="str" cm="1">
        <f t="array" ref="M3">PAGE_NAME(B3)</f>
        <v>general-requirements</v>
      </c>
      <c r="N3" s="9" t="str" cm="1">
        <f t="array" ref="N3">SECTION_NAME(B3)</f>
        <v>profile-only-support</v>
      </c>
      <c r="O3" s="10" t="str">
        <f t="shared" ref="O3:O66" si="2">IF(ISNUMBER(SEARCH("MAY", C3)), "MAY", IF(ISNUMBER(SEARCH("SHOULD", C3)), "SHOULD", IF(ISNUMBER(SEARCH("SHALL", C3)), "SHALL", IF(ISNUMBER(SEARCH("SHOULD NOT", C3)), "SHOULD NOT", IF(ISNUMBER(SEARCH("SHALL NOT", C3)), "SHALL NOT", "")))))</f>
        <v>SHOULD</v>
      </c>
      <c r="P3" s="10" t="str">
        <f t="shared" si="1"/>
        <v>Server</v>
      </c>
      <c r="Q3" s="10" t="s">
        <v>33</v>
      </c>
      <c r="R3" s="10"/>
      <c r="S3" s="12"/>
      <c r="T3" s="10"/>
      <c r="U3" s="12"/>
      <c r="V3" s="12"/>
    </row>
    <row r="4" spans="1:23" s="5" customFormat="1" ht="85" x14ac:dyDescent="0.2">
      <c r="A4" s="7">
        <v>3</v>
      </c>
      <c r="B4" s="7" t="s">
        <v>817</v>
      </c>
      <c r="C4" s="8" t="s">
        <v>34</v>
      </c>
      <c r="D4" s="7" t="s">
        <v>35</v>
      </c>
      <c r="E4" s="7" t="s">
        <v>30</v>
      </c>
      <c r="F4" s="8" t="s">
        <v>1095</v>
      </c>
      <c r="G4" s="7" t="b">
        <v>1</v>
      </c>
      <c r="H4" s="12" t="s">
        <v>36</v>
      </c>
      <c r="I4" s="22"/>
      <c r="J4" s="22"/>
      <c r="K4" s="22"/>
      <c r="L4" s="22"/>
      <c r="M4" s="9" t="str" cm="1">
        <f t="array" ref="M4">PAGE_NAME(B4)</f>
        <v>general-requirements</v>
      </c>
      <c r="N4" s="9" t="str" cm="1">
        <f t="array" ref="N4">SECTION_NAME(B4)</f>
        <v>profile-support--interaction-support</v>
      </c>
      <c r="O4" s="10" t="str">
        <f t="shared" si="2"/>
        <v>MAY</v>
      </c>
      <c r="P4" s="10" t="str">
        <f t="shared" si="1"/>
        <v>Server</v>
      </c>
      <c r="Q4" s="10" t="s">
        <v>33</v>
      </c>
      <c r="R4" s="10"/>
      <c r="S4" s="12"/>
      <c r="T4" s="10"/>
      <c r="U4" s="12"/>
      <c r="V4" s="12"/>
    </row>
    <row r="5" spans="1:23" s="5" customFormat="1" ht="34" x14ac:dyDescent="0.2">
      <c r="A5" s="7">
        <v>4</v>
      </c>
      <c r="B5" s="7" t="s">
        <v>817</v>
      </c>
      <c r="C5" s="8" t="s">
        <v>37</v>
      </c>
      <c r="D5" s="7" t="s">
        <v>35</v>
      </c>
      <c r="E5" s="7" t="s">
        <v>30</v>
      </c>
      <c r="F5" s="37"/>
      <c r="G5" s="7" t="b">
        <v>1</v>
      </c>
      <c r="H5" s="12"/>
      <c r="I5" s="22"/>
      <c r="J5" s="22"/>
      <c r="K5" s="22"/>
      <c r="L5" s="22"/>
      <c r="M5" s="9" t="str" cm="1">
        <f t="array" ref="M5">PAGE_NAME(B5)</f>
        <v>general-requirements</v>
      </c>
      <c r="N5" s="9" t="str" cm="1">
        <f t="array" ref="N5">SECTION_NAME(B5)</f>
        <v>profile-support--interaction-support</v>
      </c>
      <c r="O5" s="10" t="str">
        <f t="shared" si="2"/>
        <v>MAY</v>
      </c>
      <c r="P5" s="10" t="str">
        <f t="shared" si="1"/>
        <v>Server</v>
      </c>
      <c r="Q5" s="10" t="s">
        <v>33</v>
      </c>
      <c r="R5" s="10"/>
      <c r="S5" s="12"/>
      <c r="T5" s="10"/>
      <c r="U5" s="12"/>
      <c r="V5" s="12"/>
    </row>
    <row r="6" spans="1:23" s="5" customFormat="1" ht="51" x14ac:dyDescent="0.2">
      <c r="A6" s="7">
        <v>5</v>
      </c>
      <c r="B6" s="7" t="s">
        <v>817</v>
      </c>
      <c r="C6" s="8" t="s">
        <v>38</v>
      </c>
      <c r="D6" s="7" t="s">
        <v>35</v>
      </c>
      <c r="E6" s="7" t="s">
        <v>30</v>
      </c>
      <c r="F6" s="8"/>
      <c r="G6" s="7" t="b">
        <v>1</v>
      </c>
      <c r="H6" s="12"/>
      <c r="I6" s="22"/>
      <c r="J6" s="22"/>
      <c r="K6" s="22"/>
      <c r="L6" s="22"/>
      <c r="M6" s="9" t="str" cm="1">
        <f t="array" ref="M6">PAGE_NAME(B6)</f>
        <v>general-requirements</v>
      </c>
      <c r="N6" s="9" t="str" cm="1">
        <f t="array" ref="N6">SECTION_NAME(B6)</f>
        <v>profile-support--interaction-support</v>
      </c>
      <c r="O6" s="10" t="str">
        <f t="shared" si="2"/>
        <v>MAY</v>
      </c>
      <c r="P6" s="10" t="str">
        <f t="shared" si="1"/>
        <v>Server</v>
      </c>
      <c r="Q6" s="10" t="s">
        <v>33</v>
      </c>
      <c r="R6" s="10"/>
      <c r="S6" s="12"/>
      <c r="T6" s="10"/>
      <c r="U6" s="12"/>
      <c r="V6" s="12"/>
    </row>
    <row r="7" spans="1:23" s="5" customFormat="1" ht="51" x14ac:dyDescent="0.2">
      <c r="A7" s="7">
        <v>6</v>
      </c>
      <c r="B7" s="7" t="s">
        <v>817</v>
      </c>
      <c r="C7" s="8" t="s">
        <v>39</v>
      </c>
      <c r="D7" s="7" t="s">
        <v>35</v>
      </c>
      <c r="E7" s="7" t="s">
        <v>30</v>
      </c>
      <c r="F7" s="8"/>
      <c r="G7" s="7" t="b">
        <v>1</v>
      </c>
      <c r="H7" s="12"/>
      <c r="I7" s="22"/>
      <c r="J7" s="22"/>
      <c r="K7" s="22"/>
      <c r="L7" s="22"/>
      <c r="M7" s="9" t="str" cm="1">
        <f t="array" ref="M7">PAGE_NAME(B7)</f>
        <v>general-requirements</v>
      </c>
      <c r="N7" s="9" t="str" cm="1">
        <f t="array" ref="N7">SECTION_NAME(B7)</f>
        <v>profile-support--interaction-support</v>
      </c>
      <c r="O7" s="10" t="str">
        <f t="shared" si="2"/>
        <v>MAY</v>
      </c>
      <c r="P7" s="10" t="str">
        <f t="shared" si="1"/>
        <v>Server</v>
      </c>
      <c r="Q7" s="10" t="s">
        <v>33</v>
      </c>
      <c r="R7" s="10"/>
      <c r="S7" s="12"/>
      <c r="T7" s="10"/>
      <c r="U7" s="12"/>
      <c r="V7" s="12"/>
    </row>
    <row r="8" spans="1:23" s="5" customFormat="1" ht="68" x14ac:dyDescent="0.2">
      <c r="A8" s="7">
        <v>7</v>
      </c>
      <c r="B8" s="7" t="s">
        <v>817</v>
      </c>
      <c r="C8" s="8" t="s">
        <v>40</v>
      </c>
      <c r="D8" s="7" t="s">
        <v>35</v>
      </c>
      <c r="E8" s="7" t="s">
        <v>30</v>
      </c>
      <c r="F8" s="8"/>
      <c r="G8" s="7" t="b">
        <v>1</v>
      </c>
      <c r="H8" s="12"/>
      <c r="I8" s="22"/>
      <c r="J8" s="22"/>
      <c r="K8" s="22"/>
      <c r="L8" s="22"/>
      <c r="M8" s="9" t="str" cm="1">
        <f t="array" ref="M8">PAGE_NAME(B8)</f>
        <v>general-requirements</v>
      </c>
      <c r="N8" s="9" t="str" cm="1">
        <f t="array" ref="N8">SECTION_NAME(B8)</f>
        <v>profile-support--interaction-support</v>
      </c>
      <c r="O8" s="10" t="str">
        <f t="shared" si="2"/>
        <v>MAY</v>
      </c>
      <c r="P8" s="10" t="str">
        <f t="shared" si="1"/>
        <v>Server</v>
      </c>
      <c r="Q8" s="10" t="s">
        <v>33</v>
      </c>
      <c r="R8" s="10"/>
      <c r="S8" s="12"/>
      <c r="T8" s="10"/>
      <c r="U8" s="12"/>
      <c r="V8" s="12"/>
    </row>
    <row r="9" spans="1:23" s="5" customFormat="1" ht="68" x14ac:dyDescent="0.2">
      <c r="A9" s="7">
        <v>8</v>
      </c>
      <c r="B9" s="7" t="s">
        <v>817</v>
      </c>
      <c r="C9" s="8" t="s">
        <v>41</v>
      </c>
      <c r="D9" s="7" t="s">
        <v>35</v>
      </c>
      <c r="E9" s="7" t="s">
        <v>30</v>
      </c>
      <c r="F9" s="8"/>
      <c r="G9" s="7" t="b">
        <v>1</v>
      </c>
      <c r="H9" s="12"/>
      <c r="I9" s="22"/>
      <c r="J9" s="22"/>
      <c r="K9" s="22"/>
      <c r="L9" s="22"/>
      <c r="M9" s="9" t="str" cm="1">
        <f t="array" ref="M9">PAGE_NAME(B9)</f>
        <v>general-requirements</v>
      </c>
      <c r="N9" s="9" t="str" cm="1">
        <f t="array" ref="N9">SECTION_NAME(B9)</f>
        <v>profile-support--interaction-support</v>
      </c>
      <c r="O9" s="10" t="str">
        <f t="shared" si="2"/>
        <v>MAY</v>
      </c>
      <c r="P9" s="10" t="str">
        <f t="shared" si="1"/>
        <v>Server</v>
      </c>
      <c r="Q9" s="10" t="s">
        <v>33</v>
      </c>
      <c r="R9" s="10"/>
      <c r="S9" s="12"/>
      <c r="T9" s="10"/>
      <c r="U9" s="12"/>
      <c r="V9" s="12"/>
    </row>
    <row r="10" spans="1:23" s="5" customFormat="1" ht="68" x14ac:dyDescent="0.2">
      <c r="A10" s="7">
        <v>9</v>
      </c>
      <c r="B10" s="7" t="s">
        <v>817</v>
      </c>
      <c r="C10" s="8" t="s">
        <v>42</v>
      </c>
      <c r="D10" s="7" t="s">
        <v>35</v>
      </c>
      <c r="E10" s="7" t="s">
        <v>30</v>
      </c>
      <c r="F10" s="8"/>
      <c r="G10" s="7" t="b">
        <v>1</v>
      </c>
      <c r="H10" s="12"/>
      <c r="I10" s="22"/>
      <c r="J10" s="22"/>
      <c r="K10" s="22"/>
      <c r="L10" s="22"/>
      <c r="M10" s="9" t="str" cm="1">
        <f t="array" ref="M10">PAGE_NAME(B10)</f>
        <v>general-requirements</v>
      </c>
      <c r="N10" s="9" t="str" cm="1">
        <f t="array" ref="N10">SECTION_NAME(B10)</f>
        <v>profile-support--interaction-support</v>
      </c>
      <c r="O10" s="10" t="str">
        <f t="shared" si="2"/>
        <v/>
      </c>
      <c r="P10" s="10" t="str">
        <f t="shared" si="1"/>
        <v>Server</v>
      </c>
      <c r="Q10" s="10" t="s">
        <v>33</v>
      </c>
      <c r="R10" s="10"/>
      <c r="S10" s="12"/>
      <c r="T10" s="10"/>
      <c r="U10" s="12"/>
      <c r="V10" s="12"/>
    </row>
    <row r="11" spans="1:23" s="5" customFormat="1" ht="51" x14ac:dyDescent="0.2">
      <c r="A11" s="7">
        <v>10</v>
      </c>
      <c r="B11" s="7" t="s">
        <v>817</v>
      </c>
      <c r="C11" s="8" t="s">
        <v>43</v>
      </c>
      <c r="D11" s="7" t="s">
        <v>35</v>
      </c>
      <c r="E11" s="7" t="s">
        <v>30</v>
      </c>
      <c r="F11" s="8"/>
      <c r="G11" s="7" t="b">
        <v>1</v>
      </c>
      <c r="H11" s="12"/>
      <c r="I11" s="22"/>
      <c r="J11" s="22"/>
      <c r="K11" s="22"/>
      <c r="L11" s="22"/>
      <c r="M11" s="9" t="str" cm="1">
        <f t="array" ref="M11">PAGE_NAME(B11)</f>
        <v>general-requirements</v>
      </c>
      <c r="N11" s="9" t="str" cm="1">
        <f t="array" ref="N11">SECTION_NAME(B11)</f>
        <v>profile-support--interaction-support</v>
      </c>
      <c r="O11" s="10" t="str">
        <f t="shared" si="2"/>
        <v/>
      </c>
      <c r="P11" s="10" t="str">
        <f t="shared" si="1"/>
        <v>Server</v>
      </c>
      <c r="Q11" s="10" t="s">
        <v>33</v>
      </c>
      <c r="R11" s="10"/>
      <c r="S11" s="12"/>
      <c r="T11" s="10"/>
      <c r="U11" s="12"/>
      <c r="V11" s="12"/>
    </row>
    <row r="12" spans="1:23" s="5" customFormat="1" ht="85" x14ac:dyDescent="0.2">
      <c r="A12" s="7">
        <v>11</v>
      </c>
      <c r="B12" s="7" t="s">
        <v>817</v>
      </c>
      <c r="C12" s="8" t="s">
        <v>963</v>
      </c>
      <c r="D12" s="7" t="s">
        <v>29</v>
      </c>
      <c r="E12" s="7" t="s">
        <v>30</v>
      </c>
      <c r="F12" s="8"/>
      <c r="G12" s="7" t="b">
        <v>1</v>
      </c>
      <c r="H12" s="12"/>
      <c r="I12" s="22" t="s">
        <v>44</v>
      </c>
      <c r="J12" s="22"/>
      <c r="K12" s="22" t="s">
        <v>45</v>
      </c>
      <c r="L12" s="22" t="s">
        <v>46</v>
      </c>
      <c r="M12" s="9" t="str" cm="1">
        <f t="array" ref="M12">PAGE_NAME(B12)</f>
        <v>general-requirements</v>
      </c>
      <c r="N12" s="9" t="str" cm="1">
        <f t="array" ref="N12">SECTION_NAME(B12)</f>
        <v>profile-support--interaction-support</v>
      </c>
      <c r="O12" s="10" t="str">
        <f t="shared" si="2"/>
        <v/>
      </c>
      <c r="P12" s="10" t="str">
        <f t="shared" si="1"/>
        <v>Server</v>
      </c>
      <c r="Q12" s="10" t="s">
        <v>33</v>
      </c>
      <c r="R12" s="10"/>
      <c r="S12" s="12"/>
      <c r="T12" s="10"/>
      <c r="U12" s="12"/>
      <c r="V12" s="12" t="s">
        <v>47</v>
      </c>
      <c r="W12" s="5" t="s">
        <v>1141</v>
      </c>
    </row>
    <row r="13" spans="1:23" s="5" customFormat="1" ht="102" x14ac:dyDescent="0.2">
      <c r="A13" s="7">
        <v>12</v>
      </c>
      <c r="B13" s="7" t="s">
        <v>817</v>
      </c>
      <c r="C13" s="8" t="s">
        <v>964</v>
      </c>
      <c r="D13" s="7" t="s">
        <v>29</v>
      </c>
      <c r="E13" s="7" t="s">
        <v>30</v>
      </c>
      <c r="F13" s="8"/>
      <c r="G13" s="7" t="b">
        <v>1</v>
      </c>
      <c r="H13" s="12"/>
      <c r="I13" s="22" t="s">
        <v>44</v>
      </c>
      <c r="J13" s="22"/>
      <c r="K13" s="22" t="s">
        <v>45</v>
      </c>
      <c r="L13" s="22" t="s">
        <v>46</v>
      </c>
      <c r="M13" s="9" t="str" cm="1">
        <f t="array" ref="M13">PAGE_NAME(B13)</f>
        <v>general-requirements</v>
      </c>
      <c r="N13" s="9" t="str" cm="1">
        <f t="array" ref="N13">SECTION_NAME(B13)</f>
        <v>profile-support--interaction-support</v>
      </c>
      <c r="O13" s="10" t="str">
        <f t="shared" si="2"/>
        <v/>
      </c>
      <c r="P13" s="10" t="str">
        <f t="shared" si="1"/>
        <v>Server</v>
      </c>
      <c r="Q13" s="10" t="s">
        <v>33</v>
      </c>
      <c r="R13" s="10"/>
      <c r="S13" s="12"/>
      <c r="T13" s="10"/>
      <c r="U13" s="12"/>
      <c r="V13" s="12" t="s">
        <v>47</v>
      </c>
      <c r="W13" s="5" t="s">
        <v>1141</v>
      </c>
    </row>
    <row r="14" spans="1:23" s="5" customFormat="1" ht="102" x14ac:dyDescent="0.2">
      <c r="A14" s="7">
        <v>13</v>
      </c>
      <c r="B14" s="7" t="s">
        <v>818</v>
      </c>
      <c r="C14" s="8" t="s">
        <v>965</v>
      </c>
      <c r="D14" s="7" t="s">
        <v>29</v>
      </c>
      <c r="E14" s="7" t="s">
        <v>30</v>
      </c>
      <c r="F14" s="8"/>
      <c r="G14" s="7" t="b">
        <v>0</v>
      </c>
      <c r="H14" s="12"/>
      <c r="I14" s="22"/>
      <c r="J14" s="22"/>
      <c r="K14" s="22"/>
      <c r="L14" s="22"/>
      <c r="M14" s="9" t="str" cm="1">
        <f t="array" ref="M14">PAGE_NAME(B14)</f>
        <v>general-requirements</v>
      </c>
      <c r="N14" s="9" t="str" cm="1">
        <f t="array" ref="N14">SECTION_NAME(B14)</f>
        <v>claiming-conformance-to-a-us-core-profile</v>
      </c>
      <c r="O14" s="10" t="str">
        <f t="shared" si="2"/>
        <v>SHALL</v>
      </c>
      <c r="P14" s="10" t="str">
        <f t="shared" si="1"/>
        <v>Server</v>
      </c>
      <c r="Q14" s="10" t="s">
        <v>33</v>
      </c>
      <c r="R14" s="10"/>
      <c r="S14" s="12"/>
      <c r="T14" s="10"/>
      <c r="U14" s="12"/>
      <c r="V14" s="12"/>
      <c r="W14" s="5" t="s">
        <v>1140</v>
      </c>
    </row>
    <row r="15" spans="1:23" ht="170" x14ac:dyDescent="0.2">
      <c r="A15" s="7">
        <v>14</v>
      </c>
      <c r="B15" s="7" t="s">
        <v>818</v>
      </c>
      <c r="C15" s="8" t="s">
        <v>966</v>
      </c>
      <c r="D15" s="7" t="s">
        <v>32</v>
      </c>
      <c r="E15" s="7" t="s">
        <v>30</v>
      </c>
      <c r="G15" s="7" t="b">
        <v>0</v>
      </c>
      <c r="M15" s="9" t="str" cm="1">
        <f t="array" ref="M15">PAGE_NAME(B15)</f>
        <v>general-requirements</v>
      </c>
      <c r="N15" s="9" t="str" cm="1">
        <f t="array" ref="N15">SECTION_NAME(B15)</f>
        <v>claiming-conformance-to-a-us-core-profile</v>
      </c>
      <c r="O15" s="10" t="str">
        <f t="shared" si="2"/>
        <v>SHOULD</v>
      </c>
      <c r="P15" s="10" t="str">
        <f t="shared" si="1"/>
        <v>Server</v>
      </c>
      <c r="Q15" s="10" t="s">
        <v>33</v>
      </c>
    </row>
    <row r="16" spans="1:23" ht="85" x14ac:dyDescent="0.2">
      <c r="A16" s="7">
        <v>15</v>
      </c>
      <c r="B16" s="7" t="s">
        <v>818</v>
      </c>
      <c r="C16" s="8" t="s">
        <v>967</v>
      </c>
      <c r="D16" s="7" t="s">
        <v>29</v>
      </c>
      <c r="E16" s="7" t="s">
        <v>30</v>
      </c>
      <c r="F16" s="8" t="s">
        <v>1096</v>
      </c>
      <c r="G16" s="7" t="b">
        <v>0</v>
      </c>
      <c r="H16" s="12" t="s">
        <v>48</v>
      </c>
      <c r="M16" s="9" t="str" cm="1">
        <f t="array" ref="M16">PAGE_NAME(B16)</f>
        <v>general-requirements</v>
      </c>
      <c r="N16" s="9" t="str" cm="1">
        <f t="array" ref="N16">SECTION_NAME(B16)</f>
        <v>claiming-conformance-to-a-us-core-profile</v>
      </c>
      <c r="O16" s="10" t="str">
        <f t="shared" si="2"/>
        <v>SHALL</v>
      </c>
      <c r="P16" s="10" t="str">
        <f t="shared" si="1"/>
        <v>Server</v>
      </c>
      <c r="Q16" s="10" t="s">
        <v>33</v>
      </c>
      <c r="W16" s="6" t="s">
        <v>1140</v>
      </c>
    </row>
    <row r="17" spans="1:23" ht="102" x14ac:dyDescent="0.2">
      <c r="A17" s="7">
        <v>16</v>
      </c>
      <c r="B17" s="7" t="s">
        <v>818</v>
      </c>
      <c r="C17" s="8" t="s">
        <v>968</v>
      </c>
      <c r="D17" s="7" t="s">
        <v>29</v>
      </c>
      <c r="E17" s="7" t="s">
        <v>30</v>
      </c>
      <c r="G17" s="7" t="b">
        <v>0</v>
      </c>
      <c r="M17" s="9" t="str" cm="1">
        <f t="array" ref="M17">PAGE_NAME(B17)</f>
        <v>general-requirements</v>
      </c>
      <c r="N17" s="9" t="str" cm="1">
        <f t="array" ref="N17">SECTION_NAME(B17)</f>
        <v>claiming-conformance-to-a-us-core-profile</v>
      </c>
      <c r="O17" s="10" t="str">
        <f t="shared" si="2"/>
        <v>SHALL</v>
      </c>
      <c r="P17" s="10" t="str">
        <f t="shared" si="1"/>
        <v>Server</v>
      </c>
      <c r="Q17" s="10" t="s">
        <v>33</v>
      </c>
      <c r="W17" s="6" t="s">
        <v>1140</v>
      </c>
    </row>
    <row r="18" spans="1:23" ht="85" x14ac:dyDescent="0.2">
      <c r="A18" s="7">
        <v>17</v>
      </c>
      <c r="B18" s="7" t="s">
        <v>818</v>
      </c>
      <c r="C18" s="8" t="s">
        <v>969</v>
      </c>
      <c r="D18" s="7" t="s">
        <v>29</v>
      </c>
      <c r="E18" s="7" t="s">
        <v>30</v>
      </c>
      <c r="G18" s="7" t="b">
        <v>0</v>
      </c>
      <c r="M18" s="9" t="str" cm="1">
        <f t="array" ref="M18">PAGE_NAME(B18)</f>
        <v>general-requirements</v>
      </c>
      <c r="N18" s="9" t="str" cm="1">
        <f t="array" ref="N18">SECTION_NAME(B18)</f>
        <v>claiming-conformance-to-a-us-core-profile</v>
      </c>
      <c r="O18" s="10" t="str">
        <f t="shared" si="2"/>
        <v>SHALL</v>
      </c>
      <c r="P18" s="10" t="str">
        <f t="shared" si="1"/>
        <v>Server</v>
      </c>
      <c r="Q18" s="10" t="s">
        <v>33</v>
      </c>
      <c r="W18" s="6" t="s">
        <v>1141</v>
      </c>
    </row>
    <row r="19" spans="1:23" ht="68" x14ac:dyDescent="0.2">
      <c r="A19" s="7">
        <v>18</v>
      </c>
      <c r="B19" s="7" t="s">
        <v>819</v>
      </c>
      <c r="C19" s="8" t="s">
        <v>49</v>
      </c>
      <c r="D19" s="7" t="s">
        <v>29</v>
      </c>
      <c r="E19" s="7" t="s">
        <v>30</v>
      </c>
      <c r="F19" s="8" t="s">
        <v>1097</v>
      </c>
      <c r="G19" s="7" t="b">
        <v>0</v>
      </c>
      <c r="H19" s="12" t="s">
        <v>50</v>
      </c>
      <c r="M19" s="9" t="str" cm="1">
        <f t="array" ref="M19">PAGE_NAME(B19)</f>
        <v>general-requirements</v>
      </c>
      <c r="N19" s="9" t="str" cm="1">
        <f t="array" ref="N19">SECTION_NAME(B19)</f>
        <v>required-bindings-for-coded-elements</v>
      </c>
      <c r="O19" s="10" t="str">
        <f t="shared" si="2"/>
        <v>SHALL</v>
      </c>
      <c r="P19" s="10" t="str">
        <f t="shared" si="1"/>
        <v/>
      </c>
      <c r="Q19" s="10" t="s">
        <v>51</v>
      </c>
      <c r="W19" s="6" t="s">
        <v>1140</v>
      </c>
    </row>
    <row r="20" spans="1:23" ht="68" x14ac:dyDescent="0.2">
      <c r="A20" s="7">
        <v>19</v>
      </c>
      <c r="B20" s="7" t="s">
        <v>819</v>
      </c>
      <c r="C20" s="8" t="s">
        <v>52</v>
      </c>
      <c r="D20" s="7" t="s">
        <v>29</v>
      </c>
      <c r="E20" s="7" t="s">
        <v>30</v>
      </c>
      <c r="F20" s="8" t="s">
        <v>1098</v>
      </c>
      <c r="G20" s="7" t="b">
        <v>1</v>
      </c>
      <c r="M20" s="9" t="str" cm="1">
        <f t="array" ref="M20">PAGE_NAME(B20)</f>
        <v>general-requirements</v>
      </c>
      <c r="N20" s="9" t="str" cm="1">
        <f t="array" ref="N20">SECTION_NAME(B20)</f>
        <v>required-bindings-for-coded-elements</v>
      </c>
      <c r="O20" s="10" t="str">
        <f t="shared" si="2"/>
        <v/>
      </c>
      <c r="P20" s="10" t="str">
        <f t="shared" si="1"/>
        <v/>
      </c>
      <c r="W20" s="6" t="s">
        <v>1140</v>
      </c>
    </row>
    <row r="21" spans="1:23" ht="85" x14ac:dyDescent="0.2">
      <c r="A21" s="7">
        <v>20</v>
      </c>
      <c r="B21" s="7" t="s">
        <v>819</v>
      </c>
      <c r="C21" s="8" t="s">
        <v>53</v>
      </c>
      <c r="D21" s="7" t="s">
        <v>54</v>
      </c>
      <c r="E21" s="7" t="s">
        <v>30</v>
      </c>
      <c r="F21" s="8" t="s">
        <v>1098</v>
      </c>
      <c r="G21" s="7" t="b">
        <v>0</v>
      </c>
      <c r="M21" s="9" t="str" cm="1">
        <f t="array" ref="M21">PAGE_NAME(B21)</f>
        <v>general-requirements</v>
      </c>
      <c r="N21" s="9" t="str" cm="1">
        <f t="array" ref="N21">SECTION_NAME(B21)</f>
        <v>required-bindings-for-coded-elements</v>
      </c>
      <c r="O21" s="10" t="str">
        <f t="shared" si="2"/>
        <v/>
      </c>
      <c r="P21" s="10" t="str">
        <f t="shared" si="1"/>
        <v/>
      </c>
      <c r="W21" s="6" t="s">
        <v>1141</v>
      </c>
    </row>
    <row r="22" spans="1:23" ht="68" x14ac:dyDescent="0.2">
      <c r="A22" s="7">
        <v>21</v>
      </c>
      <c r="B22" s="7" t="s">
        <v>819</v>
      </c>
      <c r="C22" s="8" t="s">
        <v>55</v>
      </c>
      <c r="D22" s="7" t="s">
        <v>29</v>
      </c>
      <c r="E22" s="7" t="s">
        <v>30</v>
      </c>
      <c r="G22" s="7" t="b">
        <v>0</v>
      </c>
      <c r="H22" s="12" t="s">
        <v>56</v>
      </c>
      <c r="M22" s="9" t="str" cm="1">
        <f t="array" ref="M22">PAGE_NAME(B22)</f>
        <v>general-requirements</v>
      </c>
      <c r="N22" s="9" t="str" cm="1">
        <f t="array" ref="N22">SECTION_NAME(B22)</f>
        <v>required-bindings-for-coded-elements</v>
      </c>
      <c r="O22" s="10" t="str">
        <f t="shared" si="2"/>
        <v>SHALL</v>
      </c>
      <c r="P22" s="10" t="str">
        <f t="shared" si="1"/>
        <v>Server</v>
      </c>
      <c r="W22" s="6" t="s">
        <v>1140</v>
      </c>
    </row>
    <row r="23" spans="1:23" ht="85" x14ac:dyDescent="0.2">
      <c r="A23" s="7">
        <v>22</v>
      </c>
      <c r="B23" s="7" t="s">
        <v>819</v>
      </c>
      <c r="C23" s="8" t="s">
        <v>57</v>
      </c>
      <c r="D23" s="7" t="s">
        <v>29</v>
      </c>
      <c r="E23" s="7" t="s">
        <v>58</v>
      </c>
      <c r="G23" s="7" t="b">
        <v>0</v>
      </c>
      <c r="H23" s="12" t="s">
        <v>56</v>
      </c>
      <c r="M23" s="9" t="str" cm="1">
        <f t="array" ref="M23">PAGE_NAME(B23)</f>
        <v>general-requirements</v>
      </c>
      <c r="N23" s="9" t="str" cm="1">
        <f t="array" ref="N23">SECTION_NAME(B23)</f>
        <v>required-bindings-for-coded-elements</v>
      </c>
      <c r="O23" s="10" t="str">
        <f t="shared" si="2"/>
        <v>SHALL</v>
      </c>
      <c r="P23" s="10" t="str">
        <f t="shared" si="1"/>
        <v>Client</v>
      </c>
    </row>
    <row r="24" spans="1:23" ht="68" x14ac:dyDescent="0.2">
      <c r="A24" s="7">
        <v>23</v>
      </c>
      <c r="B24" s="7" t="s">
        <v>1085</v>
      </c>
      <c r="C24" s="8" t="s">
        <v>59</v>
      </c>
      <c r="D24" s="7" t="s">
        <v>29</v>
      </c>
      <c r="E24" s="7" t="s">
        <v>30</v>
      </c>
      <c r="G24" s="7" t="b">
        <v>1</v>
      </c>
      <c r="H24" s="12" t="s">
        <v>60</v>
      </c>
      <c r="M24" s="9" t="str" cm="1">
        <f t="array" ref="M24">PAGE_NAME(B24)</f>
        <v>general-requirements</v>
      </c>
      <c r="N24" s="9" t="str" cm="1">
        <f t="array" ref="N24">SECTION_NAME(B24)</f>
        <v>extensible-binding-for-coded-elements</v>
      </c>
      <c r="O24" s="10" t="str">
        <f t="shared" si="2"/>
        <v>SHALL</v>
      </c>
      <c r="P24" s="10" t="str">
        <f t="shared" si="1"/>
        <v/>
      </c>
      <c r="Q24" s="10" t="s">
        <v>61</v>
      </c>
      <c r="W24" s="6" t="s">
        <v>1140</v>
      </c>
    </row>
    <row r="25" spans="1:23" ht="68" x14ac:dyDescent="0.2">
      <c r="A25" s="7">
        <v>24</v>
      </c>
      <c r="B25" s="7" t="s">
        <v>820</v>
      </c>
      <c r="C25" s="8" t="s">
        <v>62</v>
      </c>
      <c r="D25" s="7" t="s">
        <v>35</v>
      </c>
      <c r="E25" s="7" t="s">
        <v>30</v>
      </c>
      <c r="G25" s="7" t="b">
        <v>1</v>
      </c>
      <c r="H25" s="12" t="s">
        <v>60</v>
      </c>
      <c r="M25" s="9" t="str" cm="1">
        <f t="array" ref="M25">PAGE_NAME(B25)</f>
        <v>general-requirements</v>
      </c>
      <c r="N25" s="9" t="str" cm="1">
        <f t="array" ref="N25">SECTION_NAME(B25)</f>
        <v>extensible-binding-for-coded-elements</v>
      </c>
      <c r="O25" s="10" t="str">
        <f t="shared" si="2"/>
        <v>MAY</v>
      </c>
      <c r="P25" s="10" t="str">
        <f t="shared" si="1"/>
        <v/>
      </c>
    </row>
    <row r="26" spans="1:23" ht="68" x14ac:dyDescent="0.2">
      <c r="A26" s="7">
        <v>25</v>
      </c>
      <c r="B26" s="7" t="s">
        <v>820</v>
      </c>
      <c r="C26" s="8" t="s">
        <v>63</v>
      </c>
      <c r="D26" s="7" t="s">
        <v>64</v>
      </c>
      <c r="E26" s="7" t="s">
        <v>30</v>
      </c>
      <c r="G26" s="7" t="b">
        <v>1</v>
      </c>
      <c r="H26" s="12" t="s">
        <v>60</v>
      </c>
      <c r="M26" s="9" t="str" cm="1">
        <f t="array" ref="M26">PAGE_NAME(B26)</f>
        <v>general-requirements</v>
      </c>
      <c r="N26" s="9" t="str" cm="1">
        <f t="array" ref="N26">SECTION_NAME(B26)</f>
        <v>extensible-binding-for-coded-elements</v>
      </c>
      <c r="O26" s="10" t="str">
        <f t="shared" si="2"/>
        <v/>
      </c>
      <c r="P26" s="10" t="str">
        <f t="shared" si="1"/>
        <v/>
      </c>
      <c r="V26" s="12" t="s">
        <v>65</v>
      </c>
    </row>
    <row r="27" spans="1:23" ht="68" x14ac:dyDescent="0.2">
      <c r="A27" s="7">
        <v>26</v>
      </c>
      <c r="B27" s="7" t="s">
        <v>820</v>
      </c>
      <c r="C27" s="8" t="s">
        <v>66</v>
      </c>
      <c r="D27" s="7" t="s">
        <v>35</v>
      </c>
      <c r="E27" s="7" t="s">
        <v>30</v>
      </c>
      <c r="F27" s="8" t="s">
        <v>1099</v>
      </c>
      <c r="G27" s="7" t="b">
        <v>1</v>
      </c>
      <c r="H27" s="12" t="s">
        <v>60</v>
      </c>
      <c r="M27" s="9" t="str" cm="1">
        <f t="array" ref="M27">PAGE_NAME(B27)</f>
        <v>general-requirements</v>
      </c>
      <c r="N27" s="9" t="str" cm="1">
        <f t="array" ref="N27">SECTION_NAME(B27)</f>
        <v>extensible-binding-for-coded-elements</v>
      </c>
      <c r="O27" s="10" t="str">
        <f t="shared" si="2"/>
        <v>MAY</v>
      </c>
      <c r="P27" s="10" t="str">
        <f t="shared" si="1"/>
        <v/>
      </c>
    </row>
    <row r="28" spans="1:23" ht="153" x14ac:dyDescent="0.2">
      <c r="A28" s="7">
        <v>27</v>
      </c>
      <c r="B28" s="7" t="s">
        <v>820</v>
      </c>
      <c r="C28" s="8" t="s">
        <v>67</v>
      </c>
      <c r="D28" s="7" t="s">
        <v>29</v>
      </c>
      <c r="E28" s="7" t="s">
        <v>30</v>
      </c>
      <c r="G28" s="7" t="b">
        <v>1</v>
      </c>
      <c r="H28" s="12" t="s">
        <v>68</v>
      </c>
      <c r="M28" s="9" t="str" cm="1">
        <f t="array" ref="M28">PAGE_NAME(B28)</f>
        <v>general-requirements</v>
      </c>
      <c r="N28" s="9" t="str" cm="1">
        <f t="array" ref="N28">SECTION_NAME(B28)</f>
        <v>extensible-binding-for-coded-elements</v>
      </c>
      <c r="O28" s="10" t="str">
        <f t="shared" si="2"/>
        <v>SHALL</v>
      </c>
      <c r="P28" s="10" t="str">
        <f t="shared" si="1"/>
        <v>Server</v>
      </c>
      <c r="W28" s="6" t="s">
        <v>1140</v>
      </c>
    </row>
    <row r="29" spans="1:23" ht="51" x14ac:dyDescent="0.2">
      <c r="A29" s="7">
        <v>28</v>
      </c>
      <c r="B29" s="7" t="s">
        <v>820</v>
      </c>
      <c r="C29" s="8" t="s">
        <v>69</v>
      </c>
      <c r="D29" s="7" t="s">
        <v>29</v>
      </c>
      <c r="E29" s="7" t="s">
        <v>58</v>
      </c>
      <c r="G29" s="7" t="b">
        <v>1</v>
      </c>
      <c r="M29" s="9" t="str" cm="1">
        <f t="array" ref="M29">PAGE_NAME(B29)</f>
        <v>general-requirements</v>
      </c>
      <c r="N29" s="9" t="str" cm="1">
        <f t="array" ref="N29">SECTION_NAME(B29)</f>
        <v>extensible-binding-for-coded-elements</v>
      </c>
      <c r="O29" s="10" t="str">
        <f t="shared" si="2"/>
        <v>SHALL</v>
      </c>
      <c r="P29" s="10" t="str">
        <f t="shared" si="1"/>
        <v>Client</v>
      </c>
    </row>
    <row r="30" spans="1:23" ht="51" x14ac:dyDescent="0.2">
      <c r="A30" s="7">
        <v>29</v>
      </c>
      <c r="B30" s="7" t="s">
        <v>611</v>
      </c>
      <c r="C30" s="8" t="s">
        <v>644</v>
      </c>
      <c r="D30" s="7" t="s">
        <v>35</v>
      </c>
      <c r="E30" s="7" t="s">
        <v>30</v>
      </c>
      <c r="G30" s="7" t="b">
        <v>0</v>
      </c>
      <c r="M30" s="9" t="str" cm="1">
        <f t="array" ref="M30">PAGE_NAME(B30)</f>
        <v>general-requirements</v>
      </c>
      <c r="N30" s="9" t="str" cm="1">
        <f t="array" ref="N30">SECTION_NAME(B30)</f>
        <v>translations</v>
      </c>
      <c r="O30" s="10" t="str">
        <f t="shared" si="2"/>
        <v>MAY</v>
      </c>
      <c r="P30" s="10" t="str">
        <f t="shared" si="1"/>
        <v/>
      </c>
      <c r="V30" s="12" t="s">
        <v>643</v>
      </c>
    </row>
    <row r="31" spans="1:23" ht="34" x14ac:dyDescent="0.2">
      <c r="A31" s="7">
        <v>30</v>
      </c>
      <c r="B31" s="7" t="s">
        <v>611</v>
      </c>
      <c r="C31" s="8" t="s">
        <v>645</v>
      </c>
      <c r="D31" s="7" t="s">
        <v>35</v>
      </c>
      <c r="E31" s="7" t="s">
        <v>30</v>
      </c>
      <c r="G31" s="7" t="b">
        <v>0</v>
      </c>
      <c r="M31" s="9" t="str" cm="1">
        <f t="array" ref="M31">PAGE_NAME(B31)</f>
        <v>general-requirements</v>
      </c>
      <c r="N31" s="9" t="str" cm="1">
        <f t="array" ref="N31">SECTION_NAME(B31)</f>
        <v>translations</v>
      </c>
      <c r="O31" s="10" t="str">
        <f t="shared" si="2"/>
        <v>MAY</v>
      </c>
      <c r="P31" s="10" t="str">
        <f t="shared" si="1"/>
        <v/>
      </c>
      <c r="V31" s="12" t="s">
        <v>643</v>
      </c>
    </row>
    <row r="32" spans="1:23" ht="68" x14ac:dyDescent="0.2">
      <c r="A32" s="7">
        <v>31</v>
      </c>
      <c r="B32" s="58" t="s">
        <v>821</v>
      </c>
      <c r="C32" s="8" t="s">
        <v>70</v>
      </c>
      <c r="D32" s="7" t="s">
        <v>64</v>
      </c>
      <c r="E32" s="7" t="s">
        <v>30</v>
      </c>
      <c r="G32" s="7" t="b">
        <v>1</v>
      </c>
      <c r="M32" s="9" t="str" cm="1">
        <f t="array" ref="M32">PAGE_NAME(B32)</f>
        <v>general-requirements</v>
      </c>
      <c r="N32" s="9" t="str" cm="1">
        <f t="array" ref="N32">SECTION_NAME(B32)</f>
        <v>modifier-elements</v>
      </c>
      <c r="O32" s="10" t="str">
        <f t="shared" si="2"/>
        <v>SHALL</v>
      </c>
      <c r="P32" s="10" t="str">
        <f t="shared" si="1"/>
        <v>Server</v>
      </c>
      <c r="V32" s="12" t="s">
        <v>1144</v>
      </c>
      <c r="W32" s="6" t="s">
        <v>1141</v>
      </c>
    </row>
    <row r="33" spans="1:23" ht="73.5" customHeight="1" x14ac:dyDescent="0.2">
      <c r="A33" s="7">
        <v>32</v>
      </c>
      <c r="B33" s="7" t="s">
        <v>821</v>
      </c>
      <c r="C33" s="8" t="s">
        <v>71</v>
      </c>
      <c r="D33" s="7" t="s">
        <v>29</v>
      </c>
      <c r="E33" s="7" t="s">
        <v>58</v>
      </c>
      <c r="G33" s="7" t="b">
        <v>1</v>
      </c>
      <c r="M33" s="9" t="str" cm="1">
        <f t="array" ref="M33">PAGE_NAME(B33)</f>
        <v>general-requirements</v>
      </c>
      <c r="N33" s="9" t="str" cm="1">
        <f t="array" ref="N33">SECTION_NAME(B33)</f>
        <v>modifier-elements</v>
      </c>
      <c r="O33" s="10" t="str">
        <f t="shared" si="2"/>
        <v>SHALL</v>
      </c>
      <c r="P33" s="10" t="str">
        <f t="shared" si="1"/>
        <v>Client</v>
      </c>
    </row>
    <row r="34" spans="1:23" ht="34" x14ac:dyDescent="0.2">
      <c r="A34" s="7">
        <v>33</v>
      </c>
      <c r="B34" s="7" t="s">
        <v>821</v>
      </c>
      <c r="C34" s="8" t="s">
        <v>72</v>
      </c>
      <c r="D34" s="7" t="s">
        <v>35</v>
      </c>
      <c r="E34" s="7" t="s">
        <v>30</v>
      </c>
      <c r="G34" s="7" t="b">
        <v>0</v>
      </c>
      <c r="M34" s="9" t="str" cm="1">
        <f t="array" ref="M34">PAGE_NAME(B34)</f>
        <v>general-requirements</v>
      </c>
      <c r="N34" s="9" t="str" cm="1">
        <f t="array" ref="N34">SECTION_NAME(B34)</f>
        <v>modifier-elements</v>
      </c>
      <c r="O34" s="10" t="str">
        <f t="shared" si="2"/>
        <v/>
      </c>
      <c r="P34" s="10" t="str">
        <f t="shared" si="1"/>
        <v/>
      </c>
    </row>
    <row r="35" spans="1:23" ht="15" customHeight="1" x14ac:dyDescent="0.2">
      <c r="A35" s="7">
        <v>34</v>
      </c>
      <c r="B35" s="7" t="s">
        <v>821</v>
      </c>
      <c r="C35" s="8" t="s">
        <v>73</v>
      </c>
      <c r="D35" s="7" t="s">
        <v>35</v>
      </c>
      <c r="E35" s="7" t="s">
        <v>30</v>
      </c>
      <c r="G35" s="7" t="b">
        <v>0</v>
      </c>
      <c r="M35" s="9" t="str" cm="1">
        <f t="array" ref="M35">PAGE_NAME(B35)</f>
        <v>general-requirements</v>
      </c>
      <c r="N35" s="9" t="str" cm="1">
        <f t="array" ref="N35">SECTION_NAME(B35)</f>
        <v>modifier-elements</v>
      </c>
      <c r="O35" s="10" t="str">
        <f t="shared" si="2"/>
        <v>MAY</v>
      </c>
      <c r="P35" s="10" t="str">
        <f t="shared" si="1"/>
        <v>Server</v>
      </c>
    </row>
    <row r="36" spans="1:23" ht="51" x14ac:dyDescent="0.2">
      <c r="A36" s="7">
        <v>35</v>
      </c>
      <c r="B36" s="7" t="s">
        <v>821</v>
      </c>
      <c r="C36" s="8" t="s">
        <v>74</v>
      </c>
      <c r="D36" s="7" t="s">
        <v>32</v>
      </c>
      <c r="E36" s="7" t="s">
        <v>58</v>
      </c>
      <c r="G36" s="7" t="b">
        <v>1</v>
      </c>
      <c r="M36" s="9" t="str" cm="1">
        <f t="array" ref="M36">PAGE_NAME(B36)</f>
        <v>general-requirements</v>
      </c>
      <c r="N36" s="9" t="str" cm="1">
        <f t="array" ref="N36">SECTION_NAME(B36)</f>
        <v>modifier-elements</v>
      </c>
      <c r="O36" s="10" t="str">
        <f t="shared" si="2"/>
        <v>SHOULD</v>
      </c>
      <c r="P36" s="10" t="str">
        <f t="shared" si="1"/>
        <v/>
      </c>
    </row>
    <row r="37" spans="1:23" ht="68" x14ac:dyDescent="0.2">
      <c r="A37" s="7">
        <v>36</v>
      </c>
      <c r="B37" s="7" t="s">
        <v>821</v>
      </c>
      <c r="C37" s="8" t="s">
        <v>75</v>
      </c>
      <c r="D37" s="7" t="s">
        <v>76</v>
      </c>
      <c r="E37" s="7" t="s">
        <v>58</v>
      </c>
      <c r="G37" s="7" t="b">
        <v>1</v>
      </c>
      <c r="M37" s="9" t="str" cm="1">
        <f t="array" ref="M37">PAGE_NAME(B37)</f>
        <v>general-requirements</v>
      </c>
      <c r="N37" s="9" t="str" cm="1">
        <f t="array" ref="N37">SECTION_NAME(B37)</f>
        <v>modifier-elements</v>
      </c>
      <c r="O37" s="10" t="str">
        <f t="shared" si="2"/>
        <v>SHOULD</v>
      </c>
      <c r="P37" s="10" t="str">
        <f t="shared" si="1"/>
        <v/>
      </c>
    </row>
    <row r="38" spans="1:23" ht="51" x14ac:dyDescent="0.2">
      <c r="A38" s="7">
        <v>37</v>
      </c>
      <c r="B38" s="7" t="s">
        <v>821</v>
      </c>
      <c r="C38" s="8" t="s">
        <v>906</v>
      </c>
      <c r="D38" s="7" t="s">
        <v>32</v>
      </c>
      <c r="E38" s="7" t="s">
        <v>58</v>
      </c>
      <c r="G38" s="7" t="b">
        <v>0</v>
      </c>
      <c r="M38" s="9" t="str" cm="1">
        <f t="array" ref="M38">PAGE_NAME(B38)</f>
        <v>general-requirements</v>
      </c>
      <c r="N38" s="9" t="str" cm="1">
        <f t="array" ref="N38">SECTION_NAME(B38)</f>
        <v>modifier-elements</v>
      </c>
      <c r="O38" s="10" t="str">
        <f t="shared" si="2"/>
        <v/>
      </c>
      <c r="P38" s="10" t="str">
        <f t="shared" si="1"/>
        <v>Client</v>
      </c>
    </row>
    <row r="39" spans="1:23" ht="34" x14ac:dyDescent="0.2">
      <c r="A39" s="7">
        <v>38</v>
      </c>
      <c r="B39" s="7" t="s">
        <v>821</v>
      </c>
      <c r="C39" s="8" t="s">
        <v>77</v>
      </c>
      <c r="D39" s="7" t="s">
        <v>64</v>
      </c>
      <c r="G39" s="7" t="b">
        <v>0</v>
      </c>
      <c r="M39" s="9" t="str" cm="1">
        <f t="array" ref="M39">PAGE_NAME(B39)</f>
        <v>general-requirements</v>
      </c>
      <c r="N39" s="9" t="str" cm="1">
        <f t="array" ref="N39">SECTION_NAME(B39)</f>
        <v>modifier-elements</v>
      </c>
      <c r="O39" s="10" t="str">
        <f t="shared" si="2"/>
        <v>SHOULD</v>
      </c>
      <c r="P39" s="10" t="str">
        <f t="shared" si="1"/>
        <v/>
      </c>
      <c r="V39" s="12" t="s">
        <v>78</v>
      </c>
    </row>
    <row r="40" spans="1:23" ht="85" x14ac:dyDescent="0.2">
      <c r="A40" s="7">
        <v>39</v>
      </c>
      <c r="B40" s="7" t="s">
        <v>822</v>
      </c>
      <c r="C40" s="8" t="s">
        <v>79</v>
      </c>
      <c r="D40" s="7" t="s">
        <v>29</v>
      </c>
      <c r="E40" s="7" t="s">
        <v>30</v>
      </c>
      <c r="G40" s="7" t="b">
        <v>1</v>
      </c>
      <c r="H40" s="12" t="s">
        <v>80</v>
      </c>
      <c r="M40" s="9" t="str" cm="1">
        <f t="array" ref="M40">PAGE_NAME(B40)</f>
        <v>general-requirements</v>
      </c>
      <c r="N40" s="9" t="str" cm="1">
        <f t="array" ref="N40">SECTION_NAME(B40)</f>
        <v>missing-data</v>
      </c>
      <c r="O40" s="10" t="str">
        <f t="shared" si="2"/>
        <v>SHALL</v>
      </c>
      <c r="P40" s="10" t="str">
        <f t="shared" si="1"/>
        <v/>
      </c>
      <c r="Q40" s="10" t="s">
        <v>81</v>
      </c>
      <c r="W40" s="6" t="s">
        <v>1140</v>
      </c>
    </row>
    <row r="41" spans="1:23" ht="68" x14ac:dyDescent="0.2">
      <c r="A41" s="7">
        <v>40</v>
      </c>
      <c r="B41" s="7" t="s">
        <v>822</v>
      </c>
      <c r="C41" s="8" t="s">
        <v>82</v>
      </c>
      <c r="D41" s="7" t="s">
        <v>29</v>
      </c>
      <c r="E41" s="7" t="s">
        <v>30</v>
      </c>
      <c r="G41" s="7" t="b">
        <v>1</v>
      </c>
      <c r="H41" s="12" t="s">
        <v>83</v>
      </c>
      <c r="M41" s="9" t="str" cm="1">
        <f t="array" ref="M41">PAGE_NAME(B41)</f>
        <v>general-requirements</v>
      </c>
      <c r="N41" s="9" t="str" cm="1">
        <f t="array" ref="N41">SECTION_NAME(B41)</f>
        <v>missing-data</v>
      </c>
      <c r="O41" s="10" t="str">
        <f t="shared" si="2"/>
        <v>SHALL</v>
      </c>
      <c r="P41" s="10" t="str">
        <f t="shared" si="1"/>
        <v/>
      </c>
      <c r="W41" s="6" t="s">
        <v>1140</v>
      </c>
    </row>
    <row r="42" spans="1:23" ht="85" x14ac:dyDescent="0.2">
      <c r="A42" s="7">
        <v>41</v>
      </c>
      <c r="B42" s="7" t="s">
        <v>822</v>
      </c>
      <c r="C42" s="8" t="s">
        <v>84</v>
      </c>
      <c r="D42" s="7" t="s">
        <v>29</v>
      </c>
      <c r="E42" s="7" t="s">
        <v>30</v>
      </c>
      <c r="G42" s="7" t="b">
        <v>1</v>
      </c>
      <c r="H42" s="12" t="s">
        <v>85</v>
      </c>
      <c r="M42" s="9" t="str" cm="1">
        <f t="array" ref="M42">PAGE_NAME(B42)</f>
        <v>general-requirements</v>
      </c>
      <c r="N42" s="9" t="str" cm="1">
        <f t="array" ref="N42">SECTION_NAME(B42)</f>
        <v>missing-data</v>
      </c>
      <c r="O42" s="10" t="str">
        <f t="shared" si="2"/>
        <v/>
      </c>
      <c r="P42" s="10" t="str">
        <f t="shared" si="1"/>
        <v/>
      </c>
      <c r="W42" s="6" t="s">
        <v>1140</v>
      </c>
    </row>
    <row r="43" spans="1:23" ht="85" x14ac:dyDescent="0.2">
      <c r="A43" s="7">
        <v>42</v>
      </c>
      <c r="B43" s="7" t="s">
        <v>822</v>
      </c>
      <c r="C43" s="8" t="s">
        <v>86</v>
      </c>
      <c r="D43" s="7" t="s">
        <v>29</v>
      </c>
      <c r="E43" s="7" t="s">
        <v>30</v>
      </c>
      <c r="G43" s="7" t="b">
        <v>1</v>
      </c>
      <c r="H43" s="12" t="s">
        <v>85</v>
      </c>
      <c r="M43" s="9" t="str" cm="1">
        <f t="array" ref="M43">PAGE_NAME(B43)</f>
        <v>general-requirements</v>
      </c>
      <c r="N43" s="9" t="str" cm="1">
        <f t="array" ref="N43">SECTION_NAME(B43)</f>
        <v>missing-data</v>
      </c>
      <c r="O43" s="10" t="str">
        <f t="shared" si="2"/>
        <v/>
      </c>
      <c r="P43" s="10" t="str">
        <f t="shared" si="1"/>
        <v/>
      </c>
      <c r="W43" s="6" t="s">
        <v>1140</v>
      </c>
    </row>
    <row r="44" spans="1:23" ht="102" x14ac:dyDescent="0.2">
      <c r="A44" s="7">
        <v>43</v>
      </c>
      <c r="B44" s="7" t="s">
        <v>822</v>
      </c>
      <c r="C44" s="8" t="s">
        <v>87</v>
      </c>
      <c r="D44" s="7" t="s">
        <v>29</v>
      </c>
      <c r="E44" s="7" t="s">
        <v>30</v>
      </c>
      <c r="F44" s="8" t="s">
        <v>1100</v>
      </c>
      <c r="G44" s="7" t="b">
        <v>1</v>
      </c>
      <c r="H44" s="12" t="s">
        <v>88</v>
      </c>
      <c r="M44" s="9" t="str" cm="1">
        <f t="array" ref="M44">PAGE_NAME(B44)</f>
        <v>general-requirements</v>
      </c>
      <c r="N44" s="9" t="str" cm="1">
        <f t="array" ref="N44">SECTION_NAME(B44)</f>
        <v>missing-data</v>
      </c>
      <c r="O44" s="10" t="str">
        <f t="shared" si="2"/>
        <v/>
      </c>
      <c r="P44" s="10" t="str">
        <f t="shared" si="1"/>
        <v/>
      </c>
      <c r="W44" s="6" t="s">
        <v>1140</v>
      </c>
    </row>
    <row r="45" spans="1:23" ht="85" x14ac:dyDescent="0.2">
      <c r="A45" s="7">
        <v>44</v>
      </c>
      <c r="B45" s="7" t="s">
        <v>822</v>
      </c>
      <c r="C45" s="8" t="s">
        <v>89</v>
      </c>
      <c r="D45" s="7" t="s">
        <v>29</v>
      </c>
      <c r="E45" s="7" t="s">
        <v>30</v>
      </c>
      <c r="G45" s="7" t="b">
        <v>1</v>
      </c>
      <c r="H45" s="12" t="s">
        <v>85</v>
      </c>
      <c r="M45" s="9" t="str" cm="1">
        <f t="array" ref="M45">PAGE_NAME(B45)</f>
        <v>general-requirements</v>
      </c>
      <c r="N45" s="9" t="str" cm="1">
        <f t="array" ref="N45">SECTION_NAME(B45)</f>
        <v>missing-data</v>
      </c>
      <c r="O45" s="10" t="str">
        <f t="shared" si="2"/>
        <v/>
      </c>
      <c r="P45" s="10" t="str">
        <f t="shared" si="1"/>
        <v/>
      </c>
      <c r="W45" s="6" t="s">
        <v>1140</v>
      </c>
    </row>
    <row r="46" spans="1:23" ht="136" x14ac:dyDescent="0.2">
      <c r="A46" s="7">
        <v>45</v>
      </c>
      <c r="B46" s="7" t="s">
        <v>822</v>
      </c>
      <c r="C46" s="8" t="s">
        <v>90</v>
      </c>
      <c r="D46" s="7" t="s">
        <v>29</v>
      </c>
      <c r="E46" s="7" t="s">
        <v>30</v>
      </c>
      <c r="G46" s="7" t="b">
        <v>1</v>
      </c>
      <c r="H46" s="12" t="s">
        <v>85</v>
      </c>
      <c r="M46" s="9" t="str" cm="1">
        <f t="array" ref="M46">PAGE_NAME(B46)</f>
        <v>general-requirements</v>
      </c>
      <c r="N46" s="9" t="str" cm="1">
        <f t="array" ref="N46">SECTION_NAME(B46)</f>
        <v>missing-data</v>
      </c>
      <c r="O46" s="10" t="str">
        <f t="shared" si="2"/>
        <v/>
      </c>
      <c r="P46" s="10" t="str">
        <f t="shared" si="1"/>
        <v/>
      </c>
      <c r="W46" s="6" t="s">
        <v>1140</v>
      </c>
    </row>
    <row r="47" spans="1:23" ht="68" x14ac:dyDescent="0.2">
      <c r="A47" s="7">
        <v>46</v>
      </c>
      <c r="B47" s="7" t="s">
        <v>822</v>
      </c>
      <c r="C47" s="8" t="s">
        <v>91</v>
      </c>
      <c r="D47" s="7" t="s">
        <v>29</v>
      </c>
      <c r="E47" s="7" t="s">
        <v>30</v>
      </c>
      <c r="G47" s="7" t="b">
        <v>1</v>
      </c>
      <c r="H47" s="12" t="s">
        <v>85</v>
      </c>
      <c r="M47" s="9" t="str" cm="1">
        <f t="array" ref="M47">PAGE_NAME(B47)</f>
        <v>general-requirements</v>
      </c>
      <c r="N47" s="9" t="str" cm="1">
        <f t="array" ref="N47">SECTION_NAME(B47)</f>
        <v>missing-data</v>
      </c>
      <c r="O47" s="10" t="str">
        <f t="shared" si="2"/>
        <v/>
      </c>
      <c r="P47" s="10" t="str">
        <f t="shared" si="1"/>
        <v/>
      </c>
      <c r="W47" s="6" t="s">
        <v>1140</v>
      </c>
    </row>
    <row r="48" spans="1:23" ht="238" x14ac:dyDescent="0.2">
      <c r="A48" s="7">
        <v>47</v>
      </c>
      <c r="B48" s="7" t="s">
        <v>822</v>
      </c>
      <c r="C48" s="8" t="s">
        <v>92</v>
      </c>
      <c r="D48" s="7" t="s">
        <v>29</v>
      </c>
      <c r="E48" s="7" t="s">
        <v>30</v>
      </c>
      <c r="G48" s="7" t="b">
        <v>1</v>
      </c>
      <c r="H48" s="12" t="s">
        <v>93</v>
      </c>
      <c r="M48" s="9" t="str" cm="1">
        <f t="array" ref="M48">PAGE_NAME(B48)</f>
        <v>general-requirements</v>
      </c>
      <c r="N48" s="9" t="str" cm="1">
        <f t="array" ref="N48">SECTION_NAME(B48)</f>
        <v>missing-data</v>
      </c>
      <c r="O48" s="10" t="str">
        <f t="shared" si="2"/>
        <v/>
      </c>
      <c r="P48" s="10" t="str">
        <f t="shared" si="1"/>
        <v/>
      </c>
      <c r="W48" s="6" t="s">
        <v>1140</v>
      </c>
    </row>
    <row r="49" spans="1:23" ht="170" x14ac:dyDescent="0.2">
      <c r="A49" s="7">
        <v>48</v>
      </c>
      <c r="B49" s="7" t="s">
        <v>822</v>
      </c>
      <c r="C49" s="8" t="s">
        <v>94</v>
      </c>
      <c r="D49" s="7" t="s">
        <v>29</v>
      </c>
      <c r="E49" s="7" t="s">
        <v>30</v>
      </c>
      <c r="G49" s="7" t="b">
        <v>1</v>
      </c>
      <c r="H49" s="12" t="s">
        <v>95</v>
      </c>
      <c r="M49" s="9" t="str" cm="1">
        <f t="array" ref="M49">PAGE_NAME(B49)</f>
        <v>general-requirements</v>
      </c>
      <c r="N49" s="9" t="str" cm="1">
        <f t="array" ref="N49">SECTION_NAME(B49)</f>
        <v>missing-data</v>
      </c>
      <c r="O49" s="10" t="str">
        <f t="shared" si="2"/>
        <v>SHALL</v>
      </c>
      <c r="P49" s="10" t="str">
        <f t="shared" si="1"/>
        <v/>
      </c>
      <c r="W49" s="6" t="s">
        <v>1141</v>
      </c>
    </row>
    <row r="50" spans="1:23" ht="170" x14ac:dyDescent="0.2">
      <c r="A50" s="7">
        <v>49</v>
      </c>
      <c r="B50" s="7" t="s">
        <v>822</v>
      </c>
      <c r="C50" s="8" t="s">
        <v>96</v>
      </c>
      <c r="D50" s="7" t="s">
        <v>29</v>
      </c>
      <c r="E50" s="7" t="s">
        <v>30</v>
      </c>
      <c r="G50" s="7" t="b">
        <v>1</v>
      </c>
      <c r="H50" s="12" t="s">
        <v>95</v>
      </c>
      <c r="M50" s="9" t="str" cm="1">
        <f t="array" ref="M50">PAGE_NAME(B50)</f>
        <v>general-requirements</v>
      </c>
      <c r="N50" s="9" t="str" cm="1">
        <f t="array" ref="N50">SECTION_NAME(B50)</f>
        <v>missing-data</v>
      </c>
      <c r="O50" s="10" t="str">
        <f t="shared" si="2"/>
        <v>SHALL</v>
      </c>
      <c r="P50" s="10" t="str">
        <f t="shared" si="1"/>
        <v/>
      </c>
      <c r="W50" s="6" t="s">
        <v>1141</v>
      </c>
    </row>
    <row r="51" spans="1:23" ht="170" x14ac:dyDescent="0.2">
      <c r="A51" s="7">
        <v>50</v>
      </c>
      <c r="B51" s="7" t="s">
        <v>822</v>
      </c>
      <c r="C51" s="8" t="s">
        <v>97</v>
      </c>
      <c r="D51" s="7" t="s">
        <v>32</v>
      </c>
      <c r="E51" s="7" t="s">
        <v>30</v>
      </c>
      <c r="G51" s="7" t="b">
        <v>1</v>
      </c>
      <c r="H51" s="12" t="s">
        <v>95</v>
      </c>
      <c r="M51" s="9" t="str" cm="1">
        <f t="array" ref="M51">PAGE_NAME(B51)</f>
        <v>general-requirements</v>
      </c>
      <c r="N51" s="9" t="str" cm="1">
        <f t="array" ref="N51">SECTION_NAME(B51)</f>
        <v>missing-data</v>
      </c>
      <c r="O51" s="10" t="str">
        <f t="shared" si="2"/>
        <v>SHOULD</v>
      </c>
      <c r="P51" s="10" t="str">
        <f t="shared" si="1"/>
        <v/>
      </c>
    </row>
    <row r="52" spans="1:23" ht="68" x14ac:dyDescent="0.2">
      <c r="A52" s="7">
        <v>51</v>
      </c>
      <c r="B52" s="7" t="s">
        <v>823</v>
      </c>
      <c r="C52" s="8" t="s">
        <v>970</v>
      </c>
      <c r="D52" s="7" t="s">
        <v>29</v>
      </c>
      <c r="E52" s="7" t="s">
        <v>30</v>
      </c>
      <c r="G52" s="7" t="b">
        <v>0</v>
      </c>
      <c r="M52" s="9" t="str" cm="1">
        <f t="array" ref="M52">PAGE_NAME(B52)</f>
        <v>general-requirements</v>
      </c>
      <c r="N52" s="9" t="str" cm="1">
        <f t="array" ref="N52">SECTION_NAME(B52)</f>
        <v>fhir-restful-search-api-requirements</v>
      </c>
      <c r="O52" s="10" t="str">
        <f t="shared" si="2"/>
        <v>SHALL</v>
      </c>
      <c r="P52" s="10" t="str">
        <f t="shared" si="1"/>
        <v>Server</v>
      </c>
      <c r="W52" s="6" t="s">
        <v>1140</v>
      </c>
    </row>
    <row r="53" spans="1:23" ht="34" x14ac:dyDescent="0.2">
      <c r="A53" s="7">
        <v>52</v>
      </c>
      <c r="B53" s="7" t="s">
        <v>823</v>
      </c>
      <c r="C53" s="8" t="s">
        <v>971</v>
      </c>
      <c r="D53" s="7" t="s">
        <v>29</v>
      </c>
      <c r="E53" s="7" t="s">
        <v>30</v>
      </c>
      <c r="G53" s="7" t="b">
        <v>0</v>
      </c>
      <c r="M53" s="9" t="str" cm="1">
        <f t="array" ref="M53">PAGE_NAME(B53)</f>
        <v>general-requirements</v>
      </c>
      <c r="N53" s="9" t="str" cm="1">
        <f t="array" ref="N53">SECTION_NAME(B53)</f>
        <v>fhir-restful-search-api-requirements</v>
      </c>
      <c r="O53" s="10" t="str">
        <f t="shared" si="2"/>
        <v>SHALL</v>
      </c>
      <c r="P53" s="10" t="str">
        <f t="shared" si="1"/>
        <v>Server</v>
      </c>
      <c r="W53" s="6" t="s">
        <v>1140</v>
      </c>
    </row>
    <row r="54" spans="1:23" ht="51" x14ac:dyDescent="0.2">
      <c r="A54" s="7">
        <v>53</v>
      </c>
      <c r="B54" s="7" t="s">
        <v>823</v>
      </c>
      <c r="C54" s="8" t="s">
        <v>907</v>
      </c>
      <c r="D54" s="7" t="s">
        <v>29</v>
      </c>
      <c r="E54" s="7" t="s">
        <v>58</v>
      </c>
      <c r="G54" s="7" t="b">
        <v>0</v>
      </c>
      <c r="M54" s="9" t="str" cm="1">
        <f t="array" ref="M54">PAGE_NAME(B54)</f>
        <v>general-requirements</v>
      </c>
      <c r="N54" s="9" t="str" cm="1">
        <f t="array" ref="N54">SECTION_NAME(B54)</f>
        <v>fhir-restful-search-api-requirements</v>
      </c>
      <c r="O54" s="10" t="str">
        <f t="shared" si="2"/>
        <v>SHALL</v>
      </c>
      <c r="P54" s="10" t="str">
        <f t="shared" si="1"/>
        <v>Client</v>
      </c>
    </row>
    <row r="55" spans="1:23" ht="51" x14ac:dyDescent="0.2">
      <c r="A55" s="7">
        <v>54</v>
      </c>
      <c r="B55" s="7" t="s">
        <v>823</v>
      </c>
      <c r="C55" s="8" t="s">
        <v>908</v>
      </c>
      <c r="D55" s="7" t="s">
        <v>35</v>
      </c>
      <c r="E55" s="7" t="s">
        <v>58</v>
      </c>
      <c r="G55" s="7" t="b">
        <v>0</v>
      </c>
      <c r="M55" s="9" t="str" cm="1">
        <f t="array" ref="M55">PAGE_NAME(B55)</f>
        <v>general-requirements</v>
      </c>
      <c r="N55" s="9" t="str" cm="1">
        <f t="array" ref="N55">SECTION_NAME(B55)</f>
        <v>fhir-restful-search-api-requirements</v>
      </c>
      <c r="O55" s="10" t="str">
        <f t="shared" si="2"/>
        <v>MAY</v>
      </c>
      <c r="P55" s="10" t="str">
        <f t="shared" si="1"/>
        <v>Client</v>
      </c>
    </row>
    <row r="56" spans="1:23" ht="51" x14ac:dyDescent="0.2">
      <c r="A56" s="7">
        <v>55</v>
      </c>
      <c r="B56" s="7" t="s">
        <v>823</v>
      </c>
      <c r="C56" s="8" t="s">
        <v>972</v>
      </c>
      <c r="D56" s="7" t="s">
        <v>29</v>
      </c>
      <c r="E56" s="7" t="s">
        <v>30</v>
      </c>
      <c r="G56" s="7" t="b">
        <v>0</v>
      </c>
      <c r="M56" s="9" t="str" cm="1">
        <f t="array" ref="M56">PAGE_NAME(B56)</f>
        <v>general-requirements</v>
      </c>
      <c r="N56" s="9" t="str" cm="1">
        <f t="array" ref="N56">SECTION_NAME(B56)</f>
        <v>fhir-restful-search-api-requirements</v>
      </c>
      <c r="O56" s="10" t="str">
        <f t="shared" si="2"/>
        <v>SHALL</v>
      </c>
      <c r="P56" s="10" t="str">
        <f t="shared" si="1"/>
        <v>Server</v>
      </c>
      <c r="W56" s="6" t="s">
        <v>1140</v>
      </c>
    </row>
    <row r="57" spans="1:23" ht="68" x14ac:dyDescent="0.2">
      <c r="A57" s="7">
        <v>56</v>
      </c>
      <c r="B57" s="7" t="s">
        <v>823</v>
      </c>
      <c r="C57" s="8" t="s">
        <v>909</v>
      </c>
      <c r="D57" s="7" t="s">
        <v>29</v>
      </c>
      <c r="E57" s="7" t="s">
        <v>58</v>
      </c>
      <c r="G57" s="7" t="b">
        <v>0</v>
      </c>
      <c r="M57" s="9" t="str" cm="1">
        <f t="array" ref="M57">PAGE_NAME(B57)</f>
        <v>general-requirements</v>
      </c>
      <c r="N57" s="9" t="str" cm="1">
        <f t="array" ref="N57">SECTION_NAME(B57)</f>
        <v>fhir-restful-search-api-requirements</v>
      </c>
      <c r="O57" s="10" t="str">
        <f t="shared" si="2"/>
        <v>SHALL</v>
      </c>
      <c r="P57" s="10" t="str">
        <f t="shared" si="1"/>
        <v>Client</v>
      </c>
    </row>
    <row r="58" spans="1:23" ht="68" x14ac:dyDescent="0.2">
      <c r="A58" s="7">
        <v>57</v>
      </c>
      <c r="B58" s="7" t="s">
        <v>823</v>
      </c>
      <c r="C58" s="8" t="s">
        <v>910</v>
      </c>
      <c r="D58" s="7" t="s">
        <v>35</v>
      </c>
      <c r="E58" s="7" t="s">
        <v>58</v>
      </c>
      <c r="G58" s="7" t="b">
        <v>0</v>
      </c>
      <c r="M58" s="9" t="str" cm="1">
        <f t="array" ref="M58">PAGE_NAME(B58)</f>
        <v>general-requirements</v>
      </c>
      <c r="N58" s="9" t="str" cm="1">
        <f t="array" ref="N58">SECTION_NAME(B58)</f>
        <v>fhir-restful-search-api-requirements</v>
      </c>
      <c r="O58" s="10" t="str">
        <f t="shared" si="2"/>
        <v>MAY</v>
      </c>
      <c r="P58" s="10" t="str">
        <f t="shared" si="1"/>
        <v>Client</v>
      </c>
    </row>
    <row r="59" spans="1:23" ht="68" x14ac:dyDescent="0.2">
      <c r="A59" s="7">
        <v>58</v>
      </c>
      <c r="B59" s="7" t="s">
        <v>823</v>
      </c>
      <c r="C59" s="8" t="s">
        <v>973</v>
      </c>
      <c r="D59" s="7" t="s">
        <v>29</v>
      </c>
      <c r="E59" s="7" t="s">
        <v>30</v>
      </c>
      <c r="G59" s="7" t="b">
        <v>0</v>
      </c>
      <c r="M59" s="9" t="str" cm="1">
        <f t="array" ref="M59">PAGE_NAME(B59)</f>
        <v>general-requirements</v>
      </c>
      <c r="N59" s="9" t="str" cm="1">
        <f t="array" ref="N59">SECTION_NAME(B59)</f>
        <v>fhir-restful-search-api-requirements</v>
      </c>
      <c r="O59" s="10" t="str">
        <f t="shared" si="2"/>
        <v>SHALL</v>
      </c>
      <c r="P59" s="10" t="str">
        <f t="shared" si="1"/>
        <v>Server</v>
      </c>
      <c r="W59" s="6" t="s">
        <v>1140</v>
      </c>
    </row>
    <row r="60" spans="1:23" ht="68" x14ac:dyDescent="0.2">
      <c r="A60" s="7">
        <v>59</v>
      </c>
      <c r="B60" s="7" t="s">
        <v>823</v>
      </c>
      <c r="C60" s="8" t="s">
        <v>911</v>
      </c>
      <c r="D60" s="7" t="s">
        <v>29</v>
      </c>
      <c r="E60" s="7" t="s">
        <v>58</v>
      </c>
      <c r="G60" s="7" t="b">
        <v>0</v>
      </c>
      <c r="M60" s="9" t="str" cm="1">
        <f t="array" ref="M60">PAGE_NAME(B60)</f>
        <v>general-requirements</v>
      </c>
      <c r="N60" s="9" t="str" cm="1">
        <f t="array" ref="N60">SECTION_NAME(B60)</f>
        <v>fhir-restful-search-api-requirements</v>
      </c>
      <c r="O60" s="10" t="str">
        <f t="shared" si="2"/>
        <v>SHALL</v>
      </c>
      <c r="P60" s="10" t="str">
        <f t="shared" si="1"/>
        <v>Client</v>
      </c>
    </row>
    <row r="61" spans="1:23" ht="68" x14ac:dyDescent="0.2">
      <c r="A61" s="7">
        <v>60</v>
      </c>
      <c r="B61" s="7" t="s">
        <v>823</v>
      </c>
      <c r="C61" s="8" t="s">
        <v>912</v>
      </c>
      <c r="D61" s="7" t="s">
        <v>29</v>
      </c>
      <c r="E61" s="7" t="s">
        <v>58</v>
      </c>
      <c r="G61" s="7" t="b">
        <v>0</v>
      </c>
      <c r="M61" s="9" t="str" cm="1">
        <f t="array" ref="M61">PAGE_NAME(B61)</f>
        <v>general-requirements</v>
      </c>
      <c r="N61" s="9" t="str" cm="1">
        <f t="array" ref="N61">SECTION_NAME(B61)</f>
        <v>fhir-restful-search-api-requirements</v>
      </c>
      <c r="O61" s="10" t="str">
        <f t="shared" si="2"/>
        <v>SHALL</v>
      </c>
      <c r="P61" s="10" t="str">
        <f t="shared" si="1"/>
        <v>Client</v>
      </c>
      <c r="T61" s="12"/>
    </row>
    <row r="62" spans="1:23" ht="68" x14ac:dyDescent="0.2">
      <c r="A62" s="7">
        <v>61</v>
      </c>
      <c r="B62" s="7" t="s">
        <v>823</v>
      </c>
      <c r="C62" s="8" t="s">
        <v>974</v>
      </c>
      <c r="D62" s="7" t="s">
        <v>29</v>
      </c>
      <c r="E62" s="7" t="s">
        <v>30</v>
      </c>
      <c r="G62" s="7" t="b">
        <v>0</v>
      </c>
      <c r="M62" s="9" t="str" cm="1">
        <f t="array" ref="M62">PAGE_NAME(B62)</f>
        <v>general-requirements</v>
      </c>
      <c r="N62" s="9" t="str" cm="1">
        <f t="array" ref="N62">SECTION_NAME(B62)</f>
        <v>fhir-restful-search-api-requirements</v>
      </c>
      <c r="O62" s="10" t="str">
        <f t="shared" si="2"/>
        <v>SHALL</v>
      </c>
      <c r="P62" s="10" t="str">
        <f t="shared" si="1"/>
        <v>Server</v>
      </c>
      <c r="W62" s="6" t="s">
        <v>1140</v>
      </c>
    </row>
    <row r="63" spans="1:23" ht="68" x14ac:dyDescent="0.2">
      <c r="A63" s="7">
        <v>62</v>
      </c>
      <c r="B63" s="7" t="s">
        <v>823</v>
      </c>
      <c r="C63" s="8" t="s">
        <v>975</v>
      </c>
      <c r="D63" s="7" t="s">
        <v>29</v>
      </c>
      <c r="E63" s="7" t="s">
        <v>30</v>
      </c>
      <c r="G63" s="7" t="b">
        <v>0</v>
      </c>
      <c r="M63" s="9" t="str" cm="1">
        <f t="array" ref="M63">PAGE_NAME(B63)</f>
        <v>general-requirements</v>
      </c>
      <c r="N63" s="9" t="str" cm="1">
        <f t="array" ref="N63">SECTION_NAME(B63)</f>
        <v>fhir-restful-search-api-requirements</v>
      </c>
      <c r="O63" s="10" t="str">
        <f t="shared" si="2"/>
        <v>SHALL</v>
      </c>
      <c r="P63" s="10" t="str">
        <f t="shared" si="1"/>
        <v>Server</v>
      </c>
      <c r="W63" s="6" t="s">
        <v>1140</v>
      </c>
    </row>
    <row r="64" spans="1:23" ht="34" x14ac:dyDescent="0.2">
      <c r="A64" s="7">
        <v>63</v>
      </c>
      <c r="B64" s="7" t="s">
        <v>976</v>
      </c>
      <c r="C64" s="8" t="s">
        <v>98</v>
      </c>
      <c r="D64" s="7" t="s">
        <v>32</v>
      </c>
      <c r="E64" s="7" t="s">
        <v>30</v>
      </c>
      <c r="G64" s="7" t="b">
        <v>0</v>
      </c>
      <c r="M64" s="9" t="str" cm="1">
        <f t="array" ref="M64">PAGE_NAME(B64)</f>
        <v>general-requirements</v>
      </c>
      <c r="N64" s="9" t="str" cm="1">
        <f t="array" ref="N64">SECTION_NAME(B64)</f>
        <v>search-for-Servers-requiring-status</v>
      </c>
      <c r="O64" s="10" t="str">
        <f t="shared" si="2"/>
        <v/>
      </c>
      <c r="P64" s="10" t="str">
        <f t="shared" si="1"/>
        <v>Server</v>
      </c>
    </row>
    <row r="65" spans="1:23" ht="85" x14ac:dyDescent="0.2">
      <c r="A65" s="7">
        <v>64</v>
      </c>
      <c r="B65" s="7" t="s">
        <v>976</v>
      </c>
      <c r="C65" s="8" t="s">
        <v>99</v>
      </c>
      <c r="D65" s="7" t="s">
        <v>29</v>
      </c>
      <c r="E65" s="7" t="s">
        <v>30</v>
      </c>
      <c r="F65" s="8" t="s">
        <v>1101</v>
      </c>
      <c r="G65" s="7" t="b">
        <v>1</v>
      </c>
      <c r="H65" s="12" t="s">
        <v>100</v>
      </c>
      <c r="M65" s="9" t="str" cm="1">
        <f t="array" ref="M65">PAGE_NAME(B65)</f>
        <v>general-requirements</v>
      </c>
      <c r="N65" s="9" t="str" cm="1">
        <f t="array" ref="N65">SECTION_NAME(B65)</f>
        <v>search-for-Servers-requiring-status</v>
      </c>
      <c r="O65" s="10" t="str">
        <f t="shared" si="2"/>
        <v>SHALL</v>
      </c>
      <c r="P65" s="10" t="str">
        <f t="shared" si="1"/>
        <v/>
      </c>
      <c r="W65" s="6" t="s">
        <v>1141</v>
      </c>
    </row>
    <row r="66" spans="1:23" ht="68" x14ac:dyDescent="0.2">
      <c r="A66" s="7">
        <v>65</v>
      </c>
      <c r="B66" s="7" t="s">
        <v>976</v>
      </c>
      <c r="C66" s="8" t="s">
        <v>913</v>
      </c>
      <c r="D66" s="7" t="s">
        <v>35</v>
      </c>
      <c r="E66" s="7" t="s">
        <v>30</v>
      </c>
      <c r="G66" s="7" t="b">
        <v>0</v>
      </c>
      <c r="M66" s="9" t="str" cm="1">
        <f t="array" ref="M66">PAGE_NAME(B66)</f>
        <v>general-requirements</v>
      </c>
      <c r="N66" s="9" t="str" cm="1">
        <f t="array" ref="N66">SECTION_NAME(B66)</f>
        <v>search-for-Servers-requiring-status</v>
      </c>
      <c r="O66" s="10" t="str">
        <f t="shared" si="2"/>
        <v>MAY</v>
      </c>
      <c r="P66" s="10" t="str">
        <f t="shared" ref="P66:P129" si="3">IF(ISNUMBER(SEARCH("Server", C66)), "Server", IF(ISNUMBER(SEARCH("Server", C66)), "Server", IF(ISNUMBER(SEARCH("Client", C66)), "Client", IF(ISNUMBER(SEARCH("Client", C66)), "Client", IF(ISNUMBER(SEARCH("US Core Responder", C66)), "Server", IF(ISNUMBER(SEARCH("US Core Requestor", C66)), "Client", ""))))))</f>
        <v>Client</v>
      </c>
    </row>
    <row r="67" spans="1:23" ht="85" x14ac:dyDescent="0.2">
      <c r="A67" s="7">
        <v>66</v>
      </c>
      <c r="B67" s="58" t="s">
        <v>976</v>
      </c>
      <c r="C67" s="8" t="s">
        <v>914</v>
      </c>
      <c r="D67" s="7" t="s">
        <v>29</v>
      </c>
      <c r="E67" s="7" t="s">
        <v>30</v>
      </c>
      <c r="G67" s="7" t="b">
        <v>0</v>
      </c>
      <c r="M67" s="9" t="str" cm="1">
        <f t="array" ref="M67">PAGE_NAME(B67)</f>
        <v>general-requirements</v>
      </c>
      <c r="N67" s="9" t="str" cm="1">
        <f t="array" ref="N67">SECTION_NAME(B67)</f>
        <v>search-for-Servers-requiring-status</v>
      </c>
      <c r="O67" s="10" t="str">
        <f t="shared" ref="O67:O130" si="4">IF(ISNUMBER(SEARCH("MAY", C67)), "MAY", IF(ISNUMBER(SEARCH("SHOULD", C67)), "SHOULD", IF(ISNUMBER(SEARCH("SHALL", C67)), "SHALL", IF(ISNUMBER(SEARCH("SHOULD NOT", C67)), "SHOULD NOT", IF(ISNUMBER(SEARCH("SHALL NOT", C67)), "SHALL NOT", "")))))</f>
        <v>SHALL</v>
      </c>
      <c r="P67" s="10" t="str">
        <f t="shared" si="3"/>
        <v>Client</v>
      </c>
      <c r="W67" s="6" t="s">
        <v>1140</v>
      </c>
    </row>
    <row r="68" spans="1:23" ht="119" x14ac:dyDescent="0.2">
      <c r="A68" s="7">
        <v>67</v>
      </c>
      <c r="B68" s="7" t="s">
        <v>976</v>
      </c>
      <c r="C68" s="8" t="s">
        <v>915</v>
      </c>
      <c r="D68" s="7" t="s">
        <v>29</v>
      </c>
      <c r="E68" s="7" t="s">
        <v>30</v>
      </c>
      <c r="G68" s="7" t="b">
        <v>0</v>
      </c>
      <c r="M68" s="9" t="str" cm="1">
        <f t="array" ref="M68">PAGE_NAME(B68)</f>
        <v>general-requirements</v>
      </c>
      <c r="N68" s="9" t="str" cm="1">
        <f t="array" ref="N68">SECTION_NAME(B68)</f>
        <v>search-for-Servers-requiring-status</v>
      </c>
      <c r="O68" s="10" t="str">
        <f t="shared" si="4"/>
        <v>SHALL</v>
      </c>
      <c r="P68" s="10" t="str">
        <f t="shared" si="3"/>
        <v>Client</v>
      </c>
      <c r="W68" s="6" t="s">
        <v>1140</v>
      </c>
    </row>
    <row r="69" spans="1:23" ht="85" x14ac:dyDescent="0.2">
      <c r="A69" s="7">
        <v>68</v>
      </c>
      <c r="B69" s="7" t="s">
        <v>976</v>
      </c>
      <c r="C69" s="8" t="s">
        <v>916</v>
      </c>
      <c r="D69" s="7" t="s">
        <v>29</v>
      </c>
      <c r="E69" s="7" t="s">
        <v>30</v>
      </c>
      <c r="G69" s="7" t="b">
        <v>0</v>
      </c>
      <c r="M69" s="9" t="str" cm="1">
        <f t="array" ref="M69">PAGE_NAME(B69)</f>
        <v>general-requirements</v>
      </c>
      <c r="N69" s="9" t="str" cm="1">
        <f t="array" ref="N69">SECTION_NAME(B69)</f>
        <v>search-for-Servers-requiring-status</v>
      </c>
      <c r="O69" s="10" t="str">
        <f t="shared" si="4"/>
        <v>SHALL</v>
      </c>
      <c r="P69" s="10" t="str">
        <f t="shared" si="3"/>
        <v>Client</v>
      </c>
      <c r="W69" s="6" t="s">
        <v>1140</v>
      </c>
    </row>
    <row r="70" spans="1:23" ht="51" x14ac:dyDescent="0.2">
      <c r="A70" s="7">
        <v>69</v>
      </c>
      <c r="B70" s="7" t="s">
        <v>976</v>
      </c>
      <c r="C70" s="8" t="s">
        <v>917</v>
      </c>
      <c r="D70" s="7" t="s">
        <v>54</v>
      </c>
      <c r="E70" s="7" t="s">
        <v>30</v>
      </c>
      <c r="G70" s="7" t="b">
        <v>0</v>
      </c>
      <c r="M70" s="9" t="str" cm="1">
        <f t="array" ref="M70">PAGE_NAME(B70)</f>
        <v>general-requirements</v>
      </c>
      <c r="N70" s="9" t="str" cm="1">
        <f t="array" ref="N70">SECTION_NAME(B70)</f>
        <v>search-for-Servers-requiring-status</v>
      </c>
      <c r="O70" s="10" t="str">
        <f t="shared" si="4"/>
        <v>SHALL</v>
      </c>
      <c r="P70" s="10" t="str">
        <f t="shared" si="3"/>
        <v>Client</v>
      </c>
      <c r="W70" s="6" t="s">
        <v>1140</v>
      </c>
    </row>
    <row r="71" spans="1:23" ht="68" x14ac:dyDescent="0.2">
      <c r="A71" s="7">
        <v>70</v>
      </c>
      <c r="B71" s="7" t="s">
        <v>976</v>
      </c>
      <c r="C71" s="8" t="s">
        <v>101</v>
      </c>
      <c r="D71" s="7" t="s">
        <v>32</v>
      </c>
      <c r="E71" s="7" t="s">
        <v>30</v>
      </c>
      <c r="G71" s="7" t="b">
        <v>1</v>
      </c>
      <c r="H71" s="12" t="s">
        <v>102</v>
      </c>
      <c r="M71" s="9" t="str" cm="1">
        <f t="array" ref="M71">PAGE_NAME(B71)</f>
        <v>general-requirements</v>
      </c>
      <c r="N71" s="9" t="str" cm="1">
        <f t="array" ref="N71">SECTION_NAME(B71)</f>
        <v>search-for-Servers-requiring-status</v>
      </c>
      <c r="O71" s="10" t="str">
        <f t="shared" si="4"/>
        <v>SHOULD</v>
      </c>
      <c r="P71" s="10" t="str">
        <f t="shared" si="3"/>
        <v/>
      </c>
    </row>
    <row r="72" spans="1:23" ht="68" x14ac:dyDescent="0.2">
      <c r="A72" s="7">
        <v>71</v>
      </c>
      <c r="B72" s="7" t="s">
        <v>976</v>
      </c>
      <c r="C72" s="8" t="s">
        <v>103</v>
      </c>
      <c r="D72" s="7" t="s">
        <v>32</v>
      </c>
      <c r="E72" s="7" t="s">
        <v>30</v>
      </c>
      <c r="G72" s="7" t="b">
        <v>1</v>
      </c>
      <c r="H72" s="12" t="s">
        <v>104</v>
      </c>
      <c r="M72" s="9" t="str" cm="1">
        <f t="array" ref="M72">PAGE_NAME(B72)</f>
        <v>general-requirements</v>
      </c>
      <c r="N72" s="9" t="str" cm="1">
        <f t="array" ref="N72">SECTION_NAME(B72)</f>
        <v>search-for-Servers-requiring-status</v>
      </c>
      <c r="O72" s="10" t="str">
        <f t="shared" si="4"/>
        <v>SHOULD</v>
      </c>
      <c r="P72" s="10" t="str">
        <f t="shared" si="3"/>
        <v/>
      </c>
    </row>
    <row r="73" spans="1:23" s="41" customFormat="1" ht="85" x14ac:dyDescent="0.2">
      <c r="A73" s="7">
        <v>72</v>
      </c>
      <c r="B73" s="7" t="s">
        <v>976</v>
      </c>
      <c r="C73" s="39" t="s">
        <v>918</v>
      </c>
      <c r="D73" s="7" t="s">
        <v>32</v>
      </c>
      <c r="E73" s="7" t="s">
        <v>30</v>
      </c>
      <c r="F73" s="8"/>
      <c r="G73" s="7" t="b">
        <v>1</v>
      </c>
      <c r="H73" s="12" t="s">
        <v>104</v>
      </c>
      <c r="I73" s="22"/>
      <c r="J73" s="22"/>
      <c r="K73" s="22"/>
      <c r="L73" s="22"/>
      <c r="M73" s="9" t="str" cm="1">
        <f t="array" ref="M73">PAGE_NAME(B73)</f>
        <v>general-requirements</v>
      </c>
      <c r="N73" s="9" t="str" cm="1">
        <f t="array" ref="N73">SECTION_NAME(B73)</f>
        <v>search-for-Servers-requiring-status</v>
      </c>
      <c r="O73" s="10" t="str">
        <f t="shared" si="4"/>
        <v>SHOULD</v>
      </c>
      <c r="P73" s="10" t="str">
        <f t="shared" si="3"/>
        <v>Client</v>
      </c>
      <c r="Q73" s="38"/>
      <c r="R73" s="38"/>
      <c r="S73" s="40"/>
      <c r="T73" s="38"/>
      <c r="U73" s="40"/>
      <c r="V73" s="40"/>
    </row>
    <row r="74" spans="1:23" s="36" customFormat="1" ht="136" x14ac:dyDescent="0.2">
      <c r="A74" s="7">
        <v>73</v>
      </c>
      <c r="B74" s="7" t="s">
        <v>976</v>
      </c>
      <c r="C74" s="32" t="s">
        <v>919</v>
      </c>
      <c r="D74" s="31" t="s">
        <v>29</v>
      </c>
      <c r="E74" s="31" t="s">
        <v>30</v>
      </c>
      <c r="F74" s="8"/>
      <c r="G74" s="31" t="b">
        <v>0</v>
      </c>
      <c r="H74" s="33"/>
      <c r="I74" s="34"/>
      <c r="J74" s="34"/>
      <c r="K74" s="34"/>
      <c r="L74" s="34"/>
      <c r="M74" s="9" t="str" cm="1">
        <f t="array" ref="M74">PAGE_NAME(B74)</f>
        <v>general-requirements</v>
      </c>
      <c r="N74" s="9" t="str" cm="1">
        <f t="array" ref="N74">SECTION_NAME(B74)</f>
        <v>search-for-Servers-requiring-status</v>
      </c>
      <c r="O74" s="10" t="str">
        <f t="shared" si="4"/>
        <v>SHALL</v>
      </c>
      <c r="P74" s="10" t="str">
        <f t="shared" si="3"/>
        <v>Client</v>
      </c>
      <c r="Q74" s="35"/>
      <c r="R74" s="35"/>
      <c r="S74" s="33"/>
      <c r="T74" s="35"/>
      <c r="U74" s="33"/>
      <c r="V74" s="33"/>
      <c r="W74" s="36" t="s">
        <v>1141</v>
      </c>
    </row>
    <row r="75" spans="1:23" s="36" customFormat="1" ht="34" x14ac:dyDescent="0.2">
      <c r="A75" s="7">
        <v>74</v>
      </c>
      <c r="B75" s="7" t="s">
        <v>612</v>
      </c>
      <c r="C75" s="32" t="s">
        <v>105</v>
      </c>
      <c r="D75" s="31" t="s">
        <v>29</v>
      </c>
      <c r="E75" s="31" t="s">
        <v>30</v>
      </c>
      <c r="F75" s="8"/>
      <c r="G75" s="31" t="b">
        <v>0</v>
      </c>
      <c r="H75" s="33"/>
      <c r="I75" s="34"/>
      <c r="J75" s="34"/>
      <c r="K75" s="34"/>
      <c r="L75" s="34"/>
      <c r="M75" s="9" t="str" cm="1">
        <f t="array" ref="M75">PAGE_NAME(B75)</f>
        <v>must-support</v>
      </c>
      <c r="N75" s="9" t="str" cm="1">
        <f t="array" ref="N75">SECTION_NAME(B75)</f>
        <v>must-support-elements</v>
      </c>
      <c r="O75" s="10" t="str">
        <f t="shared" si="4"/>
        <v/>
      </c>
      <c r="P75" s="10" t="str">
        <f t="shared" si="3"/>
        <v/>
      </c>
      <c r="Q75" s="35"/>
      <c r="R75" s="35"/>
      <c r="S75" s="33"/>
      <c r="T75" s="35"/>
      <c r="U75" s="33"/>
      <c r="V75" s="33"/>
      <c r="W75" s="36" t="s">
        <v>1140</v>
      </c>
    </row>
    <row r="76" spans="1:23" s="36" customFormat="1" ht="136" x14ac:dyDescent="0.2">
      <c r="A76" s="7">
        <v>75</v>
      </c>
      <c r="B76" s="7" t="s">
        <v>612</v>
      </c>
      <c r="C76" s="32" t="s">
        <v>977</v>
      </c>
      <c r="D76" s="31" t="s">
        <v>29</v>
      </c>
      <c r="E76" s="31" t="s">
        <v>30</v>
      </c>
      <c r="F76" s="8"/>
      <c r="G76" s="31" t="b">
        <v>1</v>
      </c>
      <c r="H76" s="33"/>
      <c r="I76" s="34"/>
      <c r="J76" s="34"/>
      <c r="K76" s="34"/>
      <c r="L76" s="34"/>
      <c r="M76" s="9" t="str" cm="1">
        <f t="array" ref="M76">PAGE_NAME(B76)</f>
        <v>must-support</v>
      </c>
      <c r="N76" s="9" t="str" cm="1">
        <f t="array" ref="N76">SECTION_NAME(B76)</f>
        <v>must-support-elements</v>
      </c>
      <c r="O76" s="10" t="str">
        <f t="shared" si="4"/>
        <v>SHALL</v>
      </c>
      <c r="P76" s="10" t="str">
        <f t="shared" si="3"/>
        <v>Server</v>
      </c>
      <c r="Q76" s="35" t="s">
        <v>106</v>
      </c>
      <c r="R76" s="35"/>
      <c r="S76" s="33"/>
      <c r="T76" s="35"/>
      <c r="U76" s="33"/>
      <c r="V76" s="33" t="s">
        <v>107</v>
      </c>
      <c r="W76" s="36" t="s">
        <v>1140</v>
      </c>
    </row>
    <row r="77" spans="1:23" ht="102" x14ac:dyDescent="0.2">
      <c r="A77" s="7">
        <v>76</v>
      </c>
      <c r="B77" s="7" t="s">
        <v>612</v>
      </c>
      <c r="C77" s="8" t="s">
        <v>108</v>
      </c>
      <c r="D77" s="7" t="s">
        <v>29</v>
      </c>
      <c r="E77" s="7" t="s">
        <v>58</v>
      </c>
      <c r="G77" s="31" t="b">
        <v>0</v>
      </c>
      <c r="M77" s="9" t="str" cm="1">
        <f t="array" ref="M77">PAGE_NAME(B77)</f>
        <v>must-support</v>
      </c>
      <c r="N77" s="9" t="str" cm="1">
        <f t="array" ref="N77">SECTION_NAME(B77)</f>
        <v>must-support-elements</v>
      </c>
      <c r="O77" s="10" t="str">
        <f t="shared" si="4"/>
        <v>SHALL</v>
      </c>
      <c r="P77" s="10" t="str">
        <f t="shared" si="3"/>
        <v>Client</v>
      </c>
      <c r="Q77" s="10" t="s">
        <v>106</v>
      </c>
    </row>
    <row r="78" spans="1:23" ht="85" x14ac:dyDescent="0.2">
      <c r="A78" s="7">
        <v>77</v>
      </c>
      <c r="B78" s="7" t="s">
        <v>612</v>
      </c>
      <c r="C78" s="8" t="s">
        <v>109</v>
      </c>
      <c r="D78" s="7" t="s">
        <v>64</v>
      </c>
      <c r="E78" s="7" t="s">
        <v>58</v>
      </c>
      <c r="G78" s="31" t="b">
        <v>0</v>
      </c>
      <c r="M78" s="9" t="str" cm="1">
        <f t="array" ref="M78">PAGE_NAME(B78)</f>
        <v>must-support</v>
      </c>
      <c r="N78" s="9" t="str" cm="1">
        <f t="array" ref="N78">SECTION_NAME(B78)</f>
        <v>must-support-elements</v>
      </c>
      <c r="O78" s="10" t="str">
        <f t="shared" si="4"/>
        <v>SHOULD</v>
      </c>
      <c r="P78" s="10" t="str">
        <f t="shared" si="3"/>
        <v>Client</v>
      </c>
      <c r="V78" s="12" t="s">
        <v>646</v>
      </c>
    </row>
    <row r="79" spans="1:23" ht="119" x14ac:dyDescent="0.2">
      <c r="A79" s="7">
        <v>78</v>
      </c>
      <c r="B79" s="7" t="s">
        <v>612</v>
      </c>
      <c r="C79" s="8" t="s">
        <v>110</v>
      </c>
      <c r="D79" s="7" t="s">
        <v>54</v>
      </c>
      <c r="E79" s="7" t="s">
        <v>30</v>
      </c>
      <c r="G79" s="7" t="b">
        <v>1</v>
      </c>
      <c r="H79" s="12" t="s">
        <v>111</v>
      </c>
      <c r="M79" s="9" t="str" cm="1">
        <f t="array" ref="M79">PAGE_NAME(B79)</f>
        <v>must-support</v>
      </c>
      <c r="N79" s="9" t="str" cm="1">
        <f t="array" ref="N79">SECTION_NAME(B79)</f>
        <v>must-support-elements</v>
      </c>
      <c r="O79" s="10" t="str">
        <f t="shared" si="4"/>
        <v>SHALL</v>
      </c>
      <c r="P79" s="10" t="str">
        <f t="shared" si="3"/>
        <v>Server</v>
      </c>
      <c r="W79" s="6" t="s">
        <v>1141</v>
      </c>
    </row>
    <row r="80" spans="1:23" ht="119" x14ac:dyDescent="0.2">
      <c r="A80" s="7">
        <v>79</v>
      </c>
      <c r="B80" s="7" t="s">
        <v>612</v>
      </c>
      <c r="C80" s="8" t="s">
        <v>112</v>
      </c>
      <c r="D80" s="7" t="s">
        <v>29</v>
      </c>
      <c r="E80" s="7" t="s">
        <v>58</v>
      </c>
      <c r="G80" s="31" t="b">
        <v>0</v>
      </c>
      <c r="M80" s="9" t="str" cm="1">
        <f t="array" ref="M80">PAGE_NAME(B80)</f>
        <v>must-support</v>
      </c>
      <c r="N80" s="9" t="str" cm="1">
        <f t="array" ref="N80">SECTION_NAME(B80)</f>
        <v>must-support-elements</v>
      </c>
      <c r="O80" s="10" t="str">
        <f t="shared" si="4"/>
        <v>SHALL</v>
      </c>
      <c r="P80" s="10" t="str">
        <f t="shared" si="3"/>
        <v>Server</v>
      </c>
    </row>
    <row r="81" spans="1:23" ht="136" x14ac:dyDescent="0.2">
      <c r="A81" s="7">
        <v>80</v>
      </c>
      <c r="B81" s="7" t="s">
        <v>612</v>
      </c>
      <c r="C81" s="8" t="s">
        <v>113</v>
      </c>
      <c r="D81" s="7" t="s">
        <v>32</v>
      </c>
      <c r="E81" s="7" t="s">
        <v>30</v>
      </c>
      <c r="G81" s="7" t="b">
        <v>1</v>
      </c>
      <c r="H81" s="12" t="s">
        <v>114</v>
      </c>
      <c r="M81" s="9" t="str" cm="1">
        <f t="array" ref="M81">PAGE_NAME(B81)</f>
        <v>must-support</v>
      </c>
      <c r="N81" s="9" t="str" cm="1">
        <f t="array" ref="N81">SECTION_NAME(B81)</f>
        <v>must-support-elements</v>
      </c>
      <c r="O81" s="10" t="str">
        <f t="shared" si="4"/>
        <v>SHOULD</v>
      </c>
      <c r="P81" s="10" t="str">
        <f t="shared" si="3"/>
        <v>Server</v>
      </c>
    </row>
    <row r="82" spans="1:23" ht="119" x14ac:dyDescent="0.2">
      <c r="A82" s="7">
        <v>81</v>
      </c>
      <c r="B82" s="7" t="s">
        <v>612</v>
      </c>
      <c r="C82" s="8" t="s">
        <v>824</v>
      </c>
      <c r="D82" s="7" t="s">
        <v>32</v>
      </c>
      <c r="E82" s="7" t="s">
        <v>30</v>
      </c>
      <c r="F82" s="8" t="s">
        <v>1102</v>
      </c>
      <c r="G82" s="7" t="b">
        <v>1</v>
      </c>
      <c r="H82" s="12" t="s">
        <v>115</v>
      </c>
      <c r="M82" s="9" t="str" cm="1">
        <f t="array" ref="M82">PAGE_NAME(B82)</f>
        <v>must-support</v>
      </c>
      <c r="N82" s="9" t="str" cm="1">
        <f t="array" ref="N82">SECTION_NAME(B82)</f>
        <v>must-support-elements</v>
      </c>
      <c r="O82" s="10" t="str">
        <f t="shared" si="4"/>
        <v/>
      </c>
      <c r="P82" s="10" t="str">
        <f t="shared" si="3"/>
        <v/>
      </c>
    </row>
    <row r="83" spans="1:23" ht="102" x14ac:dyDescent="0.2">
      <c r="A83" s="7">
        <v>82</v>
      </c>
      <c r="B83" s="7" t="s">
        <v>612</v>
      </c>
      <c r="C83" s="8" t="s">
        <v>116</v>
      </c>
      <c r="D83" s="7" t="s">
        <v>29</v>
      </c>
      <c r="E83" s="7" t="s">
        <v>58</v>
      </c>
      <c r="G83" s="31" t="b">
        <v>0</v>
      </c>
      <c r="M83" s="9" t="str" cm="1">
        <f t="array" ref="M83">PAGE_NAME(B83)</f>
        <v>must-support</v>
      </c>
      <c r="N83" s="9" t="str" cm="1">
        <f t="array" ref="N83">SECTION_NAME(B83)</f>
        <v>must-support-elements</v>
      </c>
      <c r="O83" s="10" t="str">
        <f t="shared" si="4"/>
        <v>SHALL</v>
      </c>
      <c r="P83" s="10" t="str">
        <f t="shared" si="3"/>
        <v>Client</v>
      </c>
    </row>
    <row r="84" spans="1:23" ht="68" x14ac:dyDescent="0.2">
      <c r="A84" s="7">
        <v>83</v>
      </c>
      <c r="B84" s="7" t="s">
        <v>613</v>
      </c>
      <c r="C84" s="8" t="s">
        <v>648</v>
      </c>
      <c r="D84" s="7" t="s">
        <v>29</v>
      </c>
      <c r="E84" s="7" t="s">
        <v>58</v>
      </c>
      <c r="G84" s="7" t="b">
        <v>1</v>
      </c>
      <c r="H84" s="12" t="s">
        <v>117</v>
      </c>
      <c r="M84" s="9" t="str" cm="1">
        <f t="array" ref="M84">PAGE_NAME(B84)</f>
        <v>must-support</v>
      </c>
      <c r="N84" s="9" t="str" cm="1">
        <f t="array" ref="N84">SECTION_NAME(B84)</f>
        <v>additional-uscdi-requirements</v>
      </c>
      <c r="O84" s="10" t="str">
        <f t="shared" si="4"/>
        <v>SHALL</v>
      </c>
      <c r="P84" s="10" t="str">
        <f t="shared" si="3"/>
        <v>Client</v>
      </c>
      <c r="Q84" s="10" t="s">
        <v>118</v>
      </c>
      <c r="V84" s="12" t="s">
        <v>651</v>
      </c>
    </row>
    <row r="85" spans="1:23" ht="68" x14ac:dyDescent="0.2">
      <c r="A85" s="7">
        <v>84</v>
      </c>
      <c r="B85" s="7" t="s">
        <v>613</v>
      </c>
      <c r="C85" s="8" t="s">
        <v>649</v>
      </c>
      <c r="D85" s="7" t="s">
        <v>29</v>
      </c>
      <c r="E85" s="7" t="s">
        <v>30</v>
      </c>
      <c r="G85" s="7" t="b">
        <v>1</v>
      </c>
      <c r="H85" s="12" t="s">
        <v>119</v>
      </c>
      <c r="I85" s="22" t="s">
        <v>44</v>
      </c>
      <c r="K85" s="22" t="s">
        <v>45</v>
      </c>
      <c r="L85" s="22" t="s">
        <v>120</v>
      </c>
      <c r="M85" s="9" t="str" cm="1">
        <f t="array" ref="M85">PAGE_NAME(B85)</f>
        <v>must-support</v>
      </c>
      <c r="N85" s="9" t="str" cm="1">
        <f t="array" ref="N85">SECTION_NAME(B85)</f>
        <v>additional-uscdi-requirements</v>
      </c>
      <c r="O85" s="10" t="str">
        <f t="shared" si="4"/>
        <v>SHALL</v>
      </c>
      <c r="P85" s="10" t="str">
        <f t="shared" si="3"/>
        <v>Server</v>
      </c>
      <c r="Q85" s="10" t="s">
        <v>118</v>
      </c>
      <c r="V85" s="12" t="s">
        <v>650</v>
      </c>
      <c r="W85" s="6" t="s">
        <v>1140</v>
      </c>
    </row>
    <row r="86" spans="1:23" ht="68" x14ac:dyDescent="0.2">
      <c r="A86" s="7">
        <v>85</v>
      </c>
      <c r="B86" s="7" t="s">
        <v>613</v>
      </c>
      <c r="C86" s="8" t="s">
        <v>121</v>
      </c>
      <c r="D86" s="7" t="s">
        <v>29</v>
      </c>
      <c r="E86" s="7" t="s">
        <v>58</v>
      </c>
      <c r="G86" s="7" t="b">
        <v>1</v>
      </c>
      <c r="H86" s="12" t="s">
        <v>122</v>
      </c>
      <c r="M86" s="9" t="str" cm="1">
        <f t="array" ref="M86">PAGE_NAME(B86)</f>
        <v>must-support</v>
      </c>
      <c r="N86" s="9" t="str" cm="1">
        <f t="array" ref="N86">SECTION_NAME(B86)</f>
        <v>additional-uscdi-requirements</v>
      </c>
      <c r="O86" s="10" t="str">
        <f t="shared" si="4"/>
        <v>SHALL</v>
      </c>
      <c r="P86" s="10" t="str">
        <f t="shared" si="3"/>
        <v>Client</v>
      </c>
    </row>
    <row r="87" spans="1:23" ht="68" x14ac:dyDescent="0.2">
      <c r="A87" s="7">
        <v>86</v>
      </c>
      <c r="B87" s="7" t="s">
        <v>613</v>
      </c>
      <c r="C87" s="8" t="s">
        <v>123</v>
      </c>
      <c r="D87" s="7" t="s">
        <v>29</v>
      </c>
      <c r="E87" s="7" t="s">
        <v>30</v>
      </c>
      <c r="G87" s="7" t="b">
        <v>1</v>
      </c>
      <c r="H87" s="12" t="s">
        <v>124</v>
      </c>
      <c r="M87" s="9" t="str" cm="1">
        <f t="array" ref="M87">PAGE_NAME(B87)</f>
        <v>must-support</v>
      </c>
      <c r="N87" s="9" t="str" cm="1">
        <f t="array" ref="N87">SECTION_NAME(B87)</f>
        <v>additional-uscdi-requirements</v>
      </c>
      <c r="O87" s="10" t="str">
        <f t="shared" si="4"/>
        <v>SHALL</v>
      </c>
      <c r="P87" s="10" t="str">
        <f t="shared" si="3"/>
        <v>Server</v>
      </c>
      <c r="W87" s="6" t="s">
        <v>1141</v>
      </c>
    </row>
    <row r="88" spans="1:23" ht="102" x14ac:dyDescent="0.2">
      <c r="A88" s="7">
        <v>87</v>
      </c>
      <c r="B88" s="7" t="s">
        <v>614</v>
      </c>
      <c r="C88" s="8" t="s">
        <v>978</v>
      </c>
      <c r="D88" s="7" t="s">
        <v>29</v>
      </c>
      <c r="E88" s="7" t="s">
        <v>30</v>
      </c>
      <c r="G88" s="31" t="b">
        <v>0</v>
      </c>
      <c r="M88" s="9" t="str" cm="1">
        <f t="array" ref="M88">PAGE_NAME(B88)</f>
        <v>must-support</v>
      </c>
      <c r="N88" s="9" t="str" cm="1">
        <f t="array" ref="N88">SECTION_NAME(B88)</f>
        <v>defined-pattern-elements</v>
      </c>
      <c r="O88" s="10" t="str">
        <f t="shared" si="4"/>
        <v>SHALL</v>
      </c>
      <c r="P88" s="10" t="str">
        <f t="shared" si="3"/>
        <v>Server</v>
      </c>
      <c r="Q88" s="10" t="s">
        <v>125</v>
      </c>
      <c r="W88" s="6" t="s">
        <v>1140</v>
      </c>
    </row>
    <row r="89" spans="1:23" ht="119" x14ac:dyDescent="0.2">
      <c r="A89" s="7">
        <v>88</v>
      </c>
      <c r="B89" s="7" t="s">
        <v>614</v>
      </c>
      <c r="C89" s="8" t="s">
        <v>126</v>
      </c>
      <c r="D89" s="7" t="s">
        <v>64</v>
      </c>
      <c r="E89" s="7" t="s">
        <v>30</v>
      </c>
      <c r="G89" s="31" t="b">
        <v>1</v>
      </c>
      <c r="H89" s="12" t="s">
        <v>127</v>
      </c>
      <c r="M89" s="9" t="str" cm="1">
        <f t="array" ref="M89">PAGE_NAME(B89)</f>
        <v>must-support</v>
      </c>
      <c r="N89" s="9" t="str" cm="1">
        <f t="array" ref="N89">SECTION_NAME(B89)</f>
        <v>defined-pattern-elements</v>
      </c>
      <c r="O89" s="10" t="str">
        <f t="shared" si="4"/>
        <v>SHALL</v>
      </c>
      <c r="P89" s="10" t="str">
        <f t="shared" si="3"/>
        <v>Server</v>
      </c>
      <c r="V89" s="51" t="s">
        <v>652</v>
      </c>
      <c r="W89" s="6" t="s">
        <v>1140</v>
      </c>
    </row>
    <row r="90" spans="1:23" ht="136" x14ac:dyDescent="0.2">
      <c r="A90" s="7">
        <v>89</v>
      </c>
      <c r="B90" s="7" t="s">
        <v>614</v>
      </c>
      <c r="C90" s="8" t="s">
        <v>128</v>
      </c>
      <c r="D90" s="7" t="s">
        <v>64</v>
      </c>
      <c r="E90" s="7" t="s">
        <v>58</v>
      </c>
      <c r="G90" s="31" t="b">
        <v>1</v>
      </c>
      <c r="H90" s="12" t="s">
        <v>127</v>
      </c>
      <c r="M90" s="9" t="str" cm="1">
        <f t="array" ref="M90">PAGE_NAME(B90)</f>
        <v>must-support</v>
      </c>
      <c r="N90" s="9" t="str" cm="1">
        <f t="array" ref="N90">SECTION_NAME(B90)</f>
        <v>defined-pattern-elements</v>
      </c>
      <c r="O90" s="10" t="str">
        <f t="shared" si="4"/>
        <v>SHALL</v>
      </c>
      <c r="P90" s="10" t="str">
        <f t="shared" si="3"/>
        <v>Client</v>
      </c>
      <c r="V90" s="51" t="s">
        <v>652</v>
      </c>
    </row>
    <row r="91" spans="1:23" ht="68" x14ac:dyDescent="0.2">
      <c r="A91" s="7">
        <v>90</v>
      </c>
      <c r="B91" s="7" t="s">
        <v>615</v>
      </c>
      <c r="C91" s="8" t="s">
        <v>979</v>
      </c>
      <c r="D91" s="7" t="s">
        <v>29</v>
      </c>
      <c r="E91" s="7" t="s">
        <v>30</v>
      </c>
      <c r="G91" s="31" t="b">
        <v>0</v>
      </c>
      <c r="M91" s="9" t="str" cm="1">
        <f t="array" ref="M91">PAGE_NAME(B91)</f>
        <v>must-support</v>
      </c>
      <c r="N91" s="9" t="str" cm="1">
        <f t="array" ref="N91">SECTION_NAME(B91)</f>
        <v>must-support---primitive-element</v>
      </c>
      <c r="O91" s="10" t="str">
        <f t="shared" si="4"/>
        <v>SHALL</v>
      </c>
      <c r="P91" s="10" t="str">
        <f t="shared" si="3"/>
        <v>Server</v>
      </c>
      <c r="Q91" s="10" t="s">
        <v>129</v>
      </c>
      <c r="W91" s="6" t="s">
        <v>1140</v>
      </c>
    </row>
    <row r="92" spans="1:23" ht="51" x14ac:dyDescent="0.2">
      <c r="A92" s="7">
        <v>91</v>
      </c>
      <c r="B92" s="7" t="s">
        <v>615</v>
      </c>
      <c r="C92" s="8" t="s">
        <v>130</v>
      </c>
      <c r="D92" s="7" t="s">
        <v>29</v>
      </c>
      <c r="E92" s="7" t="s">
        <v>30</v>
      </c>
      <c r="G92" s="31" t="b">
        <v>0</v>
      </c>
      <c r="M92" s="9" t="str" cm="1">
        <f t="array" ref="M92">PAGE_NAME(B92)</f>
        <v>must-support</v>
      </c>
      <c r="N92" s="9" t="str" cm="1">
        <f t="array" ref="N92">SECTION_NAME(B92)</f>
        <v>must-support---primitive-element</v>
      </c>
      <c r="O92" s="10" t="str">
        <f t="shared" si="4"/>
        <v>SHALL</v>
      </c>
      <c r="P92" s="10" t="str">
        <f t="shared" si="3"/>
        <v>Server</v>
      </c>
      <c r="W92" s="6" t="s">
        <v>1140</v>
      </c>
    </row>
    <row r="93" spans="1:23" ht="51" x14ac:dyDescent="0.2">
      <c r="A93" s="7">
        <v>92</v>
      </c>
      <c r="B93" s="7" t="s">
        <v>615</v>
      </c>
      <c r="C93" s="8" t="s">
        <v>131</v>
      </c>
      <c r="D93" s="7" t="s">
        <v>29</v>
      </c>
      <c r="E93" s="7" t="s">
        <v>58</v>
      </c>
      <c r="G93" s="31" t="b">
        <v>0</v>
      </c>
      <c r="M93" s="9" t="str" cm="1">
        <f t="array" ref="M93">PAGE_NAME(B93)</f>
        <v>must-support</v>
      </c>
      <c r="N93" s="9" t="str" cm="1">
        <f t="array" ref="N93">SECTION_NAME(B93)</f>
        <v>must-support---primitive-element</v>
      </c>
      <c r="O93" s="10" t="str">
        <f t="shared" si="4"/>
        <v>SHALL</v>
      </c>
      <c r="P93" s="10" t="str">
        <f t="shared" si="3"/>
        <v>Client</v>
      </c>
    </row>
    <row r="94" spans="1:23" ht="51" x14ac:dyDescent="0.2">
      <c r="A94" s="7">
        <v>93</v>
      </c>
      <c r="B94" s="7" t="s">
        <v>616</v>
      </c>
      <c r="C94" s="8" t="s">
        <v>980</v>
      </c>
      <c r="D94" s="7" t="s">
        <v>29</v>
      </c>
      <c r="E94" s="7" t="s">
        <v>30</v>
      </c>
      <c r="G94" s="31" t="b">
        <v>0</v>
      </c>
      <c r="M94" s="9" t="str" cm="1">
        <f t="array" ref="M94">PAGE_NAME(B94)</f>
        <v>must-support</v>
      </c>
      <c r="N94" s="9" t="str" cm="1">
        <f t="array" ref="N94">SECTION_NAME(B94)</f>
        <v>must-support---complex-elements</v>
      </c>
      <c r="O94" s="10" t="str">
        <f t="shared" si="4"/>
        <v>SHALL</v>
      </c>
      <c r="P94" s="10" t="str">
        <f t="shared" si="3"/>
        <v>Server</v>
      </c>
      <c r="Q94" s="10" t="s">
        <v>132</v>
      </c>
      <c r="W94" s="6" t="s">
        <v>1140</v>
      </c>
    </row>
    <row r="95" spans="1:23" ht="51" x14ac:dyDescent="0.2">
      <c r="A95" s="7">
        <v>94</v>
      </c>
      <c r="B95" s="7" t="s">
        <v>616</v>
      </c>
      <c r="C95" s="8" t="s">
        <v>133</v>
      </c>
      <c r="D95" s="7" t="s">
        <v>29</v>
      </c>
      <c r="E95" s="7" t="s">
        <v>30</v>
      </c>
      <c r="G95" s="31" t="b">
        <v>0</v>
      </c>
      <c r="M95" s="9" t="str" cm="1">
        <f t="array" ref="M95">PAGE_NAME(B95)</f>
        <v>must-support</v>
      </c>
      <c r="N95" s="9" t="str" cm="1">
        <f t="array" ref="N95">SECTION_NAME(B95)</f>
        <v>must-support---complex-elements</v>
      </c>
      <c r="O95" s="10" t="str">
        <f t="shared" si="4"/>
        <v/>
      </c>
      <c r="P95" s="10" t="str">
        <f t="shared" si="3"/>
        <v/>
      </c>
      <c r="Q95" s="10" t="s">
        <v>132</v>
      </c>
      <c r="W95" s="6" t="s">
        <v>1140</v>
      </c>
    </row>
    <row r="96" spans="1:23" ht="51" x14ac:dyDescent="0.2">
      <c r="A96" s="7">
        <v>95</v>
      </c>
      <c r="B96" s="7" t="s">
        <v>616</v>
      </c>
      <c r="C96" s="8" t="s">
        <v>657</v>
      </c>
      <c r="D96" s="7" t="s">
        <v>35</v>
      </c>
      <c r="E96" s="7" t="s">
        <v>30</v>
      </c>
      <c r="G96" s="31" t="b">
        <v>0</v>
      </c>
      <c r="M96" s="9" t="str" cm="1">
        <f t="array" ref="M96">PAGE_NAME(B96)</f>
        <v>must-support</v>
      </c>
      <c r="N96" s="9" t="str" cm="1">
        <f t="array" ref="N96">SECTION_NAME(B96)</f>
        <v>must-support---complex-elements</v>
      </c>
      <c r="O96" s="10" t="str">
        <f t="shared" si="4"/>
        <v/>
      </c>
      <c r="P96" s="10" t="str">
        <f t="shared" si="3"/>
        <v/>
      </c>
      <c r="V96" s="12" t="s">
        <v>659</v>
      </c>
    </row>
    <row r="97" spans="1:23" ht="68" x14ac:dyDescent="0.2">
      <c r="A97" s="7">
        <v>96</v>
      </c>
      <c r="B97" s="7" t="s">
        <v>616</v>
      </c>
      <c r="C97" s="8" t="s">
        <v>660</v>
      </c>
      <c r="D97" s="7" t="s">
        <v>29</v>
      </c>
      <c r="E97" s="7" t="s">
        <v>30</v>
      </c>
      <c r="G97" s="31" t="b">
        <v>0</v>
      </c>
      <c r="M97" s="9" t="str" cm="1">
        <f t="array" ref="M97">PAGE_NAME(B97)</f>
        <v>must-support</v>
      </c>
      <c r="N97" s="9" t="str" cm="1">
        <f t="array" ref="N97">SECTION_NAME(B97)</f>
        <v>must-support---complex-elements</v>
      </c>
      <c r="O97" s="10" t="str">
        <f t="shared" si="4"/>
        <v>SHALL</v>
      </c>
      <c r="P97" s="10" t="str">
        <f t="shared" si="3"/>
        <v>Server</v>
      </c>
      <c r="V97" s="12" t="s">
        <v>661</v>
      </c>
      <c r="W97" s="6" t="s">
        <v>1140</v>
      </c>
    </row>
    <row r="98" spans="1:23" ht="68" x14ac:dyDescent="0.2">
      <c r="A98" s="7">
        <v>97</v>
      </c>
      <c r="B98" s="7" t="s">
        <v>616</v>
      </c>
      <c r="C98" s="8" t="s">
        <v>134</v>
      </c>
      <c r="D98" s="7" t="s">
        <v>29</v>
      </c>
      <c r="E98" s="7" t="s">
        <v>30</v>
      </c>
      <c r="G98" s="31" t="b">
        <v>0</v>
      </c>
      <c r="M98" s="9" t="str" cm="1">
        <f t="array" ref="M98">PAGE_NAME(B98)</f>
        <v>must-support</v>
      </c>
      <c r="N98" s="9" t="str" cm="1">
        <f t="array" ref="N98">SECTION_NAME(B98)</f>
        <v>must-support---complex-elements</v>
      </c>
      <c r="O98" s="10" t="str">
        <f t="shared" si="4"/>
        <v>SHALL</v>
      </c>
      <c r="P98" s="10" t="str">
        <f t="shared" si="3"/>
        <v>Server</v>
      </c>
      <c r="W98" s="6" t="s">
        <v>1140</v>
      </c>
    </row>
    <row r="99" spans="1:23" ht="68" x14ac:dyDescent="0.2">
      <c r="A99" s="7">
        <v>98</v>
      </c>
      <c r="B99" s="7" t="s">
        <v>616</v>
      </c>
      <c r="C99" s="8" t="s">
        <v>135</v>
      </c>
      <c r="D99" s="7" t="s">
        <v>29</v>
      </c>
      <c r="E99" s="7" t="s">
        <v>58</v>
      </c>
      <c r="G99" s="31" t="b">
        <v>0</v>
      </c>
      <c r="M99" s="9" t="str" cm="1">
        <f t="array" ref="M99">PAGE_NAME(B99)</f>
        <v>must-support</v>
      </c>
      <c r="N99" s="9" t="str" cm="1">
        <f t="array" ref="N99">SECTION_NAME(B99)</f>
        <v>must-support---complex-elements</v>
      </c>
      <c r="O99" s="10" t="str">
        <f t="shared" si="4"/>
        <v>SHALL</v>
      </c>
      <c r="P99" s="10" t="str">
        <f t="shared" si="3"/>
        <v>Client</v>
      </c>
    </row>
    <row r="100" spans="1:23" ht="68" x14ac:dyDescent="0.2">
      <c r="A100" s="7">
        <v>99</v>
      </c>
      <c r="B100" s="7" t="s">
        <v>616</v>
      </c>
      <c r="C100" s="8" t="s">
        <v>136</v>
      </c>
      <c r="D100" s="7" t="s">
        <v>29</v>
      </c>
      <c r="E100" s="7" t="s">
        <v>30</v>
      </c>
      <c r="G100" s="31" t="b">
        <v>0</v>
      </c>
      <c r="M100" s="9" t="str" cm="1">
        <f t="array" ref="M100">PAGE_NAME(B100)</f>
        <v>must-support</v>
      </c>
      <c r="N100" s="9" t="str" cm="1">
        <f t="array" ref="N100">SECTION_NAME(B100)</f>
        <v>must-support---complex-elements</v>
      </c>
      <c r="O100" s="10" t="str">
        <f t="shared" si="4"/>
        <v>SHALL</v>
      </c>
      <c r="P100" s="10" t="str">
        <f t="shared" si="3"/>
        <v>Server</v>
      </c>
      <c r="W100" s="6" t="s">
        <v>1140</v>
      </c>
    </row>
    <row r="101" spans="1:23" ht="68" x14ac:dyDescent="0.2">
      <c r="A101" s="7">
        <v>100</v>
      </c>
      <c r="B101" s="7" t="s">
        <v>616</v>
      </c>
      <c r="C101" s="8" t="s">
        <v>137</v>
      </c>
      <c r="D101" s="7" t="s">
        <v>29</v>
      </c>
      <c r="E101" s="7" t="s">
        <v>58</v>
      </c>
      <c r="G101" s="31" t="b">
        <v>0</v>
      </c>
      <c r="M101" s="9" t="str" cm="1">
        <f t="array" ref="M101">PAGE_NAME(B101)</f>
        <v>must-support</v>
      </c>
      <c r="N101" s="9" t="str" cm="1">
        <f t="array" ref="N101">SECTION_NAME(B101)</f>
        <v>must-support---complex-elements</v>
      </c>
      <c r="O101" s="10" t="str">
        <f t="shared" si="4"/>
        <v>SHALL</v>
      </c>
      <c r="P101" s="10" t="str">
        <f t="shared" si="3"/>
        <v>Client</v>
      </c>
    </row>
    <row r="102" spans="1:23" ht="51" x14ac:dyDescent="0.2">
      <c r="A102" s="7">
        <v>101</v>
      </c>
      <c r="B102" s="7" t="s">
        <v>616</v>
      </c>
      <c r="C102" s="8" t="s">
        <v>138</v>
      </c>
      <c r="D102" s="7" t="s">
        <v>35</v>
      </c>
      <c r="E102" s="7" t="s">
        <v>30</v>
      </c>
      <c r="G102" s="31" t="b">
        <v>0</v>
      </c>
      <c r="M102" s="9" t="str" cm="1">
        <f t="array" ref="M102">PAGE_NAME(B102)</f>
        <v>must-support</v>
      </c>
      <c r="N102" s="9" t="str" cm="1">
        <f t="array" ref="N102">SECTION_NAME(B102)</f>
        <v>must-support---complex-elements</v>
      </c>
      <c r="O102" s="10" t="str">
        <f t="shared" si="4"/>
        <v/>
      </c>
      <c r="P102" s="10" t="str">
        <f t="shared" si="3"/>
        <v>Server</v>
      </c>
    </row>
    <row r="103" spans="1:23" ht="51" x14ac:dyDescent="0.2">
      <c r="A103" s="7">
        <v>102</v>
      </c>
      <c r="B103" s="7" t="s">
        <v>616</v>
      </c>
      <c r="C103" s="8" t="s">
        <v>139</v>
      </c>
      <c r="D103" s="7" t="s">
        <v>35</v>
      </c>
      <c r="E103" s="7" t="s">
        <v>58</v>
      </c>
      <c r="G103" s="31" t="b">
        <v>0</v>
      </c>
      <c r="M103" s="9" t="str" cm="1">
        <f t="array" ref="M103">PAGE_NAME(B103)</f>
        <v>must-support</v>
      </c>
      <c r="N103" s="9" t="str" cm="1">
        <f t="array" ref="N103">SECTION_NAME(B103)</f>
        <v>must-support---complex-elements</v>
      </c>
      <c r="O103" s="10" t="str">
        <f t="shared" si="4"/>
        <v/>
      </c>
      <c r="P103" s="10" t="str">
        <f t="shared" si="3"/>
        <v>Client</v>
      </c>
    </row>
    <row r="104" spans="1:23" ht="68" x14ac:dyDescent="0.2">
      <c r="A104" s="7">
        <v>103</v>
      </c>
      <c r="B104" s="7" t="s">
        <v>616</v>
      </c>
      <c r="C104" s="8" t="s">
        <v>140</v>
      </c>
      <c r="D104" s="7" t="s">
        <v>35</v>
      </c>
      <c r="E104" s="7" t="s">
        <v>30</v>
      </c>
      <c r="G104" s="31" t="b">
        <v>0</v>
      </c>
      <c r="M104" s="9" t="str" cm="1">
        <f t="array" ref="M104">PAGE_NAME(B104)</f>
        <v>must-support</v>
      </c>
      <c r="N104" s="9" t="str" cm="1">
        <f t="array" ref="N104">SECTION_NAME(B104)</f>
        <v>must-support---complex-elements</v>
      </c>
      <c r="O104" s="10" t="str">
        <f t="shared" si="4"/>
        <v>MAY</v>
      </c>
      <c r="P104" s="10" t="str">
        <f t="shared" si="3"/>
        <v>Server</v>
      </c>
    </row>
    <row r="105" spans="1:23" ht="68" x14ac:dyDescent="0.2">
      <c r="A105" s="7">
        <v>104</v>
      </c>
      <c r="B105" s="7" t="s">
        <v>616</v>
      </c>
      <c r="C105" s="8" t="s">
        <v>141</v>
      </c>
      <c r="D105" s="7" t="s">
        <v>35</v>
      </c>
      <c r="E105" s="7" t="s">
        <v>58</v>
      </c>
      <c r="G105" s="31" t="b">
        <v>0</v>
      </c>
      <c r="M105" s="9" t="str" cm="1">
        <f t="array" ref="M105">PAGE_NAME(B105)</f>
        <v>must-support</v>
      </c>
      <c r="N105" s="9" t="str" cm="1">
        <f t="array" ref="N105">SECTION_NAME(B105)</f>
        <v>must-support---complex-elements</v>
      </c>
      <c r="O105" s="10" t="str">
        <f t="shared" si="4"/>
        <v>MAY</v>
      </c>
      <c r="P105" s="10" t="str">
        <f t="shared" si="3"/>
        <v>Client</v>
      </c>
    </row>
    <row r="106" spans="1:23" ht="136" x14ac:dyDescent="0.2">
      <c r="A106" s="7">
        <v>105</v>
      </c>
      <c r="B106" s="7" t="s">
        <v>617</v>
      </c>
      <c r="C106" s="8" t="s">
        <v>142</v>
      </c>
      <c r="D106" s="7" t="s">
        <v>29</v>
      </c>
      <c r="E106" s="7" t="s">
        <v>30</v>
      </c>
      <c r="G106" s="31" t="b">
        <v>0</v>
      </c>
      <c r="M106" s="9" t="str" cm="1">
        <f t="array" ref="M106">PAGE_NAME(B106)</f>
        <v>must-support</v>
      </c>
      <c r="N106" s="9" t="str" cm="1">
        <f t="array" ref="N106">SECTION_NAME(B106)</f>
        <v>must-support---resource-references</v>
      </c>
      <c r="O106" s="10" t="str">
        <f t="shared" si="4"/>
        <v>SHALL</v>
      </c>
      <c r="P106" s="10" t="str">
        <f t="shared" si="3"/>
        <v>Server</v>
      </c>
      <c r="Q106" s="10" t="s">
        <v>143</v>
      </c>
      <c r="W106" s="6" t="s">
        <v>1140</v>
      </c>
    </row>
    <row r="107" spans="1:23" ht="136" x14ac:dyDescent="0.2">
      <c r="A107" s="7">
        <v>106</v>
      </c>
      <c r="B107" s="7" t="s">
        <v>617</v>
      </c>
      <c r="C107" s="8" t="s">
        <v>144</v>
      </c>
      <c r="D107" s="7" t="s">
        <v>29</v>
      </c>
      <c r="E107" s="7" t="s">
        <v>58</v>
      </c>
      <c r="G107" s="31" t="b">
        <v>0</v>
      </c>
      <c r="M107" s="9" t="str" cm="1">
        <f t="array" ref="M107">PAGE_NAME(B107)</f>
        <v>must-support</v>
      </c>
      <c r="N107" s="9" t="str" cm="1">
        <f t="array" ref="N107">SECTION_NAME(B107)</f>
        <v>must-support---resource-references</v>
      </c>
      <c r="O107" s="10" t="str">
        <f t="shared" si="4"/>
        <v>SHALL</v>
      </c>
      <c r="P107" s="10" t="str">
        <f t="shared" si="3"/>
        <v>Client</v>
      </c>
      <c r="Q107" s="10" t="s">
        <v>143</v>
      </c>
    </row>
    <row r="108" spans="1:23" ht="51" x14ac:dyDescent="0.2">
      <c r="A108" s="7">
        <v>107</v>
      </c>
      <c r="B108" s="7" t="s">
        <v>617</v>
      </c>
      <c r="C108" s="8" t="s">
        <v>145</v>
      </c>
      <c r="D108" s="7" t="s">
        <v>35</v>
      </c>
      <c r="E108" s="7" t="s">
        <v>30</v>
      </c>
      <c r="G108" s="31"/>
      <c r="M108" s="9" t="str" cm="1">
        <f t="array" ref="M108">PAGE_NAME(B108)</f>
        <v>must-support</v>
      </c>
      <c r="N108" s="9" t="str" cm="1">
        <f t="array" ref="N108">SECTION_NAME(B108)</f>
        <v>must-support---resource-references</v>
      </c>
      <c r="O108" s="10" t="str">
        <f t="shared" si="4"/>
        <v/>
      </c>
      <c r="P108" s="10" t="str">
        <f t="shared" si="3"/>
        <v>Server</v>
      </c>
    </row>
    <row r="109" spans="1:23" ht="51" x14ac:dyDescent="0.2">
      <c r="A109" s="7">
        <v>108</v>
      </c>
      <c r="B109" s="7" t="s">
        <v>617</v>
      </c>
      <c r="C109" s="8" t="s">
        <v>146</v>
      </c>
      <c r="D109" s="7" t="s">
        <v>35</v>
      </c>
      <c r="E109" s="7" t="s">
        <v>58</v>
      </c>
      <c r="G109" s="31"/>
      <c r="M109" s="9" t="str" cm="1">
        <f t="array" ref="M109">PAGE_NAME(B109)</f>
        <v>must-support</v>
      </c>
      <c r="N109" s="9" t="str" cm="1">
        <f t="array" ref="N109">SECTION_NAME(B109)</f>
        <v>must-support---resource-references</v>
      </c>
      <c r="O109" s="10" t="str">
        <f t="shared" si="4"/>
        <v/>
      </c>
      <c r="P109" s="10" t="str">
        <f t="shared" si="3"/>
        <v>Client</v>
      </c>
    </row>
    <row r="110" spans="1:23" ht="119" x14ac:dyDescent="0.2">
      <c r="A110" s="7">
        <v>109</v>
      </c>
      <c r="B110" s="7" t="s">
        <v>617</v>
      </c>
      <c r="C110" s="8" t="s">
        <v>147</v>
      </c>
      <c r="D110" s="7" t="s">
        <v>29</v>
      </c>
      <c r="E110" s="7" t="s">
        <v>30</v>
      </c>
      <c r="G110" s="31" t="b">
        <v>0</v>
      </c>
      <c r="M110" s="9" t="str" cm="1">
        <f t="array" ref="M110">PAGE_NAME(B110)</f>
        <v>must-support</v>
      </c>
      <c r="N110" s="9" t="str" cm="1">
        <f t="array" ref="N110">SECTION_NAME(B110)</f>
        <v>must-support---resource-references</v>
      </c>
      <c r="O110" s="10" t="str">
        <f t="shared" si="4"/>
        <v>SHALL</v>
      </c>
      <c r="P110" s="10" t="str">
        <f t="shared" si="3"/>
        <v>Server</v>
      </c>
      <c r="Q110" s="10" t="s">
        <v>143</v>
      </c>
      <c r="W110" s="6" t="s">
        <v>1140</v>
      </c>
    </row>
    <row r="111" spans="1:23" ht="119" x14ac:dyDescent="0.2">
      <c r="A111" s="7">
        <v>110</v>
      </c>
      <c r="B111" s="7" t="s">
        <v>617</v>
      </c>
      <c r="C111" s="8" t="s">
        <v>148</v>
      </c>
      <c r="D111" s="7" t="s">
        <v>29</v>
      </c>
      <c r="E111" s="7" t="s">
        <v>58</v>
      </c>
      <c r="G111" s="31" t="b">
        <v>0</v>
      </c>
      <c r="M111" s="9" t="str" cm="1">
        <f t="array" ref="M111">PAGE_NAME(B111)</f>
        <v>must-support</v>
      </c>
      <c r="N111" s="9" t="str" cm="1">
        <f t="array" ref="N111">SECTION_NAME(B111)</f>
        <v>must-support---resource-references</v>
      </c>
      <c r="O111" s="10" t="str">
        <f t="shared" si="4"/>
        <v>SHALL</v>
      </c>
      <c r="P111" s="10" t="str">
        <f t="shared" si="3"/>
        <v>Client</v>
      </c>
      <c r="Q111" s="10" t="s">
        <v>143</v>
      </c>
    </row>
    <row r="112" spans="1:23" ht="272" x14ac:dyDescent="0.2">
      <c r="A112" s="7">
        <v>111</v>
      </c>
      <c r="B112" s="7" t="s">
        <v>619</v>
      </c>
      <c r="C112" s="8" t="s">
        <v>663</v>
      </c>
      <c r="D112" s="7" t="s">
        <v>29</v>
      </c>
      <c r="E112" s="7" t="s">
        <v>30</v>
      </c>
      <c r="G112" s="31" t="b">
        <v>0</v>
      </c>
      <c r="M112" s="9" t="str" cm="1">
        <f t="array" ref="M112">PAGE_NAME(B112)</f>
        <v>must-support</v>
      </c>
      <c r="N112" s="9" t="str" cm="1">
        <f t="array" ref="N112">SECTION_NAME(B112)</f>
        <v>must-support---choice-of-data-types</v>
      </c>
      <c r="O112" s="10" t="str">
        <f t="shared" si="4"/>
        <v>SHALL</v>
      </c>
      <c r="P112" s="10" t="str">
        <f t="shared" si="3"/>
        <v>Server</v>
      </c>
      <c r="Q112" s="10" t="s">
        <v>149</v>
      </c>
      <c r="V112" s="12" t="s">
        <v>662</v>
      </c>
      <c r="W112" s="6" t="s">
        <v>1140</v>
      </c>
    </row>
    <row r="113" spans="1:23" ht="272" x14ac:dyDescent="0.2">
      <c r="A113" s="7">
        <v>112</v>
      </c>
      <c r="B113" s="7" t="s">
        <v>619</v>
      </c>
      <c r="C113" s="8" t="s">
        <v>670</v>
      </c>
      <c r="D113" s="7" t="s">
        <v>29</v>
      </c>
      <c r="E113" s="7" t="s">
        <v>58</v>
      </c>
      <c r="G113" s="31" t="b">
        <v>0</v>
      </c>
      <c r="M113" s="9" t="str" cm="1">
        <f t="array" ref="M113">PAGE_NAME(B113)</f>
        <v>must-support</v>
      </c>
      <c r="N113" s="9" t="str" cm="1">
        <f t="array" ref="N113">SECTION_NAME(B113)</f>
        <v>must-support---choice-of-data-types</v>
      </c>
      <c r="O113" s="10" t="str">
        <f t="shared" si="4"/>
        <v>SHALL</v>
      </c>
      <c r="P113" s="10" t="str">
        <f t="shared" si="3"/>
        <v>Client</v>
      </c>
      <c r="Q113" s="10" t="s">
        <v>149</v>
      </c>
      <c r="V113" s="12" t="s">
        <v>662</v>
      </c>
    </row>
    <row r="114" spans="1:23" ht="272" x14ac:dyDescent="0.2">
      <c r="A114" s="7">
        <v>113</v>
      </c>
      <c r="B114" s="7" t="s">
        <v>619</v>
      </c>
      <c r="C114" s="8" t="s">
        <v>664</v>
      </c>
      <c r="D114" s="7" t="s">
        <v>35</v>
      </c>
      <c r="E114" s="7" t="s">
        <v>58</v>
      </c>
      <c r="G114" s="31" t="b">
        <v>0</v>
      </c>
      <c r="M114" s="9" t="str" cm="1">
        <f t="array" ref="M114">PAGE_NAME(B114)</f>
        <v>must-support</v>
      </c>
      <c r="N114" s="9" t="str" cm="1">
        <f t="array" ref="N114">SECTION_NAME(B114)</f>
        <v>must-support---choice-of-data-types</v>
      </c>
      <c r="O114" s="10" t="str">
        <f t="shared" si="4"/>
        <v>MAY</v>
      </c>
      <c r="P114" s="10" t="str">
        <f t="shared" si="3"/>
        <v>Client</v>
      </c>
      <c r="Q114" s="10" t="s">
        <v>149</v>
      </c>
      <c r="V114" s="12" t="s">
        <v>662</v>
      </c>
    </row>
    <row r="115" spans="1:23" ht="272" x14ac:dyDescent="0.2">
      <c r="A115" s="7">
        <v>114</v>
      </c>
      <c r="B115" s="7" t="s">
        <v>619</v>
      </c>
      <c r="C115" s="8" t="s">
        <v>665</v>
      </c>
      <c r="D115" s="7" t="s">
        <v>35</v>
      </c>
      <c r="E115" s="7" t="s">
        <v>30</v>
      </c>
      <c r="G115" s="31" t="b">
        <v>0</v>
      </c>
      <c r="M115" s="9" t="str" cm="1">
        <f t="array" ref="M115">PAGE_NAME(B115)</f>
        <v>must-support</v>
      </c>
      <c r="N115" s="9" t="str" cm="1">
        <f t="array" ref="N115">SECTION_NAME(B115)</f>
        <v>must-support---choice-of-data-types</v>
      </c>
      <c r="O115" s="10" t="str">
        <f t="shared" si="4"/>
        <v>MAY</v>
      </c>
      <c r="P115" s="10" t="str">
        <f t="shared" si="3"/>
        <v>Server</v>
      </c>
      <c r="Q115" s="10" t="s">
        <v>149</v>
      </c>
      <c r="V115" s="12" t="s">
        <v>662</v>
      </c>
    </row>
    <row r="116" spans="1:23" ht="85" x14ac:dyDescent="0.2">
      <c r="A116" s="7">
        <v>115</v>
      </c>
      <c r="B116" s="7" t="s">
        <v>620</v>
      </c>
      <c r="C116" s="8" t="s">
        <v>981</v>
      </c>
      <c r="D116" s="7" t="s">
        <v>29</v>
      </c>
      <c r="E116" s="7" t="s">
        <v>30</v>
      </c>
      <c r="G116" s="31" t="b">
        <v>1</v>
      </c>
      <c r="M116" s="9" t="str" cm="1">
        <f t="array" ref="M116">PAGE_NAME(B116)</f>
        <v>must-support</v>
      </c>
      <c r="N116" s="9" t="str" cm="1">
        <f t="array" ref="N116">SECTION_NAME(B116)</f>
        <v>must-support---choice-of-profile-elements</v>
      </c>
      <c r="O116" s="10" t="str">
        <f t="shared" si="4"/>
        <v>SHALL</v>
      </c>
      <c r="P116" s="10" t="str">
        <f t="shared" si="3"/>
        <v>Server</v>
      </c>
      <c r="Q116" s="10" t="s">
        <v>150</v>
      </c>
      <c r="V116" s="12" t="s">
        <v>667</v>
      </c>
      <c r="W116" s="6" t="s">
        <v>1140</v>
      </c>
    </row>
    <row r="117" spans="1:23" ht="68" x14ac:dyDescent="0.2">
      <c r="A117" s="7">
        <v>116</v>
      </c>
      <c r="B117" s="7" t="s">
        <v>620</v>
      </c>
      <c r="C117" s="8" t="s">
        <v>920</v>
      </c>
      <c r="D117" s="7" t="s">
        <v>29</v>
      </c>
      <c r="E117" s="7" t="s">
        <v>58</v>
      </c>
      <c r="G117" s="31" t="b">
        <v>1</v>
      </c>
      <c r="M117" s="9" t="str" cm="1">
        <f t="array" ref="M117">PAGE_NAME(B117)</f>
        <v>must-support</v>
      </c>
      <c r="N117" s="9" t="str" cm="1">
        <f t="array" ref="N117">SECTION_NAME(B117)</f>
        <v>must-support---choice-of-profile-elements</v>
      </c>
      <c r="O117" s="10" t="str">
        <f t="shared" si="4"/>
        <v>SHALL</v>
      </c>
      <c r="P117" s="10" t="str">
        <f t="shared" si="3"/>
        <v>Client</v>
      </c>
      <c r="Q117" s="10" t="s">
        <v>150</v>
      </c>
      <c r="V117" s="12" t="s">
        <v>666</v>
      </c>
    </row>
    <row r="118" spans="1:23" ht="204" x14ac:dyDescent="0.2">
      <c r="A118" s="7">
        <v>117</v>
      </c>
      <c r="B118" s="7" t="s">
        <v>825</v>
      </c>
      <c r="C118" s="8" t="s">
        <v>982</v>
      </c>
      <c r="D118" s="7" t="s">
        <v>35</v>
      </c>
      <c r="E118" s="7" t="s">
        <v>30</v>
      </c>
      <c r="G118" s="7" t="b">
        <v>0</v>
      </c>
      <c r="M118" s="9" t="str" cm="1">
        <f t="array" ref="M118">PAGE_NAME(B118)</f>
        <v>scopes</v>
      </c>
      <c r="N118" s="9" t="str" cm="1">
        <f t="array" ref="N118">SECTION_NAME(B118)</f>
        <v>capability-sets</v>
      </c>
      <c r="O118" s="10" t="str">
        <f t="shared" si="4"/>
        <v>MAY</v>
      </c>
      <c r="P118" s="10" t="str">
        <f t="shared" si="3"/>
        <v>Server</v>
      </c>
      <c r="Q118" s="10" t="s">
        <v>151</v>
      </c>
    </row>
    <row r="119" spans="1:23" ht="153" x14ac:dyDescent="0.2">
      <c r="A119" s="7">
        <v>118</v>
      </c>
      <c r="B119" s="7" t="s">
        <v>826</v>
      </c>
      <c r="C119" s="8" t="s">
        <v>152</v>
      </c>
      <c r="D119" s="7" t="s">
        <v>32</v>
      </c>
      <c r="E119" s="7" t="s">
        <v>30</v>
      </c>
      <c r="G119" s="7" t="b">
        <v>1</v>
      </c>
      <c r="H119" s="12" t="s">
        <v>153</v>
      </c>
      <c r="M119" s="9" t="str" cm="1">
        <f t="array" ref="M119">PAGE_NAME(B119)</f>
        <v>scopes</v>
      </c>
      <c r="N119" s="9" t="str" cm="1">
        <f t="array" ref="N119">SECTION_NAME(B119)</f>
        <v>capabilities-for-implementations-supporting-user-facing-applications</v>
      </c>
      <c r="O119" s="10" t="str">
        <f t="shared" si="4"/>
        <v>SHOULD</v>
      </c>
      <c r="P119" s="10" t="str">
        <f t="shared" si="3"/>
        <v>Server</v>
      </c>
      <c r="Q119" s="10" t="s">
        <v>154</v>
      </c>
    </row>
    <row r="120" spans="1:23" ht="136" x14ac:dyDescent="0.2">
      <c r="A120" s="7">
        <v>119</v>
      </c>
      <c r="B120" s="7" t="s">
        <v>826</v>
      </c>
      <c r="C120" s="8" t="s">
        <v>155</v>
      </c>
      <c r="D120" s="7" t="s">
        <v>29</v>
      </c>
      <c r="E120" s="7" t="s">
        <v>30</v>
      </c>
      <c r="G120" s="7" t="b">
        <v>1</v>
      </c>
      <c r="H120" s="12" t="s">
        <v>156</v>
      </c>
      <c r="M120" s="9" t="str" cm="1">
        <f t="array" ref="M120">PAGE_NAME(B120)</f>
        <v>scopes</v>
      </c>
      <c r="N120" s="9" t="str" cm="1">
        <f t="array" ref="N120">SECTION_NAME(B120)</f>
        <v>capabilities-for-implementations-supporting-user-facing-applications</v>
      </c>
      <c r="O120" s="10" t="str">
        <f t="shared" si="4"/>
        <v>SHALL</v>
      </c>
      <c r="P120" s="10" t="str">
        <f t="shared" si="3"/>
        <v/>
      </c>
      <c r="Q120" s="10" t="s">
        <v>157</v>
      </c>
      <c r="W120" s="6" t="s">
        <v>1140</v>
      </c>
    </row>
    <row r="121" spans="1:23" ht="51" x14ac:dyDescent="0.2">
      <c r="A121" s="7">
        <v>120</v>
      </c>
      <c r="B121" s="7" t="s">
        <v>827</v>
      </c>
      <c r="C121" s="8" t="s">
        <v>921</v>
      </c>
      <c r="D121" s="7" t="s">
        <v>29</v>
      </c>
      <c r="E121" s="7" t="s">
        <v>30</v>
      </c>
      <c r="G121" s="7" t="b">
        <v>0</v>
      </c>
      <c r="M121" s="9" t="str" cm="1">
        <f t="array" ref="M121">PAGE_NAME(B121)</f>
        <v>scopes</v>
      </c>
      <c r="N121" s="9" t="str" cm="1">
        <f t="array" ref="N121">SECTION_NAME(B121)</f>
        <v>capabilities-for-implementations-supporting-backend-services</v>
      </c>
      <c r="O121" s="10" t="str">
        <f t="shared" si="4"/>
        <v>SHALL</v>
      </c>
      <c r="P121" s="10" t="str">
        <f t="shared" si="3"/>
        <v>Client</v>
      </c>
      <c r="Q121" s="10" t="s">
        <v>158</v>
      </c>
      <c r="W121" s="6" t="s">
        <v>1142</v>
      </c>
    </row>
    <row r="122" spans="1:23" ht="34" x14ac:dyDescent="0.2">
      <c r="A122" s="7">
        <v>121</v>
      </c>
      <c r="B122" s="7" t="s">
        <v>827</v>
      </c>
      <c r="C122" s="8" t="s">
        <v>159</v>
      </c>
      <c r="D122" s="7" t="s">
        <v>29</v>
      </c>
      <c r="E122" s="7" t="s">
        <v>30</v>
      </c>
      <c r="G122" s="7" t="b">
        <v>0</v>
      </c>
      <c r="M122" s="9" t="str" cm="1">
        <f t="array" ref="M122">PAGE_NAME(B122)</f>
        <v>scopes</v>
      </c>
      <c r="N122" s="9" t="str" cm="1">
        <f t="array" ref="N122">SECTION_NAME(B122)</f>
        <v>capabilities-for-implementations-supporting-backend-services</v>
      </c>
      <c r="O122" s="10" t="str">
        <f t="shared" si="4"/>
        <v>SHALL</v>
      </c>
      <c r="P122" s="10" t="str">
        <f t="shared" si="3"/>
        <v>Server</v>
      </c>
      <c r="W122" s="6" t="s">
        <v>1142</v>
      </c>
    </row>
    <row r="123" spans="1:23" ht="85" x14ac:dyDescent="0.2">
      <c r="A123" s="7">
        <v>122</v>
      </c>
      <c r="B123" s="7" t="s">
        <v>827</v>
      </c>
      <c r="C123" s="8" t="s">
        <v>922</v>
      </c>
      <c r="D123" s="7" t="s">
        <v>29</v>
      </c>
      <c r="E123" s="7" t="s">
        <v>30</v>
      </c>
      <c r="G123" s="7" t="b">
        <v>0</v>
      </c>
      <c r="M123" s="9" t="str" cm="1">
        <f t="array" ref="M123">PAGE_NAME(B123)</f>
        <v>scopes</v>
      </c>
      <c r="N123" s="9" t="str" cm="1">
        <f t="array" ref="N123">SECTION_NAME(B123)</f>
        <v>capabilities-for-implementations-supporting-backend-services</v>
      </c>
      <c r="O123" s="10" t="str">
        <f t="shared" si="4"/>
        <v>SHALL</v>
      </c>
      <c r="P123" s="10" t="str">
        <f t="shared" si="3"/>
        <v>Client</v>
      </c>
      <c r="W123" s="6" t="s">
        <v>1142</v>
      </c>
    </row>
    <row r="124" spans="1:23" ht="85" x14ac:dyDescent="0.2">
      <c r="A124" s="7">
        <v>123</v>
      </c>
      <c r="B124" s="7" t="s">
        <v>983</v>
      </c>
      <c r="C124" s="8" t="s">
        <v>160</v>
      </c>
      <c r="D124" s="7" t="s">
        <v>29</v>
      </c>
      <c r="E124" s="7" t="s">
        <v>30</v>
      </c>
      <c r="G124" s="7" t="b">
        <v>0</v>
      </c>
      <c r="M124" s="9" t="str" cm="1">
        <f t="array" ref="M124">PAGE_NAME(B124)</f>
        <v>scopes</v>
      </c>
      <c r="N124" s="9" t="str" cm="1">
        <f t="array" ref="N124">SECTION_NAME(B124)</f>
        <v>us-core-Servers-shall-support-token-introspection</v>
      </c>
      <c r="O124" s="10" t="str">
        <f t="shared" si="4"/>
        <v>SHALL</v>
      </c>
      <c r="P124" s="10" t="str">
        <f t="shared" si="3"/>
        <v>Server</v>
      </c>
      <c r="Q124" s="10" t="s">
        <v>158</v>
      </c>
      <c r="W124" s="6" t="s">
        <v>1142</v>
      </c>
    </row>
    <row r="125" spans="1:23" ht="51" x14ac:dyDescent="0.2">
      <c r="A125" s="7">
        <v>124</v>
      </c>
      <c r="B125" s="7" t="s">
        <v>622</v>
      </c>
      <c r="C125" s="8" t="s">
        <v>161</v>
      </c>
      <c r="D125" s="7" t="s">
        <v>29</v>
      </c>
      <c r="E125" s="7" t="s">
        <v>30</v>
      </c>
      <c r="G125" s="7" t="b">
        <v>1</v>
      </c>
      <c r="M125" s="9" t="str" cm="1">
        <f t="array" ref="M125">PAGE_NAME(B125)</f>
        <v>scopes</v>
      </c>
      <c r="N125" s="9" t="str" cm="1">
        <f t="array" ref="N125">SECTION_NAME(B125)</f>
        <v>smart-scopes</v>
      </c>
      <c r="O125" s="10" t="str">
        <f t="shared" si="4"/>
        <v/>
      </c>
      <c r="P125" s="10" t="str">
        <f t="shared" si="3"/>
        <v/>
      </c>
      <c r="W125" s="6" t="s">
        <v>1140</v>
      </c>
    </row>
    <row r="126" spans="1:23" ht="34" x14ac:dyDescent="0.2">
      <c r="A126" s="7">
        <v>125</v>
      </c>
      <c r="B126" s="7" t="s">
        <v>622</v>
      </c>
      <c r="C126" s="8" t="s">
        <v>162</v>
      </c>
      <c r="D126" s="7" t="s">
        <v>35</v>
      </c>
      <c r="E126" s="7" t="s">
        <v>30</v>
      </c>
      <c r="G126" s="7" t="b">
        <v>0</v>
      </c>
      <c r="M126" s="9" t="str" cm="1">
        <f t="array" ref="M126">PAGE_NAME(B126)</f>
        <v>scopes</v>
      </c>
      <c r="N126" s="9" t="str" cm="1">
        <f t="array" ref="N126">SECTION_NAME(B126)</f>
        <v>smart-scopes</v>
      </c>
      <c r="O126" s="10" t="str">
        <f t="shared" si="4"/>
        <v/>
      </c>
      <c r="P126" s="10" t="str">
        <f t="shared" si="3"/>
        <v/>
      </c>
    </row>
    <row r="127" spans="1:23" ht="34" x14ac:dyDescent="0.2">
      <c r="A127" s="7">
        <v>126</v>
      </c>
      <c r="B127" s="7" t="s">
        <v>622</v>
      </c>
      <c r="C127" s="8" t="s">
        <v>163</v>
      </c>
      <c r="D127" s="7" t="s">
        <v>35</v>
      </c>
      <c r="E127" s="7" t="s">
        <v>30</v>
      </c>
      <c r="G127" s="7" t="b">
        <v>0</v>
      </c>
      <c r="M127" s="9" t="str" cm="1">
        <f t="array" ref="M127">PAGE_NAME(B127)</f>
        <v>scopes</v>
      </c>
      <c r="N127" s="9" t="str" cm="1">
        <f t="array" ref="N127">SECTION_NAME(B127)</f>
        <v>smart-scopes</v>
      </c>
      <c r="O127" s="10" t="str">
        <f t="shared" si="4"/>
        <v>MAY</v>
      </c>
      <c r="P127" s="10" t="str">
        <f t="shared" si="3"/>
        <v>Server</v>
      </c>
    </row>
    <row r="128" spans="1:23" ht="51" x14ac:dyDescent="0.2">
      <c r="A128" s="7">
        <v>127</v>
      </c>
      <c r="B128" s="7" t="s">
        <v>622</v>
      </c>
      <c r="C128" s="8" t="s">
        <v>923</v>
      </c>
      <c r="D128" s="7" t="s">
        <v>32</v>
      </c>
      <c r="E128" s="7" t="s">
        <v>58</v>
      </c>
      <c r="G128" s="7" t="b">
        <v>0</v>
      </c>
      <c r="M128" s="9" t="str" cm="1">
        <f t="array" ref="M128">PAGE_NAME(B128)</f>
        <v>scopes</v>
      </c>
      <c r="N128" s="9" t="str" cm="1">
        <f t="array" ref="N128">SECTION_NAME(B128)</f>
        <v>smart-scopes</v>
      </c>
      <c r="O128" s="10" t="str">
        <f t="shared" si="4"/>
        <v>SHOULD</v>
      </c>
      <c r="P128" s="10" t="str">
        <f t="shared" si="3"/>
        <v>Client</v>
      </c>
    </row>
    <row r="129" spans="1:23" ht="119" x14ac:dyDescent="0.2">
      <c r="A129" s="7">
        <v>128</v>
      </c>
      <c r="B129" s="7" t="s">
        <v>828</v>
      </c>
      <c r="C129" s="8" t="s">
        <v>984</v>
      </c>
      <c r="D129" s="7" t="s">
        <v>29</v>
      </c>
      <c r="E129" s="7" t="s">
        <v>30</v>
      </c>
      <c r="G129" s="7" t="b">
        <v>0</v>
      </c>
      <c r="M129" s="9" t="str" cm="1">
        <f t="array" ref="M129">PAGE_NAME(B129)</f>
        <v>scopes</v>
      </c>
      <c r="N129" s="9" t="str" cm="1">
        <f t="array" ref="N129">SECTION_NAME(B129)</f>
        <v>us-core-scopes</v>
      </c>
      <c r="O129" s="10" t="str">
        <f t="shared" si="4"/>
        <v>SHALL</v>
      </c>
      <c r="P129" s="10" t="str">
        <f t="shared" si="3"/>
        <v>Server</v>
      </c>
      <c r="Q129" s="10" t="s">
        <v>164</v>
      </c>
      <c r="W129" s="6" t="s">
        <v>1140</v>
      </c>
    </row>
    <row r="130" spans="1:23" ht="136" x14ac:dyDescent="0.2">
      <c r="A130" s="7">
        <v>129</v>
      </c>
      <c r="B130" s="7" t="s">
        <v>828</v>
      </c>
      <c r="C130" s="8" t="s">
        <v>985</v>
      </c>
      <c r="D130" s="7" t="s">
        <v>32</v>
      </c>
      <c r="E130" s="7" t="s">
        <v>30</v>
      </c>
      <c r="G130" s="7" t="b">
        <v>0</v>
      </c>
      <c r="M130" s="9" t="str" cm="1">
        <f t="array" ref="M130">PAGE_NAME(B130)</f>
        <v>scopes</v>
      </c>
      <c r="N130" s="9" t="str" cm="1">
        <f t="array" ref="N130">SECTION_NAME(B130)</f>
        <v>us-core-scopes</v>
      </c>
      <c r="O130" s="10" t="str">
        <f t="shared" si="4"/>
        <v>SHOULD</v>
      </c>
      <c r="P130" s="10" t="str">
        <f t="shared" ref="P130:P193" si="5">IF(ISNUMBER(SEARCH("Server", C130)), "Server", IF(ISNUMBER(SEARCH("Server", C130)), "Server", IF(ISNUMBER(SEARCH("Client", C130)), "Client", IF(ISNUMBER(SEARCH("Client", C130)), "Client", IF(ISNUMBER(SEARCH("US Core Responder", C130)), "Server", IF(ISNUMBER(SEARCH("US Core Requestor", C130)), "Client", ""))))))</f>
        <v>Server</v>
      </c>
    </row>
    <row r="131" spans="1:23" ht="68" x14ac:dyDescent="0.2">
      <c r="A131" s="7">
        <v>130</v>
      </c>
      <c r="B131" s="7" t="s">
        <v>828</v>
      </c>
      <c r="C131" s="8" t="s">
        <v>924</v>
      </c>
      <c r="D131" s="7" t="s">
        <v>29</v>
      </c>
      <c r="E131" s="7" t="s">
        <v>30</v>
      </c>
      <c r="G131" s="7" t="b">
        <v>0</v>
      </c>
      <c r="M131" s="9" t="str" cm="1">
        <f t="array" ref="M131">PAGE_NAME(B131)</f>
        <v>scopes</v>
      </c>
      <c r="N131" s="9" t="str" cm="1">
        <f t="array" ref="N131">SECTION_NAME(B131)</f>
        <v>us-core-scopes</v>
      </c>
      <c r="O131" s="10" t="str">
        <f t="shared" ref="O131:O194" si="6">IF(ISNUMBER(SEARCH("MAY", C131)), "MAY", IF(ISNUMBER(SEARCH("SHOULD", C131)), "SHOULD", IF(ISNUMBER(SEARCH("SHALL", C131)), "SHALL", IF(ISNUMBER(SEARCH("SHOULD NOT", C131)), "SHOULD NOT", IF(ISNUMBER(SEARCH("SHALL NOT", C131)), "SHALL NOT", "")))))</f>
        <v>SHALL</v>
      </c>
      <c r="P131" s="10" t="str">
        <f t="shared" si="5"/>
        <v>Client</v>
      </c>
      <c r="Q131" s="10" t="s">
        <v>165</v>
      </c>
      <c r="W131" s="6" t="s">
        <v>1142</v>
      </c>
    </row>
    <row r="132" spans="1:23" ht="68" x14ac:dyDescent="0.2">
      <c r="A132" s="7">
        <v>131</v>
      </c>
      <c r="B132" s="7" t="s">
        <v>828</v>
      </c>
      <c r="C132" s="8" t="s">
        <v>925</v>
      </c>
      <c r="D132" s="7" t="s">
        <v>32</v>
      </c>
      <c r="E132" s="7" t="s">
        <v>30</v>
      </c>
      <c r="G132" s="7" t="b">
        <v>0</v>
      </c>
      <c r="M132" s="9" t="str" cm="1">
        <f t="array" ref="M132">PAGE_NAME(B132)</f>
        <v>scopes</v>
      </c>
      <c r="N132" s="9" t="str" cm="1">
        <f t="array" ref="N132">SECTION_NAME(B132)</f>
        <v>us-core-scopes</v>
      </c>
      <c r="O132" s="10" t="str">
        <f t="shared" si="6"/>
        <v>SHOULD</v>
      </c>
      <c r="P132" s="10" t="str">
        <f t="shared" si="5"/>
        <v>Client</v>
      </c>
    </row>
    <row r="133" spans="1:23" ht="153" x14ac:dyDescent="0.2">
      <c r="A133" s="7">
        <v>132</v>
      </c>
      <c r="B133" s="7" t="s">
        <v>829</v>
      </c>
      <c r="C133" s="8" t="s">
        <v>696</v>
      </c>
      <c r="D133" s="7" t="s">
        <v>29</v>
      </c>
      <c r="E133" s="7" t="s">
        <v>30</v>
      </c>
      <c r="G133" s="7" t="b">
        <v>1</v>
      </c>
      <c r="H133" s="12" t="s">
        <v>166</v>
      </c>
      <c r="M133" s="9" t="str" cm="1">
        <f t="array" ref="M133">PAGE_NAME(B133)</f>
        <v>StructureDefinition-us-core-allergyintolerance</v>
      </c>
      <c r="N133" s="9" t="str" cm="1">
        <f t="array" ref="N133">SECTION_NAME(B133)</f>
        <v>us-core-scopes</v>
      </c>
      <c r="O133" s="10" t="str">
        <f t="shared" si="6"/>
        <v>SHALL</v>
      </c>
      <c r="P133" s="10" t="str">
        <f t="shared" si="5"/>
        <v/>
      </c>
      <c r="Q133" s="10" t="s">
        <v>167</v>
      </c>
      <c r="V133" s="12" t="s">
        <v>697</v>
      </c>
      <c r="W133" s="6" t="s">
        <v>1140</v>
      </c>
    </row>
    <row r="134" spans="1:23" ht="136" x14ac:dyDescent="0.2">
      <c r="A134" s="7">
        <v>133</v>
      </c>
      <c r="B134" s="7" t="s">
        <v>623</v>
      </c>
      <c r="C134" s="8" t="s">
        <v>673</v>
      </c>
      <c r="D134" s="7" t="s">
        <v>29</v>
      </c>
      <c r="E134" s="7" t="s">
        <v>30</v>
      </c>
      <c r="G134" s="7" t="b">
        <v>1</v>
      </c>
      <c r="H134" s="12" t="s">
        <v>168</v>
      </c>
      <c r="M134" s="9" t="str" cm="1">
        <f t="array" ref="M134">PAGE_NAME(B134)</f>
        <v>scopes</v>
      </c>
      <c r="N134" s="9" t="str" cm="1">
        <f t="array" ref="N134">SECTION_NAME(B134)</f>
        <v>scopes-for-requesting-fhir-resources-by-type</v>
      </c>
      <c r="O134" s="10" t="str">
        <f t="shared" si="6"/>
        <v>SHALL</v>
      </c>
      <c r="P134" s="10" t="str">
        <f t="shared" si="5"/>
        <v/>
      </c>
      <c r="V134" s="12" t="s">
        <v>697</v>
      </c>
      <c r="W134" s="6" t="s">
        <v>1140</v>
      </c>
    </row>
    <row r="135" spans="1:23" ht="119" x14ac:dyDescent="0.2">
      <c r="A135" s="7">
        <v>134</v>
      </c>
      <c r="B135" s="7" t="s">
        <v>623</v>
      </c>
      <c r="C135" s="8" t="s">
        <v>674</v>
      </c>
      <c r="D135" s="7" t="s">
        <v>29</v>
      </c>
      <c r="E135" s="7" t="s">
        <v>30</v>
      </c>
      <c r="G135" s="7" t="b">
        <v>1</v>
      </c>
      <c r="H135" s="12" t="s">
        <v>169</v>
      </c>
      <c r="M135" s="9" t="str" cm="1">
        <f t="array" ref="M135">PAGE_NAME(B135)</f>
        <v>scopes</v>
      </c>
      <c r="N135" s="9" t="str" cm="1">
        <f t="array" ref="N135">SECTION_NAME(B135)</f>
        <v>scopes-for-requesting-fhir-resources-by-type</v>
      </c>
      <c r="O135" s="10" t="str">
        <f t="shared" si="6"/>
        <v>SHALL</v>
      </c>
      <c r="P135" s="10" t="str">
        <f t="shared" si="5"/>
        <v/>
      </c>
      <c r="V135" s="12" t="s">
        <v>697</v>
      </c>
      <c r="W135" s="6" t="s">
        <v>1140</v>
      </c>
    </row>
    <row r="136" spans="1:23" ht="119" x14ac:dyDescent="0.2">
      <c r="A136" s="7">
        <v>135</v>
      </c>
      <c r="B136" s="7" t="s">
        <v>623</v>
      </c>
      <c r="C136" s="8" t="s">
        <v>675</v>
      </c>
      <c r="D136" s="7" t="s">
        <v>29</v>
      </c>
      <c r="E136" s="7" t="s">
        <v>30</v>
      </c>
      <c r="G136" s="7" t="b">
        <v>1</v>
      </c>
      <c r="H136" s="12" t="s">
        <v>170</v>
      </c>
      <c r="M136" s="9" t="str" cm="1">
        <f t="array" ref="M136">PAGE_NAME(B136)</f>
        <v>scopes</v>
      </c>
      <c r="N136" s="9" t="str" cm="1">
        <f t="array" ref="N136">SECTION_NAME(B136)</f>
        <v>scopes-for-requesting-fhir-resources-by-type</v>
      </c>
      <c r="O136" s="10" t="str">
        <f t="shared" si="6"/>
        <v>SHALL</v>
      </c>
      <c r="P136" s="10" t="str">
        <f t="shared" si="5"/>
        <v/>
      </c>
      <c r="V136" s="12" t="s">
        <v>697</v>
      </c>
      <c r="W136" s="6" t="s">
        <v>1140</v>
      </c>
    </row>
    <row r="137" spans="1:23" ht="119" x14ac:dyDescent="0.2">
      <c r="A137" s="7">
        <v>136</v>
      </c>
      <c r="B137" s="7" t="s">
        <v>623</v>
      </c>
      <c r="C137" s="8" t="s">
        <v>676</v>
      </c>
      <c r="D137" s="7" t="s">
        <v>29</v>
      </c>
      <c r="E137" s="7" t="s">
        <v>30</v>
      </c>
      <c r="G137" s="7" t="b">
        <v>1</v>
      </c>
      <c r="H137" s="12" t="s">
        <v>171</v>
      </c>
      <c r="M137" s="9" t="str" cm="1">
        <f t="array" ref="M137">PAGE_NAME(B137)</f>
        <v>scopes</v>
      </c>
      <c r="N137" s="9" t="str" cm="1">
        <f t="array" ref="N137">SECTION_NAME(B137)</f>
        <v>scopes-for-requesting-fhir-resources-by-type</v>
      </c>
      <c r="O137" s="10" t="str">
        <f t="shared" si="6"/>
        <v>SHALL</v>
      </c>
      <c r="P137" s="10" t="str">
        <f t="shared" si="5"/>
        <v/>
      </c>
      <c r="V137" s="12" t="s">
        <v>697</v>
      </c>
      <c r="W137" s="6" t="s">
        <v>1140</v>
      </c>
    </row>
    <row r="138" spans="1:23" ht="119" x14ac:dyDescent="0.2">
      <c r="A138" s="7">
        <v>137</v>
      </c>
      <c r="B138" s="7" t="s">
        <v>623</v>
      </c>
      <c r="C138" s="8" t="s">
        <v>677</v>
      </c>
      <c r="D138" s="7" t="s">
        <v>29</v>
      </c>
      <c r="E138" s="7" t="s">
        <v>30</v>
      </c>
      <c r="G138" s="7" t="b">
        <v>1</v>
      </c>
      <c r="H138" s="12" t="s">
        <v>172</v>
      </c>
      <c r="M138" s="9" t="str" cm="1">
        <f t="array" ref="M138">PAGE_NAME(B138)</f>
        <v>scopes</v>
      </c>
      <c r="N138" s="9" t="str" cm="1">
        <f t="array" ref="N138">SECTION_NAME(B138)</f>
        <v>scopes-for-requesting-fhir-resources-by-type</v>
      </c>
      <c r="O138" s="10" t="str">
        <f t="shared" si="6"/>
        <v>SHALL</v>
      </c>
      <c r="P138" s="10" t="str">
        <f t="shared" si="5"/>
        <v/>
      </c>
      <c r="V138" s="12" t="s">
        <v>697</v>
      </c>
      <c r="W138" s="6" t="s">
        <v>1140</v>
      </c>
    </row>
    <row r="139" spans="1:23" ht="136" x14ac:dyDescent="0.2">
      <c r="A139" s="7">
        <v>138</v>
      </c>
      <c r="B139" s="7" t="s">
        <v>623</v>
      </c>
      <c r="C139" s="8" t="s">
        <v>678</v>
      </c>
      <c r="D139" s="7" t="s">
        <v>29</v>
      </c>
      <c r="E139" s="7" t="s">
        <v>30</v>
      </c>
      <c r="G139" s="7" t="b">
        <v>1</v>
      </c>
      <c r="H139" s="12" t="s">
        <v>173</v>
      </c>
      <c r="M139" s="9" t="str" cm="1">
        <f t="array" ref="M139">PAGE_NAME(B139)</f>
        <v>scopes</v>
      </c>
      <c r="N139" s="9" t="str" cm="1">
        <f t="array" ref="N139">SECTION_NAME(B139)</f>
        <v>scopes-for-requesting-fhir-resources-by-type</v>
      </c>
      <c r="O139" s="10" t="str">
        <f t="shared" si="6"/>
        <v>SHALL</v>
      </c>
      <c r="P139" s="10" t="str">
        <f t="shared" si="5"/>
        <v/>
      </c>
      <c r="V139" s="12" t="s">
        <v>697</v>
      </c>
      <c r="W139" s="6" t="s">
        <v>1140</v>
      </c>
    </row>
    <row r="140" spans="1:23" ht="136" x14ac:dyDescent="0.2">
      <c r="A140" s="7">
        <v>139</v>
      </c>
      <c r="B140" s="7" t="s">
        <v>623</v>
      </c>
      <c r="C140" s="8" t="s">
        <v>679</v>
      </c>
      <c r="D140" s="7" t="s">
        <v>29</v>
      </c>
      <c r="E140" s="7" t="s">
        <v>30</v>
      </c>
      <c r="G140" s="7" t="b">
        <v>1</v>
      </c>
      <c r="H140" s="12" t="s">
        <v>174</v>
      </c>
      <c r="M140" s="9" t="str" cm="1">
        <f t="array" ref="M140">PAGE_NAME(B140)</f>
        <v>scopes</v>
      </c>
      <c r="N140" s="9" t="str" cm="1">
        <f t="array" ref="N140">SECTION_NAME(B140)</f>
        <v>scopes-for-requesting-fhir-resources-by-type</v>
      </c>
      <c r="O140" s="10" t="str">
        <f t="shared" si="6"/>
        <v>SHALL</v>
      </c>
      <c r="P140" s="10" t="str">
        <f t="shared" si="5"/>
        <v/>
      </c>
      <c r="V140" s="12" t="s">
        <v>697</v>
      </c>
      <c r="W140" s="6" t="s">
        <v>1140</v>
      </c>
    </row>
    <row r="141" spans="1:23" ht="119" x14ac:dyDescent="0.2">
      <c r="A141" s="7">
        <v>140</v>
      </c>
      <c r="B141" s="7" t="s">
        <v>623</v>
      </c>
      <c r="C141" s="8" t="s">
        <v>680</v>
      </c>
      <c r="D141" s="7" t="s">
        <v>29</v>
      </c>
      <c r="E141" s="7" t="s">
        <v>30</v>
      </c>
      <c r="G141" s="7" t="b">
        <v>1</v>
      </c>
      <c r="H141" s="12" t="s">
        <v>175</v>
      </c>
      <c r="M141" s="9" t="str" cm="1">
        <f t="array" ref="M141">PAGE_NAME(B141)</f>
        <v>scopes</v>
      </c>
      <c r="N141" s="9" t="str" cm="1">
        <f t="array" ref="N141">SECTION_NAME(B141)</f>
        <v>scopes-for-requesting-fhir-resources-by-type</v>
      </c>
      <c r="O141" s="10" t="str">
        <f t="shared" si="6"/>
        <v>SHALL</v>
      </c>
      <c r="P141" s="10" t="str">
        <f t="shared" si="5"/>
        <v/>
      </c>
      <c r="V141" s="12" t="s">
        <v>697</v>
      </c>
      <c r="W141" s="6" t="s">
        <v>1140</v>
      </c>
    </row>
    <row r="142" spans="1:23" ht="119" x14ac:dyDescent="0.2">
      <c r="A142" s="7">
        <v>141</v>
      </c>
      <c r="B142" s="7" t="s">
        <v>623</v>
      </c>
      <c r="C142" s="8" t="s">
        <v>681</v>
      </c>
      <c r="D142" s="7" t="s">
        <v>29</v>
      </c>
      <c r="E142" s="7" t="s">
        <v>30</v>
      </c>
      <c r="G142" s="7" t="b">
        <v>1</v>
      </c>
      <c r="H142" s="12" t="s">
        <v>176</v>
      </c>
      <c r="M142" s="9" t="str" cm="1">
        <f t="array" ref="M142">PAGE_NAME(B142)</f>
        <v>scopes</v>
      </c>
      <c r="N142" s="9" t="str" cm="1">
        <f t="array" ref="N142">SECTION_NAME(B142)</f>
        <v>scopes-for-requesting-fhir-resources-by-type</v>
      </c>
      <c r="O142" s="10" t="str">
        <f t="shared" si="6"/>
        <v>SHALL</v>
      </c>
      <c r="P142" s="10" t="str">
        <f t="shared" si="5"/>
        <v/>
      </c>
      <c r="V142" s="12" t="s">
        <v>697</v>
      </c>
      <c r="W142" s="6" t="s">
        <v>1140</v>
      </c>
    </row>
    <row r="143" spans="1:23" ht="136" x14ac:dyDescent="0.2">
      <c r="A143" s="7">
        <v>142</v>
      </c>
      <c r="B143" s="7" t="s">
        <v>623</v>
      </c>
      <c r="C143" s="8" t="s">
        <v>682</v>
      </c>
      <c r="D143" s="7" t="s">
        <v>29</v>
      </c>
      <c r="E143" s="7" t="s">
        <v>30</v>
      </c>
      <c r="G143" s="7" t="b">
        <v>1</v>
      </c>
      <c r="H143" s="51" t="s">
        <v>177</v>
      </c>
      <c r="M143" s="9" t="str" cm="1">
        <f t="array" ref="M143">PAGE_NAME(B143)</f>
        <v>scopes</v>
      </c>
      <c r="N143" s="9" t="str" cm="1">
        <f t="array" ref="N143">SECTION_NAME(B143)</f>
        <v>scopes-for-requesting-fhir-resources-by-type</v>
      </c>
      <c r="O143" s="10" t="str">
        <f t="shared" si="6"/>
        <v>SHALL</v>
      </c>
      <c r="P143" s="10" t="str">
        <f t="shared" si="5"/>
        <v/>
      </c>
      <c r="V143" s="12" t="s">
        <v>697</v>
      </c>
      <c r="W143" s="6" t="s">
        <v>1140</v>
      </c>
    </row>
    <row r="144" spans="1:23" ht="136" x14ac:dyDescent="0.2">
      <c r="A144" s="7">
        <v>143</v>
      </c>
      <c r="B144" s="7" t="s">
        <v>623</v>
      </c>
      <c r="C144" s="8" t="s">
        <v>683</v>
      </c>
      <c r="D144" s="7" t="s">
        <v>29</v>
      </c>
      <c r="E144" s="7" t="s">
        <v>30</v>
      </c>
      <c r="G144" s="7" t="b">
        <v>1</v>
      </c>
      <c r="H144" s="51" t="s">
        <v>178</v>
      </c>
      <c r="M144" s="9" t="str" cm="1">
        <f t="array" ref="M144">PAGE_NAME(B144)</f>
        <v>scopes</v>
      </c>
      <c r="N144" s="9" t="str" cm="1">
        <f t="array" ref="N144">SECTION_NAME(B144)</f>
        <v>scopes-for-requesting-fhir-resources-by-type</v>
      </c>
      <c r="O144" s="10" t="str">
        <f t="shared" si="6"/>
        <v>SHALL</v>
      </c>
      <c r="P144" s="10" t="str">
        <f t="shared" si="5"/>
        <v/>
      </c>
      <c r="V144" s="12" t="s">
        <v>697</v>
      </c>
      <c r="W144" s="6" t="s">
        <v>1140</v>
      </c>
    </row>
    <row r="145" spans="1:23" ht="136" x14ac:dyDescent="0.2">
      <c r="A145" s="7">
        <v>144</v>
      </c>
      <c r="B145" s="7" t="s">
        <v>623</v>
      </c>
      <c r="C145" s="8" t="s">
        <v>684</v>
      </c>
      <c r="D145" s="7" t="s">
        <v>29</v>
      </c>
      <c r="E145" s="7" t="s">
        <v>30</v>
      </c>
      <c r="G145" s="7" t="b">
        <v>1</v>
      </c>
      <c r="H145" s="51" t="s">
        <v>179</v>
      </c>
      <c r="M145" s="9" t="str" cm="1">
        <f t="array" ref="M145">PAGE_NAME(B145)</f>
        <v>scopes</v>
      </c>
      <c r="N145" s="9" t="str" cm="1">
        <f t="array" ref="N145">SECTION_NAME(B145)</f>
        <v>scopes-for-requesting-fhir-resources-by-type</v>
      </c>
      <c r="O145" s="10" t="str">
        <f t="shared" si="6"/>
        <v>SHALL</v>
      </c>
      <c r="P145" s="10" t="str">
        <f t="shared" si="5"/>
        <v/>
      </c>
      <c r="V145" s="12" t="s">
        <v>697</v>
      </c>
      <c r="W145" s="6" t="s">
        <v>1140</v>
      </c>
    </row>
    <row r="146" spans="1:23" ht="119" x14ac:dyDescent="0.2">
      <c r="A146" s="7">
        <v>145</v>
      </c>
      <c r="B146" s="7" t="s">
        <v>623</v>
      </c>
      <c r="C146" s="8" t="s">
        <v>685</v>
      </c>
      <c r="D146" s="7" t="s">
        <v>29</v>
      </c>
      <c r="E146" s="7" t="s">
        <v>30</v>
      </c>
      <c r="G146" s="7" t="b">
        <v>1</v>
      </c>
      <c r="H146" s="51" t="s">
        <v>180</v>
      </c>
      <c r="M146" s="9" t="str" cm="1">
        <f t="array" ref="M146">PAGE_NAME(B146)</f>
        <v>scopes</v>
      </c>
      <c r="N146" s="9" t="str" cm="1">
        <f t="array" ref="N146">SECTION_NAME(B146)</f>
        <v>scopes-for-requesting-fhir-resources-by-type</v>
      </c>
      <c r="O146" s="10" t="str">
        <f t="shared" si="6"/>
        <v>SHALL</v>
      </c>
      <c r="P146" s="10" t="str">
        <f t="shared" si="5"/>
        <v/>
      </c>
      <c r="V146" s="12" t="s">
        <v>697</v>
      </c>
      <c r="W146" s="6" t="s">
        <v>1140</v>
      </c>
    </row>
    <row r="147" spans="1:23" ht="119" x14ac:dyDescent="0.2">
      <c r="A147" s="7">
        <v>146</v>
      </c>
      <c r="B147" s="7" t="s">
        <v>623</v>
      </c>
      <c r="C147" s="8" t="s">
        <v>686</v>
      </c>
      <c r="D147" s="7" t="s">
        <v>29</v>
      </c>
      <c r="E147" s="7" t="s">
        <v>30</v>
      </c>
      <c r="G147" s="7" t="b">
        <v>1</v>
      </c>
      <c r="H147" s="12" t="s">
        <v>181</v>
      </c>
      <c r="M147" s="9" t="str" cm="1">
        <f t="array" ref="M147">PAGE_NAME(B147)</f>
        <v>scopes</v>
      </c>
      <c r="N147" s="9" t="str" cm="1">
        <f t="array" ref="N147">SECTION_NAME(B147)</f>
        <v>scopes-for-requesting-fhir-resources-by-type</v>
      </c>
      <c r="O147" s="10" t="str">
        <f t="shared" si="6"/>
        <v>SHALL</v>
      </c>
      <c r="P147" s="10" t="str">
        <f t="shared" si="5"/>
        <v/>
      </c>
      <c r="V147" s="12" t="s">
        <v>697</v>
      </c>
      <c r="W147" s="6" t="s">
        <v>1140</v>
      </c>
    </row>
    <row r="148" spans="1:23" ht="119" x14ac:dyDescent="0.2">
      <c r="A148" s="7">
        <v>147</v>
      </c>
      <c r="B148" s="7" t="s">
        <v>623</v>
      </c>
      <c r="C148" s="8" t="s">
        <v>687</v>
      </c>
      <c r="D148" s="7" t="s">
        <v>29</v>
      </c>
      <c r="E148" s="7" t="s">
        <v>30</v>
      </c>
      <c r="G148" s="7" t="b">
        <v>1</v>
      </c>
      <c r="H148" s="51" t="s">
        <v>182</v>
      </c>
      <c r="M148" s="9" t="str" cm="1">
        <f t="array" ref="M148">PAGE_NAME(B148)</f>
        <v>scopes</v>
      </c>
      <c r="N148" s="9" t="str" cm="1">
        <f t="array" ref="N148">SECTION_NAME(B148)</f>
        <v>scopes-for-requesting-fhir-resources-by-type</v>
      </c>
      <c r="O148" s="10" t="str">
        <f t="shared" si="6"/>
        <v>SHALL</v>
      </c>
      <c r="P148" s="10" t="str">
        <f t="shared" si="5"/>
        <v/>
      </c>
      <c r="V148" s="12" t="s">
        <v>697</v>
      </c>
      <c r="W148" s="6" t="s">
        <v>1140</v>
      </c>
    </row>
    <row r="149" spans="1:23" ht="119" x14ac:dyDescent="0.2">
      <c r="A149" s="7">
        <v>148</v>
      </c>
      <c r="B149" s="7" t="s">
        <v>623</v>
      </c>
      <c r="C149" s="8" t="s">
        <v>688</v>
      </c>
      <c r="D149" s="7" t="s">
        <v>29</v>
      </c>
      <c r="E149" s="7" t="s">
        <v>30</v>
      </c>
      <c r="G149" s="7" t="b">
        <v>1</v>
      </c>
      <c r="H149" s="51" t="s">
        <v>183</v>
      </c>
      <c r="M149" s="9" t="str" cm="1">
        <f t="array" ref="M149">PAGE_NAME(B149)</f>
        <v>scopes</v>
      </c>
      <c r="N149" s="9" t="str" cm="1">
        <f t="array" ref="N149">SECTION_NAME(B149)</f>
        <v>scopes-for-requesting-fhir-resources-by-type</v>
      </c>
      <c r="O149" s="10" t="str">
        <f t="shared" si="6"/>
        <v>SHALL</v>
      </c>
      <c r="P149" s="10" t="str">
        <f t="shared" si="5"/>
        <v/>
      </c>
      <c r="V149" s="12" t="s">
        <v>697</v>
      </c>
      <c r="W149" s="6" t="s">
        <v>1140</v>
      </c>
    </row>
    <row r="150" spans="1:23" ht="136" x14ac:dyDescent="0.2">
      <c r="A150" s="7">
        <v>149</v>
      </c>
      <c r="B150" s="7" t="s">
        <v>623</v>
      </c>
      <c r="C150" s="8" t="s">
        <v>689</v>
      </c>
      <c r="D150" s="7" t="s">
        <v>29</v>
      </c>
      <c r="E150" s="7" t="s">
        <v>30</v>
      </c>
      <c r="G150" s="7" t="b">
        <v>1</v>
      </c>
      <c r="H150" s="51" t="s">
        <v>184</v>
      </c>
      <c r="M150" s="9" t="str" cm="1">
        <f t="array" ref="M150">PAGE_NAME(B150)</f>
        <v>scopes</v>
      </c>
      <c r="N150" s="9" t="str" cm="1">
        <f t="array" ref="N150">SECTION_NAME(B150)</f>
        <v>scopes-for-requesting-fhir-resources-by-type</v>
      </c>
      <c r="O150" s="10" t="str">
        <f t="shared" si="6"/>
        <v>SHALL</v>
      </c>
      <c r="P150" s="10" t="str">
        <f t="shared" si="5"/>
        <v/>
      </c>
      <c r="V150" s="12" t="s">
        <v>697</v>
      </c>
      <c r="W150" s="6" t="s">
        <v>1140</v>
      </c>
    </row>
    <row r="151" spans="1:23" ht="119" x14ac:dyDescent="0.2">
      <c r="A151" s="7">
        <v>150</v>
      </c>
      <c r="B151" s="7" t="s">
        <v>623</v>
      </c>
      <c r="C151" s="8" t="s">
        <v>690</v>
      </c>
      <c r="D151" s="7" t="s">
        <v>29</v>
      </c>
      <c r="E151" s="7" t="s">
        <v>30</v>
      </c>
      <c r="G151" s="7" t="b">
        <v>1</v>
      </c>
      <c r="H151" s="51" t="s">
        <v>185</v>
      </c>
      <c r="M151" s="9" t="str" cm="1">
        <f t="array" ref="M151">PAGE_NAME(B151)</f>
        <v>scopes</v>
      </c>
      <c r="N151" s="9" t="str" cm="1">
        <f t="array" ref="N151">SECTION_NAME(B151)</f>
        <v>scopes-for-requesting-fhir-resources-by-type</v>
      </c>
      <c r="O151" s="10" t="str">
        <f t="shared" si="6"/>
        <v>SHALL</v>
      </c>
      <c r="P151" s="10" t="str">
        <f t="shared" si="5"/>
        <v/>
      </c>
      <c r="V151" s="12" t="s">
        <v>697</v>
      </c>
      <c r="W151" s="6" t="s">
        <v>1140</v>
      </c>
    </row>
    <row r="152" spans="1:23" ht="119" x14ac:dyDescent="0.2">
      <c r="A152" s="7">
        <v>151</v>
      </c>
      <c r="B152" s="7" t="s">
        <v>623</v>
      </c>
      <c r="C152" s="8" t="s">
        <v>691</v>
      </c>
      <c r="D152" s="7" t="s">
        <v>29</v>
      </c>
      <c r="E152" s="7" t="s">
        <v>30</v>
      </c>
      <c r="G152" s="7" t="b">
        <v>1</v>
      </c>
      <c r="H152" s="51" t="s">
        <v>186</v>
      </c>
      <c r="M152" s="9" t="str" cm="1">
        <f t="array" ref="M152">PAGE_NAME(B152)</f>
        <v>scopes</v>
      </c>
      <c r="N152" s="9" t="str" cm="1">
        <f t="array" ref="N152">SECTION_NAME(B152)</f>
        <v>scopes-for-requesting-fhir-resources-by-type</v>
      </c>
      <c r="O152" s="10" t="str">
        <f t="shared" si="6"/>
        <v>SHALL</v>
      </c>
      <c r="P152" s="10" t="str">
        <f t="shared" si="5"/>
        <v/>
      </c>
      <c r="V152" s="12" t="s">
        <v>697</v>
      </c>
      <c r="W152" s="6" t="s">
        <v>1140</v>
      </c>
    </row>
    <row r="153" spans="1:23" ht="136" x14ac:dyDescent="0.2">
      <c r="A153" s="7">
        <v>152</v>
      </c>
      <c r="B153" s="7" t="s">
        <v>623</v>
      </c>
      <c r="C153" s="8" t="s">
        <v>692</v>
      </c>
      <c r="D153" s="7" t="s">
        <v>29</v>
      </c>
      <c r="E153" s="7" t="s">
        <v>30</v>
      </c>
      <c r="G153" s="7" t="b">
        <v>1</v>
      </c>
      <c r="H153" s="51" t="s">
        <v>187</v>
      </c>
      <c r="M153" s="9" t="str" cm="1">
        <f t="array" ref="M153">PAGE_NAME(B153)</f>
        <v>scopes</v>
      </c>
      <c r="N153" s="9" t="str" cm="1">
        <f t="array" ref="N153">SECTION_NAME(B153)</f>
        <v>scopes-for-requesting-fhir-resources-by-type</v>
      </c>
      <c r="O153" s="10" t="str">
        <f t="shared" si="6"/>
        <v>SHALL</v>
      </c>
      <c r="P153" s="10" t="str">
        <f t="shared" si="5"/>
        <v/>
      </c>
      <c r="V153" s="12" t="s">
        <v>697</v>
      </c>
      <c r="W153" s="6" t="s">
        <v>1140</v>
      </c>
    </row>
    <row r="154" spans="1:23" ht="136" x14ac:dyDescent="0.2">
      <c r="A154" s="7">
        <v>153</v>
      </c>
      <c r="B154" s="7" t="s">
        <v>623</v>
      </c>
      <c r="C154" s="8" t="s">
        <v>693</v>
      </c>
      <c r="D154" s="7" t="s">
        <v>29</v>
      </c>
      <c r="E154" s="7" t="s">
        <v>30</v>
      </c>
      <c r="G154" s="7" t="b">
        <v>1</v>
      </c>
      <c r="H154" s="51" t="s">
        <v>188</v>
      </c>
      <c r="M154" s="9" t="str" cm="1">
        <f t="array" ref="M154">PAGE_NAME(B154)</f>
        <v>scopes</v>
      </c>
      <c r="N154" s="9" t="str" cm="1">
        <f t="array" ref="N154">SECTION_NAME(B154)</f>
        <v>scopes-for-requesting-fhir-resources-by-type</v>
      </c>
      <c r="O154" s="10" t="str">
        <f t="shared" si="6"/>
        <v>SHALL</v>
      </c>
      <c r="P154" s="10" t="str">
        <f t="shared" si="5"/>
        <v/>
      </c>
      <c r="V154" s="12" t="s">
        <v>697</v>
      </c>
      <c r="W154" s="6" t="s">
        <v>1140</v>
      </c>
    </row>
    <row r="155" spans="1:23" ht="136" x14ac:dyDescent="0.2">
      <c r="A155" s="7">
        <v>154</v>
      </c>
      <c r="B155" s="7" t="s">
        <v>623</v>
      </c>
      <c r="C155" s="8" t="s">
        <v>694</v>
      </c>
      <c r="D155" s="7" t="s">
        <v>29</v>
      </c>
      <c r="E155" s="7" t="s">
        <v>30</v>
      </c>
      <c r="G155" s="7" t="b">
        <v>1</v>
      </c>
      <c r="H155" s="51" t="s">
        <v>189</v>
      </c>
      <c r="M155" s="9" t="str" cm="1">
        <f t="array" ref="M155">PAGE_NAME(B155)</f>
        <v>scopes</v>
      </c>
      <c r="N155" s="9" t="str" cm="1">
        <f t="array" ref="N155">SECTION_NAME(B155)</f>
        <v>scopes-for-requesting-fhir-resources-by-type</v>
      </c>
      <c r="O155" s="10" t="str">
        <f t="shared" si="6"/>
        <v>SHALL</v>
      </c>
      <c r="P155" s="10" t="str">
        <f t="shared" si="5"/>
        <v/>
      </c>
      <c r="V155" s="12" t="s">
        <v>697</v>
      </c>
      <c r="W155" s="6" t="s">
        <v>1140</v>
      </c>
    </row>
    <row r="156" spans="1:23" ht="119" x14ac:dyDescent="0.2">
      <c r="A156" s="7">
        <v>155</v>
      </c>
      <c r="B156" s="7" t="s">
        <v>623</v>
      </c>
      <c r="C156" s="8" t="s">
        <v>695</v>
      </c>
      <c r="D156" s="7" t="s">
        <v>29</v>
      </c>
      <c r="E156" s="7" t="s">
        <v>30</v>
      </c>
      <c r="G156" s="7" t="b">
        <v>1</v>
      </c>
      <c r="H156" s="51" t="s">
        <v>190</v>
      </c>
      <c r="M156" s="9" t="str" cm="1">
        <f t="array" ref="M156">PAGE_NAME(B156)</f>
        <v>scopes</v>
      </c>
      <c r="N156" s="9" t="str" cm="1">
        <f t="array" ref="N156">SECTION_NAME(B156)</f>
        <v>scopes-for-requesting-fhir-resources-by-type</v>
      </c>
      <c r="O156" s="10" t="str">
        <f t="shared" si="6"/>
        <v>SHALL</v>
      </c>
      <c r="P156" s="10" t="str">
        <f t="shared" si="5"/>
        <v/>
      </c>
      <c r="V156" s="12" t="s">
        <v>697</v>
      </c>
      <c r="W156" s="6" t="s">
        <v>1140</v>
      </c>
    </row>
    <row r="157" spans="1:23" ht="119" x14ac:dyDescent="0.2">
      <c r="A157" s="7">
        <v>156</v>
      </c>
      <c r="B157" s="7" t="s">
        <v>623</v>
      </c>
      <c r="C157" s="8" t="s">
        <v>699</v>
      </c>
      <c r="D157" s="7" t="s">
        <v>35</v>
      </c>
      <c r="E157" s="7" t="s">
        <v>30</v>
      </c>
      <c r="G157" s="7" t="b">
        <v>0</v>
      </c>
      <c r="M157" s="9" t="str" cm="1">
        <f t="array" ref="M157">PAGE_NAME(B157)</f>
        <v>scopes</v>
      </c>
      <c r="N157" s="9" t="str" cm="1">
        <f t="array" ref="N157">SECTION_NAME(B157)</f>
        <v>scopes-for-requesting-fhir-resources-by-type</v>
      </c>
      <c r="O157" s="10" t="str">
        <f t="shared" si="6"/>
        <v>MAY</v>
      </c>
      <c r="P157" s="10" t="str">
        <f t="shared" si="5"/>
        <v/>
      </c>
      <c r="V157" s="12" t="s">
        <v>700</v>
      </c>
    </row>
    <row r="158" spans="1:23" ht="119" x14ac:dyDescent="0.2">
      <c r="A158" s="7">
        <v>157</v>
      </c>
      <c r="B158" s="7" t="s">
        <v>623</v>
      </c>
      <c r="C158" s="8" t="s">
        <v>698</v>
      </c>
      <c r="D158" s="7" t="s">
        <v>35</v>
      </c>
      <c r="E158" s="7" t="s">
        <v>30</v>
      </c>
      <c r="G158" s="7" t="b">
        <v>0</v>
      </c>
      <c r="M158" s="9" t="str" cm="1">
        <f t="array" ref="M158">PAGE_NAME(B158)</f>
        <v>scopes</v>
      </c>
      <c r="N158" s="9" t="str" cm="1">
        <f t="array" ref="N158">SECTION_NAME(B158)</f>
        <v>scopes-for-requesting-fhir-resources-by-type</v>
      </c>
      <c r="O158" s="10" t="str">
        <f t="shared" si="6"/>
        <v>MAY</v>
      </c>
      <c r="P158" s="10" t="str">
        <f t="shared" si="5"/>
        <v/>
      </c>
      <c r="V158" s="12" t="s">
        <v>700</v>
      </c>
    </row>
    <row r="159" spans="1:23" ht="136" x14ac:dyDescent="0.2">
      <c r="A159" s="7">
        <v>158</v>
      </c>
      <c r="B159" s="7" t="s">
        <v>624</v>
      </c>
      <c r="C159" s="8" t="s">
        <v>702</v>
      </c>
      <c r="D159" s="7" t="s">
        <v>29</v>
      </c>
      <c r="E159" s="7" t="s">
        <v>30</v>
      </c>
      <c r="G159" s="7" t="b">
        <v>0</v>
      </c>
      <c r="M159" s="9" t="str" cm="1">
        <f t="array" ref="M159">PAGE_NAME(B159)</f>
        <v>scopes</v>
      </c>
      <c r="N159" s="9" t="str" cm="1">
        <f t="array" ref="N159">SECTION_NAME(B159)</f>
        <v>granular-scopes-for-requesting-fhir-resources</v>
      </c>
      <c r="O159" s="10" t="str">
        <f t="shared" si="6"/>
        <v>SHALL</v>
      </c>
      <c r="P159" s="10" t="str">
        <f t="shared" si="5"/>
        <v/>
      </c>
      <c r="V159" s="12" t="s">
        <v>701</v>
      </c>
      <c r="W159" s="6" t="s">
        <v>1140</v>
      </c>
    </row>
    <row r="160" spans="1:23" ht="153" x14ac:dyDescent="0.2">
      <c r="A160" s="7">
        <v>159</v>
      </c>
      <c r="B160" s="7" t="s">
        <v>624</v>
      </c>
      <c r="C160" s="8" t="s">
        <v>703</v>
      </c>
      <c r="D160" s="7" t="s">
        <v>29</v>
      </c>
      <c r="E160" s="7" t="s">
        <v>30</v>
      </c>
      <c r="G160" s="7" t="b">
        <v>0</v>
      </c>
      <c r="M160" s="9" t="str" cm="1">
        <f t="array" ref="M160">PAGE_NAME(B160)</f>
        <v>scopes</v>
      </c>
      <c r="N160" s="9" t="str" cm="1">
        <f t="array" ref="N160">SECTION_NAME(B160)</f>
        <v>granular-scopes-for-requesting-fhir-resources</v>
      </c>
      <c r="O160" s="10" t="str">
        <f t="shared" si="6"/>
        <v>SHALL</v>
      </c>
      <c r="P160" s="10" t="str">
        <f t="shared" si="5"/>
        <v/>
      </c>
      <c r="V160" s="12" t="s">
        <v>701</v>
      </c>
      <c r="W160" s="6" t="s">
        <v>1140</v>
      </c>
    </row>
    <row r="161" spans="1:23" ht="136" x14ac:dyDescent="0.2">
      <c r="A161" s="7">
        <v>160</v>
      </c>
      <c r="B161" s="7" t="s">
        <v>624</v>
      </c>
      <c r="C161" s="8" t="s">
        <v>704</v>
      </c>
      <c r="D161" s="7" t="s">
        <v>29</v>
      </c>
      <c r="E161" s="7" t="s">
        <v>30</v>
      </c>
      <c r="G161" s="7" t="b">
        <v>0</v>
      </c>
      <c r="M161" s="9" t="str" cm="1">
        <f t="array" ref="M161">PAGE_NAME(B161)</f>
        <v>scopes</v>
      </c>
      <c r="N161" s="9" t="str" cm="1">
        <f t="array" ref="N161">SECTION_NAME(B161)</f>
        <v>granular-scopes-for-requesting-fhir-resources</v>
      </c>
      <c r="O161" s="10" t="str">
        <f t="shared" si="6"/>
        <v>SHALL</v>
      </c>
      <c r="P161" s="10" t="str">
        <f t="shared" si="5"/>
        <v/>
      </c>
      <c r="V161" s="12" t="s">
        <v>701</v>
      </c>
      <c r="W161" s="6" t="s">
        <v>1140</v>
      </c>
    </row>
    <row r="162" spans="1:23" ht="136" x14ac:dyDescent="0.2">
      <c r="A162" s="7">
        <v>161</v>
      </c>
      <c r="B162" s="7" t="s">
        <v>624</v>
      </c>
      <c r="C162" s="8" t="s">
        <v>705</v>
      </c>
      <c r="D162" s="7" t="s">
        <v>29</v>
      </c>
      <c r="E162" s="7" t="s">
        <v>30</v>
      </c>
      <c r="G162" s="7" t="b">
        <v>0</v>
      </c>
      <c r="M162" s="9" t="str" cm="1">
        <f t="array" ref="M162">PAGE_NAME(B162)</f>
        <v>scopes</v>
      </c>
      <c r="N162" s="9" t="str" cm="1">
        <f t="array" ref="N162">SECTION_NAME(B162)</f>
        <v>granular-scopes-for-requesting-fhir-resources</v>
      </c>
      <c r="O162" s="10" t="str">
        <f t="shared" si="6"/>
        <v>SHALL</v>
      </c>
      <c r="P162" s="10" t="str">
        <f t="shared" si="5"/>
        <v/>
      </c>
      <c r="V162" s="12" t="s">
        <v>701</v>
      </c>
      <c r="W162" s="6" t="s">
        <v>1140</v>
      </c>
    </row>
    <row r="163" spans="1:23" ht="153" x14ac:dyDescent="0.2">
      <c r="A163" s="7">
        <v>162</v>
      </c>
      <c r="B163" s="7" t="s">
        <v>624</v>
      </c>
      <c r="C163" s="8" t="s">
        <v>706</v>
      </c>
      <c r="D163" s="7" t="s">
        <v>29</v>
      </c>
      <c r="E163" s="7" t="s">
        <v>30</v>
      </c>
      <c r="G163" s="7" t="b">
        <v>0</v>
      </c>
      <c r="M163" s="9" t="str" cm="1">
        <f t="array" ref="M163">PAGE_NAME(B163)</f>
        <v>scopes</v>
      </c>
      <c r="N163" s="9" t="str" cm="1">
        <f t="array" ref="N163">SECTION_NAME(B163)</f>
        <v>granular-scopes-for-requesting-fhir-resources</v>
      </c>
      <c r="O163" s="10" t="str">
        <f t="shared" si="6"/>
        <v>SHALL</v>
      </c>
      <c r="P163" s="10" t="str">
        <f t="shared" si="5"/>
        <v/>
      </c>
      <c r="V163" s="12" t="s">
        <v>701</v>
      </c>
      <c r="W163" s="6" t="s">
        <v>1140</v>
      </c>
    </row>
    <row r="164" spans="1:23" ht="136" x14ac:dyDescent="0.2">
      <c r="A164" s="7">
        <v>163</v>
      </c>
      <c r="B164" s="7" t="s">
        <v>624</v>
      </c>
      <c r="C164" s="8" t="s">
        <v>707</v>
      </c>
      <c r="D164" s="7" t="s">
        <v>29</v>
      </c>
      <c r="E164" s="7" t="s">
        <v>30</v>
      </c>
      <c r="G164" s="7" t="b">
        <v>0</v>
      </c>
      <c r="M164" s="9" t="str" cm="1">
        <f t="array" ref="M164">PAGE_NAME(B164)</f>
        <v>scopes</v>
      </c>
      <c r="N164" s="9" t="str" cm="1">
        <f t="array" ref="N164">SECTION_NAME(B164)</f>
        <v>granular-scopes-for-requesting-fhir-resources</v>
      </c>
      <c r="O164" s="10" t="str">
        <f t="shared" si="6"/>
        <v>SHALL</v>
      </c>
      <c r="P164" s="10" t="str">
        <f t="shared" si="5"/>
        <v/>
      </c>
      <c r="V164" s="12" t="s">
        <v>701</v>
      </c>
      <c r="W164" s="6" t="s">
        <v>1140</v>
      </c>
    </row>
    <row r="165" spans="1:23" ht="136" x14ac:dyDescent="0.2">
      <c r="A165" s="7">
        <v>164</v>
      </c>
      <c r="B165" s="7" t="s">
        <v>624</v>
      </c>
      <c r="C165" s="8" t="s">
        <v>708</v>
      </c>
      <c r="D165" s="7" t="s">
        <v>29</v>
      </c>
      <c r="E165" s="7" t="s">
        <v>30</v>
      </c>
      <c r="G165" s="7" t="b">
        <v>0</v>
      </c>
      <c r="M165" s="9" t="str" cm="1">
        <f t="array" ref="M165">PAGE_NAME(B165)</f>
        <v>scopes</v>
      </c>
      <c r="N165" s="9" t="str" cm="1">
        <f t="array" ref="N165">SECTION_NAME(B165)</f>
        <v>granular-scopes-for-requesting-fhir-resources</v>
      </c>
      <c r="O165" s="10" t="str">
        <f t="shared" si="6"/>
        <v>SHALL</v>
      </c>
      <c r="P165" s="10" t="str">
        <f t="shared" si="5"/>
        <v/>
      </c>
      <c r="V165" s="12" t="s">
        <v>701</v>
      </c>
      <c r="W165" s="6" t="s">
        <v>1140</v>
      </c>
    </row>
    <row r="166" spans="1:23" ht="136" x14ac:dyDescent="0.2">
      <c r="A166" s="7">
        <v>165</v>
      </c>
      <c r="B166" s="7" t="s">
        <v>624</v>
      </c>
      <c r="C166" s="8" t="s">
        <v>709</v>
      </c>
      <c r="D166" s="7" t="s">
        <v>29</v>
      </c>
      <c r="E166" s="7" t="s">
        <v>30</v>
      </c>
      <c r="G166" s="7" t="b">
        <v>0</v>
      </c>
      <c r="M166" s="9" t="str" cm="1">
        <f t="array" ref="M166">PAGE_NAME(B166)</f>
        <v>scopes</v>
      </c>
      <c r="N166" s="9" t="str" cm="1">
        <f t="array" ref="N166">SECTION_NAME(B166)</f>
        <v>granular-scopes-for-requesting-fhir-resources</v>
      </c>
      <c r="O166" s="10" t="str">
        <f t="shared" si="6"/>
        <v>SHALL</v>
      </c>
      <c r="P166" s="10" t="str">
        <f t="shared" si="5"/>
        <v/>
      </c>
      <c r="V166" s="12" t="s">
        <v>701</v>
      </c>
      <c r="W166" s="6" t="s">
        <v>1140</v>
      </c>
    </row>
    <row r="167" spans="1:23" ht="153" x14ac:dyDescent="0.2">
      <c r="A167" s="7">
        <v>166</v>
      </c>
      <c r="B167" s="7" t="s">
        <v>624</v>
      </c>
      <c r="C167" s="8" t="s">
        <v>710</v>
      </c>
      <c r="D167" s="7" t="s">
        <v>32</v>
      </c>
      <c r="E167" s="7" t="s">
        <v>30</v>
      </c>
      <c r="G167" s="7" t="b">
        <v>0</v>
      </c>
      <c r="M167" s="9" t="str" cm="1">
        <f t="array" ref="M167">PAGE_NAME(B167)</f>
        <v>scopes</v>
      </c>
      <c r="N167" s="9" t="str" cm="1">
        <f t="array" ref="N167">SECTION_NAME(B167)</f>
        <v>granular-scopes-for-requesting-fhir-resources</v>
      </c>
      <c r="O167" s="10" t="str">
        <f t="shared" si="6"/>
        <v>SHOULD</v>
      </c>
      <c r="P167" s="10" t="str">
        <f t="shared" si="5"/>
        <v/>
      </c>
      <c r="Q167" s="10" t="s">
        <v>191</v>
      </c>
      <c r="V167" s="12" t="s">
        <v>701</v>
      </c>
    </row>
    <row r="168" spans="1:23" ht="85" x14ac:dyDescent="0.2">
      <c r="A168" s="7">
        <v>167</v>
      </c>
      <c r="B168" s="7" t="s">
        <v>986</v>
      </c>
      <c r="C168" s="8" t="s">
        <v>987</v>
      </c>
      <c r="D168" s="7" t="s">
        <v>29</v>
      </c>
      <c r="E168" s="7" t="s">
        <v>30</v>
      </c>
      <c r="F168" s="8" t="s">
        <v>192</v>
      </c>
      <c r="G168" s="7" t="b">
        <v>0</v>
      </c>
      <c r="M168" s="9" t="str" cm="1">
        <f t="array" ref="M168">PAGE_NAME(B168)</f>
        <v>scopes</v>
      </c>
      <c r="N168" s="9" t="str" cm="1">
        <f t="array" ref="N168">SECTION_NAME(B168)</f>
        <v>Servers-shall-support-the-following-metadata-in-their-well-knownsmart-configuration</v>
      </c>
      <c r="O168" s="10" t="str">
        <f t="shared" si="6"/>
        <v>SHALL</v>
      </c>
      <c r="P168" s="10" t="str">
        <f t="shared" si="5"/>
        <v>Server</v>
      </c>
      <c r="Q168" s="10" t="s">
        <v>193</v>
      </c>
      <c r="V168" s="12" t="s">
        <v>194</v>
      </c>
      <c r="W168" s="6" t="s">
        <v>1140</v>
      </c>
    </row>
    <row r="169" spans="1:23" ht="136" x14ac:dyDescent="0.2">
      <c r="A169" s="7">
        <v>168</v>
      </c>
      <c r="B169" s="58" t="s">
        <v>625</v>
      </c>
      <c r="C169" s="8" t="s">
        <v>988</v>
      </c>
      <c r="D169" s="7" t="s">
        <v>29</v>
      </c>
      <c r="E169" s="7" t="s">
        <v>30</v>
      </c>
      <c r="G169" s="7" t="b">
        <v>0</v>
      </c>
      <c r="M169" s="9" t="str" cm="1">
        <f t="array" ref="M169">PAGE_NAME(B169)</f>
        <v>scopes</v>
      </c>
      <c r="N169" s="9" t="str" cm="1">
        <f t="array" ref="N169">SECTION_NAME(B169)</f>
        <v>additional-us-core-requirements</v>
      </c>
      <c r="O169" s="10" t="str">
        <f t="shared" si="6"/>
        <v>MAY</v>
      </c>
      <c r="P169" s="10" t="str">
        <f t="shared" si="5"/>
        <v>Server</v>
      </c>
      <c r="Q169" s="10" t="s">
        <v>195</v>
      </c>
      <c r="V169" s="12" t="s">
        <v>989</v>
      </c>
      <c r="W169" s="6" t="s">
        <v>1140</v>
      </c>
    </row>
    <row r="170" spans="1:23" ht="119" x14ac:dyDescent="0.2">
      <c r="A170" s="7">
        <v>169</v>
      </c>
      <c r="B170" s="7" t="s">
        <v>625</v>
      </c>
      <c r="C170" s="8" t="s">
        <v>990</v>
      </c>
      <c r="D170" s="7" t="s">
        <v>35</v>
      </c>
      <c r="E170" s="7" t="s">
        <v>30</v>
      </c>
      <c r="G170" s="7" t="b">
        <v>0</v>
      </c>
      <c r="M170" s="9" t="str" cm="1">
        <f t="array" ref="M170">PAGE_NAME(B170)</f>
        <v>scopes</v>
      </c>
      <c r="N170" s="9" t="str" cm="1">
        <f t="array" ref="N170">SECTION_NAME(B170)</f>
        <v>additional-us-core-requirements</v>
      </c>
      <c r="O170" s="10" t="str">
        <f t="shared" si="6"/>
        <v>MAY</v>
      </c>
      <c r="P170" s="10" t="str">
        <f t="shared" si="5"/>
        <v>Server</v>
      </c>
    </row>
    <row r="171" spans="1:23" ht="119" x14ac:dyDescent="0.2">
      <c r="A171" s="7">
        <v>170</v>
      </c>
      <c r="B171" s="7" t="s">
        <v>625</v>
      </c>
      <c r="C171" s="8" t="s">
        <v>991</v>
      </c>
      <c r="D171" s="7" t="s">
        <v>35</v>
      </c>
      <c r="E171" s="7" t="s">
        <v>30</v>
      </c>
      <c r="G171" s="7" t="b">
        <v>0</v>
      </c>
      <c r="M171" s="9" t="str" cm="1">
        <f t="array" ref="M171">PAGE_NAME(B171)</f>
        <v>scopes</v>
      </c>
      <c r="N171" s="9" t="str" cm="1">
        <f t="array" ref="N171">SECTION_NAME(B171)</f>
        <v>additional-us-core-requirements</v>
      </c>
      <c r="O171" s="10" t="str">
        <f t="shared" si="6"/>
        <v>MAY</v>
      </c>
      <c r="P171" s="10" t="str">
        <f t="shared" si="5"/>
        <v>Server</v>
      </c>
    </row>
    <row r="172" spans="1:23" ht="119" x14ac:dyDescent="0.2">
      <c r="A172" s="7">
        <v>171</v>
      </c>
      <c r="B172" s="7" t="s">
        <v>625</v>
      </c>
      <c r="C172" s="8" t="s">
        <v>992</v>
      </c>
      <c r="D172" s="7" t="s">
        <v>29</v>
      </c>
      <c r="E172" s="7" t="s">
        <v>30</v>
      </c>
      <c r="G172" s="7" t="b">
        <v>0</v>
      </c>
      <c r="M172" s="9" t="str" cm="1">
        <f t="array" ref="M172">PAGE_NAME(B172)</f>
        <v>scopes</v>
      </c>
      <c r="N172" s="9" t="str" cm="1">
        <f t="array" ref="N172">SECTION_NAME(B172)</f>
        <v>additional-us-core-requirements</v>
      </c>
      <c r="O172" s="10" t="str">
        <f t="shared" si="6"/>
        <v>MAY</v>
      </c>
      <c r="P172" s="10" t="str">
        <f t="shared" si="5"/>
        <v>Server</v>
      </c>
      <c r="W172" s="6" t="s">
        <v>1140</v>
      </c>
    </row>
    <row r="173" spans="1:23" ht="136" x14ac:dyDescent="0.2">
      <c r="A173" s="7">
        <v>172</v>
      </c>
      <c r="B173" s="7" t="s">
        <v>625</v>
      </c>
      <c r="C173" s="8" t="s">
        <v>993</v>
      </c>
      <c r="D173" s="7" t="s">
        <v>32</v>
      </c>
      <c r="E173" s="7" t="s">
        <v>58</v>
      </c>
      <c r="G173" s="7" t="b">
        <v>0</v>
      </c>
      <c r="M173" s="9" t="str" cm="1">
        <f t="array" ref="M173">PAGE_NAME(B173)</f>
        <v>scopes</v>
      </c>
      <c r="N173" s="9" t="str" cm="1">
        <f t="array" ref="N173">SECTION_NAME(B173)</f>
        <v>additional-us-core-requirements</v>
      </c>
      <c r="O173" s="10" t="str">
        <f t="shared" si="6"/>
        <v>MAY</v>
      </c>
      <c r="P173" s="10" t="str">
        <f t="shared" si="5"/>
        <v>Server</v>
      </c>
    </row>
    <row r="174" spans="1:23" ht="102" x14ac:dyDescent="0.2">
      <c r="A174" s="7">
        <v>173</v>
      </c>
      <c r="B174" s="7" t="s">
        <v>625</v>
      </c>
      <c r="C174" s="8" t="s">
        <v>994</v>
      </c>
      <c r="D174" s="7" t="s">
        <v>29</v>
      </c>
      <c r="E174" s="7" t="s">
        <v>30</v>
      </c>
      <c r="G174" s="7" t="b">
        <v>0</v>
      </c>
      <c r="M174" s="9" t="str" cm="1">
        <f t="array" ref="M174">PAGE_NAME(B174)</f>
        <v>scopes</v>
      </c>
      <c r="N174" s="9" t="str" cm="1">
        <f t="array" ref="N174">SECTION_NAME(B174)</f>
        <v>additional-us-core-requirements</v>
      </c>
      <c r="O174" s="10" t="str">
        <f t="shared" si="6"/>
        <v>SHALL</v>
      </c>
      <c r="P174" s="10" t="str">
        <f t="shared" si="5"/>
        <v>Server</v>
      </c>
      <c r="Q174" s="10" t="s">
        <v>196</v>
      </c>
      <c r="W174" s="6" t="s">
        <v>1140</v>
      </c>
    </row>
    <row r="175" spans="1:23" ht="51" x14ac:dyDescent="0.2">
      <c r="A175" s="7">
        <v>174</v>
      </c>
      <c r="B175" s="7" t="s">
        <v>830</v>
      </c>
      <c r="C175" s="8" t="s">
        <v>197</v>
      </c>
      <c r="D175" s="7" t="s">
        <v>32</v>
      </c>
      <c r="E175" s="7" t="s">
        <v>30</v>
      </c>
      <c r="G175" s="7" t="b">
        <v>0</v>
      </c>
      <c r="M175" s="9" t="str" cm="1">
        <f t="array" ref="M175">PAGE_NAME(B175)</f>
        <v>general-guidance</v>
      </c>
      <c r="N175" s="9" t="str" cm="1">
        <f t="array" ref="N175">SECTION_NAME(B175)</f>
        <v>referencing-us-core-profiles</v>
      </c>
      <c r="O175" s="10" t="str">
        <f t="shared" si="6"/>
        <v>SHOULD</v>
      </c>
      <c r="P175" s="10" t="str">
        <f t="shared" si="5"/>
        <v/>
      </c>
      <c r="Q175" s="10" t="s">
        <v>198</v>
      </c>
    </row>
    <row r="176" spans="1:23" ht="51" x14ac:dyDescent="0.2">
      <c r="A176" s="7">
        <v>175</v>
      </c>
      <c r="B176" s="7" t="s">
        <v>830</v>
      </c>
      <c r="C176" s="8" t="s">
        <v>199</v>
      </c>
      <c r="D176" s="7" t="s">
        <v>32</v>
      </c>
      <c r="E176" s="7" t="s">
        <v>30</v>
      </c>
      <c r="G176" s="7" t="b">
        <v>0</v>
      </c>
      <c r="M176" s="9" t="str" cm="1">
        <f t="array" ref="M176">PAGE_NAME(B176)</f>
        <v>general-guidance</v>
      </c>
      <c r="N176" s="9" t="str" cm="1">
        <f t="array" ref="N176">SECTION_NAME(B176)</f>
        <v>referencing-us-core-profiles</v>
      </c>
      <c r="O176" s="10" t="str">
        <f t="shared" si="6"/>
        <v>SHOULD</v>
      </c>
      <c r="P176" s="10" t="str">
        <f t="shared" si="5"/>
        <v>Server</v>
      </c>
      <c r="Q176" s="10" t="s">
        <v>198</v>
      </c>
    </row>
    <row r="177" spans="1:22" ht="51" x14ac:dyDescent="0.2">
      <c r="A177" s="7">
        <v>176</v>
      </c>
      <c r="B177" s="7" t="s">
        <v>831</v>
      </c>
      <c r="C177" s="8" t="s">
        <v>995</v>
      </c>
      <c r="D177" s="7" t="s">
        <v>76</v>
      </c>
      <c r="E177" s="7" t="s">
        <v>30</v>
      </c>
      <c r="G177" s="7" t="b">
        <v>0</v>
      </c>
      <c r="M177" s="9" t="str" cm="1">
        <f t="array" ref="M177">PAGE_NAME(B177)</f>
        <v>general-guidance</v>
      </c>
      <c r="N177" s="9" t="str" cm="1">
        <f t="array" ref="N177">SECTION_NAME(B177)</f>
        <v>contained-resources</v>
      </c>
      <c r="O177" s="10" t="str">
        <f t="shared" si="6"/>
        <v>SHOULD</v>
      </c>
      <c r="P177" s="10" t="str">
        <f t="shared" si="5"/>
        <v>Server</v>
      </c>
      <c r="Q177" s="10" t="s">
        <v>200</v>
      </c>
    </row>
    <row r="178" spans="1:22" ht="51" x14ac:dyDescent="0.2">
      <c r="A178" s="7">
        <v>177</v>
      </c>
      <c r="B178" s="7" t="s">
        <v>831</v>
      </c>
      <c r="C178" s="8" t="s">
        <v>201</v>
      </c>
      <c r="D178" s="7" t="s">
        <v>32</v>
      </c>
      <c r="E178" s="7" t="s">
        <v>30</v>
      </c>
      <c r="G178" s="7" t="b">
        <v>0</v>
      </c>
      <c r="M178" s="9" t="str" cm="1">
        <f t="array" ref="M178">PAGE_NAME(B178)</f>
        <v>general-guidance</v>
      </c>
      <c r="N178" s="9" t="str" cm="1">
        <f t="array" ref="N178">SECTION_NAME(B178)</f>
        <v>contained-resources</v>
      </c>
      <c r="O178" s="10" t="str">
        <f t="shared" si="6"/>
        <v>SHOULD</v>
      </c>
      <c r="P178" s="10" t="str">
        <f t="shared" si="5"/>
        <v/>
      </c>
      <c r="Q178" s="10" t="s">
        <v>202</v>
      </c>
    </row>
    <row r="179" spans="1:22" ht="51" x14ac:dyDescent="0.2">
      <c r="A179" s="7">
        <v>178</v>
      </c>
      <c r="B179" s="7" t="s">
        <v>831</v>
      </c>
      <c r="C179" s="8" t="s">
        <v>203</v>
      </c>
      <c r="D179" s="7" t="s">
        <v>32</v>
      </c>
      <c r="E179" s="7" t="s">
        <v>30</v>
      </c>
      <c r="G179" s="7" t="b">
        <v>0</v>
      </c>
      <c r="M179" s="9" t="str" cm="1">
        <f t="array" ref="M179">PAGE_NAME(B179)</f>
        <v>general-guidance</v>
      </c>
      <c r="N179" s="9" t="str" cm="1">
        <f t="array" ref="N179">SECTION_NAME(B179)</f>
        <v>contained-resources</v>
      </c>
      <c r="O179" s="10" t="str">
        <f t="shared" si="6"/>
        <v>SHOULD</v>
      </c>
      <c r="P179" s="10" t="str">
        <f t="shared" si="5"/>
        <v/>
      </c>
      <c r="Q179" s="10" t="s">
        <v>204</v>
      </c>
    </row>
    <row r="180" spans="1:22" ht="68" x14ac:dyDescent="0.2">
      <c r="A180" s="7">
        <v>179</v>
      </c>
      <c r="B180" s="7" t="s">
        <v>831</v>
      </c>
      <c r="C180" s="8" t="s">
        <v>205</v>
      </c>
      <c r="D180" s="7" t="s">
        <v>32</v>
      </c>
      <c r="E180" s="7" t="s">
        <v>30</v>
      </c>
      <c r="G180" s="7" t="b">
        <v>1</v>
      </c>
      <c r="H180" s="12" t="s">
        <v>206</v>
      </c>
      <c r="M180" s="9" t="str" cm="1">
        <f t="array" ref="M180">PAGE_NAME(B180)</f>
        <v>general-guidance</v>
      </c>
      <c r="N180" s="9" t="str" cm="1">
        <f t="array" ref="N180">SECTION_NAME(B180)</f>
        <v>contained-resources</v>
      </c>
      <c r="O180" s="10" t="str">
        <f t="shared" si="6"/>
        <v>SHOULD</v>
      </c>
      <c r="P180" s="10" t="str">
        <f t="shared" si="5"/>
        <v/>
      </c>
      <c r="Q180" s="10" t="s">
        <v>207</v>
      </c>
    </row>
    <row r="181" spans="1:22" ht="68" x14ac:dyDescent="0.2">
      <c r="A181" s="7">
        <v>180</v>
      </c>
      <c r="B181" s="7" t="s">
        <v>831</v>
      </c>
      <c r="C181" s="8" t="s">
        <v>208</v>
      </c>
      <c r="D181" s="7" t="s">
        <v>32</v>
      </c>
      <c r="E181" s="7" t="s">
        <v>30</v>
      </c>
      <c r="G181" s="7" t="b">
        <v>1</v>
      </c>
      <c r="H181" s="12" t="s">
        <v>206</v>
      </c>
      <c r="M181" s="9" t="str" cm="1">
        <f t="array" ref="M181">PAGE_NAME(B181)</f>
        <v>general-guidance</v>
      </c>
      <c r="N181" s="9" t="str" cm="1">
        <f t="array" ref="N181">SECTION_NAME(B181)</f>
        <v>contained-resources</v>
      </c>
      <c r="O181" s="10" t="str">
        <f t="shared" si="6"/>
        <v/>
      </c>
      <c r="P181" s="10" t="str">
        <f t="shared" si="5"/>
        <v/>
      </c>
      <c r="Q181" s="10" t="s">
        <v>207</v>
      </c>
      <c r="V181" s="12" t="s">
        <v>209</v>
      </c>
    </row>
    <row r="182" spans="1:22" ht="68" x14ac:dyDescent="0.2">
      <c r="A182" s="7">
        <v>181</v>
      </c>
      <c r="B182" s="7" t="s">
        <v>832</v>
      </c>
      <c r="C182" s="8" t="s">
        <v>210</v>
      </c>
      <c r="D182" s="7" t="s">
        <v>35</v>
      </c>
      <c r="E182" s="7" t="s">
        <v>30</v>
      </c>
      <c r="G182" s="7" t="b">
        <v>1</v>
      </c>
      <c r="H182" s="12" t="s">
        <v>211</v>
      </c>
      <c r="M182" s="9" t="str" cm="1">
        <f t="array" ref="M182">PAGE_NAME(B182)</f>
        <v>general-guidance</v>
      </c>
      <c r="N182" s="9" t="str" cm="1">
        <f t="array" ref="N182">SECTION_NAME(B182)</f>
        <v>snomed-ct-united-states-edition</v>
      </c>
      <c r="O182" s="10" t="str">
        <f t="shared" si="6"/>
        <v>MAY</v>
      </c>
      <c r="P182" s="10" t="str">
        <f t="shared" si="5"/>
        <v/>
      </c>
      <c r="Q182" s="10" t="s">
        <v>212</v>
      </c>
    </row>
    <row r="183" spans="1:22" ht="102" x14ac:dyDescent="0.2">
      <c r="A183" s="7">
        <v>182</v>
      </c>
      <c r="B183" s="7" t="s">
        <v>832</v>
      </c>
      <c r="C183" s="8" t="s">
        <v>996</v>
      </c>
      <c r="D183" s="7" t="s">
        <v>32</v>
      </c>
      <c r="E183" s="7" t="s">
        <v>30</v>
      </c>
      <c r="G183" s="7" t="b">
        <v>0</v>
      </c>
      <c r="M183" s="9" t="str" cm="1">
        <f t="array" ref="M183">PAGE_NAME(B183)</f>
        <v>general-guidance</v>
      </c>
      <c r="N183" s="9" t="str" cm="1">
        <f t="array" ref="N183">SECTION_NAME(B183)</f>
        <v>snomed-ct-united-states-edition</v>
      </c>
      <c r="O183" s="10" t="str">
        <f t="shared" si="6"/>
        <v>SHOULD</v>
      </c>
      <c r="P183" s="10" t="str">
        <f t="shared" si="5"/>
        <v>Server</v>
      </c>
      <c r="Q183" s="10" t="s">
        <v>213</v>
      </c>
    </row>
    <row r="184" spans="1:22" ht="85" x14ac:dyDescent="0.2">
      <c r="A184" s="7">
        <v>183</v>
      </c>
      <c r="B184" s="7" t="s">
        <v>833</v>
      </c>
      <c r="C184" s="8" t="s">
        <v>214</v>
      </c>
      <c r="D184" s="7" t="s">
        <v>32</v>
      </c>
      <c r="E184" s="7" t="s">
        <v>30</v>
      </c>
      <c r="G184" s="7" t="b">
        <v>1</v>
      </c>
      <c r="H184" s="12" t="s">
        <v>215</v>
      </c>
      <c r="M184" s="9" t="str" cm="1">
        <f t="array" ref="M184">PAGE_NAME(B184)</f>
        <v>general-guidance</v>
      </c>
      <c r="N184" s="9" t="str" cm="1">
        <f t="array" ref="N184">SECTION_NAME(B184)</f>
        <v>using-ucum-codes-in-the-quantity-datatype</v>
      </c>
      <c r="O184" s="10" t="str">
        <f t="shared" si="6"/>
        <v>SHOULD</v>
      </c>
      <c r="P184" s="10" t="str">
        <f t="shared" si="5"/>
        <v/>
      </c>
      <c r="Q184" s="10" t="s">
        <v>216</v>
      </c>
    </row>
    <row r="185" spans="1:22" ht="85" x14ac:dyDescent="0.2">
      <c r="A185" s="7">
        <v>184</v>
      </c>
      <c r="B185" s="7" t="s">
        <v>833</v>
      </c>
      <c r="C185" s="8" t="s">
        <v>217</v>
      </c>
      <c r="D185" s="7" t="s">
        <v>32</v>
      </c>
      <c r="E185" s="7" t="s">
        <v>30</v>
      </c>
      <c r="G185" s="7" t="b">
        <v>1</v>
      </c>
      <c r="H185" s="12" t="s">
        <v>215</v>
      </c>
      <c r="M185" s="9" t="str" cm="1">
        <f t="array" ref="M185">PAGE_NAME(B185)</f>
        <v>general-guidance</v>
      </c>
      <c r="N185" s="9" t="str" cm="1">
        <f t="array" ref="N185">SECTION_NAME(B185)</f>
        <v>using-ucum-codes-in-the-quantity-datatype</v>
      </c>
      <c r="O185" s="10" t="str">
        <f t="shared" si="6"/>
        <v>SHOULD</v>
      </c>
      <c r="P185" s="10" t="str">
        <f t="shared" si="5"/>
        <v/>
      </c>
      <c r="Q185" s="10" t="s">
        <v>218</v>
      </c>
      <c r="V185" s="12" t="s">
        <v>209</v>
      </c>
    </row>
    <row r="186" spans="1:22" ht="68" x14ac:dyDescent="0.2">
      <c r="A186" s="7">
        <v>185</v>
      </c>
      <c r="B186" s="7" t="s">
        <v>833</v>
      </c>
      <c r="C186" s="8" t="s">
        <v>219</v>
      </c>
      <c r="D186" s="7" t="s">
        <v>32</v>
      </c>
      <c r="E186" s="7" t="s">
        <v>30</v>
      </c>
      <c r="G186" s="7" t="b">
        <v>1</v>
      </c>
      <c r="H186" s="12" t="s">
        <v>220</v>
      </c>
      <c r="M186" s="9" t="str" cm="1">
        <f t="array" ref="M186">PAGE_NAME(B186)</f>
        <v>general-guidance</v>
      </c>
      <c r="N186" s="9" t="str" cm="1">
        <f t="array" ref="N186">SECTION_NAME(B186)</f>
        <v>using-ucum-codes-in-the-quantity-datatype</v>
      </c>
      <c r="O186" s="10" t="str">
        <f t="shared" si="6"/>
        <v/>
      </c>
      <c r="P186" s="10" t="str">
        <f t="shared" si="5"/>
        <v/>
      </c>
      <c r="Q186" s="10" t="s">
        <v>218</v>
      </c>
      <c r="V186" s="12" t="s">
        <v>209</v>
      </c>
    </row>
    <row r="187" spans="1:22" ht="85" x14ac:dyDescent="0.2">
      <c r="A187" s="7">
        <v>186</v>
      </c>
      <c r="B187" s="7" t="s">
        <v>833</v>
      </c>
      <c r="C187" s="8" t="s">
        <v>221</v>
      </c>
      <c r="D187" s="7" t="s">
        <v>76</v>
      </c>
      <c r="E187" s="7" t="s">
        <v>30</v>
      </c>
      <c r="G187" s="7" t="b">
        <v>1</v>
      </c>
      <c r="H187" s="12" t="s">
        <v>222</v>
      </c>
      <c r="M187" s="9" t="str" cm="1">
        <f t="array" ref="M187">PAGE_NAME(B187)</f>
        <v>general-guidance</v>
      </c>
      <c r="N187" s="9" t="str" cm="1">
        <f t="array" ref="N187">SECTION_NAME(B187)</f>
        <v>using-ucum-codes-in-the-quantity-datatype</v>
      </c>
      <c r="O187" s="10" t="str">
        <f t="shared" si="6"/>
        <v>SHOULD</v>
      </c>
      <c r="P187" s="10" t="str">
        <f t="shared" si="5"/>
        <v/>
      </c>
      <c r="Q187" s="10" t="s">
        <v>218</v>
      </c>
      <c r="V187" s="12" t="s">
        <v>209</v>
      </c>
    </row>
    <row r="188" spans="1:22" ht="17" x14ac:dyDescent="0.2">
      <c r="A188" s="7">
        <v>187</v>
      </c>
      <c r="B188" s="7" t="s">
        <v>834</v>
      </c>
      <c r="C188" s="8" t="s">
        <v>223</v>
      </c>
      <c r="D188" s="7" t="s">
        <v>76</v>
      </c>
      <c r="E188" s="7" t="s">
        <v>30</v>
      </c>
      <c r="G188" s="7" t="b">
        <v>0</v>
      </c>
      <c r="M188" s="9" t="str" cm="1">
        <f t="array" ref="M188">PAGE_NAME(B188)</f>
        <v>general-guidance</v>
      </c>
      <c r="N188" s="9" t="str" cm="1">
        <f t="array" ref="N188">SECTION_NAME(B188)</f>
        <v>representing-entered-in-error-information</v>
      </c>
      <c r="O188" s="10" t="str">
        <f t="shared" si="6"/>
        <v>SHOULD</v>
      </c>
      <c r="P188" s="10" t="str">
        <f t="shared" si="5"/>
        <v>Server</v>
      </c>
      <c r="Q188" s="10" t="s">
        <v>218</v>
      </c>
    </row>
    <row r="189" spans="1:22" ht="51" x14ac:dyDescent="0.2">
      <c r="A189" s="7">
        <v>188</v>
      </c>
      <c r="B189" s="7" t="s">
        <v>835</v>
      </c>
      <c r="C189" s="8" t="s">
        <v>997</v>
      </c>
      <c r="D189" s="7" t="s">
        <v>32</v>
      </c>
      <c r="E189" s="7" t="s">
        <v>30</v>
      </c>
      <c r="G189" s="7" t="b">
        <v>0</v>
      </c>
      <c r="M189" s="9" t="str" cm="1">
        <f t="array" ref="M189">PAGE_NAME(B189)</f>
        <v>general-guidance</v>
      </c>
      <c r="N189" s="9" t="str" cm="1">
        <f t="array" ref="N189">SECTION_NAME(B189)</f>
        <v>representing-deleted-information</v>
      </c>
      <c r="O189" s="10" t="str">
        <f t="shared" si="6"/>
        <v>SHOULD</v>
      </c>
      <c r="P189" s="10" t="str">
        <f t="shared" si="5"/>
        <v>Server</v>
      </c>
      <c r="Q189" s="10" t="s">
        <v>218</v>
      </c>
    </row>
    <row r="190" spans="1:22" ht="68" x14ac:dyDescent="0.2">
      <c r="A190" s="7">
        <v>189</v>
      </c>
      <c r="B190" s="7" t="s">
        <v>834</v>
      </c>
      <c r="C190" s="8" t="s">
        <v>224</v>
      </c>
      <c r="D190" s="7" t="s">
        <v>32</v>
      </c>
      <c r="E190" s="7" t="s">
        <v>30</v>
      </c>
      <c r="G190" s="7" t="b">
        <v>1</v>
      </c>
      <c r="H190" s="12" t="s">
        <v>225</v>
      </c>
      <c r="M190" s="9" t="str" cm="1">
        <f t="array" ref="M190">PAGE_NAME(B190)</f>
        <v>general-guidance</v>
      </c>
      <c r="N190" s="9" t="str" cm="1">
        <f t="array" ref="N190">SECTION_NAME(B190)</f>
        <v>representing-entered-in-error-information</v>
      </c>
      <c r="O190" s="10" t="str">
        <f t="shared" si="6"/>
        <v>SHOULD</v>
      </c>
      <c r="P190" s="10" t="str">
        <f t="shared" si="5"/>
        <v/>
      </c>
      <c r="Q190" s="10" t="s">
        <v>226</v>
      </c>
    </row>
    <row r="191" spans="1:22" ht="34" x14ac:dyDescent="0.2">
      <c r="A191" s="7">
        <v>190</v>
      </c>
      <c r="B191" s="7" t="s">
        <v>836</v>
      </c>
      <c r="C191" s="8" t="s">
        <v>926</v>
      </c>
      <c r="D191" s="7" t="s">
        <v>32</v>
      </c>
      <c r="E191" s="7" t="s">
        <v>30</v>
      </c>
      <c r="G191" s="7" t="b">
        <v>1</v>
      </c>
      <c r="H191" s="12" t="s">
        <v>227</v>
      </c>
      <c r="M191" s="9" t="str" cm="1">
        <f t="array" ref="M191">PAGE_NAME(B191)</f>
        <v>general-guidance</v>
      </c>
      <c r="N191" s="9" t="str" cm="1">
        <f t="array" ref="N191">SECTION_NAME(B191)</f>
        <v>representing-entered-in-error-information</v>
      </c>
      <c r="O191" s="10" t="str">
        <f t="shared" si="6"/>
        <v>SHOULD</v>
      </c>
      <c r="P191" s="10" t="str">
        <f t="shared" si="5"/>
        <v>Server</v>
      </c>
      <c r="Q191" s="10" t="s">
        <v>226</v>
      </c>
    </row>
    <row r="192" spans="1:22" ht="102" x14ac:dyDescent="0.2">
      <c r="A192" s="7">
        <v>191</v>
      </c>
      <c r="B192" s="7" t="s">
        <v>836</v>
      </c>
      <c r="C192" s="8" t="s">
        <v>998</v>
      </c>
      <c r="D192" s="7" t="s">
        <v>32</v>
      </c>
      <c r="E192" s="7" t="s">
        <v>30</v>
      </c>
      <c r="G192" s="7" t="b">
        <v>1</v>
      </c>
      <c r="H192" s="12" t="s">
        <v>227</v>
      </c>
      <c r="M192" s="9" t="str" cm="1">
        <f t="array" ref="M192">PAGE_NAME(B192)</f>
        <v>general-guidance</v>
      </c>
      <c r="N192" s="9" t="str" cm="1">
        <f t="array" ref="N192">SECTION_NAME(B192)</f>
        <v>representing-entered-in-error-information</v>
      </c>
      <c r="O192" s="10" t="str">
        <f t="shared" si="6"/>
        <v>SHOULD</v>
      </c>
      <c r="P192" s="10" t="str">
        <f t="shared" si="5"/>
        <v>Server</v>
      </c>
      <c r="Q192" s="10" t="s">
        <v>228</v>
      </c>
    </row>
    <row r="193" spans="1:23" ht="119" x14ac:dyDescent="0.2">
      <c r="A193" s="7">
        <v>192</v>
      </c>
      <c r="B193" s="7" t="s">
        <v>836</v>
      </c>
      <c r="C193" s="8" t="s">
        <v>999</v>
      </c>
      <c r="D193" s="7" t="s">
        <v>35</v>
      </c>
      <c r="E193" s="7" t="s">
        <v>30</v>
      </c>
      <c r="G193" s="7" t="b">
        <v>1</v>
      </c>
      <c r="H193" s="12" t="s">
        <v>227</v>
      </c>
      <c r="M193" s="9" t="str" cm="1">
        <f t="array" ref="M193">PAGE_NAME(B193)</f>
        <v>general-guidance</v>
      </c>
      <c r="N193" s="9" t="str" cm="1">
        <f t="array" ref="N193">SECTION_NAME(B193)</f>
        <v>representing-entered-in-error-information</v>
      </c>
      <c r="O193" s="10" t="str">
        <f t="shared" si="6"/>
        <v>MAY</v>
      </c>
      <c r="P193" s="10" t="str">
        <f t="shared" si="5"/>
        <v>Server</v>
      </c>
      <c r="Q193" s="10" t="s">
        <v>229</v>
      </c>
    </row>
    <row r="194" spans="1:23" ht="51" x14ac:dyDescent="0.2">
      <c r="A194" s="7">
        <v>193</v>
      </c>
      <c r="B194" s="7" t="s">
        <v>837</v>
      </c>
      <c r="C194" s="8" t="s">
        <v>230</v>
      </c>
      <c r="D194" s="7" t="s">
        <v>32</v>
      </c>
      <c r="E194" s="7" t="s">
        <v>30</v>
      </c>
      <c r="G194" s="7" t="b">
        <v>0</v>
      </c>
      <c r="M194" s="9" t="str" cm="1">
        <f t="array" ref="M194">PAGE_NAME(B194)</f>
        <v>general-guidance</v>
      </c>
      <c r="N194" s="9" t="str" cm="1">
        <f t="array" ref="N194">SECTION_NAME(B194)</f>
        <v>language-support</v>
      </c>
      <c r="O194" s="10" t="str">
        <f t="shared" si="6"/>
        <v>SHOULD</v>
      </c>
      <c r="P194" s="10" t="str">
        <f t="shared" ref="P194:P228" si="7">IF(ISNUMBER(SEARCH("Server", C194)), "Server", IF(ISNUMBER(SEARCH("Server", C194)), "Server", IF(ISNUMBER(SEARCH("Client", C194)), "Client", IF(ISNUMBER(SEARCH("Client", C194)), "Client", IF(ISNUMBER(SEARCH("US Core Responder", C194)), "Server", IF(ISNUMBER(SEARCH("US Core Requestor", C194)), "Client", ""))))))</f>
        <v/>
      </c>
      <c r="Q194" s="10" t="s">
        <v>229</v>
      </c>
    </row>
    <row r="195" spans="1:23" ht="51" x14ac:dyDescent="0.2">
      <c r="A195" s="7">
        <v>194</v>
      </c>
      <c r="B195" s="7" t="s">
        <v>837</v>
      </c>
      <c r="C195" s="8" t="s">
        <v>927</v>
      </c>
      <c r="D195" s="7" t="s">
        <v>35</v>
      </c>
      <c r="E195" s="7" t="s">
        <v>58</v>
      </c>
      <c r="G195" s="7" t="b">
        <v>1</v>
      </c>
      <c r="H195" s="12" t="s">
        <v>231</v>
      </c>
      <c r="M195" s="9" t="str" cm="1">
        <f t="array" ref="M195">PAGE_NAME(B195)</f>
        <v>general-guidance</v>
      </c>
      <c r="N195" s="9" t="str" cm="1">
        <f t="array" ref="N195">SECTION_NAME(B195)</f>
        <v>language-support</v>
      </c>
      <c r="O195" s="10" t="str">
        <f t="shared" ref="O195:O228" si="8">IF(ISNUMBER(SEARCH("MAY", C195)), "MAY", IF(ISNUMBER(SEARCH("SHOULD", C195)), "SHOULD", IF(ISNUMBER(SEARCH("SHALL", C195)), "SHALL", IF(ISNUMBER(SEARCH("SHOULD NOT", C195)), "SHOULD NOT", IF(ISNUMBER(SEARCH("SHALL NOT", C195)), "SHALL NOT", "")))))</f>
        <v>MAY</v>
      </c>
      <c r="P195" s="10" t="str">
        <f t="shared" si="7"/>
        <v>Client</v>
      </c>
      <c r="Q195" s="10" t="s">
        <v>232</v>
      </c>
    </row>
    <row r="196" spans="1:23" ht="51" x14ac:dyDescent="0.2">
      <c r="A196" s="7">
        <v>195</v>
      </c>
      <c r="B196" s="7" t="s">
        <v>837</v>
      </c>
      <c r="C196" s="8" t="s">
        <v>1000</v>
      </c>
      <c r="D196" s="7" t="s">
        <v>32</v>
      </c>
      <c r="E196" s="7" t="s">
        <v>30</v>
      </c>
      <c r="G196" s="7" t="b">
        <v>1</v>
      </c>
      <c r="H196" s="12" t="s">
        <v>231</v>
      </c>
      <c r="M196" s="9" t="str" cm="1">
        <f t="array" ref="M196">PAGE_NAME(B196)</f>
        <v>general-guidance</v>
      </c>
      <c r="N196" s="9" t="str" cm="1">
        <f t="array" ref="N196">SECTION_NAME(B196)</f>
        <v>language-support</v>
      </c>
      <c r="O196" s="10" t="str">
        <f t="shared" si="8"/>
        <v>SHOULD</v>
      </c>
      <c r="P196" s="10" t="str">
        <f t="shared" si="7"/>
        <v>Server</v>
      </c>
      <c r="Q196" s="10" t="s">
        <v>232</v>
      </c>
    </row>
    <row r="197" spans="1:23" ht="85" x14ac:dyDescent="0.2">
      <c r="A197" s="7">
        <v>196</v>
      </c>
      <c r="B197" s="7" t="s">
        <v>837</v>
      </c>
      <c r="C197" s="8" t="s">
        <v>1001</v>
      </c>
      <c r="D197" s="7" t="s">
        <v>32</v>
      </c>
      <c r="E197" s="7" t="s">
        <v>30</v>
      </c>
      <c r="G197" s="7" t="b">
        <v>1</v>
      </c>
      <c r="H197" s="12" t="s">
        <v>231</v>
      </c>
      <c r="M197" s="9" t="str" cm="1">
        <f t="array" ref="M197">PAGE_NAME(B197)</f>
        <v>general-guidance</v>
      </c>
      <c r="N197" s="9" t="str" cm="1">
        <f t="array" ref="N197">SECTION_NAME(B197)</f>
        <v>language-support</v>
      </c>
      <c r="O197" s="10" t="str">
        <f t="shared" si="8"/>
        <v>SHOULD</v>
      </c>
      <c r="P197" s="10" t="str">
        <f t="shared" si="7"/>
        <v>Server</v>
      </c>
      <c r="Q197" s="10" t="s">
        <v>232</v>
      </c>
    </row>
    <row r="198" spans="1:23" ht="85" x14ac:dyDescent="0.2">
      <c r="A198" s="7">
        <v>197</v>
      </c>
      <c r="B198" s="7" t="s">
        <v>837</v>
      </c>
      <c r="C198" s="8" t="s">
        <v>928</v>
      </c>
      <c r="D198" s="7" t="s">
        <v>32</v>
      </c>
      <c r="E198" s="7" t="s">
        <v>30</v>
      </c>
      <c r="G198" s="7" t="b">
        <v>1</v>
      </c>
      <c r="H198" s="12" t="s">
        <v>231</v>
      </c>
      <c r="M198" s="9" t="str" cm="1">
        <f t="array" ref="M198">PAGE_NAME(B198)</f>
        <v>general-guidance</v>
      </c>
      <c r="N198" s="9" t="str" cm="1">
        <f t="array" ref="N198">SECTION_NAME(B198)</f>
        <v>language-support</v>
      </c>
      <c r="O198" s="10" t="str">
        <f t="shared" si="8"/>
        <v>SHOULD</v>
      </c>
      <c r="P198" s="10" t="str">
        <f t="shared" si="7"/>
        <v>Server</v>
      </c>
      <c r="Q198" s="10" t="s">
        <v>232</v>
      </c>
    </row>
    <row r="199" spans="1:23" ht="102" x14ac:dyDescent="0.2">
      <c r="A199" s="7">
        <v>198</v>
      </c>
      <c r="B199" s="7" t="s">
        <v>837</v>
      </c>
      <c r="C199" s="8" t="s">
        <v>1002</v>
      </c>
      <c r="D199" s="7" t="s">
        <v>32</v>
      </c>
      <c r="E199" s="7" t="s">
        <v>30</v>
      </c>
      <c r="G199" s="7" t="b">
        <v>1</v>
      </c>
      <c r="H199" s="12" t="s">
        <v>231</v>
      </c>
      <c r="M199" s="9" t="str" cm="1">
        <f t="array" ref="M199">PAGE_NAME(B199)</f>
        <v>general-guidance</v>
      </c>
      <c r="N199" s="9" t="str" cm="1">
        <f t="array" ref="N199">SECTION_NAME(B199)</f>
        <v>language-support</v>
      </c>
      <c r="O199" s="10" t="str">
        <f t="shared" si="8"/>
        <v>SHOULD</v>
      </c>
      <c r="P199" s="10" t="str">
        <f t="shared" si="7"/>
        <v>Server</v>
      </c>
      <c r="Q199" s="10" t="s">
        <v>232</v>
      </c>
    </row>
    <row r="200" spans="1:23" ht="119" x14ac:dyDescent="0.2">
      <c r="A200" s="7">
        <v>199</v>
      </c>
      <c r="B200" s="7" t="s">
        <v>837</v>
      </c>
      <c r="C200" s="8" t="s">
        <v>1003</v>
      </c>
      <c r="D200" s="7" t="s">
        <v>32</v>
      </c>
      <c r="E200" s="7" t="s">
        <v>30</v>
      </c>
      <c r="G200" s="7" t="b">
        <v>1</v>
      </c>
      <c r="H200" s="12" t="s">
        <v>231</v>
      </c>
      <c r="M200" s="9" t="str" cm="1">
        <f t="array" ref="M200">PAGE_NAME(B200)</f>
        <v>general-guidance</v>
      </c>
      <c r="N200" s="9" t="str" cm="1">
        <f t="array" ref="N200">SECTION_NAME(B200)</f>
        <v>language-support</v>
      </c>
      <c r="O200" s="10" t="str">
        <f t="shared" si="8"/>
        <v>SHOULD</v>
      </c>
      <c r="P200" s="10" t="str">
        <f t="shared" si="7"/>
        <v>Server</v>
      </c>
      <c r="Q200" s="10" t="s">
        <v>232</v>
      </c>
    </row>
    <row r="201" spans="1:23" ht="51" x14ac:dyDescent="0.2">
      <c r="A201" s="7">
        <v>200</v>
      </c>
      <c r="B201" s="7" t="s">
        <v>626</v>
      </c>
      <c r="C201" s="8" t="s">
        <v>233</v>
      </c>
      <c r="D201" s="7" t="s">
        <v>32</v>
      </c>
      <c r="E201" s="7" t="s">
        <v>30</v>
      </c>
      <c r="G201" s="7" t="b">
        <v>0</v>
      </c>
      <c r="M201" s="9" t="str" cm="1">
        <f t="array" ref="M201">PAGE_NAME(B201)</f>
        <v>general-guidance</v>
      </c>
      <c r="N201" s="9" t="str" cm="1">
        <f t="array" ref="N201">SECTION_NAME(B201)</f>
        <v>searching-using-lastupdated</v>
      </c>
      <c r="O201" s="10" t="str">
        <f t="shared" si="8"/>
        <v>SHOULD</v>
      </c>
      <c r="P201" s="10" t="str">
        <f t="shared" si="7"/>
        <v>Server</v>
      </c>
      <c r="Q201" s="10" t="s">
        <v>234</v>
      </c>
    </row>
    <row r="202" spans="1:23" ht="51" x14ac:dyDescent="0.2">
      <c r="A202" s="7">
        <v>201</v>
      </c>
      <c r="B202" s="7" t="s">
        <v>626</v>
      </c>
      <c r="C202" s="8" t="s">
        <v>711</v>
      </c>
      <c r="D202" s="7" t="s">
        <v>32</v>
      </c>
      <c r="E202" s="7" t="s">
        <v>30</v>
      </c>
      <c r="G202" s="7" t="b">
        <v>0</v>
      </c>
      <c r="M202" s="9" t="str" cm="1">
        <f t="array" ref="M202">PAGE_NAME(B202)</f>
        <v>general-guidance</v>
      </c>
      <c r="N202" s="9" t="str" cm="1">
        <f t="array" ref="N202">SECTION_NAME(B202)</f>
        <v>searching-using-lastupdated</v>
      </c>
      <c r="O202" s="10" t="str">
        <f t="shared" si="8"/>
        <v>SHOULD</v>
      </c>
      <c r="P202" s="10" t="str">
        <f t="shared" si="7"/>
        <v>Server</v>
      </c>
      <c r="Q202" s="10" t="s">
        <v>235</v>
      </c>
      <c r="V202" s="12" t="s">
        <v>712</v>
      </c>
    </row>
    <row r="203" spans="1:23" ht="68" x14ac:dyDescent="0.2">
      <c r="A203" s="7">
        <v>202</v>
      </c>
      <c r="B203" s="7" t="s">
        <v>626</v>
      </c>
      <c r="C203" s="8" t="s">
        <v>236</v>
      </c>
      <c r="D203" s="7" t="s">
        <v>29</v>
      </c>
      <c r="E203" s="7" t="s">
        <v>30</v>
      </c>
      <c r="G203" s="7" t="b">
        <v>0</v>
      </c>
      <c r="M203" s="9" t="str" cm="1">
        <f t="array" ref="M203">PAGE_NAME(B203)</f>
        <v>general-guidance</v>
      </c>
      <c r="N203" s="9" t="str" cm="1">
        <f t="array" ref="N203">SECTION_NAME(B203)</f>
        <v>searching-using-lastupdated</v>
      </c>
      <c r="O203" s="10" t="str">
        <f t="shared" si="8"/>
        <v>SHALL</v>
      </c>
      <c r="P203" s="10" t="str">
        <f t="shared" si="7"/>
        <v>Server</v>
      </c>
      <c r="Q203" s="10" t="s">
        <v>235</v>
      </c>
      <c r="W203" s="6" t="s">
        <v>1141</v>
      </c>
    </row>
    <row r="204" spans="1:23" ht="68" x14ac:dyDescent="0.2">
      <c r="A204" s="7">
        <v>203</v>
      </c>
      <c r="B204" s="7" t="s">
        <v>838</v>
      </c>
      <c r="C204" s="8" t="s">
        <v>1004</v>
      </c>
      <c r="D204" s="7" t="s">
        <v>35</v>
      </c>
      <c r="E204" s="7" t="s">
        <v>30</v>
      </c>
      <c r="G204" s="7" t="b">
        <v>0</v>
      </c>
      <c r="M204" s="9" t="str" cm="1">
        <f t="array" ref="M204">PAGE_NAME(B204)</f>
        <v>general-guidance</v>
      </c>
      <c r="N204" s="9" t="str" cm="1">
        <f t="array" ref="N204">SECTION_NAME(B204)</f>
        <v>compartment-based-search</v>
      </c>
      <c r="O204" s="10" t="str">
        <f t="shared" si="8"/>
        <v>MAY</v>
      </c>
      <c r="P204" s="10" t="str">
        <f t="shared" si="7"/>
        <v>Server</v>
      </c>
      <c r="Q204" s="10" t="s">
        <v>237</v>
      </c>
    </row>
    <row r="205" spans="1:23" ht="34" x14ac:dyDescent="0.2">
      <c r="A205" s="7">
        <v>204</v>
      </c>
      <c r="B205" s="7" t="s">
        <v>839</v>
      </c>
      <c r="C205" s="8" t="s">
        <v>1005</v>
      </c>
      <c r="D205" s="7" t="s">
        <v>35</v>
      </c>
      <c r="E205" s="7" t="s">
        <v>30</v>
      </c>
      <c r="G205" s="7" t="b">
        <v>0</v>
      </c>
      <c r="M205" s="9" t="str" cm="1">
        <f t="array" ref="M205">PAGE_NAME(B205)</f>
        <v>general-guidance</v>
      </c>
      <c r="N205" s="9" t="str" cm="1">
        <f t="array" ref="N205">SECTION_NAME(B205)</f>
        <v>across-platform-searches</v>
      </c>
      <c r="O205" s="10" t="str">
        <f t="shared" si="8"/>
        <v>MAY</v>
      </c>
      <c r="P205" s="10" t="str">
        <f t="shared" si="7"/>
        <v>Server</v>
      </c>
      <c r="Q205" s="10" t="s">
        <v>237</v>
      </c>
    </row>
    <row r="206" spans="1:23" ht="34" x14ac:dyDescent="0.2">
      <c r="A206" s="7">
        <v>205</v>
      </c>
      <c r="B206" s="7" t="s">
        <v>840</v>
      </c>
      <c r="C206" s="8" t="s">
        <v>238</v>
      </c>
      <c r="D206" s="7" t="s">
        <v>35</v>
      </c>
      <c r="E206" s="7" t="s">
        <v>30</v>
      </c>
      <c r="G206" s="7" t="b">
        <v>0</v>
      </c>
      <c r="M206" s="9" t="str" cm="1">
        <f t="array" ref="M206">PAGE_NAME(B206)</f>
        <v>general-guidance</v>
      </c>
      <c r="N206" s="9" t="str" cm="1">
        <f t="array" ref="N206">SECTION_NAME(B206)</f>
        <v>limiting-the-number-of-search-results</v>
      </c>
      <c r="O206" s="10" t="str">
        <f t="shared" si="8"/>
        <v>MAY</v>
      </c>
      <c r="P206" s="10" t="str">
        <f t="shared" si="7"/>
        <v>Server</v>
      </c>
      <c r="Q206" s="10" t="s">
        <v>237</v>
      </c>
    </row>
    <row r="207" spans="1:23" ht="51" x14ac:dyDescent="0.2">
      <c r="A207" s="7">
        <v>206</v>
      </c>
      <c r="B207" s="7" t="s">
        <v>841</v>
      </c>
      <c r="C207" s="8" t="s">
        <v>239</v>
      </c>
      <c r="D207" s="7" t="s">
        <v>29</v>
      </c>
      <c r="E207" s="7" t="s">
        <v>30</v>
      </c>
      <c r="G207" s="7" t="b">
        <v>0</v>
      </c>
      <c r="M207" s="9" t="str" cm="1">
        <f t="array" ref="M207">PAGE_NAME(B207)</f>
        <v>clinical-notes</v>
      </c>
      <c r="N207" s="9" t="str" cm="1">
        <f t="array" ref="N207">SECTION_NAME(B207)</f>
        <v>support-requirements</v>
      </c>
      <c r="O207" s="10" t="str">
        <f t="shared" si="8"/>
        <v>SHALL</v>
      </c>
      <c r="P207" s="10" t="str">
        <f t="shared" si="7"/>
        <v>Server</v>
      </c>
      <c r="Q207" s="10" t="s">
        <v>240</v>
      </c>
      <c r="W207" s="6" t="s">
        <v>1140</v>
      </c>
    </row>
    <row r="208" spans="1:23" ht="51" x14ac:dyDescent="0.2">
      <c r="A208" s="7">
        <v>207</v>
      </c>
      <c r="B208" s="7" t="s">
        <v>841</v>
      </c>
      <c r="C208" s="8" t="s">
        <v>241</v>
      </c>
      <c r="D208" s="7" t="s">
        <v>29</v>
      </c>
      <c r="E208" s="7" t="s">
        <v>30</v>
      </c>
      <c r="G208" s="7" t="b">
        <v>0</v>
      </c>
      <c r="M208" s="9" t="str" cm="1">
        <f t="array" ref="M208">PAGE_NAME(B208)</f>
        <v>clinical-notes</v>
      </c>
      <c r="N208" s="9" t="str" cm="1">
        <f t="array" ref="N208">SECTION_NAME(B208)</f>
        <v>support-requirements</v>
      </c>
      <c r="O208" s="10" t="str">
        <f t="shared" si="8"/>
        <v>SHALL</v>
      </c>
      <c r="P208" s="10" t="str">
        <f t="shared" si="7"/>
        <v>Server</v>
      </c>
      <c r="Q208" s="10" t="s">
        <v>240</v>
      </c>
      <c r="W208" s="6" t="s">
        <v>1140</v>
      </c>
    </row>
    <row r="209" spans="1:23" ht="68" x14ac:dyDescent="0.2">
      <c r="A209" s="7">
        <v>208</v>
      </c>
      <c r="B209" s="7" t="s">
        <v>841</v>
      </c>
      <c r="C209" s="8" t="s">
        <v>242</v>
      </c>
      <c r="D209" s="7" t="s">
        <v>29</v>
      </c>
      <c r="E209" s="7" t="s">
        <v>30</v>
      </c>
      <c r="G209" s="7" t="b">
        <v>0</v>
      </c>
      <c r="M209" s="9" t="str" cm="1">
        <f t="array" ref="M209">PAGE_NAME(B209)</f>
        <v>clinical-notes</v>
      </c>
      <c r="N209" s="9" t="str" cm="1">
        <f t="array" ref="N209">SECTION_NAME(B209)</f>
        <v>support-requirements</v>
      </c>
      <c r="O209" s="10" t="str">
        <f t="shared" si="8"/>
        <v>SHALL</v>
      </c>
      <c r="P209" s="10" t="str">
        <f t="shared" si="7"/>
        <v>Server</v>
      </c>
      <c r="Q209" s="10" t="s">
        <v>240</v>
      </c>
      <c r="W209" s="6" t="s">
        <v>1140</v>
      </c>
    </row>
    <row r="210" spans="1:23" ht="51" x14ac:dyDescent="0.2">
      <c r="A210" s="7">
        <v>209</v>
      </c>
      <c r="B210" s="7" t="s">
        <v>841</v>
      </c>
      <c r="C210" s="8" t="s">
        <v>243</v>
      </c>
      <c r="D210" s="7" t="s">
        <v>29</v>
      </c>
      <c r="E210" s="7" t="s">
        <v>30</v>
      </c>
      <c r="G210" s="7" t="b">
        <v>0</v>
      </c>
      <c r="M210" s="9" t="str" cm="1">
        <f t="array" ref="M210">PAGE_NAME(B210)</f>
        <v>clinical-notes</v>
      </c>
      <c r="N210" s="9" t="str" cm="1">
        <f t="array" ref="N210">SECTION_NAME(B210)</f>
        <v>support-requirements</v>
      </c>
      <c r="O210" s="10" t="str">
        <f t="shared" si="8"/>
        <v>SHALL</v>
      </c>
      <c r="P210" s="10" t="str">
        <f t="shared" si="7"/>
        <v>Server</v>
      </c>
      <c r="Q210" s="10" t="s">
        <v>244</v>
      </c>
      <c r="W210" s="6" t="s">
        <v>1140</v>
      </c>
    </row>
    <row r="211" spans="1:23" ht="51" x14ac:dyDescent="0.2">
      <c r="A211" s="7">
        <v>210</v>
      </c>
      <c r="B211" s="7" t="s">
        <v>841</v>
      </c>
      <c r="C211" s="8" t="s">
        <v>245</v>
      </c>
      <c r="D211" s="7" t="s">
        <v>29</v>
      </c>
      <c r="E211" s="7" t="s">
        <v>30</v>
      </c>
      <c r="G211" s="7" t="b">
        <v>0</v>
      </c>
      <c r="M211" s="9" t="str" cm="1">
        <f t="array" ref="M211">PAGE_NAME(B211)</f>
        <v>clinical-notes</v>
      </c>
      <c r="N211" s="9" t="str" cm="1">
        <f t="array" ref="N211">SECTION_NAME(B211)</f>
        <v>support-requirements</v>
      </c>
      <c r="O211" s="10" t="str">
        <f t="shared" si="8"/>
        <v>SHALL</v>
      </c>
      <c r="P211" s="10" t="str">
        <f t="shared" si="7"/>
        <v>Server</v>
      </c>
      <c r="Q211" s="10" t="s">
        <v>246</v>
      </c>
      <c r="W211" s="6" t="s">
        <v>1140</v>
      </c>
    </row>
    <row r="212" spans="1:23" ht="51" x14ac:dyDescent="0.2">
      <c r="A212" s="7">
        <v>211</v>
      </c>
      <c r="B212" s="7" t="s">
        <v>841</v>
      </c>
      <c r="C212" s="8" t="s">
        <v>247</v>
      </c>
      <c r="D212" s="7" t="s">
        <v>29</v>
      </c>
      <c r="E212" s="7" t="s">
        <v>30</v>
      </c>
      <c r="G212" s="7" t="b">
        <v>0</v>
      </c>
      <c r="M212" s="9" t="str" cm="1">
        <f t="array" ref="M212">PAGE_NAME(B212)</f>
        <v>clinical-notes</v>
      </c>
      <c r="N212" s="9" t="str" cm="1">
        <f t="array" ref="N212">SECTION_NAME(B212)</f>
        <v>support-requirements</v>
      </c>
      <c r="O212" s="10" t="str">
        <f t="shared" si="8"/>
        <v>SHALL</v>
      </c>
      <c r="P212" s="10" t="str">
        <f t="shared" si="7"/>
        <v>Server</v>
      </c>
      <c r="Q212" s="10" t="s">
        <v>246</v>
      </c>
      <c r="W212" s="6" t="s">
        <v>1140</v>
      </c>
    </row>
    <row r="213" spans="1:23" ht="68" x14ac:dyDescent="0.2">
      <c r="A213" s="7">
        <v>212</v>
      </c>
      <c r="B213" s="7" t="s">
        <v>841</v>
      </c>
      <c r="C213" s="8" t="s">
        <v>248</v>
      </c>
      <c r="D213" s="7" t="s">
        <v>29</v>
      </c>
      <c r="E213" s="7" t="s">
        <v>30</v>
      </c>
      <c r="G213" s="7" t="b">
        <v>0</v>
      </c>
      <c r="M213" s="9" t="str" cm="1">
        <f t="array" ref="M213">PAGE_NAME(B213)</f>
        <v>clinical-notes</v>
      </c>
      <c r="N213" s="9" t="str" cm="1">
        <f t="array" ref="N213">SECTION_NAME(B213)</f>
        <v>support-requirements</v>
      </c>
      <c r="O213" s="10" t="str">
        <f t="shared" si="8"/>
        <v>SHALL</v>
      </c>
      <c r="P213" s="10" t="str">
        <f t="shared" si="7"/>
        <v>Server</v>
      </c>
      <c r="Q213" s="10" t="s">
        <v>249</v>
      </c>
      <c r="W213" s="6" t="s">
        <v>1140</v>
      </c>
    </row>
    <row r="214" spans="1:23" ht="68" x14ac:dyDescent="0.2">
      <c r="A214" s="7">
        <v>213</v>
      </c>
      <c r="B214" s="7" t="s">
        <v>841</v>
      </c>
      <c r="C214" s="8" t="s">
        <v>250</v>
      </c>
      <c r="D214" s="7" t="s">
        <v>29</v>
      </c>
      <c r="E214" s="7" t="s">
        <v>30</v>
      </c>
      <c r="G214" s="7" t="b">
        <v>0</v>
      </c>
      <c r="M214" s="9" t="str" cm="1">
        <f t="array" ref="M214">PAGE_NAME(B214)</f>
        <v>clinical-notes</v>
      </c>
      <c r="N214" s="9" t="str" cm="1">
        <f t="array" ref="N214">SECTION_NAME(B214)</f>
        <v>support-requirements</v>
      </c>
      <c r="O214" s="10" t="str">
        <f t="shared" si="8"/>
        <v>SHALL</v>
      </c>
      <c r="P214" s="10" t="str">
        <f t="shared" si="7"/>
        <v>Server</v>
      </c>
      <c r="Q214" s="10" t="s">
        <v>249</v>
      </c>
      <c r="W214" s="6" t="s">
        <v>1140</v>
      </c>
    </row>
    <row r="215" spans="1:23" ht="51" x14ac:dyDescent="0.2">
      <c r="A215" s="7">
        <v>214</v>
      </c>
      <c r="B215" s="7" t="s">
        <v>841</v>
      </c>
      <c r="C215" s="8" t="s">
        <v>251</v>
      </c>
      <c r="D215" s="7" t="s">
        <v>29</v>
      </c>
      <c r="E215" s="7" t="s">
        <v>30</v>
      </c>
      <c r="G215" s="7" t="b">
        <v>0</v>
      </c>
      <c r="M215" s="9" t="str" cm="1">
        <f t="array" ref="M215">PAGE_NAME(B215)</f>
        <v>clinical-notes</v>
      </c>
      <c r="N215" s="9" t="str" cm="1">
        <f t="array" ref="N215">SECTION_NAME(B215)</f>
        <v>support-requirements</v>
      </c>
      <c r="O215" s="10" t="str">
        <f t="shared" si="8"/>
        <v>SHALL</v>
      </c>
      <c r="P215" s="10" t="str">
        <f t="shared" si="7"/>
        <v>Server</v>
      </c>
      <c r="Q215" s="10" t="s">
        <v>252</v>
      </c>
      <c r="W215" s="6" t="s">
        <v>1140</v>
      </c>
    </row>
    <row r="216" spans="1:23" ht="51" x14ac:dyDescent="0.2">
      <c r="A216" s="7">
        <v>215</v>
      </c>
      <c r="B216" s="7" t="s">
        <v>841</v>
      </c>
      <c r="C216" s="8" t="s">
        <v>253</v>
      </c>
      <c r="D216" s="7" t="s">
        <v>29</v>
      </c>
      <c r="E216" s="7" t="s">
        <v>30</v>
      </c>
      <c r="G216" s="7" t="b">
        <v>0</v>
      </c>
      <c r="M216" s="9" t="str" cm="1">
        <f t="array" ref="M216">PAGE_NAME(B216)</f>
        <v>clinical-notes</v>
      </c>
      <c r="N216" s="9" t="str" cm="1">
        <f t="array" ref="N216">SECTION_NAME(B216)</f>
        <v>support-requirements</v>
      </c>
      <c r="O216" s="10" t="str">
        <f t="shared" si="8"/>
        <v>SHALL</v>
      </c>
      <c r="P216" s="10" t="str">
        <f t="shared" si="7"/>
        <v>Server</v>
      </c>
      <c r="Q216" s="10" t="s">
        <v>252</v>
      </c>
      <c r="W216" s="6" t="s">
        <v>1140</v>
      </c>
    </row>
    <row r="217" spans="1:23" ht="51" x14ac:dyDescent="0.2">
      <c r="A217" s="7">
        <v>216</v>
      </c>
      <c r="B217" s="7" t="s">
        <v>841</v>
      </c>
      <c r="C217" s="8" t="s">
        <v>254</v>
      </c>
      <c r="D217" s="7" t="s">
        <v>29</v>
      </c>
      <c r="E217" s="7" t="s">
        <v>30</v>
      </c>
      <c r="G217" s="7" t="b">
        <v>0</v>
      </c>
      <c r="M217" s="9" t="str" cm="1">
        <f t="array" ref="M217">PAGE_NAME(B217)</f>
        <v>clinical-notes</v>
      </c>
      <c r="N217" s="9" t="str" cm="1">
        <f t="array" ref="N217">SECTION_NAME(B217)</f>
        <v>support-requirements</v>
      </c>
      <c r="O217" s="10" t="str">
        <f t="shared" si="8"/>
        <v>SHALL</v>
      </c>
      <c r="P217" s="10" t="str">
        <f t="shared" si="7"/>
        <v>Server</v>
      </c>
      <c r="Q217" s="10" t="s">
        <v>255</v>
      </c>
      <c r="W217" s="6" t="s">
        <v>1140</v>
      </c>
    </row>
    <row r="218" spans="1:23" ht="51" x14ac:dyDescent="0.2">
      <c r="A218" s="7">
        <v>217</v>
      </c>
      <c r="B218" s="7" t="s">
        <v>627</v>
      </c>
      <c r="C218" s="8" t="s">
        <v>256</v>
      </c>
      <c r="D218" s="7" t="s">
        <v>32</v>
      </c>
      <c r="E218" s="7" t="s">
        <v>30</v>
      </c>
      <c r="G218" s="7" t="b">
        <v>0</v>
      </c>
      <c r="M218" s="9" t="str" cm="1">
        <f t="array" ref="M218">PAGE_NAME(B218)</f>
        <v>clinical-notes</v>
      </c>
      <c r="N218" s="9" t="str" cm="1">
        <f t="array" ref="N218">SECTION_NAME(B218)</f>
        <v>clinical-notes</v>
      </c>
      <c r="O218" s="10" t="str">
        <f t="shared" si="8"/>
        <v/>
      </c>
      <c r="P218" s="10" t="str">
        <f t="shared" si="7"/>
        <v/>
      </c>
      <c r="Q218" s="10" t="s">
        <v>257</v>
      </c>
    </row>
    <row r="219" spans="1:23" ht="68" x14ac:dyDescent="0.2">
      <c r="A219" s="7">
        <v>218</v>
      </c>
      <c r="B219" s="7" t="s">
        <v>627</v>
      </c>
      <c r="C219" s="8" t="s">
        <v>258</v>
      </c>
      <c r="D219" s="7" t="s">
        <v>32</v>
      </c>
      <c r="E219" s="7" t="s">
        <v>30</v>
      </c>
      <c r="G219" s="7" t="b">
        <v>0</v>
      </c>
      <c r="M219" s="9" t="str" cm="1">
        <f t="array" ref="M219">PAGE_NAME(B219)</f>
        <v>clinical-notes</v>
      </c>
      <c r="N219" s="9" t="str" cm="1">
        <f t="array" ref="N219">SECTION_NAME(B219)</f>
        <v>clinical-notes</v>
      </c>
      <c r="O219" s="10" t="str">
        <f t="shared" si="8"/>
        <v/>
      </c>
      <c r="P219" s="10" t="str">
        <f t="shared" si="7"/>
        <v/>
      </c>
      <c r="Q219" s="10" t="s">
        <v>257</v>
      </c>
    </row>
    <row r="220" spans="1:23" ht="51" x14ac:dyDescent="0.2">
      <c r="A220" s="7">
        <v>219</v>
      </c>
      <c r="B220" s="7" t="s">
        <v>627</v>
      </c>
      <c r="C220" s="8" t="s">
        <v>259</v>
      </c>
      <c r="D220" s="7" t="s">
        <v>32</v>
      </c>
      <c r="E220" s="7" t="s">
        <v>30</v>
      </c>
      <c r="G220" s="7" t="b">
        <v>0</v>
      </c>
      <c r="M220" s="9" t="str" cm="1">
        <f t="array" ref="M220">PAGE_NAME(B220)</f>
        <v>clinical-notes</v>
      </c>
      <c r="N220" s="9" t="str" cm="1">
        <f t="array" ref="N220">SECTION_NAME(B220)</f>
        <v>clinical-notes</v>
      </c>
      <c r="O220" s="10" t="str">
        <f t="shared" si="8"/>
        <v/>
      </c>
      <c r="P220" s="10" t="str">
        <f t="shared" si="7"/>
        <v/>
      </c>
      <c r="Q220" s="10" t="s">
        <v>260</v>
      </c>
    </row>
    <row r="221" spans="1:23" ht="119" x14ac:dyDescent="0.2">
      <c r="A221" s="7">
        <v>220</v>
      </c>
      <c r="B221" s="7" t="s">
        <v>842</v>
      </c>
      <c r="C221" s="8" t="s">
        <v>261</v>
      </c>
      <c r="D221" s="7" t="s">
        <v>29</v>
      </c>
      <c r="E221" s="7" t="s">
        <v>30</v>
      </c>
      <c r="G221" s="7" t="b">
        <v>0</v>
      </c>
      <c r="M221" s="9" t="str" cm="1">
        <f t="array" ref="M221">PAGE_NAME(B221)</f>
        <v>clinical-notes</v>
      </c>
      <c r="N221" s="9" t="str" cm="1">
        <f t="array" ref="N221">SECTION_NAME(B221)</f>
        <v>fhir-resources-to-exchange-clinical-notes</v>
      </c>
      <c r="O221" s="10" t="str">
        <f t="shared" si="8"/>
        <v>SHALL</v>
      </c>
      <c r="P221" s="10" t="str">
        <f t="shared" si="7"/>
        <v>Server</v>
      </c>
      <c r="Q221" s="10" t="s">
        <v>260</v>
      </c>
      <c r="W221" s="6" t="s">
        <v>1140</v>
      </c>
    </row>
    <row r="222" spans="1:23" ht="51" x14ac:dyDescent="0.2">
      <c r="A222" s="7">
        <v>221</v>
      </c>
      <c r="B222" s="7" t="s">
        <v>842</v>
      </c>
      <c r="C222" s="8" t="s">
        <v>262</v>
      </c>
      <c r="D222" s="7" t="s">
        <v>29</v>
      </c>
      <c r="E222" s="7" t="s">
        <v>30</v>
      </c>
      <c r="G222" s="7" t="b">
        <v>0</v>
      </c>
      <c r="M222" s="9" t="str" cm="1">
        <f t="array" ref="M222">PAGE_NAME(B222)</f>
        <v>clinical-notes</v>
      </c>
      <c r="N222" s="9" t="str" cm="1">
        <f t="array" ref="N222">SECTION_NAME(B222)</f>
        <v>fhir-resources-to-exchange-clinical-notes</v>
      </c>
      <c r="O222" s="10" t="str">
        <f t="shared" si="8"/>
        <v>SHALL</v>
      </c>
      <c r="P222" s="10" t="str">
        <f t="shared" si="7"/>
        <v/>
      </c>
      <c r="Q222" s="10" t="s">
        <v>263</v>
      </c>
      <c r="W222" s="6" t="s">
        <v>1140</v>
      </c>
    </row>
    <row r="223" spans="1:23" ht="51" x14ac:dyDescent="0.2">
      <c r="A223" s="7">
        <v>222</v>
      </c>
      <c r="B223" s="7" t="s">
        <v>628</v>
      </c>
      <c r="C223" s="8" t="s">
        <v>1006</v>
      </c>
      <c r="D223" s="7" t="s">
        <v>35</v>
      </c>
      <c r="E223" s="7" t="s">
        <v>30</v>
      </c>
      <c r="G223" s="7" t="b">
        <v>0</v>
      </c>
      <c r="M223" s="9" t="str" cm="1">
        <f t="array" ref="M223">PAGE_NAME(B223)</f>
        <v>clinical-notes</v>
      </c>
      <c r="N223" s="9" t="str" cm="1">
        <f t="array" ref="N223">SECTION_NAME(B223)</f>
        <v>support-requirements</v>
      </c>
      <c r="O223" s="10" t="str">
        <f t="shared" si="8"/>
        <v>MAY</v>
      </c>
      <c r="P223" s="10" t="str">
        <f t="shared" si="7"/>
        <v>Server</v>
      </c>
      <c r="Q223" s="10" t="s">
        <v>263</v>
      </c>
    </row>
    <row r="224" spans="1:23" ht="68" x14ac:dyDescent="0.2">
      <c r="A224" s="7">
        <v>223</v>
      </c>
      <c r="B224" s="7" t="s">
        <v>628</v>
      </c>
      <c r="C224" s="8" t="s">
        <v>1007</v>
      </c>
      <c r="D224" s="7" t="s">
        <v>29</v>
      </c>
      <c r="E224" s="7" t="s">
        <v>30</v>
      </c>
      <c r="G224" s="7" t="b">
        <v>0</v>
      </c>
      <c r="M224" s="9" t="str" cm="1">
        <f t="array" ref="M224">PAGE_NAME(B224)</f>
        <v>clinical-notes</v>
      </c>
      <c r="N224" s="9" t="str" cm="1">
        <f t="array" ref="N224">SECTION_NAME(B224)</f>
        <v>support-requirements</v>
      </c>
      <c r="O224" s="10" t="str">
        <f t="shared" si="8"/>
        <v/>
      </c>
      <c r="P224" s="10" t="str">
        <f t="shared" si="7"/>
        <v>Server</v>
      </c>
      <c r="Q224" s="10" t="s">
        <v>264</v>
      </c>
      <c r="W224" s="6" t="s">
        <v>1140</v>
      </c>
    </row>
    <row r="225" spans="1:23" ht="68" x14ac:dyDescent="0.2">
      <c r="A225" s="7">
        <v>224</v>
      </c>
      <c r="B225" s="7" t="s">
        <v>628</v>
      </c>
      <c r="C225" s="8" t="s">
        <v>1008</v>
      </c>
      <c r="D225" s="7" t="s">
        <v>29</v>
      </c>
      <c r="E225" s="7" t="s">
        <v>30</v>
      </c>
      <c r="G225" s="7" t="b">
        <v>0</v>
      </c>
      <c r="M225" s="9" t="str" cm="1">
        <f t="array" ref="M225">PAGE_NAME(B225)</f>
        <v>clinical-notes</v>
      </c>
      <c r="N225" s="9" t="str" cm="1">
        <f t="array" ref="N225">SECTION_NAME(B225)</f>
        <v>support-requirements</v>
      </c>
      <c r="O225" s="10" t="str">
        <f t="shared" si="8"/>
        <v/>
      </c>
      <c r="P225" s="10" t="str">
        <f t="shared" si="7"/>
        <v>Server</v>
      </c>
      <c r="Q225" s="10" t="s">
        <v>265</v>
      </c>
      <c r="W225" s="6" t="s">
        <v>1140</v>
      </c>
    </row>
    <row r="226" spans="1:23" ht="34" x14ac:dyDescent="0.2">
      <c r="A226" s="7">
        <v>225</v>
      </c>
      <c r="B226" s="7" t="s">
        <v>628</v>
      </c>
      <c r="C226" s="8" t="s">
        <v>1009</v>
      </c>
      <c r="D226" s="7" t="s">
        <v>35</v>
      </c>
      <c r="E226" s="7" t="s">
        <v>30</v>
      </c>
      <c r="G226" s="7" t="b">
        <v>0</v>
      </c>
      <c r="M226" s="9" t="str" cm="1">
        <f t="array" ref="M226">PAGE_NAME(B226)</f>
        <v>clinical-notes</v>
      </c>
      <c r="N226" s="9" t="str" cm="1">
        <f t="array" ref="N226">SECTION_NAME(B226)</f>
        <v>support-requirements</v>
      </c>
      <c r="O226" s="10" t="str">
        <f t="shared" si="8"/>
        <v>MAY</v>
      </c>
      <c r="P226" s="10" t="str">
        <f t="shared" si="7"/>
        <v>Server</v>
      </c>
      <c r="Q226" s="10" t="s">
        <v>266</v>
      </c>
    </row>
    <row r="227" spans="1:23" ht="34" x14ac:dyDescent="0.2">
      <c r="A227" s="7">
        <v>226</v>
      </c>
      <c r="B227" s="7" t="s">
        <v>628</v>
      </c>
      <c r="C227" s="8" t="s">
        <v>929</v>
      </c>
      <c r="D227" s="7" t="s">
        <v>35</v>
      </c>
      <c r="E227" s="7" t="s">
        <v>58</v>
      </c>
      <c r="G227" s="7" t="b">
        <v>0</v>
      </c>
      <c r="I227" s="23"/>
      <c r="J227" s="23"/>
      <c r="K227" s="23"/>
      <c r="L227" s="23"/>
      <c r="M227" s="9" t="str" cm="1">
        <f t="array" ref="M227">PAGE_NAME(B227)</f>
        <v>clinical-notes</v>
      </c>
      <c r="N227" s="9" t="str" cm="1">
        <f t="array" ref="N227">SECTION_NAME(B227)</f>
        <v>support-requirements</v>
      </c>
      <c r="O227" s="10" t="str">
        <f t="shared" si="8"/>
        <v>MAY</v>
      </c>
      <c r="P227" s="10" t="str">
        <f t="shared" si="7"/>
        <v>Client</v>
      </c>
      <c r="Q227" s="10" t="s">
        <v>266</v>
      </c>
      <c r="S227" s="10"/>
    </row>
    <row r="228" spans="1:23" ht="51" x14ac:dyDescent="0.2">
      <c r="A228" s="7">
        <v>227</v>
      </c>
      <c r="B228" s="7" t="s">
        <v>628</v>
      </c>
      <c r="C228" s="8" t="s">
        <v>267</v>
      </c>
      <c r="D228" s="7" t="s">
        <v>32</v>
      </c>
      <c r="E228" s="7" t="s">
        <v>30</v>
      </c>
      <c r="G228" s="7" t="b">
        <v>0</v>
      </c>
      <c r="M228" s="9" t="str" cm="1">
        <f t="array" ref="M228">PAGE_NAME(B228)</f>
        <v>clinical-notes</v>
      </c>
      <c r="N228" s="9" t="str" cm="1">
        <f t="array" ref="N228">SECTION_NAME(B228)</f>
        <v>support-requirements</v>
      </c>
      <c r="O228" s="10" t="str">
        <f t="shared" si="8"/>
        <v>SHOULD</v>
      </c>
      <c r="P228" s="10" t="str">
        <f t="shared" si="7"/>
        <v/>
      </c>
      <c r="Q228" s="10" t="s">
        <v>268</v>
      </c>
    </row>
    <row r="229" spans="1:23" ht="51" x14ac:dyDescent="0.2">
      <c r="A229" s="7">
        <v>228</v>
      </c>
      <c r="B229" s="7" t="s">
        <v>628</v>
      </c>
      <c r="C229" s="8" t="s">
        <v>269</v>
      </c>
      <c r="D229" s="7" t="s">
        <v>32</v>
      </c>
      <c r="E229" s="7" t="s">
        <v>30</v>
      </c>
      <c r="G229" s="7" t="b">
        <v>0</v>
      </c>
      <c r="M229" s="9" t="str" cm="1">
        <f t="array" ref="M229">PAGE_NAME(B229)</f>
        <v>clinical-notes</v>
      </c>
      <c r="N229" s="9" t="str" cm="1">
        <f t="array" ref="N229">SECTION_NAME(B229)</f>
        <v>support-requirements</v>
      </c>
    </row>
    <row r="230" spans="1:23" ht="51" x14ac:dyDescent="0.2">
      <c r="A230" s="7">
        <v>229</v>
      </c>
      <c r="B230" s="7" t="s">
        <v>628</v>
      </c>
      <c r="C230" s="8" t="s">
        <v>270</v>
      </c>
      <c r="D230" s="7" t="s">
        <v>32</v>
      </c>
      <c r="E230" s="7" t="s">
        <v>30</v>
      </c>
      <c r="G230" s="7" t="b">
        <v>0</v>
      </c>
      <c r="M230" s="9" t="str" cm="1">
        <f t="array" ref="M230">PAGE_NAME(B230)</f>
        <v>clinical-notes</v>
      </c>
      <c r="N230" s="9" t="str" cm="1">
        <f t="array" ref="N230">SECTION_NAME(B230)</f>
        <v>support-requirements</v>
      </c>
    </row>
    <row r="231" spans="1:23" ht="34" x14ac:dyDescent="0.2">
      <c r="A231" s="7">
        <v>230</v>
      </c>
      <c r="B231" s="7" t="s">
        <v>628</v>
      </c>
      <c r="C231" s="8" t="s">
        <v>271</v>
      </c>
      <c r="D231" s="7" t="s">
        <v>32</v>
      </c>
      <c r="E231" s="7" t="s">
        <v>30</v>
      </c>
      <c r="G231" s="7" t="b">
        <v>0</v>
      </c>
      <c r="M231" s="9" t="str" cm="1">
        <f t="array" ref="M231">PAGE_NAME(B231)</f>
        <v>clinical-notes</v>
      </c>
      <c r="N231" s="9" t="str" cm="1">
        <f t="array" ref="N231">SECTION_NAME(B231)</f>
        <v>support-requirements</v>
      </c>
    </row>
    <row r="232" spans="1:23" ht="34" x14ac:dyDescent="0.2">
      <c r="A232" s="7">
        <v>231</v>
      </c>
      <c r="B232" s="7" t="s">
        <v>628</v>
      </c>
      <c r="C232" s="8" t="s">
        <v>272</v>
      </c>
      <c r="D232" s="7" t="s">
        <v>29</v>
      </c>
      <c r="E232" s="7" t="s">
        <v>30</v>
      </c>
      <c r="G232" s="7" t="b">
        <v>0</v>
      </c>
      <c r="M232" s="9" t="str" cm="1">
        <f t="array" ref="M232">PAGE_NAME(B232)</f>
        <v>clinical-notes</v>
      </c>
      <c r="N232" s="9" t="str" cm="1">
        <f t="array" ref="N232">SECTION_NAME(B232)</f>
        <v>support-requirements</v>
      </c>
      <c r="O232" s="10" t="str">
        <f t="shared" ref="O232:O238" si="9">IF(ISNUMBER(SEARCH("MAY", C232)), "MAY", IF(ISNUMBER(SEARCH("SHOULD", C232)), "SHOULD", IF(ISNUMBER(SEARCH("SHALL", C232)), "SHALL", IF(ISNUMBER(SEARCH("SHOULD NOT", C232)), "SHOULD NOT", IF(ISNUMBER(SEARCH("SHALL NOT", C232)), "SHALL NOT", "")))))</f>
        <v/>
      </c>
      <c r="P232" s="10" t="str">
        <f t="shared" ref="P232:P238" si="10">IF(ISNUMBER(SEARCH("Server", C232)), "Server", IF(ISNUMBER(SEARCH("Server", C232)), "Server", IF(ISNUMBER(SEARCH("Client", C232)), "Client", IF(ISNUMBER(SEARCH("Client", C232)), "Client", IF(ISNUMBER(SEARCH("US Core Responder", C232)), "Server", IF(ISNUMBER(SEARCH("US Core Requestor", C232)), "Client", ""))))))</f>
        <v>Server</v>
      </c>
      <c r="Q232" s="10" t="s">
        <v>268</v>
      </c>
      <c r="W232" s="6" t="s">
        <v>1140</v>
      </c>
    </row>
    <row r="233" spans="1:23" ht="68" x14ac:dyDescent="0.2">
      <c r="A233" s="7">
        <v>232</v>
      </c>
      <c r="B233" s="7" t="s">
        <v>628</v>
      </c>
      <c r="C233" s="8" t="s">
        <v>1010</v>
      </c>
      <c r="D233" s="7" t="s">
        <v>35</v>
      </c>
      <c r="E233" s="7" t="s">
        <v>58</v>
      </c>
      <c r="G233" s="7" t="b">
        <v>0</v>
      </c>
      <c r="M233" s="9" t="str" cm="1">
        <f t="array" ref="M233">PAGE_NAME(B233)</f>
        <v>clinical-notes</v>
      </c>
      <c r="N233" s="9" t="str" cm="1">
        <f t="array" ref="N233">SECTION_NAME(B233)</f>
        <v>support-requirements</v>
      </c>
      <c r="O233" s="10" t="str">
        <f t="shared" si="9"/>
        <v/>
      </c>
      <c r="P233" s="10" t="str">
        <f t="shared" si="10"/>
        <v>Server</v>
      </c>
      <c r="Q233" s="10" t="s">
        <v>273</v>
      </c>
    </row>
    <row r="234" spans="1:23" ht="85" x14ac:dyDescent="0.2">
      <c r="A234" s="7">
        <v>233</v>
      </c>
      <c r="B234" s="7" t="s">
        <v>628</v>
      </c>
      <c r="C234" s="8" t="s">
        <v>1011</v>
      </c>
      <c r="D234" s="7" t="s">
        <v>32</v>
      </c>
      <c r="E234" s="7" t="s">
        <v>30</v>
      </c>
      <c r="G234" s="7" t="b">
        <v>0</v>
      </c>
      <c r="M234" s="9" t="str" cm="1">
        <f t="array" ref="M234">PAGE_NAME(B234)</f>
        <v>clinical-notes</v>
      </c>
      <c r="N234" s="9" t="str" cm="1">
        <f t="array" ref="N234">SECTION_NAME(B234)</f>
        <v>support-requirements</v>
      </c>
      <c r="O234" s="10" t="str">
        <f t="shared" si="9"/>
        <v>SHOULD</v>
      </c>
      <c r="P234" s="10" t="str">
        <f t="shared" si="10"/>
        <v>Server</v>
      </c>
      <c r="Q234" s="10" t="s">
        <v>274</v>
      </c>
    </row>
    <row r="235" spans="1:23" ht="170" x14ac:dyDescent="0.2">
      <c r="A235" s="7">
        <v>234</v>
      </c>
      <c r="B235" s="7" t="s">
        <v>628</v>
      </c>
      <c r="C235" s="8" t="s">
        <v>1012</v>
      </c>
      <c r="D235" s="7" t="s">
        <v>29</v>
      </c>
      <c r="E235" s="7" t="s">
        <v>30</v>
      </c>
      <c r="G235" s="7" t="b">
        <v>1</v>
      </c>
      <c r="H235" s="12" t="s">
        <v>1013</v>
      </c>
      <c r="M235" s="9" t="str" cm="1">
        <f t="array" ref="M235">PAGE_NAME(B235)</f>
        <v>clinical-notes</v>
      </c>
      <c r="N235" s="9" t="str" cm="1">
        <f t="array" ref="N235">SECTION_NAME(B235)</f>
        <v>support-requirements</v>
      </c>
      <c r="O235" s="10" t="str">
        <f t="shared" si="9"/>
        <v>SHALL</v>
      </c>
      <c r="P235" s="10" t="str">
        <f t="shared" si="10"/>
        <v>Server</v>
      </c>
      <c r="Q235" s="10" t="s">
        <v>275</v>
      </c>
      <c r="V235" s="12" t="s">
        <v>276</v>
      </c>
      <c r="W235" s="6" t="s">
        <v>1141</v>
      </c>
    </row>
    <row r="236" spans="1:23" ht="170" x14ac:dyDescent="0.2">
      <c r="A236" s="7">
        <v>235</v>
      </c>
      <c r="B236" s="7" t="s">
        <v>628</v>
      </c>
      <c r="C236" s="8" t="s">
        <v>1014</v>
      </c>
      <c r="D236" s="7" t="s">
        <v>29</v>
      </c>
      <c r="E236" s="7" t="s">
        <v>30</v>
      </c>
      <c r="G236" s="7" t="b">
        <v>1</v>
      </c>
      <c r="H236" s="12" t="s">
        <v>1015</v>
      </c>
      <c r="M236" s="9" t="str" cm="1">
        <f t="array" ref="M236">PAGE_NAME(B236)</f>
        <v>clinical-notes</v>
      </c>
      <c r="N236" s="9" t="str" cm="1">
        <f t="array" ref="N236">SECTION_NAME(B236)</f>
        <v>support-requirements</v>
      </c>
      <c r="O236" s="10" t="str">
        <f t="shared" si="9"/>
        <v>SHALL</v>
      </c>
      <c r="P236" s="10" t="str">
        <f t="shared" si="10"/>
        <v>Server</v>
      </c>
      <c r="Q236" s="10" t="s">
        <v>277</v>
      </c>
      <c r="W236" s="6" t="s">
        <v>1141</v>
      </c>
    </row>
    <row r="237" spans="1:23" ht="153" x14ac:dyDescent="0.2">
      <c r="A237" s="7">
        <v>236</v>
      </c>
      <c r="B237" s="7" t="s">
        <v>628</v>
      </c>
      <c r="C237" s="8" t="s">
        <v>1016</v>
      </c>
      <c r="D237" s="7" t="s">
        <v>29</v>
      </c>
      <c r="E237" s="7" t="s">
        <v>30</v>
      </c>
      <c r="G237" s="7" t="b">
        <v>1</v>
      </c>
      <c r="H237" s="12" t="s">
        <v>1013</v>
      </c>
      <c r="M237" s="9" t="str" cm="1">
        <f t="array" ref="M237">PAGE_NAME(B237)</f>
        <v>clinical-notes</v>
      </c>
      <c r="N237" s="9" t="str" cm="1">
        <f t="array" ref="N237">SECTION_NAME(B237)</f>
        <v>support-requirements</v>
      </c>
      <c r="O237" s="10" t="str">
        <f t="shared" si="9"/>
        <v>SHALL</v>
      </c>
      <c r="P237" s="10" t="str">
        <f t="shared" si="10"/>
        <v>Server</v>
      </c>
      <c r="W237" s="6" t="s">
        <v>1141</v>
      </c>
    </row>
    <row r="238" spans="1:23" ht="153" x14ac:dyDescent="0.2">
      <c r="A238" s="7">
        <v>237</v>
      </c>
      <c r="B238" s="7" t="s">
        <v>628</v>
      </c>
      <c r="C238" s="8" t="s">
        <v>1017</v>
      </c>
      <c r="D238" s="7" t="s">
        <v>29</v>
      </c>
      <c r="E238" s="7" t="s">
        <v>30</v>
      </c>
      <c r="G238" s="7" t="b">
        <v>1</v>
      </c>
      <c r="H238" s="12" t="s">
        <v>1015</v>
      </c>
      <c r="M238" s="9" t="str" cm="1">
        <f t="array" ref="M238">PAGE_NAME(B238)</f>
        <v>clinical-notes</v>
      </c>
      <c r="N238" s="9" t="str" cm="1">
        <f t="array" ref="N238">SECTION_NAME(B238)</f>
        <v>support-requirements</v>
      </c>
      <c r="O238" s="10" t="str">
        <f t="shared" si="9"/>
        <v>SHALL</v>
      </c>
      <c r="P238" s="10" t="str">
        <f t="shared" si="10"/>
        <v>Server</v>
      </c>
      <c r="W238" s="6" t="s">
        <v>1141</v>
      </c>
    </row>
    <row r="239" spans="1:23" ht="170" x14ac:dyDescent="0.2">
      <c r="A239" s="7">
        <v>238</v>
      </c>
      <c r="B239" s="7" t="s">
        <v>628</v>
      </c>
      <c r="C239" s="8" t="s">
        <v>1018</v>
      </c>
      <c r="D239" s="7" t="s">
        <v>29</v>
      </c>
      <c r="E239" s="7" t="s">
        <v>30</v>
      </c>
      <c r="G239" s="7" t="b">
        <v>1</v>
      </c>
      <c r="H239" s="12" t="s">
        <v>1013</v>
      </c>
      <c r="M239" s="9" t="str" cm="1">
        <f t="array" ref="M239">PAGE_NAME(B239)</f>
        <v>clinical-notes</v>
      </c>
      <c r="N239" s="9" t="str" cm="1">
        <f t="array" ref="N239">SECTION_NAME(B239)</f>
        <v>support-requirements</v>
      </c>
      <c r="W239" s="6" t="s">
        <v>1141</v>
      </c>
    </row>
    <row r="240" spans="1:23" ht="170" x14ac:dyDescent="0.2">
      <c r="A240" s="7">
        <v>239</v>
      </c>
      <c r="B240" s="7" t="s">
        <v>628</v>
      </c>
      <c r="C240" s="8" t="s">
        <v>1019</v>
      </c>
      <c r="D240" s="7" t="s">
        <v>29</v>
      </c>
      <c r="E240" s="7" t="s">
        <v>30</v>
      </c>
      <c r="G240" s="7" t="b">
        <v>1</v>
      </c>
      <c r="H240" s="12" t="s">
        <v>1015</v>
      </c>
      <c r="M240" s="9" t="str" cm="1">
        <f t="array" ref="M240">PAGE_NAME(B240)</f>
        <v>clinical-notes</v>
      </c>
      <c r="N240" s="9" t="str" cm="1">
        <f t="array" ref="N240">SECTION_NAME(B240)</f>
        <v>support-requirements</v>
      </c>
      <c r="W240" s="6" t="s">
        <v>1141</v>
      </c>
    </row>
    <row r="241" spans="1:23" ht="170" x14ac:dyDescent="0.2">
      <c r="A241" s="7">
        <v>240</v>
      </c>
      <c r="B241" s="7" t="s">
        <v>628</v>
      </c>
      <c r="C241" s="8" t="s">
        <v>1020</v>
      </c>
      <c r="D241" s="7" t="s">
        <v>29</v>
      </c>
      <c r="E241" s="7" t="s">
        <v>30</v>
      </c>
      <c r="G241" s="7" t="b">
        <v>1</v>
      </c>
      <c r="H241" s="12" t="s">
        <v>1013</v>
      </c>
      <c r="M241" s="9" t="str" cm="1">
        <f t="array" ref="M241">PAGE_NAME(B241)</f>
        <v>clinical-notes</v>
      </c>
      <c r="N241" s="9" t="str" cm="1">
        <f t="array" ref="N241">SECTION_NAME(B241)</f>
        <v>support-requirements</v>
      </c>
      <c r="W241" s="6" t="s">
        <v>1141</v>
      </c>
    </row>
    <row r="242" spans="1:23" ht="170" x14ac:dyDescent="0.2">
      <c r="A242" s="7">
        <v>241</v>
      </c>
      <c r="B242" s="7" t="s">
        <v>628</v>
      </c>
      <c r="C242" s="8" t="s">
        <v>1021</v>
      </c>
      <c r="D242" s="7" t="s">
        <v>29</v>
      </c>
      <c r="E242" s="7" t="s">
        <v>30</v>
      </c>
      <c r="G242" s="7" t="b">
        <v>1</v>
      </c>
      <c r="H242" s="12" t="s">
        <v>1015</v>
      </c>
      <c r="M242" s="9" t="str" cm="1">
        <f t="array" ref="M242">PAGE_NAME(B242)</f>
        <v>clinical-notes</v>
      </c>
      <c r="N242" s="9" t="str" cm="1">
        <f t="array" ref="N242">SECTION_NAME(B242)</f>
        <v>support-requirements</v>
      </c>
      <c r="W242" s="6" t="s">
        <v>1141</v>
      </c>
    </row>
    <row r="243" spans="1:23" ht="170" x14ac:dyDescent="0.2">
      <c r="A243" s="7">
        <v>242</v>
      </c>
      <c r="B243" s="7" t="s">
        <v>1022</v>
      </c>
      <c r="C243" s="8" t="s">
        <v>1023</v>
      </c>
      <c r="D243" s="7" t="s">
        <v>32</v>
      </c>
      <c r="E243" s="7" t="s">
        <v>30</v>
      </c>
      <c r="G243" s="7" t="b">
        <v>1</v>
      </c>
      <c r="H243" s="12" t="s">
        <v>1024</v>
      </c>
      <c r="M243" s="9" t="str" cm="1">
        <f t="array" ref="M243">PAGE_NAME(B243)</f>
        <v>clinical-notes</v>
      </c>
      <c r="N243" s="9" t="str" cm="1">
        <f t="array" ref="N243">SECTION_NAME(B243)</f>
        <v>discovering-Server-read-and-write-formats</v>
      </c>
    </row>
    <row r="244" spans="1:23" ht="170" x14ac:dyDescent="0.2">
      <c r="A244" s="7">
        <v>243</v>
      </c>
      <c r="B244" s="7" t="s">
        <v>1022</v>
      </c>
      <c r="C244" s="8" t="s">
        <v>1025</v>
      </c>
      <c r="D244" s="7" t="s">
        <v>32</v>
      </c>
      <c r="E244" s="7" t="s">
        <v>30</v>
      </c>
      <c r="G244" s="7" t="b">
        <v>1</v>
      </c>
      <c r="H244" s="12" t="s">
        <v>1026</v>
      </c>
      <c r="M244" s="9" t="str" cm="1">
        <f t="array" ref="M244">PAGE_NAME(B244)</f>
        <v>clinical-notes</v>
      </c>
      <c r="N244" s="9" t="str" cm="1">
        <f t="array" ref="N244">SECTION_NAME(B244)</f>
        <v>discovering-Server-read-and-write-formats</v>
      </c>
    </row>
    <row r="245" spans="1:23" ht="187" x14ac:dyDescent="0.2">
      <c r="A245" s="7">
        <v>244</v>
      </c>
      <c r="B245" s="7" t="s">
        <v>1022</v>
      </c>
      <c r="C245" s="8" t="s">
        <v>1027</v>
      </c>
      <c r="D245" s="7" t="s">
        <v>32</v>
      </c>
      <c r="E245" s="7" t="s">
        <v>30</v>
      </c>
      <c r="G245" s="7" t="b">
        <v>1</v>
      </c>
      <c r="H245" s="12" t="s">
        <v>1024</v>
      </c>
      <c r="M245" s="9" t="str" cm="1">
        <f t="array" ref="M245">PAGE_NAME(B245)</f>
        <v>clinical-notes</v>
      </c>
      <c r="N245" s="9" t="str" cm="1">
        <f t="array" ref="N245">SECTION_NAME(B245)</f>
        <v>discovering-Server-read-and-write-formats</v>
      </c>
    </row>
    <row r="246" spans="1:23" ht="187" x14ac:dyDescent="0.2">
      <c r="A246" s="7">
        <v>245</v>
      </c>
      <c r="B246" s="7" t="s">
        <v>1022</v>
      </c>
      <c r="C246" s="8" t="s">
        <v>1028</v>
      </c>
      <c r="D246" s="7" t="s">
        <v>32</v>
      </c>
      <c r="E246" s="7" t="s">
        <v>30</v>
      </c>
      <c r="G246" s="7" t="b">
        <v>1</v>
      </c>
      <c r="H246" s="12" t="s">
        <v>1026</v>
      </c>
      <c r="M246" s="9" t="str" cm="1">
        <f t="array" ref="M246">PAGE_NAME(B246)</f>
        <v>clinical-notes</v>
      </c>
      <c r="N246" s="9" t="str" cm="1">
        <f t="array" ref="N246">SECTION_NAME(B246)</f>
        <v>discovering-Server-read-and-write-formats</v>
      </c>
    </row>
    <row r="247" spans="1:23" ht="102" x14ac:dyDescent="0.2">
      <c r="A247" s="7">
        <v>246</v>
      </c>
      <c r="B247" s="7" t="s">
        <v>843</v>
      </c>
      <c r="C247" s="8" t="s">
        <v>278</v>
      </c>
      <c r="D247" s="7" t="s">
        <v>35</v>
      </c>
      <c r="E247" s="7" t="s">
        <v>30</v>
      </c>
      <c r="G247" s="7" t="b">
        <v>0</v>
      </c>
      <c r="M247" s="9" t="str" cm="1">
        <f t="array" ref="M247">PAGE_NAME(B247)</f>
        <v>medication-list</v>
      </c>
      <c r="N247" s="9" t="str" cm="1">
        <f t="array" ref="N247">SECTION_NAME(B247)</f>
        <v>background-on-the-fhir-medications-resources</v>
      </c>
      <c r="O247" s="10" t="str">
        <f t="shared" ref="O247:O310" si="11">IF(ISNUMBER(SEARCH("MAY", C247)), "MAY", IF(ISNUMBER(SEARCH("SHOULD", C247)), "SHOULD", IF(ISNUMBER(SEARCH("SHALL", C247)), "SHALL", IF(ISNUMBER(SEARCH("SHOULD NOT", C247)), "SHOULD NOT", IF(ISNUMBER(SEARCH("SHALL NOT", C247)), "SHALL NOT", "")))))</f>
        <v/>
      </c>
      <c r="P247" s="10" t="str">
        <f t="shared" ref="P247:P310" si="12">IF(ISNUMBER(SEARCH("Server", C247)), "Server", IF(ISNUMBER(SEARCH("Server", C247)), "Server", IF(ISNUMBER(SEARCH("Client", C247)), "Client", IF(ISNUMBER(SEARCH("Client", C247)), "Client", IF(ISNUMBER(SEARCH("US Core Responder", C247)), "Server", IF(ISNUMBER(SEARCH("US Core Requestor", C247)), "Client", ""))))))</f>
        <v/>
      </c>
      <c r="Q247" s="10" t="s">
        <v>274</v>
      </c>
    </row>
    <row r="248" spans="1:23" ht="119" x14ac:dyDescent="0.2">
      <c r="A248" s="7">
        <v>247</v>
      </c>
      <c r="B248" s="58" t="s">
        <v>844</v>
      </c>
      <c r="C248" s="8" t="s">
        <v>279</v>
      </c>
      <c r="D248" s="7" t="s">
        <v>29</v>
      </c>
      <c r="E248" s="7" t="s">
        <v>30</v>
      </c>
      <c r="G248" s="7" t="b">
        <v>1</v>
      </c>
      <c r="H248" s="12" t="s">
        <v>280</v>
      </c>
      <c r="M248" s="9" t="str" cm="1">
        <f t="array" ref="M248">PAGE_NAME(B248)</f>
        <v>medication-list</v>
      </c>
      <c r="N248" s="9" t="str" cm="1">
        <f t="array" ref="N248">SECTION_NAME(B248)</f>
        <v>options-for-representing-medication</v>
      </c>
      <c r="O248" s="10" t="str">
        <f t="shared" si="11"/>
        <v>SHALL</v>
      </c>
      <c r="P248" s="10" t="str">
        <f t="shared" si="12"/>
        <v/>
      </c>
      <c r="Q248" s="10" t="s">
        <v>281</v>
      </c>
    </row>
    <row r="249" spans="1:23" ht="85" x14ac:dyDescent="0.2">
      <c r="A249" s="7">
        <v>248</v>
      </c>
      <c r="B249" s="7" t="s">
        <v>844</v>
      </c>
      <c r="C249" s="8" t="s">
        <v>282</v>
      </c>
      <c r="D249" s="7" t="s">
        <v>35</v>
      </c>
      <c r="E249" s="7" t="s">
        <v>30</v>
      </c>
      <c r="G249" s="7" t="b">
        <v>0</v>
      </c>
      <c r="M249" s="9" t="str" cm="1">
        <f t="array" ref="M249">PAGE_NAME(B249)</f>
        <v>medication-list</v>
      </c>
      <c r="N249" s="9" t="str" cm="1">
        <f t="array" ref="N249">SECTION_NAME(B249)</f>
        <v>options-for-representing-medication</v>
      </c>
      <c r="O249" s="10" t="str">
        <f t="shared" si="11"/>
        <v/>
      </c>
      <c r="P249" s="10" t="str">
        <f t="shared" si="12"/>
        <v/>
      </c>
      <c r="Q249" s="10" t="s">
        <v>283</v>
      </c>
    </row>
    <row r="250" spans="1:23" ht="102" x14ac:dyDescent="0.2">
      <c r="A250" s="7">
        <v>249</v>
      </c>
      <c r="B250" s="7" t="s">
        <v>844</v>
      </c>
      <c r="C250" s="8" t="s">
        <v>1029</v>
      </c>
      <c r="D250" s="7" t="s">
        <v>35</v>
      </c>
      <c r="E250" s="7" t="s">
        <v>30</v>
      </c>
      <c r="G250" s="7" t="b">
        <v>1</v>
      </c>
      <c r="H250" s="12" t="s">
        <v>284</v>
      </c>
      <c r="M250" s="9" t="str" cm="1">
        <f t="array" ref="M250">PAGE_NAME(B250)</f>
        <v>medication-list</v>
      </c>
      <c r="N250" s="9" t="str" cm="1">
        <f t="array" ref="N250">SECTION_NAME(B250)</f>
        <v>options-for-representing-medication</v>
      </c>
      <c r="O250" s="10" t="str">
        <f t="shared" si="11"/>
        <v>MAY</v>
      </c>
      <c r="P250" s="10" t="str">
        <f t="shared" si="12"/>
        <v>Server</v>
      </c>
      <c r="Q250" s="10" t="s">
        <v>283</v>
      </c>
    </row>
    <row r="251" spans="1:23" ht="68" x14ac:dyDescent="0.2">
      <c r="A251" s="7">
        <v>250</v>
      </c>
      <c r="B251" s="7" t="s">
        <v>844</v>
      </c>
      <c r="C251" s="8" t="s">
        <v>1030</v>
      </c>
      <c r="D251" s="7" t="s">
        <v>29</v>
      </c>
      <c r="E251" s="7" t="s">
        <v>30</v>
      </c>
      <c r="G251" s="7" t="b">
        <v>1</v>
      </c>
      <c r="H251" s="12" t="s">
        <v>285</v>
      </c>
      <c r="M251" s="9" t="str" cm="1">
        <f t="array" ref="M251">PAGE_NAME(B251)</f>
        <v>medication-list</v>
      </c>
      <c r="N251" s="9" t="str" cm="1">
        <f t="array" ref="N251">SECTION_NAME(B251)</f>
        <v>options-for-representing-medication</v>
      </c>
      <c r="O251" s="10" t="str">
        <f t="shared" si="11"/>
        <v>SHALL</v>
      </c>
      <c r="P251" s="10" t="str">
        <f t="shared" si="12"/>
        <v>Server</v>
      </c>
      <c r="Q251" s="10" t="s">
        <v>283</v>
      </c>
    </row>
    <row r="252" spans="1:23" ht="102" x14ac:dyDescent="0.2">
      <c r="A252" s="7">
        <v>251</v>
      </c>
      <c r="B252" s="7" t="s">
        <v>844</v>
      </c>
      <c r="C252" s="8" t="s">
        <v>930</v>
      </c>
      <c r="D252" s="7" t="s">
        <v>29</v>
      </c>
      <c r="E252" s="7" t="s">
        <v>58</v>
      </c>
      <c r="G252" s="7" t="b">
        <v>1</v>
      </c>
      <c r="H252" s="12" t="s">
        <v>286</v>
      </c>
      <c r="M252" s="9" t="str" cm="1">
        <f t="array" ref="M252">PAGE_NAME(B252)</f>
        <v>medication-list</v>
      </c>
      <c r="N252" s="9" t="str" cm="1">
        <f t="array" ref="N252">SECTION_NAME(B252)</f>
        <v>options-for-representing-medication</v>
      </c>
      <c r="O252" s="10" t="str">
        <f t="shared" si="11"/>
        <v/>
      </c>
      <c r="P252" s="10" t="str">
        <f t="shared" si="12"/>
        <v>Client</v>
      </c>
      <c r="Q252" s="10" t="s">
        <v>283</v>
      </c>
    </row>
    <row r="253" spans="1:23" ht="221" x14ac:dyDescent="0.2">
      <c r="A253" s="7">
        <v>252</v>
      </c>
      <c r="B253" s="58" t="s">
        <v>629</v>
      </c>
      <c r="C253" s="8" t="s">
        <v>720</v>
      </c>
      <c r="D253" s="7" t="s">
        <v>29</v>
      </c>
      <c r="E253" s="7" t="s">
        <v>30</v>
      </c>
      <c r="G253" s="7" t="b">
        <v>0</v>
      </c>
      <c r="M253" s="9" t="str" cm="1">
        <f t="array" ref="M253">PAGE_NAME(B253)</f>
        <v>medication-list</v>
      </c>
      <c r="N253" s="9" t="str" cm="1">
        <f t="array" ref="N253">SECTION_NAME(B253)</f>
        <v>fetching-all-medications-active-medications-and-all-medications-for-an-encounter</v>
      </c>
      <c r="O253" s="10" t="str">
        <f t="shared" si="11"/>
        <v>SHALL</v>
      </c>
      <c r="P253" s="10" t="str">
        <f t="shared" si="12"/>
        <v/>
      </c>
      <c r="Q253" s="10" t="s">
        <v>283</v>
      </c>
      <c r="V253" s="12" t="s">
        <v>717</v>
      </c>
      <c r="W253" s="6" t="s">
        <v>1140</v>
      </c>
    </row>
    <row r="254" spans="1:23" ht="221" x14ac:dyDescent="0.2">
      <c r="A254" s="7">
        <v>253</v>
      </c>
      <c r="B254" s="7" t="s">
        <v>629</v>
      </c>
      <c r="C254" s="8" t="s">
        <v>721</v>
      </c>
      <c r="D254" s="7" t="s">
        <v>29</v>
      </c>
      <c r="E254" s="7" t="s">
        <v>30</v>
      </c>
      <c r="G254" s="7" t="b">
        <v>0</v>
      </c>
      <c r="M254" s="9" t="str" cm="1">
        <f t="array" ref="M254">PAGE_NAME(B254)</f>
        <v>medication-list</v>
      </c>
      <c r="N254" s="9" t="str" cm="1">
        <f t="array" ref="N254">SECTION_NAME(B254)</f>
        <v>fetching-all-medications-active-medications-and-all-medications-for-an-encounter</v>
      </c>
      <c r="O254" s="10" t="str">
        <f t="shared" si="11"/>
        <v>SHALL</v>
      </c>
      <c r="P254" s="10" t="str">
        <f t="shared" si="12"/>
        <v/>
      </c>
      <c r="Q254" s="10" t="s">
        <v>283</v>
      </c>
      <c r="V254" s="12" t="s">
        <v>718</v>
      </c>
      <c r="W254" s="6" t="s">
        <v>1140</v>
      </c>
    </row>
    <row r="255" spans="1:23" ht="170" x14ac:dyDescent="0.2">
      <c r="A255" s="7">
        <v>254</v>
      </c>
      <c r="B255" s="7" t="s">
        <v>629</v>
      </c>
      <c r="C255" s="8" t="s">
        <v>722</v>
      </c>
      <c r="D255" s="7" t="s">
        <v>29</v>
      </c>
      <c r="E255" s="7" t="s">
        <v>30</v>
      </c>
      <c r="G255" s="7" t="b">
        <v>0</v>
      </c>
      <c r="M255" s="9" t="str" cm="1">
        <f t="array" ref="M255">PAGE_NAME(B255)</f>
        <v>medication-list</v>
      </c>
      <c r="N255" s="9" t="str" cm="1">
        <f t="array" ref="N255">SECTION_NAME(B255)</f>
        <v>fetching-all-medications-active-medications-and-all-medications-for-an-encounter</v>
      </c>
      <c r="O255" s="10" t="str">
        <f t="shared" si="11"/>
        <v>SHALL</v>
      </c>
      <c r="P255" s="10" t="str">
        <f t="shared" si="12"/>
        <v/>
      </c>
      <c r="Q255" s="10" t="s">
        <v>288</v>
      </c>
      <c r="V255" s="12" t="s">
        <v>719</v>
      </c>
      <c r="W255" s="6" t="s">
        <v>1140</v>
      </c>
    </row>
    <row r="256" spans="1:23" ht="170" x14ac:dyDescent="0.2">
      <c r="A256" s="7">
        <v>255</v>
      </c>
      <c r="B256" s="7" t="s">
        <v>629</v>
      </c>
      <c r="C256" s="8" t="s">
        <v>287</v>
      </c>
      <c r="D256" s="7" t="s">
        <v>64</v>
      </c>
      <c r="E256" s="7" t="s">
        <v>30</v>
      </c>
      <c r="G256" s="7" t="b">
        <v>0</v>
      </c>
      <c r="M256" s="9" t="str" cm="1">
        <f t="array" ref="M256">PAGE_NAME(B256)</f>
        <v>medication-list</v>
      </c>
      <c r="N256" s="9" t="str" cm="1">
        <f t="array" ref="N256">SECTION_NAME(B256)</f>
        <v>fetching-all-medications-active-medications-and-all-medications-for-an-encounter</v>
      </c>
      <c r="O256" s="10" t="str">
        <f t="shared" si="11"/>
        <v>SHALL</v>
      </c>
      <c r="P256" s="10" t="str">
        <f t="shared" si="12"/>
        <v/>
      </c>
      <c r="Q256" s="10" t="s">
        <v>288</v>
      </c>
      <c r="V256" s="12" t="s">
        <v>723</v>
      </c>
    </row>
    <row r="257" spans="1:23" ht="170" x14ac:dyDescent="0.2">
      <c r="A257" s="7">
        <v>256</v>
      </c>
      <c r="B257" s="7" t="s">
        <v>629</v>
      </c>
      <c r="C257" s="8" t="s">
        <v>726</v>
      </c>
      <c r="D257" s="7" t="s">
        <v>29</v>
      </c>
      <c r="E257" s="7" t="s">
        <v>30</v>
      </c>
      <c r="G257" s="7" t="b">
        <v>0</v>
      </c>
      <c r="M257" s="9" t="str" cm="1">
        <f t="array" ref="M257">PAGE_NAME(B257)</f>
        <v>medication-list</v>
      </c>
      <c r="N257" s="9" t="str" cm="1">
        <f t="array" ref="N257">SECTION_NAME(B257)</f>
        <v>fetching-all-medications-active-medications-and-all-medications-for-an-encounter</v>
      </c>
      <c r="O257" s="10" t="str">
        <f t="shared" si="11"/>
        <v>SHALL</v>
      </c>
      <c r="P257" s="10" t="str">
        <f t="shared" si="12"/>
        <v>Server</v>
      </c>
      <c r="Q257" s="10" t="s">
        <v>289</v>
      </c>
      <c r="V257" s="12" t="s">
        <v>724</v>
      </c>
      <c r="W257" s="6" t="s">
        <v>1140</v>
      </c>
    </row>
    <row r="258" spans="1:23" ht="136" x14ac:dyDescent="0.2">
      <c r="A258" s="7">
        <v>257</v>
      </c>
      <c r="B258" s="7" t="s">
        <v>629</v>
      </c>
      <c r="C258" s="8" t="s">
        <v>725</v>
      </c>
      <c r="D258" s="7" t="s">
        <v>35</v>
      </c>
      <c r="E258" s="7" t="s">
        <v>30</v>
      </c>
      <c r="G258" s="7" t="b">
        <v>0</v>
      </c>
      <c r="M258" s="9" t="str" cm="1">
        <f t="array" ref="M258">PAGE_NAME(B258)</f>
        <v>medication-list</v>
      </c>
      <c r="N258" s="9" t="str" cm="1">
        <f t="array" ref="N258">SECTION_NAME(B258)</f>
        <v>fetching-all-medications-active-medications-and-all-medications-for-an-encounter</v>
      </c>
      <c r="O258" s="10" t="str">
        <f t="shared" si="11"/>
        <v>MAY</v>
      </c>
      <c r="P258" s="10" t="str">
        <f t="shared" si="12"/>
        <v>Server</v>
      </c>
      <c r="V258" s="12" t="s">
        <v>724</v>
      </c>
    </row>
    <row r="259" spans="1:23" ht="153" x14ac:dyDescent="0.2">
      <c r="A259" s="7">
        <v>258</v>
      </c>
      <c r="B259" s="7" t="s">
        <v>629</v>
      </c>
      <c r="C259" s="8" t="s">
        <v>727</v>
      </c>
      <c r="D259" s="7" t="s">
        <v>32</v>
      </c>
      <c r="E259" s="7" t="s">
        <v>30</v>
      </c>
      <c r="G259" s="7" t="b">
        <v>0</v>
      </c>
      <c r="M259" s="9" t="str" cm="1">
        <f t="array" ref="M259">PAGE_NAME(B259)</f>
        <v>medication-list</v>
      </c>
      <c r="N259" s="9" t="str" cm="1">
        <f t="array" ref="N259">SECTION_NAME(B259)</f>
        <v>fetching-all-medications-active-medications-and-all-medications-for-an-encounter</v>
      </c>
      <c r="O259" s="10" t="str">
        <f t="shared" si="11"/>
        <v>SHOULD</v>
      </c>
      <c r="P259" s="10" t="str">
        <f t="shared" si="12"/>
        <v>Server</v>
      </c>
      <c r="Q259" s="10" t="s">
        <v>290</v>
      </c>
      <c r="V259" s="12" t="s">
        <v>724</v>
      </c>
    </row>
    <row r="260" spans="1:23" ht="289" x14ac:dyDescent="0.2">
      <c r="A260" s="7">
        <v>259</v>
      </c>
      <c r="B260" s="7" t="s">
        <v>629</v>
      </c>
      <c r="C260" s="8" t="s">
        <v>729</v>
      </c>
      <c r="D260" s="7" t="s">
        <v>32</v>
      </c>
      <c r="E260" s="7" t="s">
        <v>30</v>
      </c>
      <c r="G260" s="7" t="b">
        <v>0</v>
      </c>
      <c r="M260" s="9" t="str" cm="1">
        <f t="array" ref="M260">PAGE_NAME(B260)</f>
        <v>medication-list</v>
      </c>
      <c r="N260" s="9" t="str" cm="1">
        <f t="array" ref="N260">SECTION_NAME(B260)</f>
        <v>fetching-all-medications-active-medications-and-all-medications-for-an-encounter</v>
      </c>
      <c r="O260" s="10" t="str">
        <f t="shared" si="11"/>
        <v>SHOULD</v>
      </c>
      <c r="P260" s="10" t="str">
        <f t="shared" si="12"/>
        <v>Server</v>
      </c>
      <c r="Q260" s="10" t="s">
        <v>290</v>
      </c>
      <c r="V260" s="12" t="s">
        <v>728</v>
      </c>
    </row>
    <row r="261" spans="1:23" ht="289" x14ac:dyDescent="0.2">
      <c r="A261" s="7">
        <v>260</v>
      </c>
      <c r="B261" s="7" t="s">
        <v>629</v>
      </c>
      <c r="C261" s="8" t="s">
        <v>730</v>
      </c>
      <c r="D261" s="7" t="s">
        <v>32</v>
      </c>
      <c r="E261" s="7" t="s">
        <v>30</v>
      </c>
      <c r="G261" s="7" t="b">
        <v>1</v>
      </c>
      <c r="M261" s="9" t="str" cm="1">
        <f t="array" ref="M261">PAGE_NAME(B261)</f>
        <v>medication-list</v>
      </c>
      <c r="N261" s="9" t="str" cm="1">
        <f t="array" ref="N261">SECTION_NAME(B261)</f>
        <v>fetching-all-medications-active-medications-and-all-medications-for-an-encounter</v>
      </c>
      <c r="O261" s="10" t="str">
        <f t="shared" si="11"/>
        <v/>
      </c>
      <c r="P261" s="10" t="str">
        <f t="shared" si="12"/>
        <v>Server</v>
      </c>
      <c r="Q261" s="10" t="s">
        <v>290</v>
      </c>
      <c r="V261" s="12" t="s">
        <v>728</v>
      </c>
      <c r="W261" s="6" t="s">
        <v>1140</v>
      </c>
    </row>
    <row r="262" spans="1:23" ht="204" x14ac:dyDescent="0.2">
      <c r="A262" s="7">
        <v>261</v>
      </c>
      <c r="B262" s="7" t="s">
        <v>629</v>
      </c>
      <c r="C262" s="8" t="s">
        <v>291</v>
      </c>
      <c r="D262" s="7" t="s">
        <v>64</v>
      </c>
      <c r="E262" s="7" t="s">
        <v>30</v>
      </c>
      <c r="G262" s="7" t="b">
        <v>0</v>
      </c>
      <c r="M262" s="9" t="str" cm="1">
        <f t="array" ref="M262">PAGE_NAME(B262)</f>
        <v>medication-list</v>
      </c>
      <c r="N262" s="9" t="str" cm="1">
        <f t="array" ref="N262">SECTION_NAME(B262)</f>
        <v>fetching-all-medications-active-medications-and-all-medications-for-an-encounter</v>
      </c>
      <c r="O262" s="10" t="str">
        <f t="shared" si="11"/>
        <v/>
      </c>
      <c r="P262" s="10" t="str">
        <f t="shared" si="12"/>
        <v>Server</v>
      </c>
      <c r="Q262" s="10" t="s">
        <v>292</v>
      </c>
      <c r="V262" s="51" t="s">
        <v>731</v>
      </c>
    </row>
    <row r="263" spans="1:23" ht="238" x14ac:dyDescent="0.2">
      <c r="A263" s="7">
        <v>262</v>
      </c>
      <c r="B263" s="7" t="s">
        <v>629</v>
      </c>
      <c r="C263" s="8" t="s">
        <v>732</v>
      </c>
      <c r="D263" s="7" t="s">
        <v>35</v>
      </c>
      <c r="E263" s="7" t="s">
        <v>30</v>
      </c>
      <c r="G263" s="7" t="b">
        <v>0</v>
      </c>
      <c r="M263" s="9" t="str" cm="1">
        <f t="array" ref="M263">PAGE_NAME(B263)</f>
        <v>medication-list</v>
      </c>
      <c r="N263" s="9" t="str" cm="1">
        <f t="array" ref="N263">SECTION_NAME(B263)</f>
        <v>fetching-all-medications-active-medications-and-all-medications-for-an-encounter</v>
      </c>
      <c r="O263" s="10" t="str">
        <f t="shared" si="11"/>
        <v>MAY</v>
      </c>
      <c r="P263" s="10" t="str">
        <f t="shared" si="12"/>
        <v>Server</v>
      </c>
      <c r="Q263" s="10" t="s">
        <v>292</v>
      </c>
      <c r="V263" s="12" t="s">
        <v>733</v>
      </c>
    </row>
    <row r="264" spans="1:23" ht="51" x14ac:dyDescent="0.2">
      <c r="A264" s="7">
        <v>263</v>
      </c>
      <c r="B264" s="7" t="s">
        <v>845</v>
      </c>
      <c r="C264" s="8" t="s">
        <v>1031</v>
      </c>
      <c r="D264" s="7" t="s">
        <v>35</v>
      </c>
      <c r="E264" s="7" t="s">
        <v>30</v>
      </c>
      <c r="G264" s="7" t="b">
        <v>0</v>
      </c>
      <c r="M264" s="9" t="str" cm="1">
        <f t="array" ref="M264">PAGE_NAME(B264)</f>
        <v>medication-list</v>
      </c>
      <c r="N264" s="9" t="str" cm="1">
        <f t="array" ref="N264">SECTION_NAME(B264)</f>
        <v>de-duplication-of-data</v>
      </c>
      <c r="O264" s="10" t="str">
        <f t="shared" si="11"/>
        <v>MAY</v>
      </c>
      <c r="P264" s="10" t="str">
        <f t="shared" si="12"/>
        <v>Server</v>
      </c>
      <c r="Q264" s="10" t="s">
        <v>293</v>
      </c>
    </row>
    <row r="265" spans="1:23" ht="51" x14ac:dyDescent="0.2">
      <c r="A265" s="7">
        <v>264</v>
      </c>
      <c r="B265" s="7" t="s">
        <v>845</v>
      </c>
      <c r="C265" s="8" t="s">
        <v>931</v>
      </c>
      <c r="D265" s="7" t="s">
        <v>32</v>
      </c>
      <c r="E265" s="7" t="s">
        <v>58</v>
      </c>
      <c r="G265" s="7" t="b">
        <v>0</v>
      </c>
      <c r="M265" s="9" t="str" cm="1">
        <f t="array" ref="M265">PAGE_NAME(B265)</f>
        <v>medication-list</v>
      </c>
      <c r="N265" s="9" t="str" cm="1">
        <f t="array" ref="N265">SECTION_NAME(B265)</f>
        <v>de-duplication-of-data</v>
      </c>
      <c r="O265" s="10" t="str">
        <f t="shared" si="11"/>
        <v>MAY</v>
      </c>
      <c r="P265" s="10" t="str">
        <f t="shared" si="12"/>
        <v>Client</v>
      </c>
      <c r="Q265" s="10" t="s">
        <v>293</v>
      </c>
    </row>
    <row r="266" spans="1:23" ht="51" x14ac:dyDescent="0.2">
      <c r="A266" s="7">
        <v>265</v>
      </c>
      <c r="B266" s="58" t="s">
        <v>846</v>
      </c>
      <c r="C266" s="8" t="s">
        <v>294</v>
      </c>
      <c r="D266" s="7" t="s">
        <v>64</v>
      </c>
      <c r="E266" s="7" t="s">
        <v>30</v>
      </c>
      <c r="G266" s="7" t="b">
        <v>0</v>
      </c>
      <c r="M266" s="9" t="str" cm="1">
        <f t="array" ref="M266">PAGE_NAME(B266)</f>
        <v>basic-provenance</v>
      </c>
      <c r="N266" s="9" t="str" cm="1">
        <f t="array" ref="N266">SECTION_NAME(B266)</f>
        <v>hie-transformation</v>
      </c>
      <c r="O266" s="10" t="str">
        <f t="shared" si="11"/>
        <v>MAY</v>
      </c>
      <c r="P266" s="10" t="str">
        <f t="shared" si="12"/>
        <v/>
      </c>
      <c r="Q266" s="10" t="s">
        <v>293</v>
      </c>
      <c r="V266" s="12" t="s">
        <v>295</v>
      </c>
    </row>
    <row r="267" spans="1:23" ht="17" x14ac:dyDescent="0.2">
      <c r="A267" s="7">
        <v>266</v>
      </c>
      <c r="B267" s="7" t="s">
        <v>846</v>
      </c>
      <c r="C267" s="8" t="s">
        <v>296</v>
      </c>
      <c r="D267" s="7" t="s">
        <v>29</v>
      </c>
      <c r="E267" s="7" t="s">
        <v>30</v>
      </c>
      <c r="G267" s="7" t="b">
        <v>0</v>
      </c>
      <c r="M267" s="9" t="str" cm="1">
        <f t="array" ref="M267">PAGE_NAME(B267)</f>
        <v>basic-provenance</v>
      </c>
      <c r="N267" s="9" t="str" cm="1">
        <f t="array" ref="N267">SECTION_NAME(B267)</f>
        <v>hie-transformation</v>
      </c>
      <c r="O267" s="10" t="str">
        <f t="shared" si="11"/>
        <v/>
      </c>
      <c r="P267" s="10" t="str">
        <f t="shared" si="12"/>
        <v/>
      </c>
      <c r="Q267" s="10" t="s">
        <v>297</v>
      </c>
      <c r="W267" s="6" t="s">
        <v>1141</v>
      </c>
    </row>
    <row r="268" spans="1:23" ht="85" x14ac:dyDescent="0.2">
      <c r="A268" s="7">
        <v>267</v>
      </c>
      <c r="B268" s="7" t="s">
        <v>846</v>
      </c>
      <c r="C268" s="8" t="s">
        <v>847</v>
      </c>
      <c r="D268" s="7" t="s">
        <v>35</v>
      </c>
      <c r="E268" s="7" t="s">
        <v>30</v>
      </c>
      <c r="G268" s="7" t="b">
        <v>0</v>
      </c>
      <c r="M268" s="9" t="str" cm="1">
        <f t="array" ref="M268">PAGE_NAME(B268)</f>
        <v>basic-provenance</v>
      </c>
      <c r="N268" s="9" t="str" cm="1">
        <f t="array" ref="N268">SECTION_NAME(B268)</f>
        <v>hie-transformation</v>
      </c>
      <c r="O268" s="10" t="str">
        <f t="shared" si="11"/>
        <v>MAY</v>
      </c>
      <c r="P268" s="10" t="str">
        <f t="shared" si="12"/>
        <v/>
      </c>
      <c r="Q268" s="10" t="s">
        <v>298</v>
      </c>
    </row>
    <row r="269" spans="1:23" ht="68" x14ac:dyDescent="0.2">
      <c r="A269" s="7">
        <v>268</v>
      </c>
      <c r="B269" s="7" t="s">
        <v>848</v>
      </c>
      <c r="C269" s="8" t="s">
        <v>299</v>
      </c>
      <c r="D269" s="7" t="s">
        <v>32</v>
      </c>
      <c r="E269" s="7" t="s">
        <v>30</v>
      </c>
      <c r="G269" s="7" t="b">
        <v>0</v>
      </c>
      <c r="M269" s="9" t="str" cm="1">
        <f t="array" ref="M269">PAGE_NAME(B269)</f>
        <v>screening-and-assessments</v>
      </c>
      <c r="N269" s="9" t="str" cm="1">
        <f t="array" ref="N269">SECTION_NAME(B269)</f>
        <v>introduction</v>
      </c>
      <c r="O269" s="10" t="str">
        <f t="shared" si="11"/>
        <v>SHOULD</v>
      </c>
      <c r="P269" s="10" t="str">
        <f t="shared" si="12"/>
        <v/>
      </c>
      <c r="Q269" s="10" t="s">
        <v>298</v>
      </c>
    </row>
    <row r="270" spans="1:23" ht="170" x14ac:dyDescent="0.2">
      <c r="A270" s="7">
        <v>269</v>
      </c>
      <c r="B270" s="7" t="s">
        <v>630</v>
      </c>
      <c r="C270" s="8" t="s">
        <v>1032</v>
      </c>
      <c r="D270" s="7" t="s">
        <v>29</v>
      </c>
      <c r="E270" s="7" t="s">
        <v>30</v>
      </c>
      <c r="G270" s="7" t="b">
        <v>0</v>
      </c>
      <c r="M270" s="9" t="str" cm="1">
        <f t="array" ref="M270">PAGE_NAME(B270)</f>
        <v>screening-and-assessments</v>
      </c>
      <c r="N270" s="9" t="str" cm="1">
        <f t="array" ref="N270">SECTION_NAME(B270)</f>
        <v>clinical-judgments</v>
      </c>
      <c r="O270" s="10" t="str">
        <f t="shared" si="11"/>
        <v>SHALL</v>
      </c>
      <c r="P270" s="10" t="str">
        <f t="shared" si="12"/>
        <v>Server</v>
      </c>
      <c r="Q270" s="10" t="s">
        <v>298</v>
      </c>
      <c r="W270" s="6" t="s">
        <v>1140</v>
      </c>
    </row>
    <row r="271" spans="1:23" ht="356" x14ac:dyDescent="0.2">
      <c r="A271" s="7">
        <v>270</v>
      </c>
      <c r="B271" s="7" t="s">
        <v>630</v>
      </c>
      <c r="C271" s="8" t="s">
        <v>1033</v>
      </c>
      <c r="D271" s="7" t="s">
        <v>32</v>
      </c>
      <c r="E271" s="7" t="s">
        <v>30</v>
      </c>
      <c r="G271" s="7" t="b">
        <v>0</v>
      </c>
      <c r="M271" s="9" t="str" cm="1">
        <f t="array" ref="M271">PAGE_NAME(B271)</f>
        <v>screening-and-assessments</v>
      </c>
      <c r="N271" s="9" t="str" cm="1">
        <f t="array" ref="N271">SECTION_NAME(B271)</f>
        <v>clinical-judgments</v>
      </c>
      <c r="O271" s="10" t="str">
        <f t="shared" si="11"/>
        <v>SHOULD</v>
      </c>
      <c r="P271" s="10" t="str">
        <f t="shared" si="12"/>
        <v>Server</v>
      </c>
      <c r="Q271" s="10" t="s">
        <v>298</v>
      </c>
      <c r="V271" s="12" t="s">
        <v>734</v>
      </c>
    </row>
    <row r="272" spans="1:23" ht="356" x14ac:dyDescent="0.2">
      <c r="A272" s="7">
        <v>271</v>
      </c>
      <c r="B272" s="7" t="s">
        <v>630</v>
      </c>
      <c r="C272" s="8" t="s">
        <v>1034</v>
      </c>
      <c r="D272" s="7" t="s">
        <v>32</v>
      </c>
      <c r="E272" s="7" t="s">
        <v>30</v>
      </c>
      <c r="G272" s="7" t="b">
        <v>0</v>
      </c>
      <c r="M272" s="9" t="str" cm="1">
        <f t="array" ref="M272">PAGE_NAME(B272)</f>
        <v>screening-and-assessments</v>
      </c>
      <c r="N272" s="9" t="str" cm="1">
        <f t="array" ref="N272">SECTION_NAME(B272)</f>
        <v>clinical-judgments</v>
      </c>
      <c r="O272" s="10" t="str">
        <f t="shared" si="11"/>
        <v>SHOULD</v>
      </c>
      <c r="P272" s="10" t="str">
        <f t="shared" si="12"/>
        <v>Server</v>
      </c>
      <c r="Q272" s="10" t="s">
        <v>298</v>
      </c>
      <c r="V272" s="12" t="s">
        <v>734</v>
      </c>
    </row>
    <row r="273" spans="1:23" ht="153" x14ac:dyDescent="0.2">
      <c r="A273" s="7">
        <v>272</v>
      </c>
      <c r="B273" s="7" t="s">
        <v>849</v>
      </c>
      <c r="C273" s="8" t="s">
        <v>300</v>
      </c>
      <c r="D273" s="7" t="s">
        <v>32</v>
      </c>
      <c r="E273" s="7" t="s">
        <v>30</v>
      </c>
      <c r="G273" s="7" t="b">
        <v>0</v>
      </c>
      <c r="M273" s="9" t="str" cm="1">
        <f t="array" ref="M273">PAGE_NAME(B273)</f>
        <v>screening-and-assessments</v>
      </c>
      <c r="N273" s="9" t="str" cm="1">
        <f t="array" ref="N273">SECTION_NAME(B273)</f>
        <v>choosing-between-questionnaireresponse-and-observation</v>
      </c>
      <c r="O273" s="10" t="str">
        <f t="shared" si="11"/>
        <v/>
      </c>
      <c r="P273" s="10" t="str">
        <f t="shared" si="12"/>
        <v/>
      </c>
      <c r="Q273" s="10" t="s">
        <v>298</v>
      </c>
      <c r="V273" s="12" t="s">
        <v>301</v>
      </c>
      <c r="W273" s="6" t="s">
        <v>1141</v>
      </c>
    </row>
    <row r="274" spans="1:23" ht="153" x14ac:dyDescent="0.2">
      <c r="A274" s="7">
        <v>273</v>
      </c>
      <c r="B274" s="7" t="s">
        <v>849</v>
      </c>
      <c r="C274" s="8" t="s">
        <v>300</v>
      </c>
      <c r="D274" s="7" t="s">
        <v>29</v>
      </c>
      <c r="E274" s="7" t="s">
        <v>30</v>
      </c>
      <c r="G274" s="7" t="b">
        <v>0</v>
      </c>
      <c r="M274" s="9" t="str" cm="1">
        <f t="array" ref="M274">PAGE_NAME(B274)</f>
        <v>screening-and-assessments</v>
      </c>
      <c r="N274" s="9" t="str" cm="1">
        <f t="array" ref="N274">SECTION_NAME(B274)</f>
        <v>choosing-between-questionnaireresponse-and-observation</v>
      </c>
      <c r="O274" s="10" t="str">
        <f t="shared" si="11"/>
        <v/>
      </c>
      <c r="P274" s="10" t="str">
        <f t="shared" si="12"/>
        <v/>
      </c>
      <c r="Q274" s="10" t="s">
        <v>302</v>
      </c>
      <c r="W274" s="6" t="s">
        <v>1141</v>
      </c>
    </row>
    <row r="275" spans="1:23" ht="119" x14ac:dyDescent="0.2">
      <c r="A275" s="7">
        <v>274</v>
      </c>
      <c r="B275" s="7" t="s">
        <v>849</v>
      </c>
      <c r="C275" s="8" t="s">
        <v>303</v>
      </c>
      <c r="D275" s="7" t="s">
        <v>29</v>
      </c>
      <c r="E275" s="7" t="s">
        <v>30</v>
      </c>
      <c r="G275" s="7" t="b">
        <v>0</v>
      </c>
      <c r="M275" s="9" t="str" cm="1">
        <f t="array" ref="M275">PAGE_NAME(B275)</f>
        <v>screening-and-assessments</v>
      </c>
      <c r="N275" s="9" t="str" cm="1">
        <f t="array" ref="N275">SECTION_NAME(B275)</f>
        <v>choosing-between-questionnaireresponse-and-observation</v>
      </c>
      <c r="O275" s="10" t="str">
        <f t="shared" si="11"/>
        <v>SHALL</v>
      </c>
      <c r="P275" s="10" t="str">
        <f t="shared" si="12"/>
        <v/>
      </c>
      <c r="Q275" s="10" t="s">
        <v>302</v>
      </c>
      <c r="W275" s="6" t="s">
        <v>1141</v>
      </c>
    </row>
    <row r="276" spans="1:23" ht="34" x14ac:dyDescent="0.2">
      <c r="A276" s="7">
        <v>275</v>
      </c>
      <c r="B276" s="7" t="s">
        <v>632</v>
      </c>
      <c r="C276" s="8" t="s">
        <v>737</v>
      </c>
      <c r="D276" s="7" t="s">
        <v>35</v>
      </c>
      <c r="E276" s="7" t="s">
        <v>58</v>
      </c>
      <c r="G276" s="7" t="b">
        <v>0</v>
      </c>
      <c r="M276" s="9" t="str" cm="1">
        <f t="array" ref="M276">PAGE_NAME(B276)</f>
        <v>screening-and-assessments</v>
      </c>
      <c r="N276" s="9" t="str" cm="1">
        <f t="array" ref="N276">SECTION_NAME(B276)</f>
        <v>category-codes</v>
      </c>
      <c r="O276" s="10" t="str">
        <f t="shared" si="11"/>
        <v/>
      </c>
      <c r="P276" s="10" t="str">
        <f t="shared" si="12"/>
        <v/>
      </c>
      <c r="V276" s="12" t="s">
        <v>738</v>
      </c>
    </row>
    <row r="277" spans="1:23" ht="102" x14ac:dyDescent="0.2">
      <c r="A277" s="7">
        <v>276</v>
      </c>
      <c r="B277" s="58" t="s">
        <v>632</v>
      </c>
      <c r="C277" s="8" t="s">
        <v>304</v>
      </c>
      <c r="D277" s="7" t="s">
        <v>64</v>
      </c>
      <c r="E277" s="7" t="s">
        <v>30</v>
      </c>
      <c r="G277" s="7" t="b">
        <v>0</v>
      </c>
      <c r="M277" s="9" t="str" cm="1">
        <f t="array" ref="M277">PAGE_NAME(B277)</f>
        <v>screening-and-assessments</v>
      </c>
      <c r="N277" s="9" t="str" cm="1">
        <f t="array" ref="N277">SECTION_NAME(B277)</f>
        <v>category-codes</v>
      </c>
      <c r="O277" s="10" t="str">
        <f t="shared" si="11"/>
        <v>SHOULD</v>
      </c>
      <c r="P277" s="10" t="str">
        <f t="shared" si="12"/>
        <v/>
      </c>
      <c r="Q277" s="10" t="s">
        <v>302</v>
      </c>
      <c r="V277" s="12" t="s">
        <v>646</v>
      </c>
    </row>
    <row r="278" spans="1:23" ht="85" x14ac:dyDescent="0.2">
      <c r="A278" s="7">
        <v>277</v>
      </c>
      <c r="B278" s="7" t="s">
        <v>632</v>
      </c>
      <c r="C278" s="8" t="s">
        <v>305</v>
      </c>
      <c r="D278" s="7" t="s">
        <v>64</v>
      </c>
      <c r="E278" s="7" t="s">
        <v>30</v>
      </c>
      <c r="G278" s="7" t="b">
        <v>0</v>
      </c>
      <c r="M278" s="9" t="str" cm="1">
        <f t="array" ref="M278">PAGE_NAME(B278)</f>
        <v>screening-and-assessments</v>
      </c>
      <c r="N278" s="9" t="str" cm="1">
        <f t="array" ref="N278">SECTION_NAME(B278)</f>
        <v>category-codes</v>
      </c>
      <c r="O278" s="10" t="str">
        <f t="shared" si="11"/>
        <v>SHOULD</v>
      </c>
      <c r="P278" s="10" t="str">
        <f t="shared" si="12"/>
        <v/>
      </c>
      <c r="Q278" s="10" t="s">
        <v>302</v>
      </c>
      <c r="V278" s="12" t="s">
        <v>646</v>
      </c>
    </row>
    <row r="279" spans="1:23" ht="68" x14ac:dyDescent="0.2">
      <c r="A279" s="7">
        <v>278</v>
      </c>
      <c r="B279" s="52" t="s">
        <v>632</v>
      </c>
      <c r="C279" s="8" t="s">
        <v>306</v>
      </c>
      <c r="D279" s="7" t="s">
        <v>64</v>
      </c>
      <c r="E279" s="7" t="s">
        <v>30</v>
      </c>
      <c r="G279" s="7" t="b">
        <v>0</v>
      </c>
      <c r="M279" s="9" t="str" cm="1">
        <f t="array" ref="M279">PAGE_NAME(B279)</f>
        <v>screening-and-assessments</v>
      </c>
      <c r="N279" s="9" t="str" cm="1">
        <f t="array" ref="N279">SECTION_NAME(B279)</f>
        <v>category-codes</v>
      </c>
      <c r="O279" s="10" t="str">
        <f t="shared" si="11"/>
        <v>SHOULD</v>
      </c>
      <c r="P279" s="10" t="str">
        <f t="shared" si="12"/>
        <v/>
      </c>
      <c r="Q279" s="10" t="s">
        <v>302</v>
      </c>
      <c r="V279" s="12" t="s">
        <v>646</v>
      </c>
    </row>
    <row r="280" spans="1:23" ht="102" x14ac:dyDescent="0.2">
      <c r="A280" s="7">
        <v>279</v>
      </c>
      <c r="B280" s="52" t="s">
        <v>632</v>
      </c>
      <c r="C280" s="8" t="s">
        <v>307</v>
      </c>
      <c r="D280" s="7" t="s">
        <v>64</v>
      </c>
      <c r="E280" s="7" t="s">
        <v>30</v>
      </c>
      <c r="G280" s="7" t="b">
        <v>0</v>
      </c>
      <c r="M280" s="9" t="str" cm="1">
        <f t="array" ref="M280">PAGE_NAME(B280)</f>
        <v>screening-and-assessments</v>
      </c>
      <c r="N280" s="9" t="str" cm="1">
        <f t="array" ref="N280">SECTION_NAME(B280)</f>
        <v>category-codes</v>
      </c>
      <c r="O280" s="10" t="str">
        <f t="shared" si="11"/>
        <v>SHOULD</v>
      </c>
      <c r="P280" s="10" t="str">
        <f t="shared" si="12"/>
        <v/>
      </c>
      <c r="Q280" s="10" t="s">
        <v>302</v>
      </c>
      <c r="V280" s="12" t="s">
        <v>646</v>
      </c>
    </row>
    <row r="281" spans="1:23" ht="68" x14ac:dyDescent="0.2">
      <c r="A281" s="7">
        <v>280</v>
      </c>
      <c r="B281" s="52" t="s">
        <v>850</v>
      </c>
      <c r="C281" s="8" t="s">
        <v>308</v>
      </c>
      <c r="D281" s="7" t="s">
        <v>32</v>
      </c>
      <c r="E281" s="7" t="s">
        <v>30</v>
      </c>
      <c r="G281" s="7" t="b">
        <v>0</v>
      </c>
      <c r="M281" s="9" t="str" cm="1">
        <f t="array" ref="M281">PAGE_NAME(B281)</f>
        <v>screening-and-assessments</v>
      </c>
      <c r="N281" s="9" t="str" cm="1">
        <f t="array" ref="N281">SECTION_NAME(B281)</f>
        <v>uscdi-health-assessments-data-element-value-sets</v>
      </c>
      <c r="O281" s="10" t="str">
        <f t="shared" si="11"/>
        <v>SHOULD</v>
      </c>
      <c r="P281" s="10" t="str">
        <f t="shared" si="12"/>
        <v/>
      </c>
      <c r="Q281" s="10" t="s">
        <v>302</v>
      </c>
    </row>
    <row r="282" spans="1:23" ht="221" x14ac:dyDescent="0.2">
      <c r="A282" s="7">
        <v>281</v>
      </c>
      <c r="B282" s="52" t="s">
        <v>850</v>
      </c>
      <c r="C282" s="8" t="s">
        <v>1035</v>
      </c>
      <c r="D282" s="7" t="s">
        <v>32</v>
      </c>
      <c r="E282" s="7" t="s">
        <v>30</v>
      </c>
      <c r="G282" s="7" t="b">
        <v>0</v>
      </c>
      <c r="M282" s="9" t="str" cm="1">
        <f t="array" ref="M282">PAGE_NAME(B282)</f>
        <v>screening-and-assessments</v>
      </c>
      <c r="N282" s="9" t="str" cm="1">
        <f t="array" ref="N282">SECTION_NAME(B282)</f>
        <v>uscdi-health-assessments-data-element-value-sets</v>
      </c>
      <c r="O282" s="10" t="str">
        <f t="shared" si="11"/>
        <v>SHOULD</v>
      </c>
      <c r="P282" s="10" t="str">
        <f t="shared" si="12"/>
        <v>Server</v>
      </c>
      <c r="Q282" s="10" t="s">
        <v>33</v>
      </c>
    </row>
    <row r="283" spans="1:23" ht="17" x14ac:dyDescent="0.2">
      <c r="A283" s="7">
        <v>282</v>
      </c>
      <c r="B283" s="52" t="s">
        <v>851</v>
      </c>
      <c r="C283" s="8" t="s">
        <v>1036</v>
      </c>
      <c r="D283" s="7" t="s">
        <v>35</v>
      </c>
      <c r="E283" s="7" t="s">
        <v>30</v>
      </c>
      <c r="G283" s="7" t="b">
        <v>0</v>
      </c>
      <c r="M283" s="9" t="str" cm="1">
        <f t="array" ref="M283">PAGE_NAME(B283)</f>
        <v>changes-between-versions</v>
      </c>
      <c r="N283" s="9" t="str" cm="1">
        <f t="array" ref="N283">SECTION_NAME(B283)</f>
        <v>endpoint-discoverability</v>
      </c>
      <c r="O283" s="10" t="str">
        <f t="shared" si="11"/>
        <v>MAY</v>
      </c>
      <c r="P283" s="10" t="str">
        <f t="shared" si="12"/>
        <v>Server</v>
      </c>
    </row>
    <row r="284" spans="1:23" ht="17" x14ac:dyDescent="0.2">
      <c r="A284" s="7">
        <v>283</v>
      </c>
      <c r="B284" s="52" t="s">
        <v>851</v>
      </c>
      <c r="C284" s="8" t="s">
        <v>1037</v>
      </c>
      <c r="D284" s="7" t="s">
        <v>35</v>
      </c>
      <c r="E284" s="7" t="s">
        <v>30</v>
      </c>
      <c r="G284" s="7" t="b">
        <v>0</v>
      </c>
      <c r="M284" s="9" t="str" cm="1">
        <f t="array" ref="M284">PAGE_NAME(B284)</f>
        <v>changes-between-versions</v>
      </c>
      <c r="N284" s="9" t="str" cm="1">
        <f t="array" ref="N284">SECTION_NAME(B284)</f>
        <v>endpoint-discoverability</v>
      </c>
      <c r="O284" s="10" t="str">
        <f t="shared" si="11"/>
        <v>MAY</v>
      </c>
      <c r="P284" s="10" t="str">
        <f t="shared" si="12"/>
        <v>Server</v>
      </c>
    </row>
    <row r="285" spans="1:23" ht="34" x14ac:dyDescent="0.2">
      <c r="A285" s="7">
        <v>284</v>
      </c>
      <c r="B285" s="52" t="s">
        <v>851</v>
      </c>
      <c r="C285" s="8" t="s">
        <v>1038</v>
      </c>
      <c r="D285" s="7" t="s">
        <v>35</v>
      </c>
      <c r="E285" s="7" t="s">
        <v>30</v>
      </c>
      <c r="G285" s="7" t="b">
        <v>0</v>
      </c>
      <c r="M285" s="9" t="str" cm="1">
        <f t="array" ref="M285">PAGE_NAME(B285)</f>
        <v>changes-between-versions</v>
      </c>
      <c r="N285" s="9" t="str" cm="1">
        <f t="array" ref="N285">SECTION_NAME(B285)</f>
        <v>endpoint-discoverability</v>
      </c>
      <c r="O285" s="10" t="str">
        <f t="shared" si="11"/>
        <v>MAY</v>
      </c>
      <c r="P285" s="10" t="str">
        <f t="shared" si="12"/>
        <v>Server</v>
      </c>
    </row>
    <row r="286" spans="1:23" ht="51" x14ac:dyDescent="0.2">
      <c r="A286" s="7">
        <v>285</v>
      </c>
      <c r="B286" s="52" t="s">
        <v>851</v>
      </c>
      <c r="C286" s="8" t="s">
        <v>1039</v>
      </c>
      <c r="D286" s="7" t="s">
        <v>35</v>
      </c>
      <c r="E286" s="7" t="s">
        <v>30</v>
      </c>
      <c r="G286" s="7" t="b">
        <v>0</v>
      </c>
      <c r="M286" s="9" t="str" cm="1">
        <f t="array" ref="M286">PAGE_NAME(B286)</f>
        <v>changes-between-versions</v>
      </c>
      <c r="N286" s="9" t="str" cm="1">
        <f t="array" ref="N286">SECTION_NAME(B286)</f>
        <v>endpoint-discoverability</v>
      </c>
      <c r="O286" s="10" t="str">
        <f t="shared" si="11"/>
        <v>MAY</v>
      </c>
      <c r="P286" s="10" t="str">
        <f t="shared" si="12"/>
        <v>Server</v>
      </c>
    </row>
    <row r="287" spans="1:23" ht="51" x14ac:dyDescent="0.2">
      <c r="A287" s="7">
        <v>286</v>
      </c>
      <c r="B287" s="52" t="s">
        <v>852</v>
      </c>
      <c r="C287" s="8" t="s">
        <v>932</v>
      </c>
      <c r="D287" s="7" t="s">
        <v>29</v>
      </c>
      <c r="E287" s="7" t="s">
        <v>58</v>
      </c>
      <c r="G287" s="7" t="b">
        <v>0</v>
      </c>
      <c r="M287" s="9" t="str" cm="1">
        <f t="array" ref="M287">PAGE_NAME(B287)</f>
        <v>changes-between-versions</v>
      </c>
      <c r="N287" s="9" t="str" cm="1">
        <f t="array" ref="N287">SECTION_NAME(B287)</f>
        <v>no-guarantee-that-resource-ids-are-preserved</v>
      </c>
      <c r="O287" s="10" t="str">
        <f t="shared" si="11"/>
        <v/>
      </c>
      <c r="P287" s="10" t="str">
        <f t="shared" si="12"/>
        <v>Client</v>
      </c>
    </row>
    <row r="288" spans="1:23" ht="34" x14ac:dyDescent="0.2">
      <c r="A288" s="7">
        <v>287</v>
      </c>
      <c r="B288" s="52" t="s">
        <v>852</v>
      </c>
      <c r="C288" s="8" t="s">
        <v>309</v>
      </c>
      <c r="D288" s="7" t="s">
        <v>32</v>
      </c>
      <c r="E288" s="7" t="s">
        <v>30</v>
      </c>
      <c r="G288" s="7" t="b">
        <v>0</v>
      </c>
      <c r="M288" s="9" t="str" cm="1">
        <f t="array" ref="M288">PAGE_NAME(B288)</f>
        <v>changes-between-versions</v>
      </c>
      <c r="N288" s="9" t="str" cm="1">
        <f t="array" ref="N288">SECTION_NAME(B288)</f>
        <v>no-guarantee-that-resource-ids-are-preserved</v>
      </c>
      <c r="O288" s="10" t="str">
        <f t="shared" si="11"/>
        <v>SHOULD</v>
      </c>
      <c r="P288" s="10" t="str">
        <f t="shared" si="12"/>
        <v>Server</v>
      </c>
    </row>
    <row r="289" spans="1:23" ht="34" x14ac:dyDescent="0.2">
      <c r="A289" s="7">
        <v>288</v>
      </c>
      <c r="B289" s="52" t="s">
        <v>853</v>
      </c>
      <c r="C289" s="8" t="s">
        <v>310</v>
      </c>
      <c r="D289" s="7" t="s">
        <v>32</v>
      </c>
      <c r="E289" s="7" t="s">
        <v>30</v>
      </c>
      <c r="G289" s="7" t="b">
        <v>0</v>
      </c>
      <c r="M289" s="9" t="str" cm="1">
        <f t="array" ref="M289">PAGE_NAME(B289)</f>
        <v>changes-between-versions</v>
      </c>
      <c r="N289" s="9" t="str" cm="1">
        <f t="array" ref="N289">SECTION_NAME(B289)</f>
        <v>expectation-that-fhir-dstu2-data-is-preserved-in-fhir-r4</v>
      </c>
      <c r="O289" s="10" t="str">
        <f t="shared" si="11"/>
        <v>SHOULD</v>
      </c>
      <c r="P289" s="10" t="str">
        <f t="shared" si="12"/>
        <v/>
      </c>
    </row>
    <row r="290" spans="1:23" ht="51" x14ac:dyDescent="0.2">
      <c r="A290" s="7">
        <v>289</v>
      </c>
      <c r="B290" s="52" t="s">
        <v>854</v>
      </c>
      <c r="C290" s="8" t="s">
        <v>311</v>
      </c>
      <c r="D290" s="7" t="s">
        <v>32</v>
      </c>
      <c r="E290" s="7" t="s">
        <v>30</v>
      </c>
      <c r="F290" s="8" t="s">
        <v>1103</v>
      </c>
      <c r="G290" s="7" t="b">
        <v>1</v>
      </c>
      <c r="H290" s="12" t="s">
        <v>312</v>
      </c>
      <c r="M290" s="9" t="str" cm="1">
        <f t="array" ref="M290">PAGE_NAME(B290)</f>
        <v>changes-between-versions</v>
      </c>
      <c r="N290" s="9" t="str" cm="1">
        <f t="array" ref="N290">SECTION_NAME(B290)</f>
        <v>expectation-that-fhir-dstu2-data-is-preserved-in-fhir-r5</v>
      </c>
      <c r="O290" s="10" t="str">
        <f t="shared" si="11"/>
        <v>SHOULD</v>
      </c>
      <c r="P290" s="10" t="str">
        <f t="shared" si="12"/>
        <v/>
      </c>
    </row>
    <row r="291" spans="1:23" ht="85" x14ac:dyDescent="0.2">
      <c r="A291" s="7">
        <v>290</v>
      </c>
      <c r="B291" s="52" t="s">
        <v>855</v>
      </c>
      <c r="C291" s="8" t="s">
        <v>313</v>
      </c>
      <c r="D291" s="7" t="s">
        <v>32</v>
      </c>
      <c r="E291" s="7" t="s">
        <v>30</v>
      </c>
      <c r="G291" s="7" t="b">
        <v>0</v>
      </c>
      <c r="M291" s="9" t="str" cm="1">
        <f t="array" ref="M291">PAGE_NAME(B291)</f>
        <v>changes-between-versions</v>
      </c>
      <c r="N291" s="9" t="str" cm="1">
        <f t="array" ref="N291">SECTION_NAME(B291)</f>
        <v>expectation-that-fhir-dstu2-data-is-preserved-in-fhir-r7</v>
      </c>
      <c r="O291" s="10" t="str">
        <f t="shared" si="11"/>
        <v>MAY</v>
      </c>
      <c r="P291" s="10" t="str">
        <f t="shared" si="12"/>
        <v/>
      </c>
    </row>
    <row r="292" spans="1:23" ht="85" x14ac:dyDescent="0.2">
      <c r="A292" s="7">
        <v>291</v>
      </c>
      <c r="B292" s="52" t="s">
        <v>856</v>
      </c>
      <c r="C292" s="8" t="s">
        <v>314</v>
      </c>
      <c r="D292" s="7" t="s">
        <v>32</v>
      </c>
      <c r="E292" s="7" t="s">
        <v>30</v>
      </c>
      <c r="G292" s="7" t="b">
        <v>0</v>
      </c>
      <c r="M292" s="9" t="str" cm="1">
        <f t="array" ref="M292">PAGE_NAME(B292)</f>
        <v>changes-between-versions</v>
      </c>
      <c r="N292" s="9" t="str" cm="1">
        <f t="array" ref="N292">SECTION_NAME(B292)</f>
        <v>expectation-that-fhir-dstu2-data-is-preserved-in-fhir-r8</v>
      </c>
      <c r="O292" s="10" t="str">
        <f t="shared" si="11"/>
        <v>SHOULD</v>
      </c>
      <c r="P292" s="10" t="str">
        <f t="shared" si="12"/>
        <v/>
      </c>
    </row>
    <row r="293" spans="1:23" ht="51" x14ac:dyDescent="0.2">
      <c r="A293" s="7">
        <v>292</v>
      </c>
      <c r="B293" s="52" t="s">
        <v>854</v>
      </c>
      <c r="C293" s="8" t="s">
        <v>311</v>
      </c>
      <c r="D293" s="7" t="s">
        <v>32</v>
      </c>
      <c r="E293" s="7" t="s">
        <v>58</v>
      </c>
      <c r="F293" s="8" t="s">
        <v>1104</v>
      </c>
      <c r="G293" s="7" t="b">
        <v>1</v>
      </c>
      <c r="H293" s="12" t="s">
        <v>315</v>
      </c>
      <c r="M293" s="9" t="str" cm="1">
        <f t="array" ref="M293">PAGE_NAME(B293)</f>
        <v>changes-between-versions</v>
      </c>
      <c r="N293" s="9" t="str" cm="1">
        <f t="array" ref="N293">SECTION_NAME(B293)</f>
        <v>expectation-that-fhir-dstu2-data-is-preserved-in-fhir-r5</v>
      </c>
      <c r="O293" s="10" t="str">
        <f t="shared" si="11"/>
        <v>SHOULD</v>
      </c>
      <c r="P293" s="10" t="str">
        <f t="shared" si="12"/>
        <v/>
      </c>
    </row>
    <row r="294" spans="1:23" ht="85" x14ac:dyDescent="0.2">
      <c r="A294" s="7">
        <v>293</v>
      </c>
      <c r="B294" s="52" t="s">
        <v>855</v>
      </c>
      <c r="C294" s="8" t="s">
        <v>313</v>
      </c>
      <c r="D294" s="7" t="s">
        <v>32</v>
      </c>
      <c r="E294" s="7" t="s">
        <v>58</v>
      </c>
      <c r="G294" s="7" t="b">
        <v>0</v>
      </c>
      <c r="M294" s="9" t="str" cm="1">
        <f t="array" ref="M294">PAGE_NAME(B294)</f>
        <v>changes-between-versions</v>
      </c>
      <c r="N294" s="9" t="str" cm="1">
        <f t="array" ref="N294">SECTION_NAME(B294)</f>
        <v>expectation-that-fhir-dstu2-data-is-preserved-in-fhir-r7</v>
      </c>
      <c r="O294" s="10" t="str">
        <f t="shared" si="11"/>
        <v>MAY</v>
      </c>
      <c r="P294" s="10" t="str">
        <f t="shared" si="12"/>
        <v/>
      </c>
    </row>
    <row r="295" spans="1:23" ht="85" x14ac:dyDescent="0.2">
      <c r="A295" s="7">
        <v>294</v>
      </c>
      <c r="B295" s="52" t="s">
        <v>856</v>
      </c>
      <c r="C295" s="8" t="s">
        <v>314</v>
      </c>
      <c r="D295" s="7" t="s">
        <v>32</v>
      </c>
      <c r="E295" s="7" t="s">
        <v>58</v>
      </c>
      <c r="G295" s="7" t="b">
        <v>0</v>
      </c>
      <c r="M295" s="9" t="str" cm="1">
        <f t="array" ref="M295">PAGE_NAME(B295)</f>
        <v>changes-between-versions</v>
      </c>
      <c r="N295" s="9" t="str" cm="1">
        <f t="array" ref="N295">SECTION_NAME(B295)</f>
        <v>expectation-that-fhir-dstu2-data-is-preserved-in-fhir-r8</v>
      </c>
      <c r="O295" s="10" t="str">
        <f t="shared" si="11"/>
        <v>SHOULD</v>
      </c>
      <c r="P295" s="10" t="str">
        <f t="shared" si="12"/>
        <v/>
      </c>
    </row>
    <row r="296" spans="1:23" ht="51" x14ac:dyDescent="0.2">
      <c r="A296" s="7">
        <v>295</v>
      </c>
      <c r="B296" s="52" t="s">
        <v>857</v>
      </c>
      <c r="C296" s="8" t="s">
        <v>316</v>
      </c>
      <c r="D296" s="7" t="s">
        <v>32</v>
      </c>
      <c r="E296" s="7" t="s">
        <v>30</v>
      </c>
      <c r="F296" s="8" t="s">
        <v>1105</v>
      </c>
      <c r="G296" s="7" t="b">
        <v>1</v>
      </c>
      <c r="H296" s="12" t="s">
        <v>317</v>
      </c>
      <c r="M296" s="9" t="str" cm="1">
        <f t="array" ref="M296">PAGE_NAME(B296)</f>
        <v>changes-between-versions</v>
      </c>
      <c r="N296" s="9" t="str" cm="1">
        <f t="array" ref="N296">SECTION_NAME(B296)</f>
        <v>expectation-that-fhir-dstu2-data-is-preserved-in-fhir-r9</v>
      </c>
      <c r="O296" s="10" t="str">
        <f t="shared" si="11"/>
        <v>SHOULD</v>
      </c>
      <c r="P296" s="10" t="str">
        <f t="shared" si="12"/>
        <v>Server</v>
      </c>
    </row>
    <row r="297" spans="1:23" ht="85" x14ac:dyDescent="0.2">
      <c r="A297" s="7">
        <v>296</v>
      </c>
      <c r="B297" s="52" t="s">
        <v>858</v>
      </c>
      <c r="C297" s="8" t="s">
        <v>318</v>
      </c>
      <c r="D297" s="7" t="s">
        <v>32</v>
      </c>
      <c r="E297" s="7" t="s">
        <v>30</v>
      </c>
      <c r="G297" s="7" t="b">
        <v>0</v>
      </c>
      <c r="M297" s="9" t="str" cm="1">
        <f t="array" ref="M297">PAGE_NAME(B297)</f>
        <v>changes-between-versions</v>
      </c>
      <c r="N297" s="9" t="str" cm="1">
        <f t="array" ref="N297">SECTION_NAME(B297)</f>
        <v>expectation-that-fhir-dstu2-data-is-preserved-in-fhir-r10</v>
      </c>
      <c r="O297" s="10" t="str">
        <f t="shared" si="11"/>
        <v>SHOULD</v>
      </c>
      <c r="P297" s="10" t="str">
        <f t="shared" si="12"/>
        <v>Server</v>
      </c>
      <c r="Q297" s="10" t="s">
        <v>31</v>
      </c>
    </row>
    <row r="298" spans="1:23" ht="85" x14ac:dyDescent="0.2">
      <c r="A298" s="7">
        <v>297</v>
      </c>
      <c r="B298" s="52" t="s">
        <v>859</v>
      </c>
      <c r="C298" s="8" t="s">
        <v>319</v>
      </c>
      <c r="D298" s="7" t="s">
        <v>32</v>
      </c>
      <c r="E298" s="7" t="s">
        <v>30</v>
      </c>
      <c r="G298" s="7" t="b">
        <v>0</v>
      </c>
      <c r="M298" s="9" t="str" cm="1">
        <f t="array" ref="M298">PAGE_NAME(B298)</f>
        <v>changes-between-versions</v>
      </c>
      <c r="N298" s="9" t="str" cm="1">
        <f t="array" ref="N298">SECTION_NAME(B298)</f>
        <v>expectation-that-fhir-dstu2-data-is-preserved-in-fhir-r11</v>
      </c>
      <c r="O298" s="10" t="str">
        <f t="shared" si="11"/>
        <v>SHOULD</v>
      </c>
      <c r="P298" s="10" t="str">
        <f t="shared" si="12"/>
        <v>Server</v>
      </c>
      <c r="Q298" s="10" t="s">
        <v>320</v>
      </c>
    </row>
    <row r="299" spans="1:23" ht="34" x14ac:dyDescent="0.2">
      <c r="A299" s="7">
        <v>298</v>
      </c>
      <c r="B299" s="52" t="s">
        <v>860</v>
      </c>
      <c r="C299" s="8" t="s">
        <v>321</v>
      </c>
      <c r="D299" s="7" t="s">
        <v>32</v>
      </c>
      <c r="E299" s="7" t="s">
        <v>30</v>
      </c>
      <c r="G299" s="7" t="b">
        <v>0</v>
      </c>
      <c r="M299" s="9" t="str" cm="1">
        <f t="array" ref="M299">PAGE_NAME(B299)</f>
        <v>changes-between-versions</v>
      </c>
      <c r="N299" s="9" t="str" cm="1">
        <f t="array" ref="N299">SECTION_NAME(B299)</f>
        <v>expectation-that-fhir-dstu2-data-is-preserved-in-fhir-r12</v>
      </c>
      <c r="O299" s="10" t="str">
        <f t="shared" si="11"/>
        <v>SHOULD</v>
      </c>
      <c r="P299" s="10" t="str">
        <f t="shared" si="12"/>
        <v/>
      </c>
      <c r="Q299" s="10" t="s">
        <v>106</v>
      </c>
    </row>
    <row r="300" spans="1:23" ht="51" x14ac:dyDescent="0.2">
      <c r="A300" s="7">
        <v>299</v>
      </c>
      <c r="B300" s="52" t="s">
        <v>861</v>
      </c>
      <c r="C300" s="8" t="s">
        <v>933</v>
      </c>
      <c r="D300" s="7" t="s">
        <v>32</v>
      </c>
      <c r="E300" s="7" t="s">
        <v>58</v>
      </c>
      <c r="G300" s="7" t="b">
        <v>0</v>
      </c>
      <c r="M300" s="9" t="str" cm="1">
        <f t="array" ref="M300">PAGE_NAME(B300)</f>
        <v>changes-between-versions</v>
      </c>
      <c r="N300" s="9" t="str" cm="1">
        <f t="array" ref="N300">SECTION_NAME(B300)</f>
        <v>expectation-that-fhir-dstu2-data-is-preserved-in-fhir-r13</v>
      </c>
      <c r="O300" s="10" t="str">
        <f t="shared" si="11"/>
        <v>SHOULD</v>
      </c>
      <c r="P300" s="10" t="str">
        <f t="shared" si="12"/>
        <v>Client</v>
      </c>
      <c r="Q300" s="10" t="s">
        <v>106</v>
      </c>
    </row>
    <row r="301" spans="1:23" ht="34" x14ac:dyDescent="0.2">
      <c r="A301" s="7">
        <v>300</v>
      </c>
      <c r="B301" s="52" t="s">
        <v>862</v>
      </c>
      <c r="C301" s="8" t="s">
        <v>322</v>
      </c>
      <c r="D301" s="7" t="s">
        <v>29</v>
      </c>
      <c r="E301" s="7" t="s">
        <v>30</v>
      </c>
      <c r="G301" s="7" t="b">
        <v>0</v>
      </c>
      <c r="M301" s="9" t="str" cm="1">
        <f t="array" ref="M301">PAGE_NAME(B301)</f>
        <v>changes-between-versions</v>
      </c>
      <c r="N301" s="9" t="str" cm="1">
        <f t="array" ref="N301">SECTION_NAME(B301)</f>
        <v>authorization-across-versions</v>
      </c>
      <c r="O301" s="10" t="str">
        <f t="shared" si="11"/>
        <v/>
      </c>
      <c r="P301" s="10" t="str">
        <f t="shared" si="12"/>
        <v/>
      </c>
      <c r="Q301" s="10" t="s">
        <v>106</v>
      </c>
      <c r="W301" s="6" t="s">
        <v>1141</v>
      </c>
    </row>
    <row r="302" spans="1:23" ht="34" x14ac:dyDescent="0.2">
      <c r="A302" s="7">
        <v>301</v>
      </c>
      <c r="B302" s="52" t="s">
        <v>862</v>
      </c>
      <c r="C302" s="8" t="s">
        <v>322</v>
      </c>
      <c r="D302" s="7" t="s">
        <v>29</v>
      </c>
      <c r="E302" s="7" t="s">
        <v>58</v>
      </c>
      <c r="G302" s="7" t="b">
        <v>0</v>
      </c>
      <c r="M302" s="9" t="str" cm="1">
        <f t="array" ref="M302">PAGE_NAME(B302)</f>
        <v>changes-between-versions</v>
      </c>
      <c r="N302" s="9" t="str" cm="1">
        <f t="array" ref="N302">SECTION_NAME(B302)</f>
        <v>authorization-across-versions</v>
      </c>
      <c r="O302" s="10" t="str">
        <f t="shared" si="11"/>
        <v/>
      </c>
      <c r="P302" s="10" t="str">
        <f t="shared" si="12"/>
        <v/>
      </c>
      <c r="Q302" s="10" t="s">
        <v>106</v>
      </c>
    </row>
    <row r="303" spans="1:23" ht="34" x14ac:dyDescent="0.2">
      <c r="A303" s="7">
        <v>302</v>
      </c>
      <c r="B303" s="52" t="s">
        <v>634</v>
      </c>
      <c r="C303" s="8" t="s">
        <v>323</v>
      </c>
      <c r="D303" s="7" t="s">
        <v>29</v>
      </c>
      <c r="E303" s="7" t="s">
        <v>30</v>
      </c>
      <c r="G303" s="7" t="b">
        <v>0</v>
      </c>
      <c r="M303" s="9" t="str" cm="1">
        <f t="array" ref="M303">PAGE_NAME(B303)</f>
        <v>StructureDefinition-us-core-allergyintolerance</v>
      </c>
      <c r="N303" s="9" t="str" cm="1">
        <f t="array" ref="N303">SECTION_NAME(B303)</f>
        <v>mandatory-and-must-support-data-elements</v>
      </c>
      <c r="O303" s="10" t="str">
        <f t="shared" si="11"/>
        <v>SHALL</v>
      </c>
      <c r="P303" s="10" t="str">
        <f t="shared" si="12"/>
        <v/>
      </c>
      <c r="Q303" s="10" t="s">
        <v>204</v>
      </c>
      <c r="W303" s="6" t="s">
        <v>1140</v>
      </c>
    </row>
    <row r="304" spans="1:23" ht="34" x14ac:dyDescent="0.2">
      <c r="A304" s="7">
        <v>303</v>
      </c>
      <c r="B304" s="59" t="s">
        <v>634</v>
      </c>
      <c r="C304" s="8" t="s">
        <v>324</v>
      </c>
      <c r="D304" s="7" t="s">
        <v>54</v>
      </c>
      <c r="E304" s="7" t="s">
        <v>30</v>
      </c>
      <c r="G304" s="7" t="b">
        <v>0</v>
      </c>
      <c r="M304" s="9" t="str" cm="1">
        <f t="array" ref="M304">PAGE_NAME(B304)</f>
        <v>StructureDefinition-us-core-allergyintolerance</v>
      </c>
      <c r="N304" s="9" t="str" cm="1">
        <f t="array" ref="N304">SECTION_NAME(B304)</f>
        <v>mandatory-and-must-support-data-elements</v>
      </c>
      <c r="O304" s="10" t="str">
        <f t="shared" si="11"/>
        <v>SHALL</v>
      </c>
      <c r="P304" s="10" t="str">
        <f t="shared" si="12"/>
        <v/>
      </c>
      <c r="Q304" s="10" t="s">
        <v>204</v>
      </c>
      <c r="W304" s="6" t="s">
        <v>1140</v>
      </c>
    </row>
    <row r="305" spans="1:23" ht="51" x14ac:dyDescent="0.2">
      <c r="A305" s="7">
        <v>304</v>
      </c>
      <c r="B305" s="52" t="s">
        <v>634</v>
      </c>
      <c r="C305" s="8" t="s">
        <v>325</v>
      </c>
      <c r="D305" s="7" t="s">
        <v>64</v>
      </c>
      <c r="E305" s="7" t="s">
        <v>30</v>
      </c>
      <c r="G305" s="7" t="b">
        <v>0</v>
      </c>
      <c r="M305" s="9" t="str" cm="1">
        <f t="array" ref="M305">PAGE_NAME(B305)</f>
        <v>StructureDefinition-us-core-allergyintolerance</v>
      </c>
      <c r="N305" s="9" t="str" cm="1">
        <f t="array" ref="N305">SECTION_NAME(B305)</f>
        <v>mandatory-and-must-support-data-elements</v>
      </c>
      <c r="O305" s="10" t="str">
        <f t="shared" si="11"/>
        <v/>
      </c>
      <c r="P305" s="10" t="str">
        <f t="shared" si="12"/>
        <v/>
      </c>
      <c r="V305" s="67" t="s">
        <v>1167</v>
      </c>
      <c r="W305" s="6" t="s">
        <v>1140</v>
      </c>
    </row>
    <row r="306" spans="1:23" ht="102" x14ac:dyDescent="0.2">
      <c r="A306" s="7">
        <v>305</v>
      </c>
      <c r="B306" s="52" t="s">
        <v>634</v>
      </c>
      <c r="C306" s="8" t="s">
        <v>326</v>
      </c>
      <c r="D306" s="7" t="s">
        <v>35</v>
      </c>
      <c r="E306" s="7" t="s">
        <v>30</v>
      </c>
      <c r="F306" s="8" t="s">
        <v>1106</v>
      </c>
      <c r="G306" s="7" t="b">
        <v>1</v>
      </c>
      <c r="H306" s="12" t="s">
        <v>327</v>
      </c>
      <c r="M306" s="9" t="str" cm="1">
        <f t="array" ref="M306">PAGE_NAME(B306)</f>
        <v>StructureDefinition-us-core-allergyintolerance</v>
      </c>
      <c r="N306" s="9" t="str" cm="1">
        <f t="array" ref="N306">SECTION_NAME(B306)</f>
        <v>mandatory-and-must-support-data-elements</v>
      </c>
      <c r="O306" s="10" t="str">
        <f t="shared" si="11"/>
        <v>MAY</v>
      </c>
      <c r="P306" s="10" t="str">
        <f t="shared" si="12"/>
        <v/>
      </c>
    </row>
    <row r="307" spans="1:23" ht="51" x14ac:dyDescent="0.2">
      <c r="A307" s="7">
        <v>306</v>
      </c>
      <c r="B307" s="52" t="s">
        <v>634</v>
      </c>
      <c r="C307" s="8" t="s">
        <v>328</v>
      </c>
      <c r="D307" s="7" t="s">
        <v>29</v>
      </c>
      <c r="E307" s="7" t="s">
        <v>30</v>
      </c>
      <c r="G307" s="7" t="b">
        <v>1</v>
      </c>
      <c r="H307" s="12" t="s">
        <v>329</v>
      </c>
      <c r="M307" s="9" t="str" cm="1">
        <f t="array" ref="M307">PAGE_NAME(B307)</f>
        <v>StructureDefinition-us-core-allergyintolerance</v>
      </c>
      <c r="N307" s="9" t="str" cm="1">
        <f t="array" ref="N307">SECTION_NAME(B307)</f>
        <v>mandatory-and-must-support-data-elements</v>
      </c>
      <c r="O307" s="10" t="str">
        <f t="shared" si="11"/>
        <v>SHALL</v>
      </c>
      <c r="P307" s="10" t="str">
        <f t="shared" si="12"/>
        <v/>
      </c>
      <c r="W307" s="6" t="s">
        <v>1141</v>
      </c>
    </row>
    <row r="308" spans="1:23" ht="51" x14ac:dyDescent="0.2">
      <c r="A308" s="7">
        <v>307</v>
      </c>
      <c r="B308" s="52" t="s">
        <v>634</v>
      </c>
      <c r="C308" s="8" t="s">
        <v>330</v>
      </c>
      <c r="D308" s="7" t="s">
        <v>29</v>
      </c>
      <c r="E308" s="7" t="s">
        <v>30</v>
      </c>
      <c r="G308" s="7" t="b">
        <v>1</v>
      </c>
      <c r="H308" s="12" t="s">
        <v>329</v>
      </c>
      <c r="M308" s="9" t="str" cm="1">
        <f t="array" ref="M308">PAGE_NAME(B308)</f>
        <v>StructureDefinition-us-core-allergyintolerance</v>
      </c>
      <c r="N308" s="9" t="str" cm="1">
        <f t="array" ref="N308">SECTION_NAME(B308)</f>
        <v>mandatory-and-must-support-data-elements</v>
      </c>
      <c r="O308" s="10" t="str">
        <f t="shared" si="11"/>
        <v>SHALL</v>
      </c>
      <c r="P308" s="10" t="str">
        <f t="shared" si="12"/>
        <v/>
      </c>
      <c r="W308" s="6" t="s">
        <v>1141</v>
      </c>
    </row>
    <row r="309" spans="1:23" ht="102" x14ac:dyDescent="0.2">
      <c r="A309" s="7">
        <v>308</v>
      </c>
      <c r="B309" s="52" t="s">
        <v>634</v>
      </c>
      <c r="C309" s="8" t="s">
        <v>331</v>
      </c>
      <c r="D309" s="7" t="s">
        <v>32</v>
      </c>
      <c r="E309" s="7" t="s">
        <v>30</v>
      </c>
      <c r="G309" s="7" t="b">
        <v>1</v>
      </c>
      <c r="H309" s="12" t="s">
        <v>332</v>
      </c>
      <c r="M309" s="9" t="str" cm="1">
        <f t="array" ref="M309">PAGE_NAME(B309)</f>
        <v>StructureDefinition-us-core-allergyintolerance</v>
      </c>
      <c r="N309" s="9" t="str" cm="1">
        <f t="array" ref="N309">SECTION_NAME(B309)</f>
        <v>mandatory-and-must-support-data-elements</v>
      </c>
      <c r="O309" s="10" t="str">
        <f t="shared" si="11"/>
        <v/>
      </c>
      <c r="P309" s="10" t="str">
        <f t="shared" si="12"/>
        <v/>
      </c>
    </row>
    <row r="310" spans="1:23" ht="102" x14ac:dyDescent="0.2">
      <c r="A310" s="7">
        <v>309</v>
      </c>
      <c r="B310" s="52" t="s">
        <v>634</v>
      </c>
      <c r="C310" s="8" t="s">
        <v>333</v>
      </c>
      <c r="D310" s="7" t="s">
        <v>32</v>
      </c>
      <c r="E310" s="7" t="s">
        <v>30</v>
      </c>
      <c r="G310" s="7" t="b">
        <v>1</v>
      </c>
      <c r="H310" s="12" t="s">
        <v>334</v>
      </c>
      <c r="M310" s="9" t="str" cm="1">
        <f t="array" ref="M310">PAGE_NAME(B310)</f>
        <v>StructureDefinition-us-core-allergyintolerance</v>
      </c>
      <c r="N310" s="9" t="str" cm="1">
        <f t="array" ref="N310">SECTION_NAME(B310)</f>
        <v>mandatory-and-must-support-data-elements</v>
      </c>
      <c r="O310" s="10" t="str">
        <f t="shared" si="11"/>
        <v/>
      </c>
      <c r="P310" s="10" t="str">
        <f t="shared" si="12"/>
        <v/>
      </c>
    </row>
    <row r="311" spans="1:23" ht="68" x14ac:dyDescent="0.2">
      <c r="A311" s="7">
        <v>310</v>
      </c>
      <c r="B311" s="52" t="s">
        <v>636</v>
      </c>
      <c r="C311" s="8" t="s">
        <v>335</v>
      </c>
      <c r="D311" s="7" t="s">
        <v>32</v>
      </c>
      <c r="E311" s="7" t="s">
        <v>30</v>
      </c>
      <c r="G311" s="7" t="b">
        <v>0</v>
      </c>
      <c r="M311" s="9" t="str" cm="1">
        <f t="array" ref="M311">PAGE_NAME(B311)</f>
        <v>StructureDefinition-us-core-careplan</v>
      </c>
      <c r="N311" s="9" t="str" cm="1">
        <f t="array" ref="N311">SECTION_NAME(B311)</f>
        <v>mandatory-and-must-support-data-elements</v>
      </c>
      <c r="O311" s="10" t="str">
        <f t="shared" ref="O311:O374" si="13">IF(ISNUMBER(SEARCH("MAY", C311)), "MAY", IF(ISNUMBER(SEARCH("SHOULD", C311)), "SHOULD", IF(ISNUMBER(SEARCH("SHALL", C311)), "SHALL", IF(ISNUMBER(SEARCH("SHOULD NOT", C311)), "SHOULD NOT", IF(ISNUMBER(SEARCH("SHALL NOT", C311)), "SHALL NOT", "")))))</f>
        <v>SHOULD</v>
      </c>
      <c r="P311" s="10" t="str">
        <f t="shared" ref="P311:P374" si="14">IF(ISNUMBER(SEARCH("Server", C311)), "Server", IF(ISNUMBER(SEARCH("Server", C311)), "Server", IF(ISNUMBER(SEARCH("Client", C311)), "Client", IF(ISNUMBER(SEARCH("Client", C311)), "Client", IF(ISNUMBER(SEARCH("US Core Responder", C311)), "Server", IF(ISNUMBER(SEARCH("US Core Requestor", C311)), "Client", ""))))))</f>
        <v/>
      </c>
      <c r="V311" s="12" t="s">
        <v>336</v>
      </c>
    </row>
    <row r="312" spans="1:23" ht="85" x14ac:dyDescent="0.2">
      <c r="A312" s="7">
        <v>311</v>
      </c>
      <c r="B312" s="52" t="s">
        <v>636</v>
      </c>
      <c r="C312" s="8" t="s">
        <v>337</v>
      </c>
      <c r="D312" s="7" t="s">
        <v>32</v>
      </c>
      <c r="E312" s="7" t="s">
        <v>30</v>
      </c>
      <c r="G312" s="7" t="b">
        <v>0</v>
      </c>
      <c r="M312" s="9" t="str" cm="1">
        <f t="array" ref="M312">PAGE_NAME(B312)</f>
        <v>StructureDefinition-us-core-careplan</v>
      </c>
      <c r="N312" s="9" t="str" cm="1">
        <f t="array" ref="N312">SECTION_NAME(B312)</f>
        <v>mandatory-and-must-support-data-elements</v>
      </c>
      <c r="O312" s="10" t="str">
        <f t="shared" si="13"/>
        <v>SHOULD</v>
      </c>
      <c r="P312" s="10" t="str">
        <f t="shared" si="14"/>
        <v/>
      </c>
      <c r="V312" s="12" t="s">
        <v>336</v>
      </c>
    </row>
    <row r="313" spans="1:23" ht="85" x14ac:dyDescent="0.2">
      <c r="A313" s="7">
        <v>312</v>
      </c>
      <c r="B313" s="52" t="s">
        <v>636</v>
      </c>
      <c r="C313" s="8" t="s">
        <v>338</v>
      </c>
      <c r="D313" s="7" t="s">
        <v>35</v>
      </c>
      <c r="E313" s="7" t="s">
        <v>30</v>
      </c>
      <c r="G313" s="7" t="b">
        <v>0</v>
      </c>
      <c r="M313" s="9" t="str" cm="1">
        <f t="array" ref="M313">PAGE_NAME(B313)</f>
        <v>StructureDefinition-us-core-careplan</v>
      </c>
      <c r="N313" s="9" t="str" cm="1">
        <f t="array" ref="N313">SECTION_NAME(B313)</f>
        <v>mandatory-and-must-support-data-elements</v>
      </c>
      <c r="O313" s="10" t="str">
        <f t="shared" si="13"/>
        <v>MAY</v>
      </c>
      <c r="P313" s="10" t="str">
        <f t="shared" si="14"/>
        <v/>
      </c>
      <c r="V313" s="12" t="s">
        <v>336</v>
      </c>
    </row>
    <row r="314" spans="1:23" ht="102" x14ac:dyDescent="0.2">
      <c r="A314" s="7">
        <v>313</v>
      </c>
      <c r="B314" s="52" t="s">
        <v>863</v>
      </c>
      <c r="C314" s="8" t="s">
        <v>1040</v>
      </c>
      <c r="D314" s="7" t="s">
        <v>29</v>
      </c>
      <c r="E314" s="7" t="s">
        <v>30</v>
      </c>
      <c r="G314" s="7" t="b">
        <v>1</v>
      </c>
      <c r="H314" s="12" t="s">
        <v>339</v>
      </c>
      <c r="M314" s="9" t="str" cm="1">
        <f t="array" ref="M314">PAGE_NAME(B314)</f>
        <v>StructureDefinition-us-core-careteam</v>
      </c>
      <c r="N314" s="9" t="str" cm="1">
        <f t="array" ref="N314">SECTION_NAME(B314)</f>
        <v>mandatory-and-must-support-data-elements</v>
      </c>
      <c r="O314" s="10" t="str">
        <f t="shared" si="13"/>
        <v>SHALL</v>
      </c>
      <c r="P314" s="10" t="str">
        <f t="shared" si="14"/>
        <v>Server</v>
      </c>
      <c r="W314" s="6" t="s">
        <v>1140</v>
      </c>
    </row>
    <row r="315" spans="1:23" ht="34" x14ac:dyDescent="0.2">
      <c r="A315" s="7">
        <v>314</v>
      </c>
      <c r="B315" s="52" t="s">
        <v>863</v>
      </c>
      <c r="C315" s="8" t="s">
        <v>340</v>
      </c>
      <c r="D315" s="7" t="s">
        <v>29</v>
      </c>
      <c r="E315" s="7" t="s">
        <v>58</v>
      </c>
      <c r="G315" s="7" t="b">
        <v>0</v>
      </c>
      <c r="M315" s="9" t="str" cm="1">
        <f t="array" ref="M315">PAGE_NAME(B315)</f>
        <v>StructureDefinition-us-core-careteam</v>
      </c>
      <c r="N315" s="9" t="str" cm="1">
        <f t="array" ref="N315">SECTION_NAME(B315)</f>
        <v>mandatory-and-must-support-data-elements</v>
      </c>
      <c r="O315" s="10" t="str">
        <f t="shared" si="13"/>
        <v>SHALL</v>
      </c>
      <c r="P315" s="10" t="str">
        <f t="shared" si="14"/>
        <v/>
      </c>
    </row>
    <row r="316" spans="1:23" ht="34" x14ac:dyDescent="0.2">
      <c r="A316" s="7">
        <v>315</v>
      </c>
      <c r="B316" s="52" t="s">
        <v>863</v>
      </c>
      <c r="C316" s="8" t="s">
        <v>341</v>
      </c>
      <c r="D316" s="7" t="s">
        <v>29</v>
      </c>
      <c r="E316" s="7" t="s">
        <v>58</v>
      </c>
      <c r="G316" s="7" t="b">
        <v>0</v>
      </c>
      <c r="M316" s="9" t="str" cm="1">
        <f t="array" ref="M316">PAGE_NAME(B316)</f>
        <v>StructureDefinition-us-core-careteam</v>
      </c>
      <c r="N316" s="9" t="str" cm="1">
        <f t="array" ref="N316">SECTION_NAME(B316)</f>
        <v>mandatory-and-must-support-data-elements</v>
      </c>
      <c r="O316" s="10" t="str">
        <f t="shared" si="13"/>
        <v>SHALL</v>
      </c>
      <c r="P316" s="10" t="str">
        <f t="shared" si="14"/>
        <v/>
      </c>
    </row>
    <row r="317" spans="1:23" ht="34" x14ac:dyDescent="0.2">
      <c r="A317" s="7">
        <v>316</v>
      </c>
      <c r="B317" s="52" t="s">
        <v>863</v>
      </c>
      <c r="C317" s="8" t="s">
        <v>342</v>
      </c>
      <c r="D317" s="7" t="s">
        <v>29</v>
      </c>
      <c r="E317" s="7" t="s">
        <v>58</v>
      </c>
      <c r="G317" s="7" t="b">
        <v>0</v>
      </c>
      <c r="M317" s="9" t="str" cm="1">
        <f t="array" ref="M317">PAGE_NAME(B317)</f>
        <v>StructureDefinition-us-core-careteam</v>
      </c>
      <c r="N317" s="9" t="str" cm="1">
        <f t="array" ref="N317">SECTION_NAME(B317)</f>
        <v>mandatory-and-must-support-data-elements</v>
      </c>
      <c r="O317" s="10" t="str">
        <f t="shared" si="13"/>
        <v>SHALL</v>
      </c>
      <c r="P317" s="10" t="str">
        <f t="shared" si="14"/>
        <v/>
      </c>
    </row>
    <row r="318" spans="1:23" ht="119" x14ac:dyDescent="0.2">
      <c r="A318" s="7">
        <v>317</v>
      </c>
      <c r="B318" s="52" t="s">
        <v>863</v>
      </c>
      <c r="C318" s="8" t="s">
        <v>1041</v>
      </c>
      <c r="D318" s="7" t="s">
        <v>32</v>
      </c>
      <c r="E318" s="7" t="s">
        <v>30</v>
      </c>
      <c r="G318" s="7" t="b">
        <v>0</v>
      </c>
      <c r="M318" s="9" t="str" cm="1">
        <f t="array" ref="M318">PAGE_NAME(B318)</f>
        <v>StructureDefinition-us-core-careteam</v>
      </c>
      <c r="N318" s="9" t="str" cm="1">
        <f t="array" ref="N318">SECTION_NAME(B318)</f>
        <v>mandatory-and-must-support-data-elements</v>
      </c>
      <c r="O318" s="10" t="str">
        <f t="shared" si="13"/>
        <v>SHOULD</v>
      </c>
      <c r="P318" s="10" t="str">
        <f t="shared" si="14"/>
        <v>Server</v>
      </c>
      <c r="V318" s="12" t="s">
        <v>343</v>
      </c>
    </row>
    <row r="319" spans="1:23" ht="85" x14ac:dyDescent="0.2">
      <c r="A319" s="7">
        <v>318</v>
      </c>
      <c r="B319" s="52" t="s">
        <v>863</v>
      </c>
      <c r="C319" s="8" t="s">
        <v>344</v>
      </c>
      <c r="D319" s="7" t="s">
        <v>29</v>
      </c>
      <c r="E319" s="7" t="s">
        <v>30</v>
      </c>
      <c r="G319" s="7" t="b">
        <v>0</v>
      </c>
      <c r="M319" s="9" t="str" cm="1">
        <f t="array" ref="M319">PAGE_NAME(B319)</f>
        <v>StructureDefinition-us-core-careteam</v>
      </c>
      <c r="N319" s="9" t="str" cm="1">
        <f t="array" ref="N319">SECTION_NAME(B319)</f>
        <v>mandatory-and-must-support-data-elements</v>
      </c>
      <c r="O319" s="10" t="str">
        <f t="shared" si="13"/>
        <v>SHALL</v>
      </c>
      <c r="P319" s="10" t="str">
        <f t="shared" si="14"/>
        <v>Server</v>
      </c>
      <c r="W319" s="6" t="s">
        <v>1141</v>
      </c>
    </row>
    <row r="320" spans="1:23" ht="85" x14ac:dyDescent="0.2">
      <c r="A320" s="7">
        <v>319</v>
      </c>
      <c r="B320" s="52" t="s">
        <v>863</v>
      </c>
      <c r="C320" s="8" t="s">
        <v>345</v>
      </c>
      <c r="D320" s="7" t="s">
        <v>29</v>
      </c>
      <c r="E320" s="7" t="s">
        <v>30</v>
      </c>
      <c r="G320" s="7" t="b">
        <v>0</v>
      </c>
      <c r="M320" s="9" t="str" cm="1">
        <f t="array" ref="M320">PAGE_NAME(B320)</f>
        <v>StructureDefinition-us-core-careteam</v>
      </c>
      <c r="N320" s="9" t="str" cm="1">
        <f t="array" ref="N320">SECTION_NAME(B320)</f>
        <v>mandatory-and-must-support-data-elements</v>
      </c>
      <c r="O320" s="10" t="str">
        <f t="shared" si="13"/>
        <v>SHALL</v>
      </c>
      <c r="P320" s="10" t="str">
        <f t="shared" si="14"/>
        <v>Server</v>
      </c>
      <c r="W320" s="6" t="s">
        <v>1141</v>
      </c>
    </row>
    <row r="321" spans="1:23" ht="68" x14ac:dyDescent="0.2">
      <c r="A321" s="7">
        <v>320</v>
      </c>
      <c r="B321" s="52" t="s">
        <v>637</v>
      </c>
      <c r="C321" s="8" t="s">
        <v>864</v>
      </c>
      <c r="D321" s="7" t="s">
        <v>32</v>
      </c>
      <c r="E321" s="7" t="s">
        <v>30</v>
      </c>
      <c r="G321" s="7" t="b">
        <v>1</v>
      </c>
      <c r="H321" s="12" t="s">
        <v>346</v>
      </c>
      <c r="M321" s="9" t="str" cm="1">
        <f t="array" ref="M321">PAGE_NAME(B321)</f>
        <v>StructureDefinition-us-core-condition-encounter-diagnosis</v>
      </c>
      <c r="N321" s="9" t="str" cm="1">
        <f t="array" ref="N321">SECTION_NAME(B321)</f>
        <v>mandatory-and-must-support-data-elements</v>
      </c>
      <c r="O321" s="10" t="str">
        <f t="shared" si="13"/>
        <v>SHOULD</v>
      </c>
      <c r="P321" s="10" t="str">
        <f t="shared" si="14"/>
        <v/>
      </c>
    </row>
    <row r="322" spans="1:23" ht="68" x14ac:dyDescent="0.2">
      <c r="A322" s="7">
        <v>321</v>
      </c>
      <c r="B322" s="52" t="s">
        <v>865</v>
      </c>
      <c r="C322" s="8" t="s">
        <v>347</v>
      </c>
      <c r="D322" s="7" t="s">
        <v>29</v>
      </c>
      <c r="E322" s="7" t="s">
        <v>30</v>
      </c>
      <c r="G322" s="7" t="b">
        <v>1</v>
      </c>
      <c r="H322" s="12" t="s">
        <v>348</v>
      </c>
      <c r="M322" s="9" t="str" cm="1">
        <f t="array" ref="M322">PAGE_NAME(B322)</f>
        <v>StructureDefinition-us-core-condition-problems-health-concerns</v>
      </c>
      <c r="N322" s="9" t="str" cm="1">
        <f t="array" ref="N322">SECTION_NAME(B322)</f>
        <v>mandatory-and-must-support-data-elements</v>
      </c>
      <c r="O322" s="10" t="str">
        <f t="shared" si="13"/>
        <v>SHALL</v>
      </c>
      <c r="P322" s="10" t="str">
        <f t="shared" si="14"/>
        <v/>
      </c>
      <c r="W322" s="6" t="s">
        <v>1140</v>
      </c>
    </row>
    <row r="323" spans="1:23" ht="51" x14ac:dyDescent="0.2">
      <c r="A323" s="7">
        <v>322</v>
      </c>
      <c r="B323" s="52" t="s">
        <v>865</v>
      </c>
      <c r="C323" s="8" t="s">
        <v>349</v>
      </c>
      <c r="D323" s="7" t="s">
        <v>35</v>
      </c>
      <c r="E323" s="7" t="s">
        <v>30</v>
      </c>
      <c r="G323" s="7" t="b">
        <v>1</v>
      </c>
      <c r="H323" s="12" t="s">
        <v>350</v>
      </c>
      <c r="M323" s="9" t="str" cm="1">
        <f t="array" ref="M323">PAGE_NAME(B323)</f>
        <v>StructureDefinition-us-core-condition-problems-health-concerns</v>
      </c>
      <c r="N323" s="9" t="str" cm="1">
        <f t="array" ref="N323">SECTION_NAME(B323)</f>
        <v>mandatory-and-must-support-data-elements</v>
      </c>
      <c r="O323" s="10" t="str">
        <f t="shared" si="13"/>
        <v>MAY</v>
      </c>
      <c r="P323" s="10" t="str">
        <f t="shared" si="14"/>
        <v/>
      </c>
    </row>
    <row r="324" spans="1:23" ht="221" x14ac:dyDescent="0.2">
      <c r="A324" s="7">
        <v>323</v>
      </c>
      <c r="B324" s="52" t="s">
        <v>865</v>
      </c>
      <c r="C324" s="8" t="s">
        <v>751</v>
      </c>
      <c r="D324" s="7" t="s">
        <v>32</v>
      </c>
      <c r="E324" s="7" t="s">
        <v>30</v>
      </c>
      <c r="G324" s="7" t="b">
        <v>0</v>
      </c>
      <c r="M324" s="9" t="str" cm="1">
        <f t="array" ref="M324">PAGE_NAME(B324)</f>
        <v>StructureDefinition-us-core-condition-problems-health-concerns</v>
      </c>
      <c r="N324" s="9" t="str" cm="1">
        <f t="array" ref="N324">SECTION_NAME(B324)</f>
        <v>mandatory-and-must-support-data-elements</v>
      </c>
      <c r="O324" s="10" t="str">
        <f t="shared" si="13"/>
        <v>SHOULD</v>
      </c>
      <c r="P324" s="10" t="str">
        <f t="shared" si="14"/>
        <v/>
      </c>
      <c r="V324" s="12" t="s">
        <v>752</v>
      </c>
    </row>
    <row r="325" spans="1:23" ht="34" x14ac:dyDescent="0.2">
      <c r="A325" s="7">
        <v>324</v>
      </c>
      <c r="B325" s="52" t="s">
        <v>637</v>
      </c>
      <c r="C325" s="8" t="s">
        <v>351</v>
      </c>
      <c r="D325" s="7" t="s">
        <v>32</v>
      </c>
      <c r="E325" s="7" t="s">
        <v>30</v>
      </c>
      <c r="G325" s="7" t="b">
        <v>0</v>
      </c>
      <c r="M325" s="9" t="str" cm="1">
        <f t="array" ref="M325">PAGE_NAME(B325)</f>
        <v>StructureDefinition-us-core-condition-encounter-diagnosis</v>
      </c>
      <c r="N325" s="9" t="str" cm="1">
        <f t="array" ref="N325">SECTION_NAME(B325)</f>
        <v>mandatory-and-must-support-data-elements</v>
      </c>
      <c r="O325" s="10" t="str">
        <f t="shared" si="13"/>
        <v>SHOULD</v>
      </c>
      <c r="P325" s="10" t="str">
        <f t="shared" si="14"/>
        <v/>
      </c>
    </row>
    <row r="326" spans="1:23" ht="34" x14ac:dyDescent="0.2">
      <c r="A326" s="7">
        <v>325</v>
      </c>
      <c r="B326" s="52" t="s">
        <v>865</v>
      </c>
      <c r="C326" s="8" t="s">
        <v>1042</v>
      </c>
      <c r="D326" s="7" t="s">
        <v>64</v>
      </c>
      <c r="E326" s="7" t="s">
        <v>30</v>
      </c>
      <c r="G326" s="7" t="b">
        <v>0</v>
      </c>
      <c r="M326" s="9" t="str" cm="1">
        <f t="array" ref="M326">PAGE_NAME(B326)</f>
        <v>StructureDefinition-us-core-condition-problems-health-concerns</v>
      </c>
      <c r="N326" s="9" t="str" cm="1">
        <f t="array" ref="N326">SECTION_NAME(B326)</f>
        <v>mandatory-and-must-support-data-elements</v>
      </c>
      <c r="O326" s="10" t="str">
        <f t="shared" si="13"/>
        <v>SHALL</v>
      </c>
      <c r="P326" s="10" t="str">
        <f t="shared" si="14"/>
        <v>Server</v>
      </c>
      <c r="V326" s="12" t="s">
        <v>646</v>
      </c>
    </row>
    <row r="327" spans="1:23" ht="102" x14ac:dyDescent="0.2">
      <c r="A327" s="7">
        <v>326</v>
      </c>
      <c r="B327" s="52" t="s">
        <v>865</v>
      </c>
      <c r="C327" s="8" t="s">
        <v>1043</v>
      </c>
      <c r="D327" s="7" t="s">
        <v>64</v>
      </c>
      <c r="E327" s="7" t="s">
        <v>30</v>
      </c>
      <c r="G327" s="7" t="b">
        <v>1</v>
      </c>
      <c r="H327" s="12" t="s">
        <v>1044</v>
      </c>
      <c r="M327" s="9" t="str" cm="1">
        <f t="array" ref="M327">PAGE_NAME(B327)</f>
        <v>StructureDefinition-us-core-condition-problems-health-concerns</v>
      </c>
      <c r="N327" s="9" t="str" cm="1">
        <f t="array" ref="N327">SECTION_NAME(B327)</f>
        <v>mandatory-and-must-support-data-elements</v>
      </c>
      <c r="O327" s="10" t="str">
        <f t="shared" si="13"/>
        <v>SHALL</v>
      </c>
      <c r="P327" s="10" t="str">
        <f t="shared" si="14"/>
        <v>Server</v>
      </c>
      <c r="V327" s="12" t="s">
        <v>646</v>
      </c>
    </row>
    <row r="328" spans="1:23" ht="68" x14ac:dyDescent="0.2">
      <c r="A328" s="7">
        <v>327</v>
      </c>
      <c r="B328" s="52" t="s">
        <v>865</v>
      </c>
      <c r="C328" s="8" t="s">
        <v>934</v>
      </c>
      <c r="D328" s="7" t="s">
        <v>64</v>
      </c>
      <c r="E328" s="7" t="s">
        <v>58</v>
      </c>
      <c r="G328" s="7" t="b">
        <v>0</v>
      </c>
      <c r="M328" s="9" t="str" cm="1">
        <f t="array" ref="M328">PAGE_NAME(B328)</f>
        <v>StructureDefinition-us-core-condition-problems-health-concerns</v>
      </c>
      <c r="N328" s="9" t="str" cm="1">
        <f t="array" ref="N328">SECTION_NAME(B328)</f>
        <v>mandatory-and-must-support-data-elements</v>
      </c>
      <c r="O328" s="10" t="str">
        <f t="shared" si="13"/>
        <v>SHALL</v>
      </c>
      <c r="P328" s="10" t="str">
        <f t="shared" si="14"/>
        <v>Client</v>
      </c>
      <c r="V328" s="12" t="s">
        <v>646</v>
      </c>
    </row>
    <row r="329" spans="1:23" ht="34" x14ac:dyDescent="0.2">
      <c r="A329" s="7">
        <v>328</v>
      </c>
      <c r="B329" s="52" t="s">
        <v>865</v>
      </c>
      <c r="C329" s="8" t="s">
        <v>935</v>
      </c>
      <c r="D329" s="7" t="s">
        <v>64</v>
      </c>
      <c r="E329" s="7" t="s">
        <v>58</v>
      </c>
      <c r="G329" s="7" t="b">
        <v>0</v>
      </c>
      <c r="M329" s="9" t="str" cm="1">
        <f t="array" ref="M329">PAGE_NAME(B329)</f>
        <v>StructureDefinition-us-core-condition-problems-health-concerns</v>
      </c>
      <c r="N329" s="9" t="str" cm="1">
        <f t="array" ref="N329">SECTION_NAME(B329)</f>
        <v>mandatory-and-must-support-data-elements</v>
      </c>
      <c r="O329" s="10" t="str">
        <f t="shared" si="13"/>
        <v>SHALL</v>
      </c>
      <c r="P329" s="10" t="str">
        <f t="shared" si="14"/>
        <v>Client</v>
      </c>
      <c r="V329" s="12" t="s">
        <v>646</v>
      </c>
    </row>
    <row r="330" spans="1:23" ht="34" x14ac:dyDescent="0.2">
      <c r="A330" s="7">
        <v>329</v>
      </c>
      <c r="B330" s="52" t="s">
        <v>865</v>
      </c>
      <c r="C330" s="8" t="s">
        <v>936</v>
      </c>
      <c r="D330" s="7" t="s">
        <v>64</v>
      </c>
      <c r="E330" s="7" t="s">
        <v>58</v>
      </c>
      <c r="G330" s="7" t="b">
        <v>0</v>
      </c>
      <c r="M330" s="9" t="str" cm="1">
        <f t="array" ref="M330">PAGE_NAME(B330)</f>
        <v>StructureDefinition-us-core-condition-problems-health-concerns</v>
      </c>
      <c r="N330" s="9" t="str" cm="1">
        <f t="array" ref="N330">SECTION_NAME(B330)</f>
        <v>mandatory-and-must-support-data-elements</v>
      </c>
      <c r="O330" s="10" t="str">
        <f t="shared" si="13"/>
        <v>SHALL</v>
      </c>
      <c r="P330" s="10" t="str">
        <f t="shared" si="14"/>
        <v>Client</v>
      </c>
      <c r="V330" s="12" t="s">
        <v>646</v>
      </c>
    </row>
    <row r="331" spans="1:23" ht="68" x14ac:dyDescent="0.2">
      <c r="A331" s="7">
        <v>330</v>
      </c>
      <c r="B331" s="52" t="s">
        <v>638</v>
      </c>
      <c r="C331" s="8" t="s">
        <v>866</v>
      </c>
      <c r="D331" s="7" t="s">
        <v>32</v>
      </c>
      <c r="E331" s="7" t="s">
        <v>30</v>
      </c>
      <c r="G331" s="7" t="b">
        <v>1</v>
      </c>
      <c r="H331" s="12" t="s">
        <v>352</v>
      </c>
      <c r="M331" s="9" t="str" cm="1">
        <f t="array" ref="M331">PAGE_NAME(B331)</f>
        <v>StructureDefinition-us-core-condition-problems-health-concerns</v>
      </c>
      <c r="N331" s="9" t="str" cm="1">
        <f t="array" ref="N331">SECTION_NAME(B331)</f>
        <v>mandatory-and-must-support-data-elements</v>
      </c>
      <c r="O331" s="10" t="str">
        <f t="shared" si="13"/>
        <v>SHOULD</v>
      </c>
      <c r="P331" s="10" t="str">
        <f t="shared" si="14"/>
        <v/>
      </c>
    </row>
    <row r="332" spans="1:23" ht="170" x14ac:dyDescent="0.2">
      <c r="A332" s="7">
        <v>331</v>
      </c>
      <c r="B332" s="52" t="s">
        <v>638</v>
      </c>
      <c r="C332" s="8" t="s">
        <v>758</v>
      </c>
      <c r="D332" s="7" t="s">
        <v>32</v>
      </c>
      <c r="E332" s="7" t="s">
        <v>30</v>
      </c>
      <c r="G332" s="7" t="b">
        <v>1</v>
      </c>
      <c r="H332" s="12" t="s">
        <v>353</v>
      </c>
      <c r="M332" s="9" t="str" cm="1">
        <f t="array" ref="M332">PAGE_NAME(B332)</f>
        <v>StructureDefinition-us-core-condition-problems-health-concerns</v>
      </c>
      <c r="N332" s="9" t="str" cm="1">
        <f t="array" ref="N332">SECTION_NAME(B332)</f>
        <v>mandatory-and-must-support-data-elements</v>
      </c>
      <c r="O332" s="10" t="str">
        <f t="shared" si="13"/>
        <v>SHOULD</v>
      </c>
      <c r="P332" s="10" t="str">
        <f t="shared" si="14"/>
        <v/>
      </c>
      <c r="V332" s="12" t="s">
        <v>759</v>
      </c>
    </row>
    <row r="333" spans="1:23" ht="68" x14ac:dyDescent="0.2">
      <c r="A333" s="7">
        <v>332</v>
      </c>
      <c r="B333" s="52" t="s">
        <v>638</v>
      </c>
      <c r="C333" s="8" t="s">
        <v>1088</v>
      </c>
      <c r="D333" s="7" t="s">
        <v>32</v>
      </c>
      <c r="E333" s="7" t="s">
        <v>30</v>
      </c>
      <c r="G333" s="7" t="b">
        <v>0</v>
      </c>
      <c r="M333" s="9" t="str" cm="1">
        <f t="array" ref="M333">PAGE_NAME(B333)</f>
        <v>StructureDefinition-us-core-condition-problems-health-concerns</v>
      </c>
      <c r="N333" s="9" t="str" cm="1">
        <f t="array" ref="N333">SECTION_NAME(B333)</f>
        <v>mandatory-and-must-support-data-elements</v>
      </c>
      <c r="O333" s="10" t="str">
        <f t="shared" si="13"/>
        <v>SHOULD</v>
      </c>
      <c r="P333" s="10" t="str">
        <f t="shared" si="14"/>
        <v/>
      </c>
      <c r="V333" s="12" t="s">
        <v>768</v>
      </c>
    </row>
    <row r="334" spans="1:23" ht="68" x14ac:dyDescent="0.2">
      <c r="A334" s="7">
        <v>333</v>
      </c>
      <c r="B334" s="52" t="s">
        <v>638</v>
      </c>
      <c r="C334" s="8" t="s">
        <v>1089</v>
      </c>
      <c r="D334" s="7" t="s">
        <v>32</v>
      </c>
      <c r="E334" s="7" t="s">
        <v>30</v>
      </c>
      <c r="G334" s="7" t="b">
        <v>0</v>
      </c>
      <c r="M334" s="9" t="str" cm="1">
        <f t="array" ref="M334">PAGE_NAME(B334)</f>
        <v>StructureDefinition-us-core-condition-problems-health-concerns</v>
      </c>
      <c r="N334" s="9" t="str" cm="1">
        <f t="array" ref="N334">SECTION_NAME(B334)</f>
        <v>mandatory-and-must-support-data-elements</v>
      </c>
      <c r="O334" s="10" t="str">
        <f t="shared" si="13"/>
        <v>SHOULD</v>
      </c>
      <c r="P334" s="10" t="str">
        <f t="shared" si="14"/>
        <v/>
      </c>
      <c r="V334" s="12" t="s">
        <v>768</v>
      </c>
    </row>
    <row r="335" spans="1:23" ht="68" x14ac:dyDescent="0.2">
      <c r="A335" s="7">
        <v>334</v>
      </c>
      <c r="B335" s="52" t="s">
        <v>639</v>
      </c>
      <c r="C335" s="8" t="s">
        <v>354</v>
      </c>
      <c r="D335" s="7" t="s">
        <v>35</v>
      </c>
      <c r="E335" s="7" t="s">
        <v>30</v>
      </c>
      <c r="G335" s="7" t="b">
        <v>0</v>
      </c>
      <c r="M335" s="9" t="str" cm="1">
        <f t="array" ref="M335">PAGE_NAME(B335)</f>
        <v>StructureDefinition-us-core-coverage</v>
      </c>
      <c r="N335" s="9" t="str" cm="1">
        <f t="array" ref="N335">SECTION_NAME(B335)</f>
        <v>mandatory-and-must-support-data-elements</v>
      </c>
      <c r="O335" s="10" t="str">
        <f t="shared" si="13"/>
        <v>MAY</v>
      </c>
      <c r="P335" s="10" t="str">
        <f t="shared" si="14"/>
        <v/>
      </c>
    </row>
    <row r="336" spans="1:23" ht="85" x14ac:dyDescent="0.2">
      <c r="A336" s="7">
        <v>335</v>
      </c>
      <c r="B336" s="52" t="s">
        <v>639</v>
      </c>
      <c r="C336" s="8" t="s">
        <v>355</v>
      </c>
      <c r="D336" s="7" t="s">
        <v>32</v>
      </c>
      <c r="E336" s="7" t="s">
        <v>30</v>
      </c>
      <c r="G336" s="7" t="b">
        <v>0</v>
      </c>
      <c r="M336" s="9" t="str" cm="1">
        <f t="array" ref="M336">PAGE_NAME(B336)</f>
        <v>StructureDefinition-us-core-coverage</v>
      </c>
      <c r="N336" s="9" t="str" cm="1">
        <f t="array" ref="N336">SECTION_NAME(B336)</f>
        <v>mandatory-and-must-support-data-elements</v>
      </c>
      <c r="O336" s="10" t="str">
        <f t="shared" si="13"/>
        <v>SHOULD</v>
      </c>
      <c r="P336" s="10" t="str">
        <f t="shared" si="14"/>
        <v/>
      </c>
    </row>
    <row r="337" spans="1:23" ht="51" x14ac:dyDescent="0.2">
      <c r="A337" s="7">
        <v>336</v>
      </c>
      <c r="B337" s="53" t="s">
        <v>639</v>
      </c>
      <c r="C337" s="8" t="s">
        <v>356</v>
      </c>
      <c r="D337" s="7" t="s">
        <v>32</v>
      </c>
      <c r="E337" s="7" t="s">
        <v>30</v>
      </c>
      <c r="G337" s="7" t="b">
        <v>0</v>
      </c>
      <c r="M337" s="9" t="str" cm="1">
        <f t="array" ref="M337">PAGE_NAME(B337)</f>
        <v>StructureDefinition-us-core-coverage</v>
      </c>
      <c r="N337" s="9" t="str" cm="1">
        <f t="array" ref="N337">SECTION_NAME(B337)</f>
        <v>mandatory-and-must-support-data-elements</v>
      </c>
      <c r="O337" s="10" t="str">
        <f t="shared" si="13"/>
        <v/>
      </c>
      <c r="P337" s="10" t="str">
        <f t="shared" si="14"/>
        <v/>
      </c>
    </row>
    <row r="338" spans="1:23" ht="51" x14ac:dyDescent="0.2">
      <c r="A338" s="7">
        <v>337</v>
      </c>
      <c r="B338" s="53" t="s">
        <v>639</v>
      </c>
      <c r="C338" s="8" t="s">
        <v>357</v>
      </c>
      <c r="D338" s="7" t="s">
        <v>32</v>
      </c>
      <c r="E338" s="7" t="s">
        <v>30</v>
      </c>
      <c r="G338" s="7" t="b">
        <v>0</v>
      </c>
      <c r="M338" s="9" t="str" cm="1">
        <f t="array" ref="M338">PAGE_NAME(B338)</f>
        <v>StructureDefinition-us-core-coverage</v>
      </c>
      <c r="N338" s="9" t="str" cm="1">
        <f t="array" ref="N338">SECTION_NAME(B338)</f>
        <v>mandatory-and-must-support-data-elements</v>
      </c>
      <c r="O338" s="10" t="str">
        <f t="shared" si="13"/>
        <v/>
      </c>
      <c r="P338" s="10" t="str">
        <f t="shared" si="14"/>
        <v/>
      </c>
    </row>
    <row r="339" spans="1:23" ht="51" x14ac:dyDescent="0.2">
      <c r="A339" s="7">
        <v>338</v>
      </c>
      <c r="B339" s="53" t="s">
        <v>639</v>
      </c>
      <c r="C339" s="8" t="s">
        <v>358</v>
      </c>
      <c r="D339" s="7" t="s">
        <v>32</v>
      </c>
      <c r="E339" s="7" t="s">
        <v>30</v>
      </c>
      <c r="G339" s="7" t="b">
        <v>0</v>
      </c>
      <c r="M339" s="9" t="str" cm="1">
        <f t="array" ref="M339">PAGE_NAME(B339)</f>
        <v>StructureDefinition-us-core-coverage</v>
      </c>
      <c r="N339" s="9" t="str" cm="1">
        <f t="array" ref="N339">SECTION_NAME(B339)</f>
        <v>mandatory-and-must-support-data-elements</v>
      </c>
      <c r="O339" s="10" t="str">
        <f t="shared" si="13"/>
        <v/>
      </c>
      <c r="P339" s="10" t="str">
        <f t="shared" si="14"/>
        <v/>
      </c>
    </row>
    <row r="340" spans="1:23" ht="102" x14ac:dyDescent="0.2">
      <c r="A340" s="7">
        <v>339</v>
      </c>
      <c r="B340" s="53" t="s">
        <v>639</v>
      </c>
      <c r="C340" s="8" t="s">
        <v>359</v>
      </c>
      <c r="D340" s="7" t="s">
        <v>32</v>
      </c>
      <c r="E340" s="7" t="s">
        <v>30</v>
      </c>
      <c r="G340" s="7" t="b">
        <v>1</v>
      </c>
      <c r="H340" s="12" t="s">
        <v>360</v>
      </c>
      <c r="M340" s="9" t="str" cm="1">
        <f t="array" ref="M340">PAGE_NAME(B340)</f>
        <v>StructureDefinition-us-core-coverage</v>
      </c>
      <c r="N340" s="9" t="str" cm="1">
        <f t="array" ref="N340">SECTION_NAME(B340)</f>
        <v>mandatory-and-must-support-data-elements</v>
      </c>
      <c r="O340" s="10" t="str">
        <f t="shared" si="13"/>
        <v>SHOULD</v>
      </c>
      <c r="P340" s="10" t="str">
        <f t="shared" si="14"/>
        <v/>
      </c>
    </row>
    <row r="341" spans="1:23" ht="51" x14ac:dyDescent="0.2">
      <c r="A341" s="7">
        <v>340</v>
      </c>
      <c r="B341" s="52" t="s">
        <v>867</v>
      </c>
      <c r="C341" s="8" t="s">
        <v>361</v>
      </c>
      <c r="D341" s="7" t="s">
        <v>32</v>
      </c>
      <c r="E341" s="7" t="s">
        <v>30</v>
      </c>
      <c r="G341" s="7" t="b">
        <v>0</v>
      </c>
      <c r="M341" s="9" t="str" cm="1">
        <f t="array" ref="M341">PAGE_NAME(B341)</f>
        <v>StructureDefinition-us-core-implantable-device</v>
      </c>
      <c r="N341" s="9" t="str" cm="1">
        <f t="array" ref="N341">SECTION_NAME(B341)</f>
        <v>mandatory-and-must-support-data-elements</v>
      </c>
      <c r="O341" s="10" t="str">
        <f t="shared" si="13"/>
        <v/>
      </c>
      <c r="P341" s="10" t="str">
        <f t="shared" si="14"/>
        <v/>
      </c>
    </row>
    <row r="342" spans="1:23" ht="51" x14ac:dyDescent="0.2">
      <c r="A342" s="7">
        <v>341</v>
      </c>
      <c r="B342" s="52" t="s">
        <v>867</v>
      </c>
      <c r="C342" s="8" t="s">
        <v>362</v>
      </c>
      <c r="D342" s="7" t="s">
        <v>32</v>
      </c>
      <c r="E342" s="7" t="s">
        <v>30</v>
      </c>
      <c r="G342" s="7" t="b">
        <v>0</v>
      </c>
      <c r="M342" s="9" t="str" cm="1">
        <f t="array" ref="M342">PAGE_NAME(B342)</f>
        <v>StructureDefinition-us-core-implantable-device</v>
      </c>
      <c r="N342" s="9" t="str" cm="1">
        <f t="array" ref="N342">SECTION_NAME(B342)</f>
        <v>mandatory-and-must-support-data-elements</v>
      </c>
      <c r="O342" s="10" t="str">
        <f t="shared" si="13"/>
        <v/>
      </c>
      <c r="P342" s="10" t="str">
        <f t="shared" si="14"/>
        <v/>
      </c>
    </row>
    <row r="343" spans="1:23" ht="34" x14ac:dyDescent="0.2">
      <c r="A343" s="7">
        <v>342</v>
      </c>
      <c r="B343" s="52" t="s">
        <v>867</v>
      </c>
      <c r="C343" s="8" t="s">
        <v>363</v>
      </c>
      <c r="D343" s="7" t="s">
        <v>29</v>
      </c>
      <c r="E343" s="7" t="s">
        <v>30</v>
      </c>
      <c r="G343" s="7" t="b">
        <v>0</v>
      </c>
      <c r="M343" s="9" t="str" cm="1">
        <f t="array" ref="M343">PAGE_NAME(B343)</f>
        <v>StructureDefinition-us-core-implantable-device</v>
      </c>
      <c r="N343" s="9" t="str" cm="1">
        <f t="array" ref="N343">SECTION_NAME(B343)</f>
        <v>mandatory-and-must-support-data-elements</v>
      </c>
      <c r="O343" s="10" t="str">
        <f t="shared" si="13"/>
        <v>SHALL</v>
      </c>
      <c r="P343" s="10" t="str">
        <f t="shared" si="14"/>
        <v/>
      </c>
      <c r="W343" s="6" t="s">
        <v>1140</v>
      </c>
    </row>
    <row r="344" spans="1:23" ht="51" x14ac:dyDescent="0.2">
      <c r="A344" s="7">
        <v>343</v>
      </c>
      <c r="B344" s="52" t="s">
        <v>867</v>
      </c>
      <c r="C344" s="8" t="s">
        <v>364</v>
      </c>
      <c r="D344" s="7" t="s">
        <v>29</v>
      </c>
      <c r="E344" s="7" t="s">
        <v>30</v>
      </c>
      <c r="G344" s="7" t="b">
        <v>0</v>
      </c>
      <c r="M344" s="9" t="str" cm="1">
        <f t="array" ref="M344">PAGE_NAME(B344)</f>
        <v>StructureDefinition-us-core-implantable-device</v>
      </c>
      <c r="N344" s="9" t="str" cm="1">
        <f t="array" ref="N344">SECTION_NAME(B344)</f>
        <v>mandatory-and-must-support-data-elements</v>
      </c>
      <c r="O344" s="10" t="str">
        <f t="shared" si="13"/>
        <v>SHALL</v>
      </c>
      <c r="P344" s="10" t="str">
        <f t="shared" si="14"/>
        <v/>
      </c>
      <c r="W344" s="6" t="s">
        <v>1140</v>
      </c>
    </row>
    <row r="345" spans="1:23" ht="68" x14ac:dyDescent="0.2">
      <c r="A345" s="7">
        <v>344</v>
      </c>
      <c r="B345" s="52" t="s">
        <v>867</v>
      </c>
      <c r="C345" s="8" t="s">
        <v>365</v>
      </c>
      <c r="D345" s="7" t="s">
        <v>32</v>
      </c>
      <c r="E345" s="7" t="s">
        <v>30</v>
      </c>
      <c r="G345" s="7" t="b">
        <v>1</v>
      </c>
      <c r="H345" s="12" t="s">
        <v>366</v>
      </c>
      <c r="M345" s="9" t="str" cm="1">
        <f t="array" ref="M345">PAGE_NAME(B345)</f>
        <v>StructureDefinition-us-core-implantable-device</v>
      </c>
      <c r="N345" s="9" t="str" cm="1">
        <f t="array" ref="N345">SECTION_NAME(B345)</f>
        <v>mandatory-and-must-support-data-elements</v>
      </c>
      <c r="O345" s="10" t="str">
        <f t="shared" si="13"/>
        <v>SHOULD</v>
      </c>
      <c r="P345" s="10" t="str">
        <f t="shared" si="14"/>
        <v/>
      </c>
    </row>
    <row r="346" spans="1:23" ht="68" x14ac:dyDescent="0.2">
      <c r="A346" s="7">
        <v>345</v>
      </c>
      <c r="B346" s="52" t="s">
        <v>867</v>
      </c>
      <c r="C346" s="8" t="s">
        <v>367</v>
      </c>
      <c r="D346" s="7" t="s">
        <v>32</v>
      </c>
      <c r="E346" s="7" t="s">
        <v>30</v>
      </c>
      <c r="G346" s="7" t="b">
        <v>1</v>
      </c>
      <c r="H346" s="12" t="s">
        <v>368</v>
      </c>
      <c r="M346" s="9" t="str" cm="1">
        <f t="array" ref="M346">PAGE_NAME(B346)</f>
        <v>StructureDefinition-us-core-implantable-device</v>
      </c>
      <c r="N346" s="9" t="str" cm="1">
        <f t="array" ref="N346">SECTION_NAME(B346)</f>
        <v>mandatory-and-must-support-data-elements</v>
      </c>
      <c r="O346" s="10" t="str">
        <f t="shared" si="13"/>
        <v>SHOULD</v>
      </c>
      <c r="P346" s="10" t="str">
        <f t="shared" si="14"/>
        <v/>
      </c>
    </row>
    <row r="347" spans="1:23" ht="34" x14ac:dyDescent="0.2">
      <c r="A347" s="7">
        <v>346</v>
      </c>
      <c r="B347" s="52" t="s">
        <v>867</v>
      </c>
      <c r="C347" s="8" t="s">
        <v>937</v>
      </c>
      <c r="D347" s="7" t="s">
        <v>32</v>
      </c>
      <c r="E347" s="7" t="s">
        <v>30</v>
      </c>
      <c r="G347" s="7" t="b">
        <v>0</v>
      </c>
      <c r="M347" s="9" t="str" cm="1">
        <f t="array" ref="M347">PAGE_NAME(B347)</f>
        <v>StructureDefinition-us-core-implantable-device</v>
      </c>
      <c r="N347" s="9" t="str" cm="1">
        <f t="array" ref="N347">SECTION_NAME(B347)</f>
        <v>mandatory-and-must-support-data-elements</v>
      </c>
      <c r="O347" s="10" t="str">
        <f t="shared" si="13"/>
        <v>SHOULD</v>
      </c>
      <c r="P347" s="10" t="str">
        <f t="shared" si="14"/>
        <v>Server</v>
      </c>
    </row>
    <row r="348" spans="1:23" ht="34" x14ac:dyDescent="0.2">
      <c r="A348" s="7">
        <v>347</v>
      </c>
      <c r="B348" s="52" t="s">
        <v>867</v>
      </c>
      <c r="C348" s="8" t="s">
        <v>369</v>
      </c>
      <c r="D348" s="7" t="s">
        <v>35</v>
      </c>
      <c r="E348" s="7" t="s">
        <v>30</v>
      </c>
      <c r="G348" s="7" t="b">
        <v>0</v>
      </c>
      <c r="M348" s="9" t="str" cm="1">
        <f t="array" ref="M348">PAGE_NAME(B348)</f>
        <v>StructureDefinition-us-core-implantable-device</v>
      </c>
      <c r="N348" s="9" t="str" cm="1">
        <f t="array" ref="N348">SECTION_NAME(B348)</f>
        <v>mandatory-and-must-support-data-elements</v>
      </c>
      <c r="O348" s="10" t="str">
        <f t="shared" si="13"/>
        <v>MAY</v>
      </c>
      <c r="P348" s="10" t="str">
        <f t="shared" si="14"/>
        <v/>
      </c>
    </row>
    <row r="349" spans="1:23" ht="34" x14ac:dyDescent="0.2">
      <c r="A349" s="7">
        <v>348</v>
      </c>
      <c r="B349" s="52" t="s">
        <v>867</v>
      </c>
      <c r="C349" s="8" t="s">
        <v>370</v>
      </c>
      <c r="D349" s="7" t="s">
        <v>35</v>
      </c>
      <c r="E349" s="7" t="s">
        <v>30</v>
      </c>
      <c r="G349" s="7" t="b">
        <v>0</v>
      </c>
      <c r="M349" s="9" t="str" cm="1">
        <f t="array" ref="M349">PAGE_NAME(B349)</f>
        <v>StructureDefinition-us-core-implantable-device</v>
      </c>
      <c r="N349" s="9" t="str" cm="1">
        <f t="array" ref="N349">SECTION_NAME(B349)</f>
        <v>mandatory-and-must-support-data-elements</v>
      </c>
      <c r="O349" s="10" t="str">
        <f t="shared" si="13"/>
        <v>MAY</v>
      </c>
      <c r="P349" s="10" t="str">
        <f t="shared" si="14"/>
        <v/>
      </c>
    </row>
    <row r="350" spans="1:23" ht="34" x14ac:dyDescent="0.2">
      <c r="A350" s="7">
        <v>349</v>
      </c>
      <c r="B350" s="52" t="s">
        <v>867</v>
      </c>
      <c r="C350" s="8" t="s">
        <v>371</v>
      </c>
      <c r="D350" s="7" t="s">
        <v>35</v>
      </c>
      <c r="E350" s="7" t="s">
        <v>30</v>
      </c>
      <c r="G350" s="7" t="b">
        <v>0</v>
      </c>
      <c r="M350" s="9" t="str" cm="1">
        <f t="array" ref="M350">PAGE_NAME(B350)</f>
        <v>StructureDefinition-us-core-implantable-device</v>
      </c>
      <c r="N350" s="9" t="str" cm="1">
        <f t="array" ref="N350">SECTION_NAME(B350)</f>
        <v>mandatory-and-must-support-data-elements</v>
      </c>
      <c r="O350" s="10" t="str">
        <f t="shared" si="13"/>
        <v>MAY</v>
      </c>
      <c r="P350" s="10" t="str">
        <f t="shared" si="14"/>
        <v/>
      </c>
    </row>
    <row r="351" spans="1:23" ht="34" x14ac:dyDescent="0.2">
      <c r="A351" s="7">
        <v>350</v>
      </c>
      <c r="B351" s="52" t="s">
        <v>867</v>
      </c>
      <c r="C351" s="8" t="s">
        <v>372</v>
      </c>
      <c r="D351" s="7" t="s">
        <v>35</v>
      </c>
      <c r="E351" s="7" t="s">
        <v>30</v>
      </c>
      <c r="G351" s="7" t="b">
        <v>0</v>
      </c>
      <c r="M351" s="9" t="str" cm="1">
        <f t="array" ref="M351">PAGE_NAME(B351)</f>
        <v>StructureDefinition-us-core-implantable-device</v>
      </c>
      <c r="N351" s="9" t="str" cm="1">
        <f t="array" ref="N351">SECTION_NAME(B351)</f>
        <v>mandatory-and-must-support-data-elements</v>
      </c>
      <c r="O351" s="10" t="str">
        <f t="shared" si="13"/>
        <v>MAY</v>
      </c>
      <c r="P351" s="10" t="str">
        <f t="shared" si="14"/>
        <v/>
      </c>
    </row>
    <row r="352" spans="1:23" ht="34" x14ac:dyDescent="0.2">
      <c r="A352" s="7">
        <v>351</v>
      </c>
      <c r="B352" s="52" t="s">
        <v>867</v>
      </c>
      <c r="C352" s="8" t="s">
        <v>373</v>
      </c>
      <c r="D352" s="7" t="s">
        <v>35</v>
      </c>
      <c r="E352" s="7" t="s">
        <v>30</v>
      </c>
      <c r="G352" s="7" t="b">
        <v>0</v>
      </c>
      <c r="M352" s="9" t="str" cm="1">
        <f t="array" ref="M352">PAGE_NAME(B352)</f>
        <v>StructureDefinition-us-core-implantable-device</v>
      </c>
      <c r="N352" s="9" t="str" cm="1">
        <f t="array" ref="N352">SECTION_NAME(B352)</f>
        <v>mandatory-and-must-support-data-elements</v>
      </c>
      <c r="O352" s="10" t="str">
        <f t="shared" si="13"/>
        <v>MAY</v>
      </c>
      <c r="P352" s="10" t="str">
        <f t="shared" si="14"/>
        <v/>
      </c>
    </row>
    <row r="353" spans="1:23" ht="34" x14ac:dyDescent="0.2">
      <c r="A353" s="7">
        <v>352</v>
      </c>
      <c r="B353" s="52" t="s">
        <v>867</v>
      </c>
      <c r="C353" s="8" t="s">
        <v>374</v>
      </c>
      <c r="D353" s="7" t="s">
        <v>35</v>
      </c>
      <c r="E353" s="7" t="s">
        <v>30</v>
      </c>
      <c r="G353" s="7" t="b">
        <v>0</v>
      </c>
      <c r="M353" s="9" t="str" cm="1">
        <f t="array" ref="M353">PAGE_NAME(B353)</f>
        <v>StructureDefinition-us-core-implantable-device</v>
      </c>
      <c r="N353" s="9" t="str" cm="1">
        <f t="array" ref="N353">SECTION_NAME(B353)</f>
        <v>mandatory-and-must-support-data-elements</v>
      </c>
      <c r="O353" s="10" t="str">
        <f t="shared" si="13"/>
        <v>MAY</v>
      </c>
      <c r="P353" s="10" t="str">
        <f t="shared" si="14"/>
        <v/>
      </c>
    </row>
    <row r="354" spans="1:23" ht="34" x14ac:dyDescent="0.2">
      <c r="A354" s="7">
        <v>353</v>
      </c>
      <c r="B354" s="52" t="s">
        <v>867</v>
      </c>
      <c r="C354" s="8" t="s">
        <v>375</v>
      </c>
      <c r="D354" s="7" t="s">
        <v>35</v>
      </c>
      <c r="E354" s="7" t="s">
        <v>30</v>
      </c>
      <c r="G354" s="7" t="b">
        <v>0</v>
      </c>
      <c r="M354" s="9" t="str" cm="1">
        <f t="array" ref="M354">PAGE_NAME(B354)</f>
        <v>StructureDefinition-us-core-implantable-device</v>
      </c>
      <c r="N354" s="9" t="str" cm="1">
        <f t="array" ref="N354">SECTION_NAME(B354)</f>
        <v>mandatory-and-must-support-data-elements</v>
      </c>
      <c r="O354" s="10" t="str">
        <f t="shared" si="13"/>
        <v>MAY</v>
      </c>
      <c r="P354" s="10" t="str">
        <f t="shared" si="14"/>
        <v/>
      </c>
    </row>
    <row r="355" spans="1:23" ht="34" x14ac:dyDescent="0.2">
      <c r="A355" s="7">
        <v>354</v>
      </c>
      <c r="B355" s="52" t="s">
        <v>867</v>
      </c>
      <c r="C355" s="8" t="s">
        <v>376</v>
      </c>
      <c r="D355" s="7" t="s">
        <v>35</v>
      </c>
      <c r="E355" s="7" t="s">
        <v>30</v>
      </c>
      <c r="G355" s="7" t="b">
        <v>0</v>
      </c>
      <c r="M355" s="9" t="str" cm="1">
        <f t="array" ref="M355">PAGE_NAME(B355)</f>
        <v>StructureDefinition-us-core-implantable-device</v>
      </c>
      <c r="N355" s="9" t="str" cm="1">
        <f t="array" ref="N355">SECTION_NAME(B355)</f>
        <v>mandatory-and-must-support-data-elements</v>
      </c>
      <c r="O355" s="10" t="str">
        <f t="shared" si="13"/>
        <v>MAY</v>
      </c>
      <c r="P355" s="10" t="str">
        <f t="shared" si="14"/>
        <v/>
      </c>
    </row>
    <row r="356" spans="1:23" ht="34" x14ac:dyDescent="0.2">
      <c r="A356" s="7">
        <v>355</v>
      </c>
      <c r="B356" s="52" t="s">
        <v>867</v>
      </c>
      <c r="C356" s="8" t="s">
        <v>377</v>
      </c>
      <c r="D356" s="7" t="s">
        <v>35</v>
      </c>
      <c r="E356" s="7" t="s">
        <v>30</v>
      </c>
      <c r="G356" s="7" t="b">
        <v>0</v>
      </c>
      <c r="M356" s="9" t="str" cm="1">
        <f t="array" ref="M356">PAGE_NAME(B356)</f>
        <v>StructureDefinition-us-core-implantable-device</v>
      </c>
      <c r="N356" s="9" t="str" cm="1">
        <f t="array" ref="N356">SECTION_NAME(B356)</f>
        <v>mandatory-and-must-support-data-elements</v>
      </c>
      <c r="O356" s="10" t="str">
        <f t="shared" si="13"/>
        <v>MAY</v>
      </c>
      <c r="P356" s="10" t="str">
        <f t="shared" si="14"/>
        <v/>
      </c>
    </row>
    <row r="357" spans="1:23" ht="119" x14ac:dyDescent="0.2">
      <c r="A357" s="7">
        <v>356</v>
      </c>
      <c r="B357" s="52" t="s">
        <v>868</v>
      </c>
      <c r="C357" s="8" t="s">
        <v>378</v>
      </c>
      <c r="D357" s="7" t="s">
        <v>29</v>
      </c>
      <c r="E357" s="7" t="s">
        <v>30</v>
      </c>
      <c r="G357" s="7" t="b">
        <v>1</v>
      </c>
      <c r="H357" s="12" t="s">
        <v>379</v>
      </c>
      <c r="M357" s="9" t="str" cm="1">
        <f t="array" ref="M357">PAGE_NAME(B357)</f>
        <v>StructureDefinition-us-core-diagnosticreport-note</v>
      </c>
      <c r="N357" s="9" t="str" cm="1">
        <f t="array" ref="N357">SECTION_NAME(B357)</f>
        <v>mandatory-and-must-support-data-elements</v>
      </c>
      <c r="O357" s="10" t="str">
        <f t="shared" si="13"/>
        <v>SHALL</v>
      </c>
      <c r="P357" s="10" t="str">
        <f t="shared" si="14"/>
        <v/>
      </c>
      <c r="W357" s="6" t="s">
        <v>1140</v>
      </c>
    </row>
    <row r="358" spans="1:23" ht="102" x14ac:dyDescent="0.2">
      <c r="A358" s="7">
        <v>357</v>
      </c>
      <c r="B358" s="52" t="s">
        <v>640</v>
      </c>
      <c r="C358" s="8" t="s">
        <v>380</v>
      </c>
      <c r="D358" s="7" t="s">
        <v>29</v>
      </c>
      <c r="E358" s="7" t="s">
        <v>30</v>
      </c>
      <c r="G358" s="7" t="b">
        <v>1</v>
      </c>
      <c r="H358" s="12" t="s">
        <v>381</v>
      </c>
      <c r="M358" s="9" t="str" cm="1">
        <f t="array" ref="M358">PAGE_NAME(B358)</f>
        <v>StructureDefinition-us-core-diagnosticreport-lab</v>
      </c>
      <c r="N358" s="9" t="str" cm="1">
        <f t="array" ref="N358">SECTION_NAME(B358)</f>
        <v>mandatory-and-must-support-data-elements</v>
      </c>
      <c r="O358" s="10" t="str">
        <f t="shared" si="13"/>
        <v>SHALL</v>
      </c>
      <c r="P358" s="10" t="str">
        <f t="shared" si="14"/>
        <v/>
      </c>
      <c r="W358" s="6" t="s">
        <v>1140</v>
      </c>
    </row>
    <row r="359" spans="1:23" ht="85" x14ac:dyDescent="0.2">
      <c r="A359" s="7">
        <v>358</v>
      </c>
      <c r="B359" s="52" t="s">
        <v>640</v>
      </c>
      <c r="C359" s="8" t="s">
        <v>1090</v>
      </c>
      <c r="D359" s="7" t="s">
        <v>32</v>
      </c>
      <c r="E359" s="7" t="s">
        <v>30</v>
      </c>
      <c r="G359" s="7" t="b">
        <v>0</v>
      </c>
      <c r="M359" s="9" t="str" cm="1">
        <f t="array" ref="M359">PAGE_NAME(B359)</f>
        <v>StructureDefinition-us-core-diagnosticreport-lab</v>
      </c>
      <c r="N359" s="9" t="str" cm="1">
        <f t="array" ref="N359">SECTION_NAME(B359)</f>
        <v>mandatory-and-must-support-data-elements</v>
      </c>
      <c r="O359" s="10" t="str">
        <f t="shared" si="13"/>
        <v>SHOULD</v>
      </c>
      <c r="P359" s="10" t="str">
        <f t="shared" si="14"/>
        <v/>
      </c>
      <c r="V359" s="12" t="s">
        <v>769</v>
      </c>
    </row>
    <row r="360" spans="1:23" ht="85" x14ac:dyDescent="0.2">
      <c r="A360" s="7">
        <v>359</v>
      </c>
      <c r="B360" s="52" t="s">
        <v>640</v>
      </c>
      <c r="C360" s="8" t="s">
        <v>1091</v>
      </c>
      <c r="D360" s="7" t="s">
        <v>32</v>
      </c>
      <c r="E360" s="7" t="s">
        <v>30</v>
      </c>
      <c r="G360" s="7" t="b">
        <v>0</v>
      </c>
      <c r="M360" s="9" t="str" cm="1">
        <f t="array" ref="M360">PAGE_NAME(B360)</f>
        <v>StructureDefinition-us-core-diagnosticreport-lab</v>
      </c>
      <c r="N360" s="9" t="str" cm="1">
        <f t="array" ref="N360">SECTION_NAME(B360)</f>
        <v>mandatory-and-must-support-data-elements</v>
      </c>
      <c r="O360" s="10" t="str">
        <f t="shared" si="13"/>
        <v>SHOULD</v>
      </c>
      <c r="P360" s="10" t="str">
        <f t="shared" si="14"/>
        <v/>
      </c>
      <c r="V360" s="12" t="s">
        <v>769</v>
      </c>
    </row>
    <row r="361" spans="1:23" ht="51" x14ac:dyDescent="0.2">
      <c r="A361" s="7">
        <v>360</v>
      </c>
      <c r="B361" s="52" t="s">
        <v>641</v>
      </c>
      <c r="C361" s="8" t="s">
        <v>382</v>
      </c>
      <c r="D361" s="7" t="s">
        <v>29</v>
      </c>
      <c r="E361" s="7" t="s">
        <v>30</v>
      </c>
      <c r="G361" s="7" t="b">
        <v>0</v>
      </c>
      <c r="M361" s="9" t="str" cm="1">
        <f t="array" ref="M361">PAGE_NAME(B361)</f>
        <v>StructureDefinition-us-core-diagnosticreport-note</v>
      </c>
      <c r="N361" s="9" t="str" cm="1">
        <f t="array" ref="N361">SECTION_NAME(B361)</f>
        <v>mandatory-and-must-support-data-elements</v>
      </c>
      <c r="O361" s="10" t="str">
        <f t="shared" si="13"/>
        <v/>
      </c>
      <c r="P361" s="10" t="str">
        <f t="shared" si="14"/>
        <v/>
      </c>
      <c r="W361" s="6" t="s">
        <v>1140</v>
      </c>
    </row>
    <row r="362" spans="1:23" ht="51" x14ac:dyDescent="0.2">
      <c r="A362" s="7">
        <v>361</v>
      </c>
      <c r="B362" s="52" t="s">
        <v>641</v>
      </c>
      <c r="C362" s="8" t="s">
        <v>383</v>
      </c>
      <c r="D362" s="7" t="s">
        <v>35</v>
      </c>
      <c r="E362" s="7" t="s">
        <v>30</v>
      </c>
      <c r="G362" s="7" t="b">
        <v>0</v>
      </c>
      <c r="M362" s="9" t="str" cm="1">
        <f t="array" ref="M362">PAGE_NAME(B362)</f>
        <v>StructureDefinition-us-core-diagnosticreport-note</v>
      </c>
      <c r="N362" s="9" t="str" cm="1">
        <f t="array" ref="N362">SECTION_NAME(B362)</f>
        <v>mandatory-and-must-support-data-elements</v>
      </c>
      <c r="O362" s="10" t="str">
        <f t="shared" si="13"/>
        <v>MAY</v>
      </c>
      <c r="P362" s="10" t="str">
        <f t="shared" si="14"/>
        <v/>
      </c>
    </row>
    <row r="363" spans="1:23" ht="51" x14ac:dyDescent="0.2">
      <c r="A363" s="7">
        <v>362</v>
      </c>
      <c r="B363" s="52" t="s">
        <v>641</v>
      </c>
      <c r="C363" s="8" t="s">
        <v>1045</v>
      </c>
      <c r="D363" s="7" t="s">
        <v>35</v>
      </c>
      <c r="E363" s="7" t="s">
        <v>30</v>
      </c>
      <c r="G363" s="7" t="b">
        <v>0</v>
      </c>
      <c r="M363" s="9" t="str" cm="1">
        <f t="array" ref="M363">PAGE_NAME(B363)</f>
        <v>StructureDefinition-us-core-diagnosticreport-note</v>
      </c>
      <c r="N363" s="9" t="str" cm="1">
        <f t="array" ref="N363">SECTION_NAME(B363)</f>
        <v>mandatory-and-must-support-data-elements</v>
      </c>
      <c r="O363" s="10" t="str">
        <f t="shared" si="13"/>
        <v>MAY</v>
      </c>
      <c r="P363" s="10" t="str">
        <f t="shared" si="14"/>
        <v>Server</v>
      </c>
    </row>
    <row r="364" spans="1:23" ht="34" x14ac:dyDescent="0.2">
      <c r="A364" s="7">
        <v>363</v>
      </c>
      <c r="B364" s="52" t="s">
        <v>641</v>
      </c>
      <c r="C364" s="8" t="s">
        <v>1046</v>
      </c>
      <c r="D364" s="7" t="s">
        <v>64</v>
      </c>
      <c r="E364" s="7" t="s">
        <v>30</v>
      </c>
      <c r="G364" s="7" t="b">
        <v>0</v>
      </c>
      <c r="M364" s="9" t="str" cm="1">
        <f t="array" ref="M364">PAGE_NAME(B364)</f>
        <v>StructureDefinition-us-core-diagnosticreport-note</v>
      </c>
      <c r="N364" s="9" t="str" cm="1">
        <f t="array" ref="N364">SECTION_NAME(B364)</f>
        <v>mandatory-and-must-support-data-elements</v>
      </c>
      <c r="O364" s="10" t="str">
        <f t="shared" si="13"/>
        <v/>
      </c>
      <c r="P364" s="10" t="str">
        <f t="shared" si="14"/>
        <v>Server</v>
      </c>
      <c r="V364" s="12" t="s">
        <v>938</v>
      </c>
    </row>
    <row r="365" spans="1:23" ht="102" x14ac:dyDescent="0.2">
      <c r="A365" s="7">
        <v>364</v>
      </c>
      <c r="B365" s="52" t="s">
        <v>641</v>
      </c>
      <c r="C365" s="8" t="s">
        <v>384</v>
      </c>
      <c r="D365" s="7" t="s">
        <v>32</v>
      </c>
      <c r="E365" s="7" t="s">
        <v>30</v>
      </c>
      <c r="G365" s="7" t="b">
        <v>1</v>
      </c>
      <c r="H365" s="12" t="s">
        <v>385</v>
      </c>
      <c r="M365" s="9" t="str" cm="1">
        <f t="array" ref="M365">PAGE_NAME(B365)</f>
        <v>StructureDefinition-us-core-diagnosticreport-note</v>
      </c>
      <c r="N365" s="9" t="str" cm="1">
        <f t="array" ref="N365">SECTION_NAME(B365)</f>
        <v>mandatory-and-must-support-data-elements</v>
      </c>
      <c r="O365" s="10" t="str">
        <f t="shared" si="13"/>
        <v>SHOULD</v>
      </c>
      <c r="P365" s="10" t="str">
        <f t="shared" si="14"/>
        <v/>
      </c>
      <c r="V365" s="12" t="s">
        <v>386</v>
      </c>
    </row>
    <row r="366" spans="1:23" ht="221" x14ac:dyDescent="0.2">
      <c r="A366" s="7">
        <v>365</v>
      </c>
      <c r="B366" s="52" t="s">
        <v>869</v>
      </c>
      <c r="C366" s="8" t="s">
        <v>763</v>
      </c>
      <c r="D366" s="7" t="s">
        <v>29</v>
      </c>
      <c r="E366" s="7" t="s">
        <v>30</v>
      </c>
      <c r="G366" s="7" t="b">
        <v>0</v>
      </c>
      <c r="M366" s="9" t="str" cm="1">
        <f t="array" ref="M366">PAGE_NAME(B366)</f>
        <v>StructureDefinition-us-core-documentreference</v>
      </c>
      <c r="N366" s="9" t="str" cm="1">
        <f t="array" ref="N366">SECTION_NAME(B366)</f>
        <v>mandatory-and-must-support-data-elements</v>
      </c>
      <c r="O366" s="10" t="str">
        <f t="shared" si="13"/>
        <v/>
      </c>
      <c r="P366" s="10" t="str">
        <f t="shared" si="14"/>
        <v/>
      </c>
      <c r="V366" s="12" t="s">
        <v>764</v>
      </c>
      <c r="W366" s="6" t="s">
        <v>1140</v>
      </c>
    </row>
    <row r="367" spans="1:23" ht="68" x14ac:dyDescent="0.2">
      <c r="A367" s="7">
        <v>366</v>
      </c>
      <c r="B367" s="52" t="s">
        <v>869</v>
      </c>
      <c r="C367" s="8" t="s">
        <v>870</v>
      </c>
      <c r="D367" s="7" t="s">
        <v>35</v>
      </c>
      <c r="E367" s="7" t="s">
        <v>30</v>
      </c>
      <c r="G367" s="7" t="b">
        <v>0</v>
      </c>
      <c r="M367" s="9" t="str" cm="1">
        <f t="array" ref="M367">PAGE_NAME(B367)</f>
        <v>StructureDefinition-us-core-documentreference</v>
      </c>
      <c r="N367" s="9" t="str" cm="1">
        <f t="array" ref="N367">SECTION_NAME(B367)</f>
        <v>mandatory-and-must-support-data-elements</v>
      </c>
      <c r="O367" s="10" t="str">
        <f t="shared" si="13"/>
        <v>MAY</v>
      </c>
      <c r="P367" s="10" t="str">
        <f t="shared" si="14"/>
        <v/>
      </c>
    </row>
    <row r="368" spans="1:23" ht="102" x14ac:dyDescent="0.2">
      <c r="A368" s="7">
        <v>367</v>
      </c>
      <c r="B368" s="52" t="s">
        <v>869</v>
      </c>
      <c r="C368" s="8" t="s">
        <v>387</v>
      </c>
      <c r="D368" s="7" t="s">
        <v>35</v>
      </c>
      <c r="E368" s="7" t="s">
        <v>30</v>
      </c>
      <c r="G368" s="7" t="b">
        <v>0</v>
      </c>
      <c r="M368" s="9" t="str" cm="1">
        <f t="array" ref="M368">PAGE_NAME(B368)</f>
        <v>StructureDefinition-us-core-documentreference</v>
      </c>
      <c r="N368" s="9" t="str" cm="1">
        <f t="array" ref="N368">SECTION_NAME(B368)</f>
        <v>mandatory-and-must-support-data-elements</v>
      </c>
      <c r="O368" s="10" t="str">
        <f t="shared" si="13"/>
        <v>MAY</v>
      </c>
      <c r="P368" s="10" t="str">
        <f t="shared" si="14"/>
        <v/>
      </c>
    </row>
    <row r="369" spans="1:23" ht="119" x14ac:dyDescent="0.2">
      <c r="A369" s="7">
        <v>368</v>
      </c>
      <c r="B369" s="52" t="s">
        <v>869</v>
      </c>
      <c r="C369" s="8" t="s">
        <v>1047</v>
      </c>
      <c r="D369" s="7" t="s">
        <v>29</v>
      </c>
      <c r="E369" s="7" t="s">
        <v>30</v>
      </c>
      <c r="G369" s="7" t="b">
        <v>1</v>
      </c>
      <c r="H369" s="12" t="s">
        <v>388</v>
      </c>
      <c r="M369" s="9" t="str" cm="1">
        <f t="array" ref="M369">PAGE_NAME(B369)</f>
        <v>StructureDefinition-us-core-documentreference</v>
      </c>
      <c r="N369" s="9" t="str" cm="1">
        <f t="array" ref="N369">SECTION_NAME(B369)</f>
        <v>mandatory-and-must-support-data-elements</v>
      </c>
      <c r="O369" s="10" t="str">
        <f t="shared" si="13"/>
        <v>SHALL</v>
      </c>
      <c r="P369" s="10" t="str">
        <f t="shared" si="14"/>
        <v>Server</v>
      </c>
      <c r="W369" s="6" t="s">
        <v>1140</v>
      </c>
    </row>
    <row r="370" spans="1:23" ht="34" x14ac:dyDescent="0.2">
      <c r="A370" s="7">
        <v>369</v>
      </c>
      <c r="B370" s="52" t="s">
        <v>869</v>
      </c>
      <c r="C370" s="8" t="s">
        <v>939</v>
      </c>
      <c r="D370" s="7" t="s">
        <v>29</v>
      </c>
      <c r="E370" s="7" t="s">
        <v>58</v>
      </c>
      <c r="G370" s="7" t="b">
        <v>0</v>
      </c>
      <c r="M370" s="9" t="str" cm="1">
        <f t="array" ref="M370">PAGE_NAME(B370)</f>
        <v>StructureDefinition-us-core-documentreference</v>
      </c>
      <c r="N370" s="9" t="str" cm="1">
        <f t="array" ref="N370">SECTION_NAME(B370)</f>
        <v>mandatory-and-must-support-data-elements</v>
      </c>
      <c r="O370" s="10" t="str">
        <f t="shared" si="13"/>
        <v>SHALL</v>
      </c>
      <c r="P370" s="10" t="str">
        <f t="shared" si="14"/>
        <v>Client</v>
      </c>
    </row>
    <row r="371" spans="1:23" ht="34" x14ac:dyDescent="0.2">
      <c r="A371" s="7">
        <v>370</v>
      </c>
      <c r="B371" s="52" t="s">
        <v>869</v>
      </c>
      <c r="C371" s="8" t="s">
        <v>940</v>
      </c>
      <c r="D371" s="7" t="s">
        <v>29</v>
      </c>
      <c r="E371" s="7" t="s">
        <v>58</v>
      </c>
      <c r="G371" s="7" t="b">
        <v>0</v>
      </c>
      <c r="M371" s="9" t="str" cm="1">
        <f t="array" ref="M371">PAGE_NAME(B371)</f>
        <v>StructureDefinition-us-core-documentreference</v>
      </c>
      <c r="N371" s="9" t="str" cm="1">
        <f t="array" ref="N371">SECTION_NAME(B371)</f>
        <v>mandatory-and-must-support-data-elements</v>
      </c>
      <c r="O371" s="10" t="str">
        <f t="shared" si="13"/>
        <v>SHALL</v>
      </c>
      <c r="P371" s="10" t="str">
        <f t="shared" si="14"/>
        <v>Client</v>
      </c>
    </row>
    <row r="372" spans="1:23" ht="34" x14ac:dyDescent="0.2">
      <c r="A372" s="7">
        <v>371</v>
      </c>
      <c r="B372" s="52" t="s">
        <v>869</v>
      </c>
      <c r="C372" s="8" t="s">
        <v>389</v>
      </c>
      <c r="D372" s="7" t="s">
        <v>64</v>
      </c>
      <c r="E372" s="7" t="s">
        <v>30</v>
      </c>
      <c r="G372" s="7" t="b">
        <v>0</v>
      </c>
      <c r="M372" s="9" t="str" cm="1">
        <f t="array" ref="M372">PAGE_NAME(B372)</f>
        <v>StructureDefinition-us-core-documentreference</v>
      </c>
      <c r="N372" s="9" t="str" cm="1">
        <f t="array" ref="N372">SECTION_NAME(B372)</f>
        <v>mandatory-and-must-support-data-elements</v>
      </c>
      <c r="O372" s="10" t="str">
        <f t="shared" si="13"/>
        <v>SHOULD</v>
      </c>
      <c r="P372" s="10" t="str">
        <f t="shared" si="14"/>
        <v/>
      </c>
      <c r="V372" s="12" t="s">
        <v>646</v>
      </c>
    </row>
    <row r="373" spans="1:23" ht="51" x14ac:dyDescent="0.2">
      <c r="A373" s="7">
        <v>372</v>
      </c>
      <c r="B373" s="52" t="s">
        <v>869</v>
      </c>
      <c r="C373" s="8" t="s">
        <v>390</v>
      </c>
      <c r="D373" s="7" t="s">
        <v>29</v>
      </c>
      <c r="E373" s="7" t="s">
        <v>30</v>
      </c>
      <c r="G373" s="7" t="b">
        <v>0</v>
      </c>
      <c r="M373" s="9" t="str" cm="1">
        <f t="array" ref="M373">PAGE_NAME(B373)</f>
        <v>StructureDefinition-us-core-documentreference</v>
      </c>
      <c r="N373" s="9" t="str" cm="1">
        <f t="array" ref="N373">SECTION_NAME(B373)</f>
        <v>mandatory-and-must-support-data-elements</v>
      </c>
      <c r="O373" s="10" t="str">
        <f t="shared" si="13"/>
        <v>SHALL</v>
      </c>
      <c r="P373" s="10" t="str">
        <f t="shared" si="14"/>
        <v/>
      </c>
      <c r="W373" s="6" t="s">
        <v>1141</v>
      </c>
    </row>
    <row r="374" spans="1:23" ht="34" x14ac:dyDescent="0.2">
      <c r="A374" s="7">
        <v>373</v>
      </c>
      <c r="B374" s="52" t="s">
        <v>869</v>
      </c>
      <c r="C374" s="8" t="s">
        <v>391</v>
      </c>
      <c r="D374" s="7" t="s">
        <v>54</v>
      </c>
      <c r="E374" s="7" t="s">
        <v>30</v>
      </c>
      <c r="G374" s="7" t="b">
        <v>0</v>
      </c>
      <c r="M374" s="9" t="str" cm="1">
        <f t="array" ref="M374">PAGE_NAME(B374)</f>
        <v>StructureDefinition-us-core-documentreference</v>
      </c>
      <c r="N374" s="9" t="str" cm="1">
        <f t="array" ref="N374">SECTION_NAME(B374)</f>
        <v>mandatory-and-must-support-data-elements</v>
      </c>
      <c r="O374" s="10" t="str">
        <f t="shared" si="13"/>
        <v>SHALL</v>
      </c>
      <c r="P374" s="10" t="str">
        <f t="shared" si="14"/>
        <v/>
      </c>
      <c r="W374" s="6" t="s">
        <v>1141</v>
      </c>
    </row>
    <row r="375" spans="1:23" ht="85" x14ac:dyDescent="0.2">
      <c r="A375" s="7">
        <v>374</v>
      </c>
      <c r="B375" s="52" t="s">
        <v>869</v>
      </c>
      <c r="C375" s="8" t="s">
        <v>392</v>
      </c>
      <c r="D375" s="7" t="s">
        <v>29</v>
      </c>
      <c r="E375" s="7" t="s">
        <v>30</v>
      </c>
      <c r="G375" s="7" t="b">
        <v>0</v>
      </c>
      <c r="M375" s="9" t="str" cm="1">
        <f t="array" ref="M375">PAGE_NAME(B375)</f>
        <v>StructureDefinition-us-core-documentreference</v>
      </c>
      <c r="N375" s="9" t="str" cm="1">
        <f t="array" ref="N375">SECTION_NAME(B375)</f>
        <v>mandatory-and-must-support-data-elements</v>
      </c>
      <c r="O375" s="10" t="str">
        <f t="shared" ref="O375:O438" si="15">IF(ISNUMBER(SEARCH("MAY", C375)), "MAY", IF(ISNUMBER(SEARCH("SHOULD", C375)), "SHOULD", IF(ISNUMBER(SEARCH("SHALL", C375)), "SHALL", IF(ISNUMBER(SEARCH("SHOULD NOT", C375)), "SHOULD NOT", IF(ISNUMBER(SEARCH("SHALL NOT", C375)), "SHALL NOT", "")))))</f>
        <v>SHALL</v>
      </c>
      <c r="P375" s="10" t="str">
        <f t="shared" ref="P375:P438" si="16">IF(ISNUMBER(SEARCH("Server", C375)), "Server", IF(ISNUMBER(SEARCH("Server", C375)), "Server", IF(ISNUMBER(SEARCH("Client", C375)), "Client", IF(ISNUMBER(SEARCH("Client", C375)), "Client", IF(ISNUMBER(SEARCH("US Core Responder", C375)), "Server", IF(ISNUMBER(SEARCH("US Core Requestor", C375)), "Client", ""))))))</f>
        <v/>
      </c>
      <c r="W375" s="6" t="s">
        <v>1140</v>
      </c>
    </row>
    <row r="376" spans="1:23" ht="68" x14ac:dyDescent="0.2">
      <c r="A376" s="7">
        <v>375</v>
      </c>
      <c r="B376" s="52" t="s">
        <v>765</v>
      </c>
      <c r="C376" s="8" t="s">
        <v>1048</v>
      </c>
      <c r="D376" s="7" t="s">
        <v>29</v>
      </c>
      <c r="E376" s="7" t="s">
        <v>30</v>
      </c>
      <c r="G376" s="7" t="b">
        <v>1</v>
      </c>
      <c r="H376" s="12" t="s">
        <v>393</v>
      </c>
      <c r="M376" s="9" t="str" cm="1">
        <f t="array" ref="M376">PAGE_NAME(B376)</f>
        <v>StructureDefinition-us-core-encounter</v>
      </c>
      <c r="N376" s="9" t="str" cm="1">
        <f t="array" ref="N376">SECTION_NAME(B376)</f>
        <v>mandatory-and-must-support-data-elements</v>
      </c>
      <c r="O376" s="10" t="str">
        <f t="shared" si="15"/>
        <v>SHALL</v>
      </c>
      <c r="P376" s="10" t="str">
        <f t="shared" si="16"/>
        <v>Server</v>
      </c>
      <c r="W376" s="6" t="s">
        <v>1140</v>
      </c>
    </row>
    <row r="377" spans="1:23" ht="17" x14ac:dyDescent="0.2">
      <c r="A377" s="7">
        <v>376</v>
      </c>
      <c r="B377" s="52" t="s">
        <v>765</v>
      </c>
      <c r="C377" s="8" t="s">
        <v>941</v>
      </c>
      <c r="D377" s="7" t="s">
        <v>29</v>
      </c>
      <c r="E377" s="7" t="s">
        <v>58</v>
      </c>
      <c r="G377" s="7" t="b">
        <v>0</v>
      </c>
      <c r="H377" s="12" t="s">
        <v>394</v>
      </c>
      <c r="M377" s="9" t="str" cm="1">
        <f t="array" ref="M377">PAGE_NAME(B377)</f>
        <v>StructureDefinition-us-core-encounter</v>
      </c>
      <c r="N377" s="9" t="str" cm="1">
        <f t="array" ref="N377">SECTION_NAME(B377)</f>
        <v>mandatory-and-must-support-data-elements</v>
      </c>
      <c r="O377" s="10" t="str">
        <f t="shared" si="15"/>
        <v>SHALL</v>
      </c>
      <c r="P377" s="10" t="str">
        <f t="shared" si="16"/>
        <v>Client</v>
      </c>
    </row>
    <row r="378" spans="1:23" ht="34" x14ac:dyDescent="0.2">
      <c r="A378" s="7">
        <v>377</v>
      </c>
      <c r="B378" s="52" t="s">
        <v>765</v>
      </c>
      <c r="C378" s="8" t="s">
        <v>942</v>
      </c>
      <c r="D378" s="7" t="s">
        <v>29</v>
      </c>
      <c r="E378" s="7" t="s">
        <v>58</v>
      </c>
      <c r="G378" s="7" t="b">
        <v>0</v>
      </c>
      <c r="M378" s="9" t="str" cm="1">
        <f t="array" ref="M378">PAGE_NAME(B378)</f>
        <v>StructureDefinition-us-core-encounter</v>
      </c>
      <c r="N378" s="9" t="str" cm="1">
        <f t="array" ref="N378">SECTION_NAME(B378)</f>
        <v>mandatory-and-must-support-data-elements</v>
      </c>
      <c r="O378" s="10" t="str">
        <f t="shared" si="15"/>
        <v>SHALL</v>
      </c>
      <c r="P378" s="10" t="str">
        <f t="shared" si="16"/>
        <v>Client</v>
      </c>
    </row>
    <row r="379" spans="1:23" ht="102" x14ac:dyDescent="0.2">
      <c r="A379" s="7">
        <v>378</v>
      </c>
      <c r="B379" s="52" t="s">
        <v>765</v>
      </c>
      <c r="C379" s="8" t="s">
        <v>395</v>
      </c>
      <c r="D379" s="7" t="s">
        <v>32</v>
      </c>
      <c r="E379" s="7" t="s">
        <v>30</v>
      </c>
      <c r="G379" s="7" t="b">
        <v>1</v>
      </c>
      <c r="H379" s="12" t="s">
        <v>396</v>
      </c>
      <c r="M379" s="9" t="str" cm="1">
        <f t="array" ref="M379">PAGE_NAME(B379)</f>
        <v>StructureDefinition-us-core-encounter</v>
      </c>
      <c r="N379" s="9" t="str" cm="1">
        <f t="array" ref="N379">SECTION_NAME(B379)</f>
        <v>mandatory-and-must-support-data-elements</v>
      </c>
      <c r="O379" s="10" t="str">
        <f t="shared" si="15"/>
        <v>SHOULD</v>
      </c>
      <c r="P379" s="10" t="str">
        <f t="shared" si="16"/>
        <v/>
      </c>
    </row>
    <row r="380" spans="1:23" ht="68" x14ac:dyDescent="0.2">
      <c r="A380" s="7">
        <v>379</v>
      </c>
      <c r="B380" s="52" t="s">
        <v>765</v>
      </c>
      <c r="C380" s="8" t="s">
        <v>1049</v>
      </c>
      <c r="D380" s="7" t="s">
        <v>29</v>
      </c>
      <c r="E380" s="7" t="s">
        <v>30</v>
      </c>
      <c r="G380" s="7" t="b">
        <v>1</v>
      </c>
      <c r="H380" s="12" t="s">
        <v>397</v>
      </c>
      <c r="M380" s="9" t="str" cm="1">
        <f t="array" ref="M380">PAGE_NAME(B380)</f>
        <v>StructureDefinition-us-core-encounter</v>
      </c>
      <c r="N380" s="9" t="str" cm="1">
        <f t="array" ref="N380">SECTION_NAME(B380)</f>
        <v>mandatory-and-must-support-data-elements</v>
      </c>
      <c r="O380" s="10" t="str">
        <f t="shared" si="15"/>
        <v>SHALL</v>
      </c>
      <c r="P380" s="10" t="str">
        <f t="shared" si="16"/>
        <v>Server</v>
      </c>
      <c r="W380" s="6" t="s">
        <v>1140</v>
      </c>
    </row>
    <row r="381" spans="1:23" ht="34" x14ac:dyDescent="0.2">
      <c r="A381" s="7">
        <v>380</v>
      </c>
      <c r="B381" s="52" t="s">
        <v>765</v>
      </c>
      <c r="C381" s="8" t="s">
        <v>943</v>
      </c>
      <c r="D381" s="7" t="s">
        <v>29</v>
      </c>
      <c r="E381" s="7" t="s">
        <v>58</v>
      </c>
      <c r="G381" s="7" t="b">
        <v>0</v>
      </c>
      <c r="M381" s="9" t="str" cm="1">
        <f t="array" ref="M381">PAGE_NAME(B381)</f>
        <v>StructureDefinition-us-core-encounter</v>
      </c>
      <c r="N381" s="9" t="str" cm="1">
        <f t="array" ref="N381">SECTION_NAME(B381)</f>
        <v>mandatory-and-must-support-data-elements</v>
      </c>
      <c r="O381" s="10" t="str">
        <f t="shared" si="15"/>
        <v>SHALL</v>
      </c>
      <c r="P381" s="10" t="str">
        <f t="shared" si="16"/>
        <v>Client</v>
      </c>
    </row>
    <row r="382" spans="1:23" ht="34" x14ac:dyDescent="0.2">
      <c r="A382" s="7">
        <v>381</v>
      </c>
      <c r="B382" s="52" t="s">
        <v>765</v>
      </c>
      <c r="C382" s="8" t="s">
        <v>944</v>
      </c>
      <c r="D382" s="7" t="s">
        <v>29</v>
      </c>
      <c r="E382" s="7" t="s">
        <v>58</v>
      </c>
      <c r="G382" s="7" t="b">
        <v>0</v>
      </c>
      <c r="M382" s="9" t="str" cm="1">
        <f t="array" ref="M382">PAGE_NAME(B382)</f>
        <v>StructureDefinition-us-core-encounter</v>
      </c>
      <c r="N382" s="9" t="str" cm="1">
        <f t="array" ref="N382">SECTION_NAME(B382)</f>
        <v>mandatory-and-must-support-data-elements</v>
      </c>
      <c r="O382" s="10" t="str">
        <f t="shared" si="15"/>
        <v>SHALL</v>
      </c>
      <c r="P382" s="10" t="str">
        <f t="shared" si="16"/>
        <v>Client</v>
      </c>
    </row>
    <row r="383" spans="1:23" ht="34" x14ac:dyDescent="0.2">
      <c r="A383" s="7">
        <v>382</v>
      </c>
      <c r="B383" s="52" t="s">
        <v>871</v>
      </c>
      <c r="C383" s="8" t="s">
        <v>398</v>
      </c>
      <c r="D383" s="7" t="s">
        <v>29</v>
      </c>
      <c r="E383" s="7" t="s">
        <v>30</v>
      </c>
      <c r="G383" s="7" t="b">
        <v>1</v>
      </c>
      <c r="H383" s="12" t="s">
        <v>399</v>
      </c>
      <c r="M383" s="9" t="str" cm="1">
        <f t="array" ref="M383">PAGE_NAME(B383)</f>
        <v>StructureDefinition-us-core-location</v>
      </c>
      <c r="N383" s="9" t="str" cm="1">
        <f t="array" ref="N383">SECTION_NAME(B383)</f>
        <v>mandatory-and-must-support-data-elements</v>
      </c>
      <c r="O383" s="10" t="str">
        <f t="shared" si="15"/>
        <v>SHOULD</v>
      </c>
      <c r="P383" s="10" t="str">
        <f t="shared" si="16"/>
        <v/>
      </c>
      <c r="W383" s="6" t="s">
        <v>1141</v>
      </c>
    </row>
    <row r="384" spans="1:23" ht="51" x14ac:dyDescent="0.2">
      <c r="A384" s="7">
        <v>383</v>
      </c>
      <c r="B384" s="52" t="s">
        <v>871</v>
      </c>
      <c r="C384" s="8" t="s">
        <v>400</v>
      </c>
      <c r="D384" s="7" t="s">
        <v>29</v>
      </c>
      <c r="E384" s="7" t="s">
        <v>30</v>
      </c>
      <c r="G384" s="7" t="b">
        <v>1</v>
      </c>
      <c r="H384" s="12" t="s">
        <v>399</v>
      </c>
      <c r="M384" s="9" t="str" cm="1">
        <f t="array" ref="M384">PAGE_NAME(B384)</f>
        <v>StructureDefinition-us-core-location</v>
      </c>
      <c r="N384" s="9" t="str" cm="1">
        <f t="array" ref="N384">SECTION_NAME(B384)</f>
        <v>mandatory-and-must-support-data-elements</v>
      </c>
      <c r="O384" s="10" t="str">
        <f t="shared" si="15"/>
        <v>SHALL</v>
      </c>
      <c r="P384" s="10" t="str">
        <f t="shared" si="16"/>
        <v/>
      </c>
      <c r="W384" s="6" t="s">
        <v>1141</v>
      </c>
    </row>
    <row r="385" spans="1:23" ht="102" x14ac:dyDescent="0.2">
      <c r="A385" s="7">
        <v>384</v>
      </c>
      <c r="B385" s="52" t="s">
        <v>871</v>
      </c>
      <c r="C385" s="8" t="s">
        <v>401</v>
      </c>
      <c r="D385" s="7" t="s">
        <v>35</v>
      </c>
      <c r="E385" s="7" t="s">
        <v>30</v>
      </c>
      <c r="G385" s="7" t="b">
        <v>1</v>
      </c>
      <c r="H385" s="12" t="s">
        <v>399</v>
      </c>
      <c r="M385" s="9" t="str" cm="1">
        <f t="array" ref="M385">PAGE_NAME(B385)</f>
        <v>StructureDefinition-us-core-location</v>
      </c>
      <c r="N385" s="9" t="str" cm="1">
        <f t="array" ref="N385">SECTION_NAME(B385)</f>
        <v>mandatory-and-must-support-data-elements</v>
      </c>
      <c r="O385" s="10" t="str">
        <f t="shared" si="15"/>
        <v>MAY</v>
      </c>
      <c r="P385" s="10" t="str">
        <f t="shared" si="16"/>
        <v/>
      </c>
    </row>
    <row r="386" spans="1:23" ht="85" x14ac:dyDescent="0.2">
      <c r="A386" s="7">
        <v>385</v>
      </c>
      <c r="B386" s="52" t="s">
        <v>765</v>
      </c>
      <c r="C386" s="8" t="s">
        <v>1092</v>
      </c>
      <c r="D386" s="7" t="s">
        <v>32</v>
      </c>
      <c r="E386" s="7" t="s">
        <v>30</v>
      </c>
      <c r="G386" s="7" t="b">
        <v>0</v>
      </c>
      <c r="M386" s="9" t="str" cm="1">
        <f t="array" ref="M386">PAGE_NAME(B386)</f>
        <v>StructureDefinition-us-core-encounter</v>
      </c>
      <c r="N386" s="9" t="str" cm="1">
        <f t="array" ref="N386">SECTION_NAME(B386)</f>
        <v>mandatory-and-must-support-data-elements</v>
      </c>
      <c r="O386" s="10" t="str">
        <f t="shared" si="15"/>
        <v>SHOULD</v>
      </c>
      <c r="P386" s="10" t="str">
        <f t="shared" si="16"/>
        <v/>
      </c>
      <c r="V386" s="12" t="s">
        <v>767</v>
      </c>
    </row>
    <row r="387" spans="1:23" ht="85" x14ac:dyDescent="0.2">
      <c r="A387" s="7">
        <v>386</v>
      </c>
      <c r="B387" s="52" t="s">
        <v>765</v>
      </c>
      <c r="C387" s="8" t="s">
        <v>1093</v>
      </c>
      <c r="D387" s="7" t="s">
        <v>32</v>
      </c>
      <c r="E387" s="7" t="s">
        <v>30</v>
      </c>
      <c r="G387" s="7" t="b">
        <v>0</v>
      </c>
      <c r="M387" s="9" t="str" cm="1">
        <f t="array" ref="M387">PAGE_NAME(B387)</f>
        <v>StructureDefinition-us-core-encounter</v>
      </c>
      <c r="N387" s="9" t="str" cm="1">
        <f t="array" ref="N387">SECTION_NAME(B387)</f>
        <v>mandatory-and-must-support-data-elements</v>
      </c>
      <c r="O387" s="10" t="str">
        <f t="shared" si="15"/>
        <v>SHOULD</v>
      </c>
      <c r="P387" s="10" t="str">
        <f t="shared" si="16"/>
        <v/>
      </c>
      <c r="V387" s="12" t="s">
        <v>767</v>
      </c>
    </row>
    <row r="388" spans="1:23" ht="51" x14ac:dyDescent="0.2">
      <c r="A388" s="7">
        <v>387</v>
      </c>
      <c r="B388" s="52" t="s">
        <v>872</v>
      </c>
      <c r="C388" s="8" t="s">
        <v>1050</v>
      </c>
      <c r="D388" s="7" t="s">
        <v>29</v>
      </c>
      <c r="E388" s="7" t="s">
        <v>30</v>
      </c>
      <c r="G388" s="7" t="b">
        <v>1</v>
      </c>
      <c r="M388" s="9" t="str" cm="1">
        <f t="array" ref="M388">PAGE_NAME(B388)</f>
        <v>StructureDefinition-us-core-goal</v>
      </c>
      <c r="N388" s="9" t="str" cm="1">
        <f t="array" ref="N388">SECTION_NAME(B388)</f>
        <v>mandatory-and-must-support-data-elements</v>
      </c>
      <c r="O388" s="10" t="str">
        <f t="shared" si="15"/>
        <v>SHALL</v>
      </c>
      <c r="P388" s="10" t="str">
        <f t="shared" si="16"/>
        <v>Server</v>
      </c>
      <c r="W388" s="6" t="s">
        <v>1140</v>
      </c>
    </row>
    <row r="389" spans="1:23" ht="17" x14ac:dyDescent="0.2">
      <c r="A389" s="7">
        <v>388</v>
      </c>
      <c r="B389" s="52" t="s">
        <v>872</v>
      </c>
      <c r="C389" s="8" t="s">
        <v>945</v>
      </c>
      <c r="D389" s="7" t="s">
        <v>29</v>
      </c>
      <c r="E389" s="7" t="s">
        <v>58</v>
      </c>
      <c r="G389" s="7" t="b">
        <v>0</v>
      </c>
      <c r="M389" s="9" t="str" cm="1">
        <f t="array" ref="M389">PAGE_NAME(B389)</f>
        <v>StructureDefinition-us-core-goal</v>
      </c>
      <c r="N389" s="9" t="str" cm="1">
        <f t="array" ref="N389">SECTION_NAME(B389)</f>
        <v>mandatory-and-must-support-data-elements</v>
      </c>
      <c r="O389" s="10" t="str">
        <f t="shared" si="15"/>
        <v>SHALL</v>
      </c>
      <c r="P389" s="10" t="str">
        <f t="shared" si="16"/>
        <v>Client</v>
      </c>
    </row>
    <row r="390" spans="1:23" ht="17" x14ac:dyDescent="0.2">
      <c r="A390" s="7">
        <v>389</v>
      </c>
      <c r="B390" s="52" t="s">
        <v>872</v>
      </c>
      <c r="C390" s="8" t="s">
        <v>946</v>
      </c>
      <c r="D390" s="7" t="s">
        <v>29</v>
      </c>
      <c r="E390" s="7" t="s">
        <v>58</v>
      </c>
      <c r="G390" s="7" t="b">
        <v>0</v>
      </c>
      <c r="M390" s="9" t="str" cm="1">
        <f t="array" ref="M390">PAGE_NAME(B390)</f>
        <v>StructureDefinition-us-core-goal</v>
      </c>
      <c r="N390" s="9" t="str" cm="1">
        <f t="array" ref="N390">SECTION_NAME(B390)</f>
        <v>mandatory-and-must-support-data-elements</v>
      </c>
      <c r="O390" s="10" t="str">
        <f t="shared" si="15"/>
        <v>SHALL</v>
      </c>
      <c r="P390" s="10" t="str">
        <f t="shared" si="16"/>
        <v>Client</v>
      </c>
    </row>
    <row r="391" spans="1:23" ht="34" x14ac:dyDescent="0.2">
      <c r="A391" s="7">
        <v>390</v>
      </c>
      <c r="B391" s="52" t="s">
        <v>773</v>
      </c>
      <c r="C391" s="8" t="s">
        <v>402</v>
      </c>
      <c r="D391" s="7" t="s">
        <v>29</v>
      </c>
      <c r="E391" s="7" t="s">
        <v>30</v>
      </c>
      <c r="G391" s="7" t="b">
        <v>0</v>
      </c>
      <c r="M391" s="9" t="str" cm="1">
        <f t="array" ref="M391">PAGE_NAME(B391)</f>
        <v>StructureDefinition-us-core-immunization</v>
      </c>
      <c r="N391" s="9" t="str" cm="1">
        <f t="array" ref="N391">SECTION_NAME(B391)</f>
        <v>mandatory-and-must-support-data-elements</v>
      </c>
      <c r="O391" s="10" t="str">
        <f t="shared" si="15"/>
        <v>SHALL</v>
      </c>
      <c r="P391" s="10" t="str">
        <f t="shared" si="16"/>
        <v>Server</v>
      </c>
      <c r="W391" s="6" t="s">
        <v>1141</v>
      </c>
    </row>
    <row r="392" spans="1:23" ht="68" x14ac:dyDescent="0.2">
      <c r="A392" s="7">
        <v>391</v>
      </c>
      <c r="B392" s="52" t="s">
        <v>773</v>
      </c>
      <c r="C392" s="8" t="s">
        <v>403</v>
      </c>
      <c r="D392" s="7" t="s">
        <v>29</v>
      </c>
      <c r="E392" s="7" t="s">
        <v>30</v>
      </c>
      <c r="G392" s="7" t="b">
        <v>1</v>
      </c>
      <c r="H392" s="12" t="s">
        <v>404</v>
      </c>
      <c r="M392" s="9" t="str" cm="1">
        <f t="array" ref="M392">PAGE_NAME(B392)</f>
        <v>StructureDefinition-us-core-immunization</v>
      </c>
      <c r="N392" s="9" t="str" cm="1">
        <f t="array" ref="N392">SECTION_NAME(B392)</f>
        <v>mandatory-and-must-support-data-elements</v>
      </c>
      <c r="O392" s="10" t="str">
        <f t="shared" si="15"/>
        <v/>
      </c>
      <c r="P392" s="10" t="str">
        <f t="shared" si="16"/>
        <v/>
      </c>
      <c r="V392" s="12" t="s">
        <v>405</v>
      </c>
      <c r="W392" s="6" t="s">
        <v>1140</v>
      </c>
    </row>
    <row r="393" spans="1:23" ht="102" x14ac:dyDescent="0.2">
      <c r="A393" s="7">
        <v>392</v>
      </c>
      <c r="B393" s="52" t="s">
        <v>773</v>
      </c>
      <c r="C393" s="8" t="s">
        <v>770</v>
      </c>
      <c r="D393" s="7" t="s">
        <v>32</v>
      </c>
      <c r="E393" s="7" t="s">
        <v>30</v>
      </c>
      <c r="G393" s="7" t="b">
        <v>0</v>
      </c>
      <c r="M393" s="9" t="str" cm="1">
        <f t="array" ref="M393">PAGE_NAME(B393)</f>
        <v>StructureDefinition-us-core-immunization</v>
      </c>
      <c r="N393" s="9" t="str" cm="1">
        <f t="array" ref="N393">SECTION_NAME(B393)</f>
        <v>mandatory-and-must-support-data-elements</v>
      </c>
      <c r="O393" s="10" t="str">
        <f t="shared" si="15"/>
        <v>SHOULD</v>
      </c>
      <c r="P393" s="10" t="str">
        <f t="shared" si="16"/>
        <v/>
      </c>
      <c r="V393" s="12" t="s">
        <v>771</v>
      </c>
    </row>
    <row r="394" spans="1:23" ht="51" x14ac:dyDescent="0.2">
      <c r="A394" s="7">
        <v>393</v>
      </c>
      <c r="B394" s="52" t="s">
        <v>773</v>
      </c>
      <c r="C394" s="8" t="s">
        <v>406</v>
      </c>
      <c r="D394" s="7" t="s">
        <v>32</v>
      </c>
      <c r="E394" s="7" t="s">
        <v>30</v>
      </c>
      <c r="G394" s="7" t="b">
        <v>0</v>
      </c>
      <c r="M394" s="9" t="str" cm="1">
        <f t="array" ref="M394">PAGE_NAME(B394)</f>
        <v>StructureDefinition-us-core-immunization</v>
      </c>
      <c r="N394" s="9" t="str" cm="1">
        <f t="array" ref="N394">SECTION_NAME(B394)</f>
        <v>mandatory-and-must-support-data-elements</v>
      </c>
      <c r="O394" s="10" t="str">
        <f t="shared" si="15"/>
        <v/>
      </c>
      <c r="P394" s="10" t="str">
        <f t="shared" si="16"/>
        <v/>
      </c>
    </row>
    <row r="395" spans="1:23" ht="51" x14ac:dyDescent="0.2">
      <c r="A395" s="7">
        <v>394</v>
      </c>
      <c r="B395" s="52" t="s">
        <v>773</v>
      </c>
      <c r="C395" s="8" t="s">
        <v>407</v>
      </c>
      <c r="D395" s="7" t="s">
        <v>32</v>
      </c>
      <c r="E395" s="7" t="s">
        <v>30</v>
      </c>
      <c r="G395" s="7" t="b">
        <v>0</v>
      </c>
      <c r="M395" s="9" t="str" cm="1">
        <f t="array" ref="M395">PAGE_NAME(B395)</f>
        <v>StructureDefinition-us-core-immunization</v>
      </c>
      <c r="N395" s="9" t="str" cm="1">
        <f t="array" ref="N395">SECTION_NAME(B395)</f>
        <v>mandatory-and-must-support-data-elements</v>
      </c>
      <c r="O395" s="10" t="str">
        <f t="shared" si="15"/>
        <v/>
      </c>
      <c r="P395" s="10" t="str">
        <f t="shared" si="16"/>
        <v/>
      </c>
    </row>
    <row r="396" spans="1:23" ht="102" x14ac:dyDescent="0.2">
      <c r="A396" s="7">
        <v>395</v>
      </c>
      <c r="B396" s="52" t="s">
        <v>873</v>
      </c>
      <c r="C396" s="8" t="s">
        <v>408</v>
      </c>
      <c r="D396" s="7" t="s">
        <v>32</v>
      </c>
      <c r="E396" s="7" t="s">
        <v>30</v>
      </c>
      <c r="G396" s="7" t="b">
        <v>0</v>
      </c>
      <c r="M396" s="9" t="str" cm="1">
        <f t="array" ref="M396">PAGE_NAME(B396)</f>
        <v>StructureDefinition-us-core-location</v>
      </c>
      <c r="N396" s="9" t="str" cm="1">
        <f t="array" ref="N396">SECTION_NAME(B396)</f>
        <v>mandatory-and-must-support-data-elements</v>
      </c>
      <c r="O396" s="10" t="str">
        <f t="shared" si="15"/>
        <v>SHOULD</v>
      </c>
      <c r="P396" s="10" t="str">
        <f t="shared" si="16"/>
        <v/>
      </c>
    </row>
    <row r="397" spans="1:23" ht="102" x14ac:dyDescent="0.2">
      <c r="A397" s="7">
        <v>396</v>
      </c>
      <c r="B397" s="52" t="s">
        <v>873</v>
      </c>
      <c r="C397" s="8" t="s">
        <v>409</v>
      </c>
      <c r="D397" s="7" t="s">
        <v>32</v>
      </c>
      <c r="E397" s="7" t="s">
        <v>30</v>
      </c>
      <c r="G397" s="7" t="b">
        <v>0</v>
      </c>
      <c r="M397" s="9" t="str" cm="1">
        <f t="array" ref="M397">PAGE_NAME(B397)</f>
        <v>StructureDefinition-us-core-location</v>
      </c>
      <c r="N397" s="9" t="str" cm="1">
        <f t="array" ref="N397">SECTION_NAME(B397)</f>
        <v>mandatory-and-must-support-data-elements</v>
      </c>
      <c r="O397" s="10" t="str">
        <f t="shared" si="15"/>
        <v>SHOULD</v>
      </c>
      <c r="P397" s="10" t="str">
        <f t="shared" si="16"/>
        <v/>
      </c>
    </row>
    <row r="398" spans="1:23" ht="51" x14ac:dyDescent="0.2">
      <c r="A398" s="7">
        <v>397</v>
      </c>
      <c r="B398" s="52" t="s">
        <v>874</v>
      </c>
      <c r="C398" s="8" t="s">
        <v>410</v>
      </c>
      <c r="D398" s="7" t="s">
        <v>29</v>
      </c>
      <c r="E398" s="7" t="s">
        <v>30</v>
      </c>
      <c r="G398" s="7" t="b">
        <v>1</v>
      </c>
      <c r="H398" s="12" t="s">
        <v>411</v>
      </c>
      <c r="M398" s="9" t="str" cm="1">
        <f t="array" ref="M398">PAGE_NAME(B398)</f>
        <v>StructureDefinition-us-core-medicationrequest</v>
      </c>
      <c r="N398" s="9" t="str" cm="1">
        <f t="array" ref="N398">SECTION_NAME(B398)</f>
        <v>mandatory-and-must-support-data-elements</v>
      </c>
      <c r="O398" s="10" t="str">
        <f t="shared" si="15"/>
        <v/>
      </c>
      <c r="P398" s="10" t="str">
        <f t="shared" si="16"/>
        <v/>
      </c>
      <c r="W398" s="6" t="s">
        <v>1140</v>
      </c>
    </row>
    <row r="399" spans="1:23" ht="85" x14ac:dyDescent="0.2">
      <c r="A399" s="7">
        <v>398</v>
      </c>
      <c r="B399" s="52" t="s">
        <v>874</v>
      </c>
      <c r="C399" s="8" t="s">
        <v>412</v>
      </c>
      <c r="D399" s="7" t="s">
        <v>35</v>
      </c>
      <c r="E399" s="7" t="s">
        <v>30</v>
      </c>
      <c r="G399" s="7" t="b">
        <v>1</v>
      </c>
      <c r="H399" s="12" t="s">
        <v>411</v>
      </c>
      <c r="M399" s="9" t="str" cm="1">
        <f t="array" ref="M399">PAGE_NAME(B399)</f>
        <v>StructureDefinition-us-core-medicationrequest</v>
      </c>
      <c r="N399" s="9" t="str" cm="1">
        <f t="array" ref="N399">SECTION_NAME(B399)</f>
        <v>mandatory-and-must-support-data-elements</v>
      </c>
      <c r="O399" s="10" t="str">
        <f t="shared" si="15"/>
        <v/>
      </c>
      <c r="P399" s="10" t="str">
        <f t="shared" si="16"/>
        <v/>
      </c>
    </row>
    <row r="400" spans="1:23" ht="51" x14ac:dyDescent="0.2">
      <c r="A400" s="7">
        <v>399</v>
      </c>
      <c r="B400" s="52" t="s">
        <v>874</v>
      </c>
      <c r="C400" s="8" t="s">
        <v>413</v>
      </c>
      <c r="D400" s="7" t="s">
        <v>35</v>
      </c>
      <c r="E400" s="7" t="s">
        <v>30</v>
      </c>
      <c r="G400" s="7" t="b">
        <v>0</v>
      </c>
      <c r="M400" s="9" t="str" cm="1">
        <f t="array" ref="M400">PAGE_NAME(B400)</f>
        <v>StructureDefinition-us-core-medicationrequest</v>
      </c>
      <c r="N400" s="9" t="str" cm="1">
        <f t="array" ref="N400">SECTION_NAME(B400)</f>
        <v>mandatory-and-must-support-data-elements</v>
      </c>
      <c r="O400" s="10" t="str">
        <f t="shared" si="15"/>
        <v>MAY</v>
      </c>
      <c r="P400" s="10" t="str">
        <f t="shared" si="16"/>
        <v/>
      </c>
    </row>
    <row r="401" spans="1:23" ht="51" x14ac:dyDescent="0.2">
      <c r="A401" s="7">
        <v>400</v>
      </c>
      <c r="B401" s="52" t="s">
        <v>874</v>
      </c>
      <c r="C401" s="8" t="s">
        <v>414</v>
      </c>
      <c r="D401" s="7" t="s">
        <v>35</v>
      </c>
      <c r="E401" s="7" t="s">
        <v>30</v>
      </c>
      <c r="G401" s="7" t="b">
        <v>0</v>
      </c>
      <c r="M401" s="9" t="str" cm="1">
        <f t="array" ref="M401">PAGE_NAME(B401)</f>
        <v>StructureDefinition-us-core-medicationrequest</v>
      </c>
      <c r="N401" s="9" t="str" cm="1">
        <f t="array" ref="N401">SECTION_NAME(B401)</f>
        <v>mandatory-and-must-support-data-elements</v>
      </c>
      <c r="O401" s="10" t="str">
        <f t="shared" si="15"/>
        <v>MAY</v>
      </c>
      <c r="P401" s="10" t="str">
        <f t="shared" si="16"/>
        <v/>
      </c>
    </row>
    <row r="402" spans="1:23" ht="68" x14ac:dyDescent="0.2">
      <c r="A402" s="7">
        <v>401</v>
      </c>
      <c r="B402" s="52" t="s">
        <v>874</v>
      </c>
      <c r="C402" s="8" t="s">
        <v>1051</v>
      </c>
      <c r="D402" s="7" t="s">
        <v>29</v>
      </c>
      <c r="E402" s="7" t="s">
        <v>30</v>
      </c>
      <c r="G402" s="7" t="b">
        <v>1</v>
      </c>
      <c r="H402" s="12" t="s">
        <v>415</v>
      </c>
      <c r="M402" s="9" t="str" cm="1">
        <f t="array" ref="M402">PAGE_NAME(B402)</f>
        <v>StructureDefinition-us-core-medicationrequest</v>
      </c>
      <c r="N402" s="9" t="str" cm="1">
        <f t="array" ref="N402">SECTION_NAME(B402)</f>
        <v>mandatory-and-must-support-data-elements</v>
      </c>
      <c r="O402" s="10" t="str">
        <f t="shared" si="15"/>
        <v>SHALL</v>
      </c>
      <c r="P402" s="10" t="str">
        <f t="shared" si="16"/>
        <v>Server</v>
      </c>
      <c r="W402" s="6" t="s">
        <v>1140</v>
      </c>
    </row>
    <row r="403" spans="1:23" ht="68" x14ac:dyDescent="0.2">
      <c r="A403" s="7">
        <v>402</v>
      </c>
      <c r="B403" s="52" t="s">
        <v>874</v>
      </c>
      <c r="C403" s="8" t="s">
        <v>1052</v>
      </c>
      <c r="D403" s="7" t="s">
        <v>29</v>
      </c>
      <c r="E403" s="7" t="s">
        <v>30</v>
      </c>
      <c r="G403" s="7" t="b">
        <v>1</v>
      </c>
      <c r="H403" s="12" t="s">
        <v>416</v>
      </c>
      <c r="M403" s="9" t="str" cm="1">
        <f t="array" ref="M403">PAGE_NAME(B403)</f>
        <v>StructureDefinition-us-core-medicationrequest</v>
      </c>
      <c r="N403" s="9" t="str" cm="1">
        <f t="array" ref="N403">SECTION_NAME(B403)</f>
        <v>mandatory-and-must-support-data-elements</v>
      </c>
      <c r="O403" s="10" t="str">
        <f t="shared" si="15"/>
        <v>SHALL</v>
      </c>
      <c r="P403" s="10" t="str">
        <f t="shared" si="16"/>
        <v>Server</v>
      </c>
      <c r="W403" s="6" t="s">
        <v>1140</v>
      </c>
    </row>
    <row r="404" spans="1:23" ht="51" x14ac:dyDescent="0.2">
      <c r="A404" s="7">
        <v>403</v>
      </c>
      <c r="B404" s="52" t="s">
        <v>874</v>
      </c>
      <c r="C404" s="8" t="s">
        <v>947</v>
      </c>
      <c r="D404" s="7" t="s">
        <v>29</v>
      </c>
      <c r="E404" s="7" t="s">
        <v>58</v>
      </c>
      <c r="G404" s="7" t="b">
        <v>0</v>
      </c>
      <c r="M404" s="9" t="str" cm="1">
        <f t="array" ref="M404">PAGE_NAME(B404)</f>
        <v>StructureDefinition-us-core-medicationrequest</v>
      </c>
      <c r="N404" s="9" t="str" cm="1">
        <f t="array" ref="N404">SECTION_NAME(B404)</f>
        <v>mandatory-and-must-support-data-elements</v>
      </c>
      <c r="O404" s="10" t="str">
        <f t="shared" si="15"/>
        <v>SHALL</v>
      </c>
      <c r="P404" s="10" t="str">
        <f t="shared" si="16"/>
        <v>Client</v>
      </c>
    </row>
    <row r="405" spans="1:23" ht="51" x14ac:dyDescent="0.2">
      <c r="A405" s="7">
        <v>404</v>
      </c>
      <c r="B405" s="52" t="s">
        <v>874</v>
      </c>
      <c r="C405" s="8" t="s">
        <v>948</v>
      </c>
      <c r="D405" s="7" t="s">
        <v>29</v>
      </c>
      <c r="E405" s="7" t="s">
        <v>58</v>
      </c>
      <c r="G405" s="7" t="b">
        <v>0</v>
      </c>
      <c r="M405" s="9" t="str" cm="1">
        <f t="array" ref="M405">PAGE_NAME(B405)</f>
        <v>StructureDefinition-us-core-medicationrequest</v>
      </c>
      <c r="N405" s="9" t="str" cm="1">
        <f t="array" ref="N405">SECTION_NAME(B405)</f>
        <v>mandatory-and-must-support-data-elements</v>
      </c>
      <c r="O405" s="10" t="str">
        <f t="shared" si="15"/>
        <v>SHALL</v>
      </c>
      <c r="P405" s="10" t="str">
        <f t="shared" si="16"/>
        <v>Client</v>
      </c>
    </row>
    <row r="406" spans="1:23" ht="85" x14ac:dyDescent="0.2">
      <c r="A406" s="7">
        <v>405</v>
      </c>
      <c r="B406" s="52" t="s">
        <v>775</v>
      </c>
      <c r="C406" s="8" t="s">
        <v>1053</v>
      </c>
      <c r="D406" s="7" t="s">
        <v>29</v>
      </c>
      <c r="E406" s="7" t="s">
        <v>30</v>
      </c>
      <c r="G406" s="7" t="b">
        <v>1</v>
      </c>
      <c r="H406" s="12" t="s">
        <v>404</v>
      </c>
      <c r="M406" s="9" t="str" cm="1">
        <f t="array" ref="M406">PAGE_NAME(B406)</f>
        <v>StructureDefinition-us-core-medicationrequest</v>
      </c>
      <c r="N406" s="9" t="str" cm="1">
        <f t="array" ref="N406">SECTION_NAME(B406)</f>
        <v>mandatory-and-must-support-data-elements</v>
      </c>
      <c r="O406" s="10" t="str">
        <f t="shared" si="15"/>
        <v>SHALL</v>
      </c>
      <c r="P406" s="10" t="str">
        <f t="shared" si="16"/>
        <v>Server</v>
      </c>
      <c r="V406" s="12" t="s">
        <v>405</v>
      </c>
      <c r="W406" s="6" t="s">
        <v>1140</v>
      </c>
    </row>
    <row r="407" spans="1:23" ht="85" x14ac:dyDescent="0.2">
      <c r="A407" s="7">
        <v>406</v>
      </c>
      <c r="B407" s="52" t="s">
        <v>775</v>
      </c>
      <c r="C407" s="8" t="s">
        <v>1054</v>
      </c>
      <c r="D407" s="7" t="s">
        <v>29</v>
      </c>
      <c r="E407" s="7" t="s">
        <v>30</v>
      </c>
      <c r="G407" s="7" t="b">
        <v>1</v>
      </c>
      <c r="H407" s="12" t="s">
        <v>404</v>
      </c>
      <c r="M407" s="9" t="str" cm="1">
        <f t="array" ref="M407">PAGE_NAME(B407)</f>
        <v>StructureDefinition-us-core-medicationrequest</v>
      </c>
      <c r="N407" s="9" t="str" cm="1">
        <f t="array" ref="N407">SECTION_NAME(B407)</f>
        <v>mandatory-and-must-support-data-elements</v>
      </c>
      <c r="O407" s="10" t="str">
        <f t="shared" si="15"/>
        <v>SHALL</v>
      </c>
      <c r="P407" s="10" t="str">
        <f t="shared" si="16"/>
        <v>Server</v>
      </c>
      <c r="V407" s="12" t="s">
        <v>405</v>
      </c>
      <c r="W407" s="6" t="s">
        <v>1140</v>
      </c>
    </row>
    <row r="408" spans="1:23" ht="51" x14ac:dyDescent="0.2">
      <c r="A408" s="7">
        <v>407</v>
      </c>
      <c r="B408" s="52" t="s">
        <v>775</v>
      </c>
      <c r="C408" s="8" t="s">
        <v>417</v>
      </c>
      <c r="D408" s="7" t="s">
        <v>32</v>
      </c>
      <c r="E408" s="7" t="s">
        <v>30</v>
      </c>
      <c r="G408" s="7" t="b">
        <v>0</v>
      </c>
      <c r="M408" s="9" t="str" cm="1">
        <f t="array" ref="M408">PAGE_NAME(B408)</f>
        <v>StructureDefinition-us-core-medicationrequest</v>
      </c>
      <c r="N408" s="9" t="str" cm="1">
        <f t="array" ref="N408">SECTION_NAME(B408)</f>
        <v>mandatory-and-must-support-data-elements</v>
      </c>
      <c r="O408" s="10" t="str">
        <f t="shared" si="15"/>
        <v>SHOULD</v>
      </c>
      <c r="P408" s="10" t="str">
        <f t="shared" si="16"/>
        <v/>
      </c>
    </row>
    <row r="409" spans="1:23" ht="102" x14ac:dyDescent="0.2">
      <c r="A409" s="7">
        <v>408</v>
      </c>
      <c r="B409" s="52" t="s">
        <v>775</v>
      </c>
      <c r="C409" s="8" t="s">
        <v>1055</v>
      </c>
      <c r="D409" s="7" t="s">
        <v>29</v>
      </c>
      <c r="E409" s="7" t="s">
        <v>30</v>
      </c>
      <c r="G409" s="7" t="b">
        <v>1</v>
      </c>
      <c r="H409" s="12" t="s">
        <v>418</v>
      </c>
      <c r="M409" s="9" t="str" cm="1">
        <f t="array" ref="M409">PAGE_NAME(B409)</f>
        <v>StructureDefinition-us-core-medicationrequest</v>
      </c>
      <c r="N409" s="9" t="str" cm="1">
        <f t="array" ref="N409">SECTION_NAME(B409)</f>
        <v>mandatory-and-must-support-data-elements</v>
      </c>
      <c r="O409" s="10" t="str">
        <f t="shared" si="15"/>
        <v>SHALL</v>
      </c>
      <c r="P409" s="10" t="str">
        <f t="shared" si="16"/>
        <v>Server</v>
      </c>
      <c r="W409" s="6" t="s">
        <v>1140</v>
      </c>
    </row>
    <row r="410" spans="1:23" ht="34" x14ac:dyDescent="0.2">
      <c r="A410" s="7">
        <v>409</v>
      </c>
      <c r="B410" s="52" t="s">
        <v>775</v>
      </c>
      <c r="C410" s="8" t="s">
        <v>949</v>
      </c>
      <c r="D410" s="7" t="s">
        <v>29</v>
      </c>
      <c r="E410" s="7" t="s">
        <v>58</v>
      </c>
      <c r="G410" s="7" t="b">
        <v>0</v>
      </c>
      <c r="M410" s="9" t="str" cm="1">
        <f t="array" ref="M410">PAGE_NAME(B410)</f>
        <v>StructureDefinition-us-core-medicationrequest</v>
      </c>
      <c r="N410" s="9" t="str" cm="1">
        <f t="array" ref="N410">SECTION_NAME(B410)</f>
        <v>mandatory-and-must-support-data-elements</v>
      </c>
      <c r="O410" s="10" t="str">
        <f t="shared" si="15"/>
        <v>SHALL</v>
      </c>
      <c r="P410" s="10" t="str">
        <f t="shared" si="16"/>
        <v>Client</v>
      </c>
    </row>
    <row r="411" spans="1:23" ht="34" x14ac:dyDescent="0.2">
      <c r="A411" s="7">
        <v>410</v>
      </c>
      <c r="B411" s="52" t="s">
        <v>775</v>
      </c>
      <c r="C411" s="8" t="s">
        <v>950</v>
      </c>
      <c r="D411" s="7" t="s">
        <v>29</v>
      </c>
      <c r="E411" s="7" t="s">
        <v>58</v>
      </c>
      <c r="G411" s="7" t="b">
        <v>0</v>
      </c>
      <c r="M411" s="9" t="str" cm="1">
        <f t="array" ref="M411">PAGE_NAME(B411)</f>
        <v>StructureDefinition-us-core-medicationrequest</v>
      </c>
      <c r="N411" s="9" t="str" cm="1">
        <f t="array" ref="N411">SECTION_NAME(B411)</f>
        <v>mandatory-and-must-support-data-elements</v>
      </c>
      <c r="O411" s="10" t="str">
        <f t="shared" si="15"/>
        <v>SHALL</v>
      </c>
      <c r="P411" s="10" t="str">
        <f t="shared" si="16"/>
        <v>Client</v>
      </c>
    </row>
    <row r="412" spans="1:23" ht="136" x14ac:dyDescent="0.2">
      <c r="A412" s="7">
        <v>411</v>
      </c>
      <c r="B412" s="52" t="s">
        <v>775</v>
      </c>
      <c r="C412" s="8" t="s">
        <v>1056</v>
      </c>
      <c r="D412" s="7" t="s">
        <v>29</v>
      </c>
      <c r="E412" s="7" t="s">
        <v>30</v>
      </c>
      <c r="G412" s="7" t="b">
        <v>1</v>
      </c>
      <c r="H412" s="12" t="s">
        <v>1057</v>
      </c>
      <c r="M412" s="9" t="str" cm="1">
        <f t="array" ref="M412">PAGE_NAME(B412)</f>
        <v>StructureDefinition-us-core-medicationrequest</v>
      </c>
      <c r="N412" s="9" t="str" cm="1">
        <f t="array" ref="N412">SECTION_NAME(B412)</f>
        <v>mandatory-and-must-support-data-elements</v>
      </c>
      <c r="O412" s="10" t="str">
        <f t="shared" si="15"/>
        <v>SHALL</v>
      </c>
      <c r="P412" s="10" t="str">
        <f t="shared" si="16"/>
        <v>Server</v>
      </c>
      <c r="V412" s="12" t="s">
        <v>405</v>
      </c>
      <c r="W412" s="6" t="s">
        <v>1140</v>
      </c>
    </row>
    <row r="413" spans="1:23" ht="51" x14ac:dyDescent="0.2">
      <c r="A413" s="7">
        <v>412</v>
      </c>
      <c r="B413" s="52" t="s">
        <v>775</v>
      </c>
      <c r="C413" s="8" t="s">
        <v>951</v>
      </c>
      <c r="D413" s="7" t="s">
        <v>29</v>
      </c>
      <c r="E413" s="7" t="s">
        <v>58</v>
      </c>
      <c r="G413" s="7" t="b">
        <v>1</v>
      </c>
      <c r="H413" s="12" t="s">
        <v>404</v>
      </c>
      <c r="M413" s="9" t="str" cm="1">
        <f t="array" ref="M413">PAGE_NAME(B413)</f>
        <v>StructureDefinition-us-core-medicationrequest</v>
      </c>
      <c r="N413" s="9" t="str" cm="1">
        <f t="array" ref="N413">SECTION_NAME(B413)</f>
        <v>mandatory-and-must-support-data-elements</v>
      </c>
      <c r="O413" s="10" t="str">
        <f t="shared" si="15"/>
        <v>SHALL</v>
      </c>
      <c r="P413" s="10" t="str">
        <f t="shared" si="16"/>
        <v>Client</v>
      </c>
      <c r="V413" s="12" t="s">
        <v>405</v>
      </c>
    </row>
    <row r="414" spans="1:23" ht="51" x14ac:dyDescent="0.2">
      <c r="A414" s="7">
        <v>413</v>
      </c>
      <c r="B414" s="52" t="s">
        <v>775</v>
      </c>
      <c r="C414" s="8" t="s">
        <v>952</v>
      </c>
      <c r="D414" s="7" t="s">
        <v>29</v>
      </c>
      <c r="E414" s="7" t="s">
        <v>58</v>
      </c>
      <c r="G414" s="7" t="b">
        <v>1</v>
      </c>
      <c r="H414" s="12" t="s">
        <v>404</v>
      </c>
      <c r="M414" s="9" t="str" cm="1">
        <f t="array" ref="M414">PAGE_NAME(B414)</f>
        <v>StructureDefinition-us-core-medicationrequest</v>
      </c>
      <c r="N414" s="9" t="str" cm="1">
        <f t="array" ref="N414">SECTION_NAME(B414)</f>
        <v>mandatory-and-must-support-data-elements</v>
      </c>
      <c r="O414" s="10" t="str">
        <f t="shared" si="15"/>
        <v>SHALL</v>
      </c>
      <c r="P414" s="10" t="str">
        <f t="shared" si="16"/>
        <v>Client</v>
      </c>
      <c r="V414" s="12" t="s">
        <v>405</v>
      </c>
    </row>
    <row r="415" spans="1:23" ht="102" x14ac:dyDescent="0.2">
      <c r="A415" s="7">
        <v>414</v>
      </c>
      <c r="B415" s="52" t="s">
        <v>775</v>
      </c>
      <c r="C415" s="8" t="s">
        <v>1058</v>
      </c>
      <c r="D415" s="7" t="s">
        <v>29</v>
      </c>
      <c r="E415" s="7" t="s">
        <v>30</v>
      </c>
      <c r="G415" s="7" t="b">
        <v>1</v>
      </c>
      <c r="H415" s="12" t="s">
        <v>419</v>
      </c>
      <c r="M415" s="9" t="str" cm="1">
        <f t="array" ref="M415">PAGE_NAME(B415)</f>
        <v>StructureDefinition-us-core-medicationrequest</v>
      </c>
      <c r="N415" s="9" t="str" cm="1">
        <f t="array" ref="N415">SECTION_NAME(B415)</f>
        <v>mandatory-and-must-support-data-elements</v>
      </c>
      <c r="O415" s="10" t="str">
        <f t="shared" si="15"/>
        <v>SHALL</v>
      </c>
      <c r="P415" s="10" t="str">
        <f t="shared" si="16"/>
        <v>Server</v>
      </c>
      <c r="V415" s="12" t="s">
        <v>405</v>
      </c>
      <c r="W415" s="6" t="s">
        <v>1140</v>
      </c>
    </row>
    <row r="416" spans="1:23" ht="51" x14ac:dyDescent="0.2">
      <c r="A416" s="7">
        <v>415</v>
      </c>
      <c r="B416" s="52" t="s">
        <v>775</v>
      </c>
      <c r="C416" s="8" t="s">
        <v>953</v>
      </c>
      <c r="D416" s="7" t="s">
        <v>29</v>
      </c>
      <c r="E416" s="7" t="s">
        <v>58</v>
      </c>
      <c r="G416" s="7" t="b">
        <v>1</v>
      </c>
      <c r="H416" s="12" t="s">
        <v>404</v>
      </c>
      <c r="M416" s="9" t="str" cm="1">
        <f t="array" ref="M416">PAGE_NAME(B416)</f>
        <v>StructureDefinition-us-core-medicationrequest</v>
      </c>
      <c r="N416" s="9" t="str" cm="1">
        <f t="array" ref="N416">SECTION_NAME(B416)</f>
        <v>mandatory-and-must-support-data-elements</v>
      </c>
      <c r="O416" s="10" t="str">
        <f t="shared" si="15"/>
        <v>SHALL</v>
      </c>
      <c r="P416" s="10" t="str">
        <f t="shared" si="16"/>
        <v>Client</v>
      </c>
      <c r="V416" s="12" t="s">
        <v>405</v>
      </c>
    </row>
    <row r="417" spans="1:23" ht="85" x14ac:dyDescent="0.2">
      <c r="A417" s="7">
        <v>416</v>
      </c>
      <c r="B417" s="52" t="s">
        <v>775</v>
      </c>
      <c r="C417" s="8" t="s">
        <v>875</v>
      </c>
      <c r="D417" s="7" t="s">
        <v>32</v>
      </c>
      <c r="E417" s="7" t="s">
        <v>30</v>
      </c>
      <c r="G417" s="7" t="b">
        <v>1</v>
      </c>
      <c r="H417" s="12" t="s">
        <v>404</v>
      </c>
      <c r="M417" s="9" t="str" cm="1">
        <f t="array" ref="M417">PAGE_NAME(B417)</f>
        <v>StructureDefinition-us-core-medicationrequest</v>
      </c>
      <c r="N417" s="9" t="str" cm="1">
        <f t="array" ref="N417">SECTION_NAME(B417)</f>
        <v>mandatory-and-must-support-data-elements</v>
      </c>
      <c r="O417" s="10" t="str">
        <f t="shared" si="15"/>
        <v>SHOULD</v>
      </c>
      <c r="P417" s="10" t="str">
        <f t="shared" si="16"/>
        <v/>
      </c>
      <c r="V417" s="12" t="s">
        <v>405</v>
      </c>
    </row>
    <row r="418" spans="1:23" ht="34" x14ac:dyDescent="0.2">
      <c r="A418" s="7">
        <v>417</v>
      </c>
      <c r="B418" s="52" t="s">
        <v>775</v>
      </c>
      <c r="C418" s="8" t="s">
        <v>420</v>
      </c>
      <c r="D418" s="7" t="s">
        <v>32</v>
      </c>
      <c r="E418" s="7" t="s">
        <v>30</v>
      </c>
      <c r="G418" s="7" t="b">
        <v>0</v>
      </c>
      <c r="M418" s="9" t="str" cm="1">
        <f t="array" ref="M418">PAGE_NAME(B418)</f>
        <v>StructureDefinition-us-core-medicationrequest</v>
      </c>
      <c r="N418" s="9" t="str" cm="1">
        <f t="array" ref="N418">SECTION_NAME(B418)</f>
        <v>mandatory-and-must-support-data-elements</v>
      </c>
      <c r="O418" s="10" t="str">
        <f t="shared" si="15"/>
        <v>SHOULD</v>
      </c>
      <c r="P418" s="10" t="str">
        <f t="shared" si="16"/>
        <v/>
      </c>
    </row>
    <row r="419" spans="1:23" ht="51" x14ac:dyDescent="0.2">
      <c r="A419" s="7">
        <v>418</v>
      </c>
      <c r="B419" s="52" t="s">
        <v>775</v>
      </c>
      <c r="C419" s="8" t="s">
        <v>421</v>
      </c>
      <c r="D419" s="7" t="s">
        <v>64</v>
      </c>
      <c r="E419" s="7" t="s">
        <v>30</v>
      </c>
      <c r="F419" s="8" t="s">
        <v>1107</v>
      </c>
      <c r="G419" s="7" t="b">
        <v>0</v>
      </c>
      <c r="M419" s="9" t="str" cm="1">
        <f t="array" ref="M419">PAGE_NAME(B419)</f>
        <v>StructureDefinition-us-core-medicationrequest</v>
      </c>
      <c r="N419" s="9" t="str" cm="1">
        <f t="array" ref="N419">SECTION_NAME(B419)</f>
        <v>mandatory-and-must-support-data-elements</v>
      </c>
      <c r="O419" s="10" t="str">
        <f t="shared" si="15"/>
        <v>SHALL</v>
      </c>
      <c r="P419" s="10" t="str">
        <f t="shared" si="16"/>
        <v>Server</v>
      </c>
      <c r="V419" s="12" t="s">
        <v>646</v>
      </c>
      <c r="W419" s="6" t="s">
        <v>1140</v>
      </c>
    </row>
    <row r="420" spans="1:23" ht="51" x14ac:dyDescent="0.2">
      <c r="A420" s="7">
        <v>419</v>
      </c>
      <c r="B420" s="52" t="s">
        <v>876</v>
      </c>
      <c r="C420" s="8" t="s">
        <v>422</v>
      </c>
      <c r="D420" s="7" t="s">
        <v>35</v>
      </c>
      <c r="E420" s="7" t="s">
        <v>30</v>
      </c>
      <c r="G420" s="7" t="b">
        <v>0</v>
      </c>
      <c r="M420" s="9" t="str" cm="1">
        <f t="array" ref="M420">PAGE_NAME(B420)</f>
        <v>StructureDefinition-us-core-treatment-intervention-preference</v>
      </c>
      <c r="N420" s="9" t="str" cm="1">
        <f t="array" ref="N420">SECTION_NAME(B420)</f>
        <v>mandatory-and-must-support-data-elements</v>
      </c>
      <c r="O420" s="10" t="str">
        <f t="shared" si="15"/>
        <v>MAY</v>
      </c>
      <c r="P420" s="10" t="str">
        <f t="shared" si="16"/>
        <v/>
      </c>
    </row>
    <row r="421" spans="1:23" ht="34" x14ac:dyDescent="0.2">
      <c r="A421" s="7">
        <v>420</v>
      </c>
      <c r="B421" s="52" t="s">
        <v>876</v>
      </c>
      <c r="C421" s="8" t="s">
        <v>423</v>
      </c>
      <c r="D421" s="7" t="s">
        <v>32</v>
      </c>
      <c r="E421" s="7" t="s">
        <v>30</v>
      </c>
      <c r="G421" s="7" t="b">
        <v>0</v>
      </c>
      <c r="M421" s="9" t="str" cm="1">
        <f t="array" ref="M421">PAGE_NAME(B421)</f>
        <v>StructureDefinition-us-core-treatment-intervention-preference</v>
      </c>
      <c r="N421" s="9" t="str" cm="1">
        <f t="array" ref="N421">SECTION_NAME(B421)</f>
        <v>mandatory-and-must-support-data-elements</v>
      </c>
      <c r="O421" s="10" t="str">
        <f t="shared" si="15"/>
        <v>SHOULD</v>
      </c>
      <c r="P421" s="10" t="str">
        <f t="shared" si="16"/>
        <v/>
      </c>
    </row>
    <row r="422" spans="1:23" ht="68" x14ac:dyDescent="0.2">
      <c r="A422" s="7">
        <v>421</v>
      </c>
      <c r="B422" s="52" t="s">
        <v>635</v>
      </c>
      <c r="C422" s="8" t="s">
        <v>424</v>
      </c>
      <c r="D422" s="7" t="s">
        <v>29</v>
      </c>
      <c r="E422" s="7" t="s">
        <v>30</v>
      </c>
      <c r="G422" s="7" t="b">
        <v>1</v>
      </c>
      <c r="H422" s="12" t="s">
        <v>425</v>
      </c>
      <c r="M422" s="9" t="str" cm="1">
        <f t="array" ref="M422">PAGE_NAME(B422)</f>
        <v>StructureDefinition-us-core-average-blood-pressure</v>
      </c>
      <c r="N422" s="9" t="str" cm="1">
        <f t="array" ref="N422">SECTION_NAME(B422)</f>
        <v>mandatory-and-must-support-data-elements</v>
      </c>
      <c r="O422" s="10" t="str">
        <f t="shared" si="15"/>
        <v>SHALL</v>
      </c>
      <c r="P422" s="10" t="str">
        <f t="shared" si="16"/>
        <v/>
      </c>
      <c r="W422" s="6" t="s">
        <v>1140</v>
      </c>
    </row>
    <row r="423" spans="1:23" ht="51" x14ac:dyDescent="0.2">
      <c r="A423" s="7">
        <v>422</v>
      </c>
      <c r="B423" s="52" t="s">
        <v>877</v>
      </c>
      <c r="C423" s="8" t="s">
        <v>426</v>
      </c>
      <c r="D423" s="7" t="s">
        <v>32</v>
      </c>
      <c r="E423" s="7" t="s">
        <v>30</v>
      </c>
      <c r="G423" s="7" t="b">
        <v>1</v>
      </c>
      <c r="H423" s="12" t="s">
        <v>427</v>
      </c>
      <c r="M423" s="9" t="str" cm="1">
        <f t="array" ref="M423">PAGE_NAME(B423)</f>
        <v>StructureDefinition-us-core-care-experience-preference</v>
      </c>
      <c r="N423" s="9" t="str" cm="1">
        <f t="array" ref="N423">SECTION_NAME(B423)</f>
        <v>mandatory-and-must-support-data-elements</v>
      </c>
      <c r="O423" s="10" t="str">
        <f t="shared" si="15"/>
        <v>SHOULD</v>
      </c>
      <c r="P423" s="10" t="str">
        <f t="shared" si="16"/>
        <v/>
      </c>
    </row>
    <row r="424" spans="1:23" ht="51" x14ac:dyDescent="0.2">
      <c r="A424" s="7">
        <v>423</v>
      </c>
      <c r="B424" s="52" t="s">
        <v>428</v>
      </c>
      <c r="C424" s="8" t="s">
        <v>429</v>
      </c>
      <c r="D424" s="7" t="s">
        <v>32</v>
      </c>
      <c r="E424" s="7" t="s">
        <v>30</v>
      </c>
      <c r="G424" s="7" t="b">
        <v>1</v>
      </c>
      <c r="H424" s="12" t="s">
        <v>430</v>
      </c>
      <c r="M424" s="9" t="str" cm="1">
        <f t="array" ref="M424">PAGE_NAME(B424)</f>
        <v>StructureDefinition-us-core-observation-clinical-result</v>
      </c>
      <c r="N424" s="9" t="str" cm="1">
        <f t="array" ref="N424">SECTION_NAME(B424)</f>
        <v>mandatory-and-must-support-data-elements</v>
      </c>
      <c r="O424" s="10" t="str">
        <f t="shared" si="15"/>
        <v>SHOULD</v>
      </c>
      <c r="P424" s="10" t="str">
        <f t="shared" si="16"/>
        <v>Server</v>
      </c>
    </row>
    <row r="425" spans="1:23" ht="51" x14ac:dyDescent="0.2">
      <c r="A425" s="7">
        <v>424</v>
      </c>
      <c r="B425" s="52" t="s">
        <v>431</v>
      </c>
      <c r="C425" s="8" t="s">
        <v>432</v>
      </c>
      <c r="D425" s="7" t="s">
        <v>32</v>
      </c>
      <c r="E425" s="7" t="s">
        <v>30</v>
      </c>
      <c r="G425" s="7" t="b">
        <v>1</v>
      </c>
      <c r="H425" s="12" t="s">
        <v>433</v>
      </c>
      <c r="M425" s="9" t="str" cm="1">
        <f t="array" ref="M425">PAGE_NAME(B425)</f>
        <v>StructureDefinition-us-core-observation-lab</v>
      </c>
      <c r="N425" s="9" t="str" cm="1">
        <f t="array" ref="N425">SECTION_NAME(B425)</f>
        <v>mandatory-and-must-support-data-elements</v>
      </c>
      <c r="O425" s="10" t="str">
        <f t="shared" si="15"/>
        <v>SHOULD</v>
      </c>
      <c r="P425" s="10" t="str">
        <f t="shared" si="16"/>
        <v/>
      </c>
    </row>
    <row r="426" spans="1:23" ht="85" x14ac:dyDescent="0.2">
      <c r="A426" s="7">
        <v>425</v>
      </c>
      <c r="B426" s="52" t="s">
        <v>434</v>
      </c>
      <c r="C426" s="8" t="s">
        <v>435</v>
      </c>
      <c r="D426" s="7" t="s">
        <v>29</v>
      </c>
      <c r="E426" s="7" t="s">
        <v>30</v>
      </c>
      <c r="G426" s="7" t="b">
        <v>1</v>
      </c>
      <c r="H426" s="12" t="s">
        <v>436</v>
      </c>
      <c r="M426" s="9" t="str" cm="1">
        <f t="array" ref="M426">PAGE_NAME(B426)</f>
        <v>StructureDefinition-us-core-observation-lab</v>
      </c>
      <c r="N426" s="9" t="str" cm="1">
        <f t="array" ref="N426">SECTION_NAME(B426)</f>
        <v>mandatory-and-must-support-data-elements</v>
      </c>
      <c r="O426" s="10" t="str">
        <f t="shared" si="15"/>
        <v>SHALL</v>
      </c>
      <c r="P426" s="10" t="str">
        <f t="shared" si="16"/>
        <v/>
      </c>
      <c r="W426" s="6" t="s">
        <v>1140</v>
      </c>
    </row>
    <row r="427" spans="1:23" ht="102" x14ac:dyDescent="0.2">
      <c r="A427" s="7">
        <v>426</v>
      </c>
      <c r="B427" s="52" t="s">
        <v>878</v>
      </c>
      <c r="C427" s="8" t="s">
        <v>437</v>
      </c>
      <c r="D427" s="7" t="s">
        <v>35</v>
      </c>
      <c r="E427" s="7" t="s">
        <v>30</v>
      </c>
      <c r="G427" s="7" t="b">
        <v>1</v>
      </c>
      <c r="H427" s="12" t="s">
        <v>438</v>
      </c>
      <c r="M427" s="9" t="str" cm="1">
        <f t="array" ref="M427">PAGE_NAME(B427)</f>
        <v>StructureDefinition-us-core-vital-signs</v>
      </c>
      <c r="N427" s="9" t="str" cm="1">
        <f t="array" ref="N427">SECTION_NAME(B427)</f>
        <v>mandatory-and-must-support-data-elements</v>
      </c>
      <c r="O427" s="10" t="str">
        <f t="shared" si="15"/>
        <v>MAY</v>
      </c>
      <c r="P427" s="10" t="str">
        <f t="shared" si="16"/>
        <v/>
      </c>
    </row>
    <row r="428" spans="1:23" ht="34" x14ac:dyDescent="0.2">
      <c r="A428" s="7">
        <v>427</v>
      </c>
      <c r="B428" s="52" t="s">
        <v>878</v>
      </c>
      <c r="C428" s="8" t="s">
        <v>439</v>
      </c>
      <c r="D428" s="7" t="s">
        <v>29</v>
      </c>
      <c r="E428" s="7" t="s">
        <v>30</v>
      </c>
      <c r="G428" s="7" t="b">
        <v>1</v>
      </c>
      <c r="H428" s="12" t="s">
        <v>440</v>
      </c>
      <c r="M428" s="9" t="str" cm="1">
        <f t="array" ref="M428">PAGE_NAME(B428)</f>
        <v>StructureDefinition-us-core-vital-signs</v>
      </c>
      <c r="N428" s="9" t="str" cm="1">
        <f t="array" ref="N428">SECTION_NAME(B428)</f>
        <v>mandatory-and-must-support-data-elements</v>
      </c>
      <c r="O428" s="10" t="str">
        <f t="shared" si="15"/>
        <v>SHALL</v>
      </c>
      <c r="P428" s="10" t="str">
        <f t="shared" si="16"/>
        <v/>
      </c>
      <c r="W428" s="6" t="s">
        <v>1140</v>
      </c>
    </row>
    <row r="429" spans="1:23" ht="136" x14ac:dyDescent="0.2">
      <c r="A429" s="7">
        <v>428</v>
      </c>
      <c r="B429" s="52" t="s">
        <v>878</v>
      </c>
      <c r="C429" s="8" t="s">
        <v>441</v>
      </c>
      <c r="D429" s="7" t="s">
        <v>35</v>
      </c>
      <c r="E429" s="7" t="s">
        <v>30</v>
      </c>
      <c r="G429" s="7" t="b">
        <v>1</v>
      </c>
      <c r="H429" s="12" t="s">
        <v>442</v>
      </c>
      <c r="M429" s="9" t="str" cm="1">
        <f t="array" ref="M429">PAGE_NAME(B429)</f>
        <v>StructureDefinition-us-core-vital-signs</v>
      </c>
      <c r="N429" s="9" t="str" cm="1">
        <f t="array" ref="N429">SECTION_NAME(B429)</f>
        <v>mandatory-and-must-support-data-elements</v>
      </c>
      <c r="O429" s="10" t="str">
        <f t="shared" si="15"/>
        <v>MAY</v>
      </c>
      <c r="P429" s="10" t="str">
        <f t="shared" si="16"/>
        <v/>
      </c>
    </row>
    <row r="430" spans="1:23" ht="34" x14ac:dyDescent="0.2">
      <c r="A430" s="7">
        <v>429</v>
      </c>
      <c r="B430" s="52" t="s">
        <v>878</v>
      </c>
      <c r="C430" s="8" t="s">
        <v>443</v>
      </c>
      <c r="D430" s="7" t="s">
        <v>35</v>
      </c>
      <c r="E430" s="7" t="s">
        <v>30</v>
      </c>
      <c r="G430" s="7" t="b">
        <v>1</v>
      </c>
      <c r="H430" s="12" t="s">
        <v>444</v>
      </c>
      <c r="M430" s="9" t="str" cm="1">
        <f t="array" ref="M430">PAGE_NAME(B430)</f>
        <v>StructureDefinition-us-core-vital-signs</v>
      </c>
      <c r="N430" s="9" t="str" cm="1">
        <f t="array" ref="N430">SECTION_NAME(B430)</f>
        <v>mandatory-and-must-support-data-elements</v>
      </c>
      <c r="O430" s="10" t="str">
        <f t="shared" si="15"/>
        <v>MAY</v>
      </c>
      <c r="P430" s="10" t="str">
        <f t="shared" si="16"/>
        <v/>
      </c>
    </row>
    <row r="431" spans="1:23" ht="51" x14ac:dyDescent="0.2">
      <c r="A431" s="7">
        <v>430</v>
      </c>
      <c r="B431" s="52" t="s">
        <v>445</v>
      </c>
      <c r="C431" s="8" t="s">
        <v>1086</v>
      </c>
      <c r="D431" s="7" t="s">
        <v>32</v>
      </c>
      <c r="E431" s="7" t="s">
        <v>30</v>
      </c>
      <c r="G431" s="7" t="b">
        <v>1</v>
      </c>
      <c r="H431" s="12" t="s">
        <v>446</v>
      </c>
      <c r="M431" s="9" t="str" cm="1">
        <f t="array" ref="M431">PAGE_NAME(B431)</f>
        <v>StructureDefinition-us-core-observation-lab</v>
      </c>
      <c r="N431" s="9" t="str" cm="1">
        <f t="array" ref="N431">SECTION_NAME(B431)</f>
        <v>mandatory-and-must-support-data-elements</v>
      </c>
      <c r="O431" s="10" t="str">
        <f t="shared" si="15"/>
        <v>SHOULD</v>
      </c>
      <c r="P431" s="10" t="str">
        <f t="shared" si="16"/>
        <v/>
      </c>
    </row>
    <row r="432" spans="1:23" ht="68" x14ac:dyDescent="0.2">
      <c r="A432" s="7">
        <v>431</v>
      </c>
      <c r="B432" s="52" t="s">
        <v>445</v>
      </c>
      <c r="C432" s="8" t="s">
        <v>1087</v>
      </c>
      <c r="D432" s="7" t="s">
        <v>32</v>
      </c>
      <c r="E432" s="7" t="s">
        <v>30</v>
      </c>
      <c r="G432" s="7" t="b">
        <v>1</v>
      </c>
      <c r="H432" s="12" t="s">
        <v>446</v>
      </c>
      <c r="M432" s="9" t="str" cm="1">
        <f t="array" ref="M432">PAGE_NAME(B432)</f>
        <v>StructureDefinition-us-core-observation-lab</v>
      </c>
      <c r="N432" s="9" t="str" cm="1">
        <f t="array" ref="N432">SECTION_NAME(B432)</f>
        <v>mandatory-and-must-support-data-elements</v>
      </c>
      <c r="O432" s="10" t="str">
        <f t="shared" si="15"/>
        <v>SHOULD</v>
      </c>
      <c r="P432" s="10" t="str">
        <f t="shared" si="16"/>
        <v/>
      </c>
    </row>
    <row r="433" spans="1:23" ht="51" x14ac:dyDescent="0.2">
      <c r="A433" s="7">
        <v>432</v>
      </c>
      <c r="B433" s="52" t="s">
        <v>447</v>
      </c>
      <c r="C433" s="8" t="s">
        <v>1059</v>
      </c>
      <c r="D433" s="7" t="s">
        <v>29</v>
      </c>
      <c r="E433" s="7" t="s">
        <v>30</v>
      </c>
      <c r="G433" s="7" t="b">
        <v>1</v>
      </c>
      <c r="H433" s="12" t="s">
        <v>448</v>
      </c>
      <c r="M433" s="9" t="str" cm="1">
        <f t="array" ref="M433">PAGE_NAME(B433)</f>
        <v>StructureDefinition-us-core-observation-occupation</v>
      </c>
      <c r="N433" s="9" t="str" cm="1">
        <f t="array" ref="N433">SECTION_NAME(B433)</f>
        <v>mandatory-and-must-support-data-elements</v>
      </c>
      <c r="O433" s="10" t="str">
        <f t="shared" si="15"/>
        <v>SHALL</v>
      </c>
      <c r="P433" s="10" t="str">
        <f t="shared" si="16"/>
        <v>Server</v>
      </c>
      <c r="W433" s="6" t="s">
        <v>1141</v>
      </c>
    </row>
    <row r="434" spans="1:23" ht="68" x14ac:dyDescent="0.2">
      <c r="A434" s="7">
        <v>433</v>
      </c>
      <c r="B434" s="52" t="s">
        <v>447</v>
      </c>
      <c r="C434" s="8" t="s">
        <v>1060</v>
      </c>
      <c r="D434" s="7" t="s">
        <v>29</v>
      </c>
      <c r="E434" s="7" t="s">
        <v>30</v>
      </c>
      <c r="G434" s="7" t="b">
        <v>0</v>
      </c>
      <c r="M434" s="9" t="str" cm="1">
        <f t="array" ref="M434">PAGE_NAME(B434)</f>
        <v>StructureDefinition-us-core-observation-occupation</v>
      </c>
      <c r="N434" s="9" t="str" cm="1">
        <f t="array" ref="N434">SECTION_NAME(B434)</f>
        <v>mandatory-and-must-support-data-elements</v>
      </c>
      <c r="O434" s="10" t="str">
        <f t="shared" si="15"/>
        <v>SHALL</v>
      </c>
      <c r="P434" s="10" t="str">
        <f t="shared" si="16"/>
        <v>Server</v>
      </c>
      <c r="W434" s="6" t="s">
        <v>1141</v>
      </c>
    </row>
    <row r="435" spans="1:23" ht="34" x14ac:dyDescent="0.2">
      <c r="A435" s="7">
        <v>434</v>
      </c>
      <c r="B435" s="52" t="s">
        <v>447</v>
      </c>
      <c r="C435" s="8" t="s">
        <v>1061</v>
      </c>
      <c r="D435" s="7" t="s">
        <v>29</v>
      </c>
      <c r="E435" s="7" t="s">
        <v>30</v>
      </c>
      <c r="G435" s="7" t="b">
        <v>0</v>
      </c>
      <c r="M435" s="9" t="str" cm="1">
        <f t="array" ref="M435">PAGE_NAME(B435)</f>
        <v>StructureDefinition-us-core-observation-occupation</v>
      </c>
      <c r="N435" s="9" t="str" cm="1">
        <f t="array" ref="N435">SECTION_NAME(B435)</f>
        <v>mandatory-and-must-support-data-elements</v>
      </c>
      <c r="O435" s="10" t="str">
        <f t="shared" si="15"/>
        <v>SHALL</v>
      </c>
      <c r="P435" s="10" t="str">
        <f t="shared" si="16"/>
        <v>Server</v>
      </c>
      <c r="W435" s="6" t="s">
        <v>1141</v>
      </c>
    </row>
    <row r="436" spans="1:23" ht="68" x14ac:dyDescent="0.2">
      <c r="A436" s="7">
        <v>435</v>
      </c>
      <c r="B436" s="52" t="s">
        <v>449</v>
      </c>
      <c r="C436" s="8" t="s">
        <v>1062</v>
      </c>
      <c r="D436" s="7" t="s">
        <v>29</v>
      </c>
      <c r="E436" s="7" t="s">
        <v>30</v>
      </c>
      <c r="G436" s="7" t="b">
        <v>0</v>
      </c>
      <c r="M436" s="9" t="str" cm="1">
        <f t="array" ref="M436">PAGE_NAME(B436)</f>
        <v>StructureDefinition-us-core-observation-pregnancyintent</v>
      </c>
      <c r="N436" s="9" t="str" cm="1">
        <f t="array" ref="N436">SECTION_NAME(B436)</f>
        <v>mandatory-and-must-support-data-elements</v>
      </c>
      <c r="O436" s="10" t="str">
        <f t="shared" si="15"/>
        <v>SHALL</v>
      </c>
      <c r="P436" s="10" t="str">
        <f t="shared" si="16"/>
        <v>Server</v>
      </c>
      <c r="W436" s="6" t="s">
        <v>1140</v>
      </c>
    </row>
    <row r="437" spans="1:23" ht="68" x14ac:dyDescent="0.2">
      <c r="A437" s="7">
        <v>436</v>
      </c>
      <c r="B437" s="52" t="s">
        <v>450</v>
      </c>
      <c r="C437" s="8" t="s">
        <v>1063</v>
      </c>
      <c r="D437" s="7" t="s">
        <v>29</v>
      </c>
      <c r="E437" s="7" t="s">
        <v>30</v>
      </c>
      <c r="G437" s="7" t="b">
        <v>0</v>
      </c>
      <c r="M437" s="9" t="str" cm="1">
        <f t="array" ref="M437">PAGE_NAME(B437)</f>
        <v>StructureDefinition-us-core-observation-pregnancystatus</v>
      </c>
      <c r="N437" s="9" t="str" cm="1">
        <f t="array" ref="N437">SECTION_NAME(B437)</f>
        <v>mandatory-and-must-support-data-elements</v>
      </c>
      <c r="O437" s="10" t="str">
        <f t="shared" si="15"/>
        <v>SHALL</v>
      </c>
      <c r="P437" s="10" t="str">
        <f t="shared" si="16"/>
        <v>Server</v>
      </c>
      <c r="W437" s="6" t="s">
        <v>1140</v>
      </c>
    </row>
    <row r="438" spans="1:23" ht="51" x14ac:dyDescent="0.2">
      <c r="A438" s="7">
        <v>437</v>
      </c>
      <c r="B438" s="52" t="s">
        <v>451</v>
      </c>
      <c r="C438" s="8" t="s">
        <v>452</v>
      </c>
      <c r="D438" s="7" t="s">
        <v>32</v>
      </c>
      <c r="E438" s="7" t="s">
        <v>30</v>
      </c>
      <c r="G438" s="7" t="b">
        <v>1</v>
      </c>
      <c r="H438" s="12" t="s">
        <v>453</v>
      </c>
      <c r="M438" s="9" t="str" cm="1">
        <f t="array" ref="M438">PAGE_NAME(B438)</f>
        <v>StructureDefinition-us-core-observation-screening-assessment</v>
      </c>
      <c r="N438" s="9" t="str" cm="1">
        <f t="array" ref="N438">SECTION_NAME(B438)</f>
        <v>mandatory-and-must-support-data-elements</v>
      </c>
      <c r="O438" s="10" t="str">
        <f t="shared" si="15"/>
        <v>SHOULD</v>
      </c>
      <c r="P438" s="10" t="str">
        <f t="shared" si="16"/>
        <v/>
      </c>
    </row>
    <row r="439" spans="1:23" ht="119" x14ac:dyDescent="0.2">
      <c r="A439" s="7">
        <v>438</v>
      </c>
      <c r="B439" s="52" t="s">
        <v>451</v>
      </c>
      <c r="C439" s="8" t="s">
        <v>454</v>
      </c>
      <c r="D439" s="7" t="s">
        <v>32</v>
      </c>
      <c r="E439" s="7" t="s">
        <v>30</v>
      </c>
      <c r="G439" s="7" t="b">
        <v>1</v>
      </c>
      <c r="H439" s="12" t="s">
        <v>455</v>
      </c>
      <c r="M439" s="9" t="str" cm="1">
        <f t="array" ref="M439">PAGE_NAME(B439)</f>
        <v>StructureDefinition-us-core-observation-screening-assessment</v>
      </c>
      <c r="N439" s="9" t="str" cm="1">
        <f t="array" ref="N439">SECTION_NAME(B439)</f>
        <v>mandatory-and-must-support-data-elements</v>
      </c>
      <c r="O439" s="10" t="str">
        <f t="shared" ref="O439:O460" si="17">IF(ISNUMBER(SEARCH("MAY", C439)), "MAY", IF(ISNUMBER(SEARCH("SHOULD", C439)), "SHOULD", IF(ISNUMBER(SEARCH("SHALL", C439)), "SHALL", IF(ISNUMBER(SEARCH("SHOULD NOT", C439)), "SHOULD NOT", IF(ISNUMBER(SEARCH("SHALL NOT", C439)), "SHALL NOT", "")))))</f>
        <v>SHOULD</v>
      </c>
      <c r="P439" s="10" t="str">
        <f t="shared" ref="P439:P460" si="18">IF(ISNUMBER(SEARCH("Server", C439)), "Server", IF(ISNUMBER(SEARCH("Server", C439)), "Server", IF(ISNUMBER(SEARCH("Client", C439)), "Client", IF(ISNUMBER(SEARCH("Client", C439)), "Client", IF(ISNUMBER(SEARCH("US Core Responder", C439)), "Server", IF(ISNUMBER(SEARCH("US Core Requestor", C439)), "Client", ""))))))</f>
        <v/>
      </c>
    </row>
    <row r="440" spans="1:23" ht="136" x14ac:dyDescent="0.2">
      <c r="A440" s="7">
        <v>439</v>
      </c>
      <c r="B440" s="52" t="s">
        <v>451</v>
      </c>
      <c r="C440" s="8" t="s">
        <v>1064</v>
      </c>
      <c r="D440" s="7" t="s">
        <v>29</v>
      </c>
      <c r="E440" s="7" t="s">
        <v>30</v>
      </c>
      <c r="G440" s="7" t="b">
        <v>1</v>
      </c>
      <c r="H440" s="12" t="s">
        <v>1065</v>
      </c>
      <c r="M440" s="9" t="str" cm="1">
        <f t="array" ref="M440">PAGE_NAME(B440)</f>
        <v>StructureDefinition-us-core-observation-screening-assessment</v>
      </c>
      <c r="N440" s="9" t="str" cm="1">
        <f t="array" ref="N440">SECTION_NAME(B440)</f>
        <v>mandatory-and-must-support-data-elements</v>
      </c>
      <c r="O440" s="10" t="str">
        <f t="shared" si="17"/>
        <v>SHALL</v>
      </c>
      <c r="P440" s="10" t="str">
        <f t="shared" si="18"/>
        <v>Server</v>
      </c>
      <c r="V440" s="12" t="s">
        <v>784</v>
      </c>
      <c r="W440" s="6" t="s">
        <v>1140</v>
      </c>
    </row>
    <row r="441" spans="1:23" ht="51" x14ac:dyDescent="0.2">
      <c r="A441" s="7">
        <v>440</v>
      </c>
      <c r="B441" s="52" t="s">
        <v>456</v>
      </c>
      <c r="C441" s="8" t="s">
        <v>457</v>
      </c>
      <c r="D441" s="7" t="s">
        <v>35</v>
      </c>
      <c r="E441" s="7" t="s">
        <v>30</v>
      </c>
      <c r="G441" s="7" t="b">
        <v>1</v>
      </c>
      <c r="H441" s="12" t="s">
        <v>458</v>
      </c>
      <c r="M441" s="9" t="str" cm="1">
        <f t="array" ref="M441">PAGE_NAME(B441)</f>
        <v>StructureDefinition-us-core-observation-sexual-orientation</v>
      </c>
      <c r="N441" s="9" t="str" cm="1">
        <f t="array" ref="N441">SECTION_NAME(B441)</f>
        <v>mandatory-and-must-support-data-elements</v>
      </c>
      <c r="O441" s="10" t="str">
        <f t="shared" si="17"/>
        <v/>
      </c>
      <c r="P441" s="10" t="str">
        <f t="shared" si="18"/>
        <v/>
      </c>
    </row>
    <row r="442" spans="1:23" ht="68" x14ac:dyDescent="0.2">
      <c r="A442" s="7">
        <v>441</v>
      </c>
      <c r="B442" s="52" t="s">
        <v>879</v>
      </c>
      <c r="C442" s="8" t="s">
        <v>880</v>
      </c>
      <c r="D442" s="7" t="s">
        <v>32</v>
      </c>
      <c r="E442" s="7" t="s">
        <v>30</v>
      </c>
      <c r="G442" s="7" t="b">
        <v>0</v>
      </c>
      <c r="M442" s="9" t="str" cm="1">
        <f t="array" ref="M442">PAGE_NAME(B442)</f>
        <v>StructureDefinition-us-core-simple-observation</v>
      </c>
      <c r="N442" s="9" t="str" cm="1">
        <f t="array" ref="N442">SECTION_NAME(B442)</f>
        <v>mandatory-and-must-support-data-elements</v>
      </c>
      <c r="O442" s="10" t="str">
        <f t="shared" si="17"/>
        <v>SHOULD</v>
      </c>
      <c r="P442" s="10" t="str">
        <f t="shared" si="18"/>
        <v/>
      </c>
    </row>
    <row r="443" spans="1:23" ht="51" x14ac:dyDescent="0.2">
      <c r="A443" s="7">
        <v>442</v>
      </c>
      <c r="B443" s="52" t="s">
        <v>879</v>
      </c>
      <c r="C443" s="8" t="s">
        <v>459</v>
      </c>
      <c r="D443" s="7" t="s">
        <v>32</v>
      </c>
      <c r="E443" s="7" t="s">
        <v>30</v>
      </c>
      <c r="G443" s="7" t="b">
        <v>0</v>
      </c>
      <c r="M443" s="9" t="str" cm="1">
        <f t="array" ref="M443">PAGE_NAME(B443)</f>
        <v>StructureDefinition-us-core-simple-observation</v>
      </c>
      <c r="N443" s="9" t="str" cm="1">
        <f t="array" ref="N443">SECTION_NAME(B443)</f>
        <v>mandatory-and-must-support-data-elements</v>
      </c>
      <c r="O443" s="10" t="str">
        <f t="shared" si="17"/>
        <v>SHOULD</v>
      </c>
      <c r="P443" s="10" t="str">
        <f t="shared" si="18"/>
        <v/>
      </c>
    </row>
    <row r="444" spans="1:23" ht="51" x14ac:dyDescent="0.2">
      <c r="A444" s="7">
        <v>443</v>
      </c>
      <c r="B444" s="52" t="s">
        <v>879</v>
      </c>
      <c r="C444" s="8" t="s">
        <v>460</v>
      </c>
      <c r="D444" s="7" t="s">
        <v>32</v>
      </c>
      <c r="E444" s="7" t="s">
        <v>30</v>
      </c>
      <c r="G444" s="7" t="b">
        <v>0</v>
      </c>
      <c r="M444" s="9" t="str" cm="1">
        <f t="array" ref="M444">PAGE_NAME(B444)</f>
        <v>StructureDefinition-us-core-simple-observation</v>
      </c>
      <c r="N444" s="9" t="str" cm="1">
        <f t="array" ref="N444">SECTION_NAME(B444)</f>
        <v>mandatory-and-must-support-data-elements</v>
      </c>
      <c r="O444" s="10" t="str">
        <f t="shared" si="17"/>
        <v>SHOULD</v>
      </c>
      <c r="P444" s="10" t="str">
        <f t="shared" si="18"/>
        <v/>
      </c>
    </row>
    <row r="445" spans="1:23" ht="68" x14ac:dyDescent="0.2">
      <c r="A445" s="7">
        <v>444</v>
      </c>
      <c r="B445" s="52" t="s">
        <v>879</v>
      </c>
      <c r="C445" s="8" t="s">
        <v>1066</v>
      </c>
      <c r="D445" s="7" t="s">
        <v>29</v>
      </c>
      <c r="E445" s="7" t="s">
        <v>30</v>
      </c>
      <c r="G445" s="7" t="b">
        <v>1</v>
      </c>
      <c r="H445" s="12" t="s">
        <v>461</v>
      </c>
      <c r="M445" s="9" t="str" cm="1">
        <f t="array" ref="M445">PAGE_NAME(B445)</f>
        <v>StructureDefinition-us-core-simple-observation</v>
      </c>
      <c r="N445" s="9" t="str" cm="1">
        <f t="array" ref="N445">SECTION_NAME(B445)</f>
        <v>mandatory-and-must-support-data-elements</v>
      </c>
      <c r="O445" s="10" t="str">
        <f t="shared" si="17"/>
        <v>SHALL</v>
      </c>
      <c r="P445" s="10" t="str">
        <f t="shared" si="18"/>
        <v>Server</v>
      </c>
      <c r="W445" s="6" t="s">
        <v>1140</v>
      </c>
    </row>
    <row r="446" spans="1:23" ht="102" x14ac:dyDescent="0.2">
      <c r="A446" s="7">
        <v>445</v>
      </c>
      <c r="B446" s="52" t="s">
        <v>881</v>
      </c>
      <c r="C446" s="8" t="s">
        <v>462</v>
      </c>
      <c r="D446" s="7" t="s">
        <v>35</v>
      </c>
      <c r="E446" s="7" t="s">
        <v>30</v>
      </c>
      <c r="G446" s="7" t="b">
        <v>1</v>
      </c>
      <c r="H446" s="12" t="s">
        <v>463</v>
      </c>
      <c r="M446" s="9" t="str" cm="1">
        <f t="array" ref="M446">PAGE_NAME(B446)</f>
        <v>StructureDefinition-us-core-treatment-intervention-preference</v>
      </c>
      <c r="N446" s="9" t="str" cm="1">
        <f t="array" ref="N446">SECTION_NAME(B446)</f>
        <v>mandatory-and-must-support-data-elements</v>
      </c>
      <c r="O446" s="10" t="str">
        <f t="shared" si="17"/>
        <v>MAY</v>
      </c>
      <c r="P446" s="10" t="str">
        <f t="shared" si="18"/>
        <v/>
      </c>
    </row>
    <row r="447" spans="1:23" ht="102" x14ac:dyDescent="0.2">
      <c r="A447" s="7">
        <v>446</v>
      </c>
      <c r="B447" s="52" t="s">
        <v>881</v>
      </c>
      <c r="C447" s="8" t="s">
        <v>464</v>
      </c>
      <c r="D447" s="7" t="s">
        <v>32</v>
      </c>
      <c r="E447" s="7" t="s">
        <v>30</v>
      </c>
      <c r="G447" s="7" t="b">
        <v>1</v>
      </c>
      <c r="H447" s="12" t="s">
        <v>465</v>
      </c>
      <c r="M447" s="9" t="str" cm="1">
        <f t="array" ref="M447">PAGE_NAME(B447)</f>
        <v>StructureDefinition-us-core-treatment-intervention-preference</v>
      </c>
      <c r="N447" s="9" t="str" cm="1">
        <f t="array" ref="N447">SECTION_NAME(B447)</f>
        <v>mandatory-and-must-support-data-elements</v>
      </c>
      <c r="O447" s="10" t="str">
        <f t="shared" si="17"/>
        <v>SHOULD</v>
      </c>
      <c r="P447" s="10" t="str">
        <f t="shared" si="18"/>
        <v/>
      </c>
    </row>
    <row r="448" spans="1:23" ht="85" x14ac:dyDescent="0.2">
      <c r="A448" s="7">
        <v>447</v>
      </c>
      <c r="B448" s="52" t="s">
        <v>882</v>
      </c>
      <c r="C448" s="8" t="s">
        <v>466</v>
      </c>
      <c r="D448" s="7" t="s">
        <v>35</v>
      </c>
      <c r="E448" s="7" t="s">
        <v>30</v>
      </c>
      <c r="G448" s="7" t="b">
        <v>0</v>
      </c>
      <c r="M448" s="9" t="str" cm="1">
        <f t="array" ref="M448">PAGE_NAME(B448)</f>
        <v>StructureDefinition-us-core-vital-signs</v>
      </c>
      <c r="N448" s="9" t="str" cm="1">
        <f t="array" ref="N448">SECTION_NAME(B448)</f>
        <v>mandatory-and-must-support-data-elements</v>
      </c>
      <c r="O448" s="10" t="str">
        <f t="shared" si="17"/>
        <v>MAY</v>
      </c>
      <c r="P448" s="10" t="str">
        <f t="shared" si="18"/>
        <v/>
      </c>
    </row>
    <row r="449" spans="1:23" ht="34" x14ac:dyDescent="0.2">
      <c r="A449" s="7">
        <v>448</v>
      </c>
      <c r="B449" s="52" t="s">
        <v>883</v>
      </c>
      <c r="C449" s="8" t="s">
        <v>467</v>
      </c>
      <c r="D449" s="7" t="s">
        <v>32</v>
      </c>
      <c r="E449" s="7" t="s">
        <v>30</v>
      </c>
      <c r="G449" s="7" t="b">
        <v>0</v>
      </c>
      <c r="M449" s="9" t="str" cm="1">
        <f t="array" ref="M449">PAGE_NAME(B449)</f>
        <v>StructureDefinition-head-occipital-frontal-circumference-percentile</v>
      </c>
      <c r="N449" s="9" t="str" cm="1">
        <f t="array" ref="N449">SECTION_NAME(B449)</f>
        <v>mandatory-and-must-support-data-elements</v>
      </c>
      <c r="O449" s="10" t="str">
        <f t="shared" si="17"/>
        <v>SHOULD</v>
      </c>
      <c r="P449" s="10" t="str">
        <f t="shared" si="18"/>
        <v/>
      </c>
    </row>
    <row r="450" spans="1:23" ht="68" x14ac:dyDescent="0.2">
      <c r="A450" s="7">
        <v>449</v>
      </c>
      <c r="B450" s="52" t="s">
        <v>884</v>
      </c>
      <c r="C450" s="8" t="s">
        <v>468</v>
      </c>
      <c r="D450" s="7" t="s">
        <v>32</v>
      </c>
      <c r="E450" s="7" t="s">
        <v>30</v>
      </c>
      <c r="G450" s="7" t="b">
        <v>1</v>
      </c>
      <c r="H450" s="12" t="s">
        <v>469</v>
      </c>
      <c r="M450" s="9" t="str" cm="1">
        <f t="array" ref="M450">PAGE_NAME(B450)</f>
        <v>StructureDefinition-us-core-blood-pressure</v>
      </c>
      <c r="N450" s="9" t="str" cm="1">
        <f t="array" ref="N450">SECTION_NAME(B450)</f>
        <v>mandatory-and-must-support-data-elements</v>
      </c>
      <c r="O450" s="10" t="str">
        <f t="shared" si="17"/>
        <v>SHOULD</v>
      </c>
      <c r="P450" s="10" t="str">
        <f t="shared" si="18"/>
        <v/>
      </c>
    </row>
    <row r="451" spans="1:23" ht="85" x14ac:dyDescent="0.2">
      <c r="A451" s="7">
        <v>450</v>
      </c>
      <c r="B451" s="52" t="s">
        <v>884</v>
      </c>
      <c r="C451" s="8" t="s">
        <v>470</v>
      </c>
      <c r="D451" s="7" t="s">
        <v>29</v>
      </c>
      <c r="E451" s="7" t="s">
        <v>30</v>
      </c>
      <c r="G451" s="7" t="b">
        <v>1</v>
      </c>
      <c r="H451" s="12" t="s">
        <v>469</v>
      </c>
      <c r="M451" s="9" t="str" cm="1">
        <f t="array" ref="M451">PAGE_NAME(B451)</f>
        <v>StructureDefinition-us-core-blood-pressure</v>
      </c>
      <c r="N451" s="9" t="str" cm="1">
        <f t="array" ref="N451">SECTION_NAME(B451)</f>
        <v>mandatory-and-must-support-data-elements</v>
      </c>
      <c r="O451" s="10" t="str">
        <f t="shared" si="17"/>
        <v>SHALL</v>
      </c>
      <c r="P451" s="10" t="str">
        <f t="shared" si="18"/>
        <v/>
      </c>
      <c r="W451" s="6" t="s">
        <v>1140</v>
      </c>
    </row>
    <row r="452" spans="1:23" ht="102" x14ac:dyDescent="0.2">
      <c r="A452" s="7">
        <v>451</v>
      </c>
      <c r="B452" s="52" t="s">
        <v>884</v>
      </c>
      <c r="C452" s="8" t="s">
        <v>1067</v>
      </c>
      <c r="D452" s="7" t="s">
        <v>29</v>
      </c>
      <c r="E452" s="7" t="s">
        <v>30</v>
      </c>
      <c r="G452" s="7" t="b">
        <v>1</v>
      </c>
      <c r="H452" s="12" t="s">
        <v>469</v>
      </c>
      <c r="M452" s="9" t="str" cm="1">
        <f t="array" ref="M452">PAGE_NAME(B452)</f>
        <v>StructureDefinition-us-core-blood-pressure</v>
      </c>
      <c r="N452" s="9" t="str" cm="1">
        <f t="array" ref="N452">SECTION_NAME(B452)</f>
        <v>mandatory-and-must-support-data-elements</v>
      </c>
      <c r="O452" s="10" t="str">
        <f t="shared" si="17"/>
        <v>SHALL</v>
      </c>
      <c r="P452" s="10" t="str">
        <f t="shared" si="18"/>
        <v>Server</v>
      </c>
      <c r="W452" s="6" t="s">
        <v>1140</v>
      </c>
    </row>
    <row r="453" spans="1:23" ht="68" x14ac:dyDescent="0.2">
      <c r="A453" s="7">
        <v>452</v>
      </c>
      <c r="B453" s="52" t="s">
        <v>885</v>
      </c>
      <c r="C453" s="8" t="s">
        <v>471</v>
      </c>
      <c r="D453" s="7" t="s">
        <v>35</v>
      </c>
      <c r="E453" s="7" t="s">
        <v>30</v>
      </c>
      <c r="G453" s="7" t="b">
        <v>1</v>
      </c>
      <c r="H453" s="12" t="s">
        <v>472</v>
      </c>
      <c r="M453" s="9" t="str" cm="1">
        <f t="array" ref="M453">PAGE_NAME(B453)</f>
        <v>StructureDefinition-us-core-pulse-oximetry</v>
      </c>
      <c r="N453" s="9" t="str" cm="1">
        <f t="array" ref="N453">SECTION_NAME(B453)</f>
        <v>mandatory-and-must-support-data-elements</v>
      </c>
      <c r="O453" s="10" t="str">
        <f t="shared" si="17"/>
        <v>MAY</v>
      </c>
      <c r="P453" s="10" t="str">
        <f t="shared" si="18"/>
        <v/>
      </c>
    </row>
    <row r="454" spans="1:23" ht="68" x14ac:dyDescent="0.2">
      <c r="A454" s="7">
        <v>453</v>
      </c>
      <c r="B454" s="52" t="s">
        <v>885</v>
      </c>
      <c r="C454" s="8" t="s">
        <v>473</v>
      </c>
      <c r="D454" s="7" t="s">
        <v>32</v>
      </c>
      <c r="E454" s="7" t="s">
        <v>30</v>
      </c>
      <c r="G454" s="7" t="b">
        <v>1</v>
      </c>
      <c r="H454" s="12" t="s">
        <v>474</v>
      </c>
      <c r="M454" s="9" t="str" cm="1">
        <f t="array" ref="M454">PAGE_NAME(B454)</f>
        <v>StructureDefinition-us-core-pulse-oximetry</v>
      </c>
      <c r="N454" s="9" t="str" cm="1">
        <f t="array" ref="N454">SECTION_NAME(B454)</f>
        <v>mandatory-and-must-support-data-elements</v>
      </c>
      <c r="O454" s="10" t="str">
        <f t="shared" si="17"/>
        <v>SHOULD</v>
      </c>
      <c r="P454" s="10" t="str">
        <f t="shared" si="18"/>
        <v/>
      </c>
    </row>
    <row r="455" spans="1:23" ht="136" x14ac:dyDescent="0.2">
      <c r="A455" s="7">
        <v>454</v>
      </c>
      <c r="B455" s="52" t="s">
        <v>885</v>
      </c>
      <c r="C455" s="8" t="s">
        <v>475</v>
      </c>
      <c r="D455" s="7" t="s">
        <v>32</v>
      </c>
      <c r="E455" s="7" t="s">
        <v>30</v>
      </c>
      <c r="G455" s="7" t="b">
        <v>1</v>
      </c>
      <c r="H455" s="12" t="s">
        <v>472</v>
      </c>
      <c r="M455" s="9" t="str" cm="1">
        <f t="array" ref="M455">PAGE_NAME(B455)</f>
        <v>StructureDefinition-us-core-pulse-oximetry</v>
      </c>
      <c r="N455" s="9" t="str" cm="1">
        <f t="array" ref="N455">SECTION_NAME(B455)</f>
        <v>mandatory-and-must-support-data-elements</v>
      </c>
      <c r="O455" s="10" t="str">
        <f t="shared" si="17"/>
        <v>MAY</v>
      </c>
      <c r="P455" s="10" t="str">
        <f t="shared" si="18"/>
        <v/>
      </c>
    </row>
    <row r="456" spans="1:23" ht="34" x14ac:dyDescent="0.2">
      <c r="A456" s="7">
        <v>455</v>
      </c>
      <c r="B456" s="52" t="s">
        <v>886</v>
      </c>
      <c r="C456" s="8" t="s">
        <v>476</v>
      </c>
      <c r="D456" s="7" t="s">
        <v>29</v>
      </c>
      <c r="E456" s="7" t="s">
        <v>30</v>
      </c>
      <c r="G456" s="7" t="b">
        <v>0</v>
      </c>
      <c r="M456" s="9" t="str" cm="1">
        <f t="array" ref="M456">PAGE_NAME(B456)</f>
        <v>StructureDefinition-us-core-organization</v>
      </c>
      <c r="N456" s="9" t="str" cm="1">
        <f t="array" ref="N456">SECTION_NAME(B456)</f>
        <v>mandatory-and-must-support-data-elements</v>
      </c>
      <c r="O456" s="10" t="str">
        <f t="shared" si="17"/>
        <v>SHALL</v>
      </c>
      <c r="P456" s="10" t="str">
        <f t="shared" si="18"/>
        <v/>
      </c>
      <c r="W456" s="6" t="s">
        <v>1140</v>
      </c>
    </row>
    <row r="457" spans="1:23" ht="51" x14ac:dyDescent="0.2">
      <c r="A457" s="7">
        <v>456</v>
      </c>
      <c r="B457" s="52" t="s">
        <v>886</v>
      </c>
      <c r="C457" s="8" t="s">
        <v>477</v>
      </c>
      <c r="D457" s="7" t="s">
        <v>32</v>
      </c>
      <c r="E457" s="7" t="s">
        <v>30</v>
      </c>
      <c r="G457" s="7" t="b">
        <v>0</v>
      </c>
      <c r="M457" s="9" t="str" cm="1">
        <f t="array" ref="M457">PAGE_NAME(B457)</f>
        <v>StructureDefinition-us-core-organization</v>
      </c>
      <c r="N457" s="9" t="str" cm="1">
        <f t="array" ref="N457">SECTION_NAME(B457)</f>
        <v>mandatory-and-must-support-data-elements</v>
      </c>
      <c r="O457" s="10" t="str">
        <f t="shared" si="17"/>
        <v>SHOULD</v>
      </c>
      <c r="P457" s="10" t="str">
        <f t="shared" si="18"/>
        <v/>
      </c>
    </row>
    <row r="458" spans="1:23" ht="34" x14ac:dyDescent="0.2">
      <c r="A458" s="7">
        <v>457</v>
      </c>
      <c r="B458" s="52" t="s">
        <v>886</v>
      </c>
      <c r="C458" s="8" t="s">
        <v>478</v>
      </c>
      <c r="D458" s="7" t="s">
        <v>32</v>
      </c>
      <c r="E458" s="7" t="s">
        <v>30</v>
      </c>
      <c r="G458" s="7" t="b">
        <v>0</v>
      </c>
      <c r="M458" s="9" t="str" cm="1">
        <f t="array" ref="M458">PAGE_NAME(B458)</f>
        <v>StructureDefinition-us-core-organization</v>
      </c>
      <c r="N458" s="9" t="str" cm="1">
        <f t="array" ref="N458">SECTION_NAME(B458)</f>
        <v>mandatory-and-must-support-data-elements</v>
      </c>
      <c r="O458" s="10" t="str">
        <f t="shared" si="17"/>
        <v>SHOULD</v>
      </c>
      <c r="P458" s="10" t="str">
        <f t="shared" si="18"/>
        <v/>
      </c>
    </row>
    <row r="459" spans="1:23" ht="102" x14ac:dyDescent="0.2">
      <c r="A459" s="7">
        <v>458</v>
      </c>
      <c r="B459" s="52" t="s">
        <v>886</v>
      </c>
      <c r="C459" s="8" t="s">
        <v>479</v>
      </c>
      <c r="D459" s="7" t="s">
        <v>32</v>
      </c>
      <c r="E459" s="7" t="s">
        <v>30</v>
      </c>
      <c r="G459" s="7" t="b">
        <v>0</v>
      </c>
      <c r="M459" s="9" t="str" cm="1">
        <f t="array" ref="M459">PAGE_NAME(B459)</f>
        <v>StructureDefinition-us-core-organization</v>
      </c>
      <c r="N459" s="9" t="str" cm="1">
        <f t="array" ref="N459">SECTION_NAME(B459)</f>
        <v>mandatory-and-must-support-data-elements</v>
      </c>
      <c r="O459" s="10" t="str">
        <f t="shared" si="17"/>
        <v>SHOULD</v>
      </c>
      <c r="P459" s="10" t="str">
        <f t="shared" si="18"/>
        <v/>
      </c>
    </row>
    <row r="460" spans="1:23" ht="187" x14ac:dyDescent="0.2">
      <c r="A460" s="7">
        <v>459</v>
      </c>
      <c r="B460" s="52" t="s">
        <v>887</v>
      </c>
      <c r="C460" s="8" t="s">
        <v>888</v>
      </c>
      <c r="D460" s="7" t="s">
        <v>29</v>
      </c>
      <c r="E460" s="7" t="s">
        <v>30</v>
      </c>
      <c r="G460" s="7" t="b">
        <v>1</v>
      </c>
      <c r="H460" s="12" t="s">
        <v>790</v>
      </c>
      <c r="M460" s="9" t="str" cm="1">
        <f t="array" ref="M460">PAGE_NAME(B460)</f>
        <v>StructureDefinition-us-core-race</v>
      </c>
      <c r="N460" s="9" t="str" cm="1">
        <f t="array" ref="N460">SECTION_NAME(B460)</f>
        <v>profile-specific-implementation-guidance</v>
      </c>
      <c r="O460" s="10" t="str">
        <f t="shared" si="17"/>
        <v/>
      </c>
      <c r="P460" s="10" t="str">
        <f t="shared" si="18"/>
        <v/>
      </c>
      <c r="V460" s="12" t="s">
        <v>789</v>
      </c>
      <c r="W460" s="6" t="s">
        <v>1140</v>
      </c>
    </row>
    <row r="461" spans="1:23" ht="187" x14ac:dyDescent="0.2">
      <c r="A461" s="7">
        <v>460</v>
      </c>
      <c r="B461" s="52" t="s">
        <v>889</v>
      </c>
      <c r="C461" s="8" t="s">
        <v>890</v>
      </c>
      <c r="D461" s="7" t="s">
        <v>29</v>
      </c>
      <c r="E461" s="7" t="s">
        <v>30</v>
      </c>
      <c r="G461" s="7" t="b">
        <v>1</v>
      </c>
      <c r="H461" s="12" t="s">
        <v>791</v>
      </c>
      <c r="M461" s="9" t="str" cm="1">
        <f t="array" ref="M461">PAGE_NAME(B461)</f>
        <v>StructureDefinition-us-core-ethnicity</v>
      </c>
      <c r="N461" s="9" t="str" cm="1">
        <f t="array" ref="N461">SECTION_NAME(B461)</f>
        <v>profile-specific-implementation-guidance</v>
      </c>
      <c r="O461" s="10" t="str">
        <f>IF(ISNUMBER( SEARCH("MAY",#REF!)), "MAY", IF(ISNUMBER( SEARCH("SHOULD",#REF!)), "SHOULD", IF(ISNUMBER( SEARCH("SHALL",#REF!)), "SHALL", IF(ISNUMBER( SEARCH("SHOULD NOT",#REF!)), "SHOULD NOT", IF(ISNUMBER( SEARCH("SHALL NOT",#REF!)), "SHALL NOT", "")))))</f>
        <v/>
      </c>
      <c r="P461" s="10" t="str">
        <f>IF(ISNUMBER( SEARCH("Server",#REF!)), "Server", IF(ISNUMBER( SEARCH("Server",#REF!)), "Server", IF(ISNUMBER( SEARCH("Client",#REF!)), "Client", IF(ISNUMBER( SEARCH("Client",#REF!)), "Client", IF(ISNUMBER( SEARCH("US Core Responder",#REF!)), "Server", IF(ISNUMBER( SEARCH("US Core Requestor",#REF!)), "Client", ""))))))</f>
        <v/>
      </c>
      <c r="V461" s="12" t="s">
        <v>789</v>
      </c>
      <c r="W461" s="6" t="s">
        <v>1140</v>
      </c>
    </row>
    <row r="462" spans="1:23" ht="170" x14ac:dyDescent="0.2">
      <c r="A462" s="7">
        <v>461</v>
      </c>
      <c r="B462" s="52" t="s">
        <v>887</v>
      </c>
      <c r="C462" s="8" t="s">
        <v>891</v>
      </c>
      <c r="D462" s="7" t="s">
        <v>35</v>
      </c>
      <c r="E462" s="7" t="s">
        <v>30</v>
      </c>
      <c r="G462" s="7" t="b">
        <v>1</v>
      </c>
      <c r="H462" s="12" t="s">
        <v>792</v>
      </c>
      <c r="M462" s="9" t="str" cm="1">
        <f t="array" ref="M462">PAGE_NAME(B462)</f>
        <v>StructureDefinition-us-core-race</v>
      </c>
      <c r="N462" s="9" t="str" cm="1">
        <f t="array" ref="N462">SECTION_NAME(B462)</f>
        <v>profile-specific-implementation-guidance</v>
      </c>
      <c r="O462" s="10" t="str">
        <f>IF(ISNUMBER(SEARCH("MAY", C461)), "MAY", IF(ISNUMBER(SEARCH("SHOULD", C461)), "SHOULD", IF(ISNUMBER(SEARCH("SHALL", C461)), "SHALL", IF(ISNUMBER(SEARCH("SHOULD NOT", C461)), "SHOULD NOT", IF(ISNUMBER(SEARCH("SHALL NOT", C461)), "SHALL NOT", "")))))</f>
        <v/>
      </c>
      <c r="P462" s="10" t="str">
        <f>IF(ISNUMBER(SEARCH("Server", C461)), "Server", IF(ISNUMBER(SEARCH("Server", C461)), "Server", IF(ISNUMBER(SEARCH("Client", C461)), "Client", IF(ISNUMBER(SEARCH("Client", C461)), "Client", IF(ISNUMBER(SEARCH("US Core Responder", C461)), "Server", IF(ISNUMBER(SEARCH("US Core Requestor", C461)), "Client", ""))))))</f>
        <v/>
      </c>
      <c r="V462" s="12" t="s">
        <v>788</v>
      </c>
    </row>
    <row r="463" spans="1:23" ht="170" x14ac:dyDescent="0.2">
      <c r="A463" s="7">
        <v>462</v>
      </c>
      <c r="B463" s="52" t="s">
        <v>889</v>
      </c>
      <c r="C463" s="8" t="s">
        <v>892</v>
      </c>
      <c r="D463" s="7" t="s">
        <v>35</v>
      </c>
      <c r="E463" s="7" t="s">
        <v>30</v>
      </c>
      <c r="G463" s="7" t="b">
        <v>1</v>
      </c>
      <c r="H463" s="12" t="s">
        <v>791</v>
      </c>
      <c r="M463" s="9" t="str" cm="1">
        <f t="array" ref="M463">PAGE_NAME(B463)</f>
        <v>StructureDefinition-us-core-ethnicity</v>
      </c>
      <c r="N463" s="9" t="str" cm="1">
        <f t="array" ref="N463">SECTION_NAME(B463)</f>
        <v>profile-specific-implementation-guidance</v>
      </c>
      <c r="O463" s="10" t="str">
        <f t="shared" ref="O463:O494" si="19">IF(ISNUMBER(SEARCH("MAY", C463)), "MAY", IF(ISNUMBER(SEARCH("SHOULD", C463)), "SHOULD", IF(ISNUMBER(SEARCH("SHALL", C463)), "SHALL", IF(ISNUMBER(SEARCH("SHOULD NOT", C463)), "SHOULD NOT", IF(ISNUMBER(SEARCH("SHALL NOT", C463)), "SHALL NOT", "")))))</f>
        <v>SHALL</v>
      </c>
      <c r="P463" s="10" t="str">
        <f t="shared" ref="P463:P494" si="20">IF(ISNUMBER(SEARCH("Server", C463)), "Server", IF(ISNUMBER(SEARCH("Server", C463)), "Server", IF(ISNUMBER(SEARCH("Client", C463)), "Client", IF(ISNUMBER(SEARCH("Client", C463)), "Client", IF(ISNUMBER(SEARCH("US Core Responder", C463)), "Server", IF(ISNUMBER(SEARCH("US Core Requestor", C463)), "Client", ""))))))</f>
        <v/>
      </c>
      <c r="V463" s="12" t="s">
        <v>788</v>
      </c>
    </row>
    <row r="464" spans="1:23" ht="170" x14ac:dyDescent="0.2">
      <c r="A464" s="7">
        <v>463</v>
      </c>
      <c r="B464" s="52" t="s">
        <v>887</v>
      </c>
      <c r="C464" s="8" t="s">
        <v>893</v>
      </c>
      <c r="D464" s="7" t="s">
        <v>29</v>
      </c>
      <c r="E464" s="7" t="s">
        <v>30</v>
      </c>
      <c r="G464" s="7" t="b">
        <v>1</v>
      </c>
      <c r="H464" s="12" t="s">
        <v>792</v>
      </c>
      <c r="M464" s="9" t="str" cm="1">
        <f t="array" ref="M464">PAGE_NAME(B464)</f>
        <v>StructureDefinition-us-core-race</v>
      </c>
      <c r="N464" s="9" t="str" cm="1">
        <f t="array" ref="N464">SECTION_NAME(B464)</f>
        <v>profile-specific-implementation-guidance</v>
      </c>
      <c r="O464" s="10" t="str">
        <f t="shared" si="19"/>
        <v>MAY</v>
      </c>
      <c r="P464" s="10" t="str">
        <f t="shared" si="20"/>
        <v/>
      </c>
      <c r="V464" s="12" t="s">
        <v>788</v>
      </c>
      <c r="W464" s="6" t="s">
        <v>1140</v>
      </c>
    </row>
    <row r="465" spans="1:23" ht="170" x14ac:dyDescent="0.2">
      <c r="A465" s="7">
        <v>464</v>
      </c>
      <c r="B465" s="52" t="s">
        <v>889</v>
      </c>
      <c r="C465" s="8" t="s">
        <v>894</v>
      </c>
      <c r="D465" s="7" t="s">
        <v>29</v>
      </c>
      <c r="E465" s="7" t="s">
        <v>30</v>
      </c>
      <c r="G465" s="7" t="b">
        <v>1</v>
      </c>
      <c r="H465" s="12" t="s">
        <v>791</v>
      </c>
      <c r="M465" s="9" t="str" cm="1">
        <f t="array" ref="M465">PAGE_NAME(B465)</f>
        <v>StructureDefinition-us-core-ethnicity</v>
      </c>
      <c r="N465" s="9" t="str" cm="1">
        <f t="array" ref="N465">SECTION_NAME(B465)</f>
        <v>profile-specific-implementation-guidance</v>
      </c>
      <c r="O465" s="10" t="str">
        <f t="shared" si="19"/>
        <v>SHALL</v>
      </c>
      <c r="P465" s="10" t="str">
        <f t="shared" si="20"/>
        <v/>
      </c>
      <c r="V465" s="12" t="s">
        <v>788</v>
      </c>
      <c r="W465" s="6" t="s">
        <v>1140</v>
      </c>
    </row>
    <row r="466" spans="1:23" ht="102" x14ac:dyDescent="0.2">
      <c r="A466" s="7">
        <v>465</v>
      </c>
      <c r="B466" s="52" t="s">
        <v>794</v>
      </c>
      <c r="C466" s="8" t="s">
        <v>787</v>
      </c>
      <c r="D466" s="7" t="s">
        <v>29</v>
      </c>
      <c r="E466" s="7" t="s">
        <v>30</v>
      </c>
      <c r="H466" s="12" t="s">
        <v>793</v>
      </c>
      <c r="M466" s="9" t="str" cm="1">
        <f t="array" ref="M466">PAGE_NAME(B466)</f>
        <v>StructureDefinition-us-core-patient</v>
      </c>
      <c r="N466" s="9" t="str" cm="1">
        <f t="array" ref="N466">SECTION_NAME(B466)</f>
        <v>mandatory-and-must-support-data-elements</v>
      </c>
      <c r="O466" s="10" t="str">
        <f t="shared" si="19"/>
        <v>SHALL</v>
      </c>
      <c r="P466" s="10" t="str">
        <f t="shared" si="20"/>
        <v/>
      </c>
      <c r="U466" s="12" t="s">
        <v>480</v>
      </c>
      <c r="W466" s="6" t="s">
        <v>1140</v>
      </c>
    </row>
    <row r="467" spans="1:23" ht="85" x14ac:dyDescent="0.2">
      <c r="A467" s="7">
        <v>466</v>
      </c>
      <c r="B467" s="52" t="s">
        <v>794</v>
      </c>
      <c r="C467" s="8" t="s">
        <v>481</v>
      </c>
      <c r="D467" s="7" t="s">
        <v>32</v>
      </c>
      <c r="E467" s="7" t="s">
        <v>30</v>
      </c>
      <c r="G467" s="7" t="b">
        <v>1</v>
      </c>
      <c r="H467" s="12" t="s">
        <v>482</v>
      </c>
      <c r="O467" s="10" t="str">
        <f t="shared" si="19"/>
        <v/>
      </c>
      <c r="P467" s="10" t="str">
        <f t="shared" si="20"/>
        <v/>
      </c>
    </row>
    <row r="468" spans="1:23" ht="85" x14ac:dyDescent="0.2">
      <c r="A468" s="7">
        <v>467</v>
      </c>
      <c r="B468" s="52" t="s">
        <v>794</v>
      </c>
      <c r="C468" s="8" t="s">
        <v>483</v>
      </c>
      <c r="D468" s="7" t="s">
        <v>32</v>
      </c>
      <c r="E468" s="7" t="s">
        <v>30</v>
      </c>
      <c r="G468" s="7" t="b">
        <v>1</v>
      </c>
      <c r="H468" s="12" t="s">
        <v>484</v>
      </c>
      <c r="M468" s="9" t="str" cm="1">
        <f t="array" ref="M468">PAGE_NAME(B468)</f>
        <v>StructureDefinition-us-core-patient</v>
      </c>
      <c r="N468" s="9" t="str" cm="1">
        <f t="array" ref="N468">SECTION_NAME(B468)</f>
        <v>mandatory-and-must-support-data-elements</v>
      </c>
      <c r="O468" s="10" t="str">
        <f t="shared" si="19"/>
        <v/>
      </c>
      <c r="P468" s="10" t="str">
        <f t="shared" si="20"/>
        <v/>
      </c>
    </row>
    <row r="469" spans="1:23" ht="34" x14ac:dyDescent="0.2">
      <c r="A469" s="7">
        <v>468</v>
      </c>
      <c r="B469" s="52" t="s">
        <v>794</v>
      </c>
      <c r="C469" s="8" t="s">
        <v>485</v>
      </c>
      <c r="D469" s="7" t="s">
        <v>64</v>
      </c>
      <c r="E469" s="7" t="s">
        <v>30</v>
      </c>
      <c r="G469" s="7" t="b">
        <v>0</v>
      </c>
      <c r="M469" s="9" t="str" cm="1">
        <f t="array" ref="M469">PAGE_NAME(B469)</f>
        <v>StructureDefinition-us-core-patient</v>
      </c>
      <c r="N469" s="9" t="str" cm="1">
        <f t="array" ref="N469">SECTION_NAME(B469)</f>
        <v>mandatory-and-must-support-data-elements</v>
      </c>
      <c r="O469" s="10" t="str">
        <f t="shared" si="19"/>
        <v>MAY</v>
      </c>
      <c r="P469" s="10" t="str">
        <f t="shared" si="20"/>
        <v/>
      </c>
      <c r="V469" s="12" t="s">
        <v>646</v>
      </c>
    </row>
    <row r="470" spans="1:23" ht="409.6" x14ac:dyDescent="0.2">
      <c r="A470" s="7">
        <v>469</v>
      </c>
      <c r="B470" s="52" t="s">
        <v>794</v>
      </c>
      <c r="C470" s="8" t="s">
        <v>486</v>
      </c>
      <c r="D470" s="7" t="s">
        <v>29</v>
      </c>
      <c r="E470" s="7" t="s">
        <v>30</v>
      </c>
      <c r="G470" s="7" t="b">
        <v>0</v>
      </c>
      <c r="M470" s="9" t="str" cm="1">
        <f t="array" ref="M470">PAGE_NAME(B470)</f>
        <v>StructureDefinition-us-core-patient</v>
      </c>
      <c r="N470" s="9" t="str" cm="1">
        <f t="array" ref="N470">SECTION_NAME(B470)</f>
        <v>mandatory-and-must-support-data-elements</v>
      </c>
      <c r="O470" s="10" t="str">
        <f t="shared" si="19"/>
        <v>SHALL</v>
      </c>
      <c r="P470" s="10" t="str">
        <f t="shared" si="20"/>
        <v/>
      </c>
      <c r="V470" s="12" t="s">
        <v>802</v>
      </c>
      <c r="W470" s="6" t="s">
        <v>1141</v>
      </c>
    </row>
    <row r="471" spans="1:23" ht="404" x14ac:dyDescent="0.2">
      <c r="A471" s="7">
        <v>470</v>
      </c>
      <c r="B471" s="52" t="s">
        <v>794</v>
      </c>
      <c r="C471" s="8" t="s">
        <v>487</v>
      </c>
      <c r="D471" s="7" t="s">
        <v>32</v>
      </c>
      <c r="E471" s="7" t="s">
        <v>30</v>
      </c>
      <c r="G471" s="7" t="b">
        <v>0</v>
      </c>
      <c r="M471" s="9" t="str" cm="1">
        <f t="array" ref="M471">PAGE_NAME(B471)</f>
        <v>StructureDefinition-us-core-patient</v>
      </c>
      <c r="N471" s="9" t="str" cm="1">
        <f t="array" ref="N471">SECTION_NAME(B471)</f>
        <v>mandatory-and-must-support-data-elements</v>
      </c>
      <c r="O471" s="10" t="str">
        <f t="shared" si="19"/>
        <v>SHOULD</v>
      </c>
      <c r="P471" s="10" t="str">
        <f t="shared" si="20"/>
        <v/>
      </c>
      <c r="V471" s="12" t="s">
        <v>803</v>
      </c>
    </row>
    <row r="472" spans="1:23" ht="409.6" x14ac:dyDescent="0.2">
      <c r="A472" s="7">
        <v>471</v>
      </c>
      <c r="B472" s="52" t="s">
        <v>794</v>
      </c>
      <c r="C472" s="8" t="s">
        <v>488</v>
      </c>
      <c r="D472" s="7" t="s">
        <v>35</v>
      </c>
      <c r="E472" s="7" t="s">
        <v>30</v>
      </c>
      <c r="G472" s="7" t="b">
        <v>1</v>
      </c>
      <c r="H472" s="12" t="s">
        <v>489</v>
      </c>
      <c r="M472" s="9" t="str" cm="1">
        <f t="array" ref="M472">PAGE_NAME(B472)</f>
        <v>StructureDefinition-us-core-patient</v>
      </c>
      <c r="N472" s="9" t="str" cm="1">
        <f t="array" ref="N472">SECTION_NAME(B472)</f>
        <v>mandatory-and-must-support-data-elements</v>
      </c>
      <c r="O472" s="10" t="str">
        <f t="shared" si="19"/>
        <v>MAY</v>
      </c>
      <c r="P472" s="10" t="str">
        <f t="shared" si="20"/>
        <v/>
      </c>
      <c r="V472" s="12" t="s">
        <v>804</v>
      </c>
    </row>
    <row r="473" spans="1:23" ht="34" x14ac:dyDescent="0.2">
      <c r="A473" s="7">
        <v>472</v>
      </c>
      <c r="B473" s="52" t="s">
        <v>794</v>
      </c>
      <c r="C473" s="8" t="s">
        <v>490</v>
      </c>
      <c r="D473" s="7" t="s">
        <v>76</v>
      </c>
      <c r="E473" s="7" t="s">
        <v>30</v>
      </c>
      <c r="G473" s="7" t="b">
        <v>0</v>
      </c>
      <c r="M473" s="9" t="str" cm="1">
        <f t="array" ref="M473">PAGE_NAME(B473)</f>
        <v>StructureDefinition-us-core-patient</v>
      </c>
      <c r="N473" s="9" t="str" cm="1">
        <f t="array" ref="N473">SECTION_NAME(B473)</f>
        <v>mandatory-and-must-support-data-elements</v>
      </c>
      <c r="O473" s="10" t="str">
        <f t="shared" si="19"/>
        <v>SHOULD</v>
      </c>
      <c r="P473" s="10" t="str">
        <f t="shared" si="20"/>
        <v/>
      </c>
    </row>
    <row r="474" spans="1:23" ht="102" x14ac:dyDescent="0.2">
      <c r="A474" s="7">
        <v>473</v>
      </c>
      <c r="B474" s="52" t="s">
        <v>895</v>
      </c>
      <c r="C474" s="8" t="s">
        <v>896</v>
      </c>
      <c r="D474" s="7" t="s">
        <v>29</v>
      </c>
      <c r="E474" s="7" t="s">
        <v>30</v>
      </c>
      <c r="G474" s="7" t="b">
        <v>1</v>
      </c>
      <c r="H474" s="12" t="s">
        <v>491</v>
      </c>
      <c r="M474" s="9" t="str" cm="1">
        <f t="array" ref="M474">PAGE_NAME(B474)</f>
        <v>StructureDefinition-us-core-practitioner</v>
      </c>
      <c r="N474" s="9" t="str" cm="1">
        <f t="array" ref="N474">SECTION_NAME(B474)</f>
        <v>mandatory-and-must-support-data-elements</v>
      </c>
      <c r="O474" s="10" t="str">
        <f t="shared" si="19"/>
        <v>SHALL</v>
      </c>
      <c r="P474" s="10" t="str">
        <f t="shared" si="20"/>
        <v>Server</v>
      </c>
      <c r="W474" s="6" t="s">
        <v>1141</v>
      </c>
    </row>
    <row r="475" spans="1:23" ht="102" x14ac:dyDescent="0.2">
      <c r="A475" s="7">
        <v>474</v>
      </c>
      <c r="B475" s="52" t="s">
        <v>895</v>
      </c>
      <c r="C475" s="8" t="s">
        <v>1068</v>
      </c>
      <c r="D475" s="7" t="s">
        <v>35</v>
      </c>
      <c r="E475" s="7" t="s">
        <v>30</v>
      </c>
      <c r="G475" s="7" t="b">
        <v>1</v>
      </c>
      <c r="H475" s="12" t="s">
        <v>492</v>
      </c>
      <c r="M475" s="9" t="str" cm="1">
        <f t="array" ref="M475">PAGE_NAME(B475)</f>
        <v>StructureDefinition-us-core-practitioner</v>
      </c>
      <c r="N475" s="9" t="str" cm="1">
        <f t="array" ref="N475">SECTION_NAME(B475)</f>
        <v>mandatory-and-must-support-data-elements</v>
      </c>
      <c r="O475" s="10" t="str">
        <f t="shared" si="19"/>
        <v>MAY</v>
      </c>
      <c r="P475" s="10" t="str">
        <f t="shared" si="20"/>
        <v>Server</v>
      </c>
    </row>
    <row r="476" spans="1:23" ht="51" x14ac:dyDescent="0.2">
      <c r="A476" s="7">
        <v>475</v>
      </c>
      <c r="B476" s="52" t="s">
        <v>895</v>
      </c>
      <c r="C476" s="8" t="s">
        <v>1069</v>
      </c>
      <c r="D476" s="7" t="s">
        <v>29</v>
      </c>
      <c r="E476" s="7" t="s">
        <v>30</v>
      </c>
      <c r="G476" s="7" t="b">
        <v>1</v>
      </c>
      <c r="H476" s="12" t="s">
        <v>493</v>
      </c>
      <c r="M476" s="9" t="str" cm="1">
        <f t="array" ref="M476">PAGE_NAME(B476)</f>
        <v>StructureDefinition-us-core-practitioner</v>
      </c>
      <c r="N476" s="9" t="str" cm="1">
        <f t="array" ref="N476">SECTION_NAME(B476)</f>
        <v>mandatory-and-must-support-data-elements</v>
      </c>
      <c r="O476" s="10" t="str">
        <f t="shared" si="19"/>
        <v>SHALL</v>
      </c>
      <c r="P476" s="10" t="str">
        <f t="shared" si="20"/>
        <v>Server</v>
      </c>
      <c r="W476" s="6" t="s">
        <v>1140</v>
      </c>
    </row>
    <row r="477" spans="1:23" ht="34" x14ac:dyDescent="0.2">
      <c r="A477" s="7">
        <v>476</v>
      </c>
      <c r="B477" s="52" t="s">
        <v>895</v>
      </c>
      <c r="C477" s="8" t="s">
        <v>954</v>
      </c>
      <c r="D477" s="7" t="s">
        <v>29</v>
      </c>
      <c r="E477" s="7" t="s">
        <v>58</v>
      </c>
      <c r="M477" s="9" t="str" cm="1">
        <f t="array" ref="M477">PAGE_NAME(B477)</f>
        <v>StructureDefinition-us-core-practitioner</v>
      </c>
      <c r="N477" s="9" t="str" cm="1">
        <f t="array" ref="N477">SECTION_NAME(B477)</f>
        <v>mandatory-and-must-support-data-elements</v>
      </c>
      <c r="O477" s="10" t="str">
        <f t="shared" si="19"/>
        <v>SHALL</v>
      </c>
      <c r="P477" s="10" t="str">
        <f t="shared" si="20"/>
        <v>Client</v>
      </c>
    </row>
    <row r="478" spans="1:23" ht="34" x14ac:dyDescent="0.2">
      <c r="A478" s="7">
        <v>477</v>
      </c>
      <c r="B478" s="52" t="s">
        <v>895</v>
      </c>
      <c r="C478" s="8" t="s">
        <v>494</v>
      </c>
      <c r="D478" s="7" t="s">
        <v>32</v>
      </c>
      <c r="E478" s="7" t="s">
        <v>30</v>
      </c>
      <c r="G478" s="7" t="b">
        <v>0</v>
      </c>
      <c r="M478" s="9" t="str" cm="1">
        <f t="array" ref="M478">PAGE_NAME(B478)</f>
        <v>StructureDefinition-us-core-practitioner</v>
      </c>
      <c r="N478" s="9" t="str" cm="1">
        <f t="array" ref="N478">SECTION_NAME(B478)</f>
        <v>mandatory-and-must-support-data-elements</v>
      </c>
      <c r="O478" s="10" t="str">
        <f t="shared" si="19"/>
        <v>SHOULD</v>
      </c>
      <c r="P478" s="10" t="str">
        <f t="shared" si="20"/>
        <v/>
      </c>
    </row>
    <row r="479" spans="1:23" ht="102" x14ac:dyDescent="0.2">
      <c r="A479" s="7">
        <v>478</v>
      </c>
      <c r="B479" s="52" t="s">
        <v>895</v>
      </c>
      <c r="C479" s="8" t="s">
        <v>495</v>
      </c>
      <c r="D479" s="7" t="s">
        <v>32</v>
      </c>
      <c r="E479" s="7" t="s">
        <v>30</v>
      </c>
      <c r="G479" s="7" t="b">
        <v>0</v>
      </c>
      <c r="M479" s="9" t="str" cm="1">
        <f t="array" ref="M479">PAGE_NAME(B479)</f>
        <v>StructureDefinition-us-core-practitioner</v>
      </c>
      <c r="N479" s="9" t="str" cm="1">
        <f t="array" ref="N479">SECTION_NAME(B479)</f>
        <v>mandatory-and-must-support-data-elements</v>
      </c>
      <c r="O479" s="10" t="str">
        <f t="shared" si="19"/>
        <v>SHOULD</v>
      </c>
      <c r="P479" s="10" t="str">
        <f t="shared" si="20"/>
        <v/>
      </c>
    </row>
    <row r="480" spans="1:23" ht="34" x14ac:dyDescent="0.2">
      <c r="A480" s="7">
        <v>479</v>
      </c>
      <c r="B480" s="52" t="s">
        <v>807</v>
      </c>
      <c r="C480" s="8" t="s">
        <v>496</v>
      </c>
      <c r="D480" s="7" t="s">
        <v>35</v>
      </c>
      <c r="E480" s="7" t="s">
        <v>30</v>
      </c>
      <c r="G480" s="7" t="b">
        <v>0</v>
      </c>
      <c r="M480" s="9" t="str" cm="1">
        <f t="array" ref="M480">PAGE_NAME(B480)</f>
        <v>StructureDefinition-us-core-procedure</v>
      </c>
      <c r="N480" s="9" t="str" cm="1">
        <f t="array" ref="N480">SECTION_NAME(B480)</f>
        <v>mandatory-and-must-support-data-elements</v>
      </c>
      <c r="O480" s="10" t="str">
        <f t="shared" si="19"/>
        <v>MAY</v>
      </c>
      <c r="P480" s="10" t="str">
        <f t="shared" si="20"/>
        <v/>
      </c>
    </row>
    <row r="481" spans="1:23" ht="34" x14ac:dyDescent="0.2">
      <c r="A481" s="7">
        <v>480</v>
      </c>
      <c r="B481" s="52" t="s">
        <v>807</v>
      </c>
      <c r="C481" s="8" t="s">
        <v>497</v>
      </c>
      <c r="D481" s="7" t="s">
        <v>32</v>
      </c>
      <c r="E481" s="7" t="s">
        <v>30</v>
      </c>
      <c r="G481" s="7" t="b">
        <v>1</v>
      </c>
      <c r="H481" s="12" t="s">
        <v>498</v>
      </c>
      <c r="M481" s="9" t="str" cm="1">
        <f t="array" ref="M481">PAGE_NAME(B481)</f>
        <v>StructureDefinition-us-core-procedure</v>
      </c>
      <c r="N481" s="9" t="str" cm="1">
        <f t="array" ref="N481">SECTION_NAME(B481)</f>
        <v>mandatory-and-must-support-data-elements</v>
      </c>
      <c r="O481" s="10" t="str">
        <f t="shared" si="19"/>
        <v>SHOULD</v>
      </c>
      <c r="P481" s="10" t="str">
        <f t="shared" si="20"/>
        <v/>
      </c>
    </row>
    <row r="482" spans="1:23" ht="34" x14ac:dyDescent="0.2">
      <c r="A482" s="7">
        <v>481</v>
      </c>
      <c r="B482" s="52" t="s">
        <v>807</v>
      </c>
      <c r="C482" s="8" t="s">
        <v>805</v>
      </c>
      <c r="D482" s="7" t="s">
        <v>32</v>
      </c>
      <c r="E482" s="7" t="s">
        <v>30</v>
      </c>
      <c r="G482" s="7" t="b">
        <v>0</v>
      </c>
      <c r="M482" s="9" t="str" cm="1">
        <f t="array" ref="M482">PAGE_NAME(B482)</f>
        <v>StructureDefinition-us-core-procedure</v>
      </c>
      <c r="N482" s="9" t="str" cm="1">
        <f t="array" ref="N482">SECTION_NAME(B482)</f>
        <v>mandatory-and-must-support-data-elements</v>
      </c>
      <c r="O482" s="10" t="str">
        <f t="shared" si="19"/>
        <v>MAY</v>
      </c>
      <c r="P482" s="10" t="str">
        <f t="shared" si="20"/>
        <v/>
      </c>
    </row>
    <row r="483" spans="1:23" ht="68" x14ac:dyDescent="0.2">
      <c r="A483" s="7">
        <v>482</v>
      </c>
      <c r="B483" s="52" t="s">
        <v>807</v>
      </c>
      <c r="C483" s="8" t="s">
        <v>499</v>
      </c>
      <c r="D483" s="7" t="s">
        <v>29</v>
      </c>
      <c r="E483" s="7" t="s">
        <v>30</v>
      </c>
      <c r="G483" s="7" t="b">
        <v>1</v>
      </c>
      <c r="H483" s="12" t="s">
        <v>500</v>
      </c>
      <c r="M483" s="9" t="str" cm="1">
        <f t="array" ref="M483">PAGE_NAME(B483)</f>
        <v>StructureDefinition-us-core-procedure</v>
      </c>
      <c r="N483" s="9" t="str" cm="1">
        <f t="array" ref="N483">SECTION_NAME(B483)</f>
        <v>mandatory-and-must-support-data-elements</v>
      </c>
      <c r="O483" s="10" t="str">
        <f t="shared" si="19"/>
        <v>SHALL</v>
      </c>
      <c r="P483" s="10" t="str">
        <f t="shared" si="20"/>
        <v>Server</v>
      </c>
      <c r="V483" s="12" t="s">
        <v>405</v>
      </c>
      <c r="W483" s="6" t="s">
        <v>1140</v>
      </c>
    </row>
    <row r="484" spans="1:23" ht="68" x14ac:dyDescent="0.2">
      <c r="A484" s="7">
        <v>483</v>
      </c>
      <c r="B484" s="52" t="s">
        <v>807</v>
      </c>
      <c r="C484" s="8" t="s">
        <v>501</v>
      </c>
      <c r="D484" s="7" t="s">
        <v>29</v>
      </c>
      <c r="E484" s="7" t="s">
        <v>58</v>
      </c>
      <c r="G484" s="7" t="b">
        <v>1</v>
      </c>
      <c r="H484" s="12" t="s">
        <v>500</v>
      </c>
      <c r="M484" s="9" t="str" cm="1">
        <f t="array" ref="M484">PAGE_NAME(B484)</f>
        <v>StructureDefinition-us-core-procedure</v>
      </c>
      <c r="N484" s="9" t="str" cm="1">
        <f t="array" ref="N484">SECTION_NAME(B484)</f>
        <v>mandatory-and-must-support-data-elements</v>
      </c>
      <c r="O484" s="10" t="str">
        <f t="shared" si="19"/>
        <v>SHALL</v>
      </c>
      <c r="P484" s="10" t="str">
        <f t="shared" si="20"/>
        <v>Client</v>
      </c>
      <c r="V484" s="12" t="s">
        <v>405</v>
      </c>
    </row>
    <row r="485" spans="1:23" ht="102" x14ac:dyDescent="0.2">
      <c r="A485" s="7">
        <v>484</v>
      </c>
      <c r="B485" s="52" t="s">
        <v>807</v>
      </c>
      <c r="C485" s="8" t="s">
        <v>1070</v>
      </c>
      <c r="D485" s="7" t="s">
        <v>29</v>
      </c>
      <c r="E485" s="7" t="s">
        <v>30</v>
      </c>
      <c r="G485" s="7" t="b">
        <v>1</v>
      </c>
      <c r="H485" s="12" t="s">
        <v>1071</v>
      </c>
      <c r="M485" s="9" t="str" cm="1">
        <f t="array" ref="M485">PAGE_NAME(B485)</f>
        <v>StructureDefinition-us-core-procedure</v>
      </c>
      <c r="N485" s="9" t="str" cm="1">
        <f t="array" ref="N485">SECTION_NAME(B485)</f>
        <v>mandatory-and-must-support-data-elements</v>
      </c>
      <c r="O485" s="10" t="str">
        <f t="shared" si="19"/>
        <v>SHALL</v>
      </c>
      <c r="P485" s="10" t="str">
        <f t="shared" si="20"/>
        <v>Server</v>
      </c>
      <c r="V485" s="12" t="s">
        <v>405</v>
      </c>
      <c r="W485" s="6" t="s">
        <v>1140</v>
      </c>
    </row>
    <row r="486" spans="1:23" ht="68" x14ac:dyDescent="0.2">
      <c r="A486" s="7">
        <v>485</v>
      </c>
      <c r="B486" s="52" t="s">
        <v>807</v>
      </c>
      <c r="C486" s="8" t="s">
        <v>955</v>
      </c>
      <c r="D486" s="7" t="s">
        <v>29</v>
      </c>
      <c r="E486" s="7" t="s">
        <v>58</v>
      </c>
      <c r="G486" s="7" t="b">
        <v>1</v>
      </c>
      <c r="H486" s="12" t="s">
        <v>500</v>
      </c>
      <c r="M486" s="9" t="str" cm="1">
        <f t="array" ref="M486">PAGE_NAME(B486)</f>
        <v>StructureDefinition-us-core-procedure</v>
      </c>
      <c r="N486" s="9" t="str" cm="1">
        <f t="array" ref="N486">SECTION_NAME(B486)</f>
        <v>mandatory-and-must-support-data-elements</v>
      </c>
      <c r="O486" s="10" t="str">
        <f t="shared" si="19"/>
        <v>SHALL</v>
      </c>
      <c r="P486" s="10" t="str">
        <f t="shared" si="20"/>
        <v>Client</v>
      </c>
      <c r="V486" s="12" t="s">
        <v>405</v>
      </c>
    </row>
    <row r="487" spans="1:23" ht="85" x14ac:dyDescent="0.2">
      <c r="A487" s="7">
        <v>486</v>
      </c>
      <c r="B487" s="52" t="s">
        <v>807</v>
      </c>
      <c r="C487" s="8" t="s">
        <v>502</v>
      </c>
      <c r="D487" s="7" t="s">
        <v>29</v>
      </c>
      <c r="E487" s="7" t="s">
        <v>30</v>
      </c>
      <c r="G487" s="7" t="b">
        <v>1</v>
      </c>
      <c r="H487" s="12" t="s">
        <v>503</v>
      </c>
      <c r="M487" s="9" t="str" cm="1">
        <f t="array" ref="M487">PAGE_NAME(B487)</f>
        <v>StructureDefinition-us-core-procedure</v>
      </c>
      <c r="N487" s="9" t="str" cm="1">
        <f t="array" ref="N487">SECTION_NAME(B487)</f>
        <v>mandatory-and-must-support-data-elements</v>
      </c>
      <c r="O487" s="10" t="str">
        <f t="shared" si="19"/>
        <v>SHALL</v>
      </c>
      <c r="P487" s="10" t="str">
        <f t="shared" si="20"/>
        <v>Server</v>
      </c>
      <c r="V487" s="12" t="s">
        <v>405</v>
      </c>
      <c r="W487" s="6" t="s">
        <v>1140</v>
      </c>
    </row>
    <row r="488" spans="1:23" ht="85" x14ac:dyDescent="0.2">
      <c r="A488" s="7">
        <v>487</v>
      </c>
      <c r="B488" s="52" t="s">
        <v>807</v>
      </c>
      <c r="C488" s="8" t="s">
        <v>504</v>
      </c>
      <c r="D488" s="7" t="s">
        <v>29</v>
      </c>
      <c r="E488" s="7" t="s">
        <v>58</v>
      </c>
      <c r="G488" s="7" t="b">
        <v>1</v>
      </c>
      <c r="H488" s="12" t="s">
        <v>503</v>
      </c>
      <c r="M488" s="9" t="str" cm="1">
        <f t="array" ref="M488">PAGE_NAME(B488)</f>
        <v>StructureDefinition-us-core-procedure</v>
      </c>
      <c r="N488" s="9" t="str" cm="1">
        <f t="array" ref="N488">SECTION_NAME(B488)</f>
        <v>mandatory-and-must-support-data-elements</v>
      </c>
      <c r="O488" s="10" t="str">
        <f t="shared" si="19"/>
        <v>SHALL</v>
      </c>
      <c r="P488" s="10" t="str">
        <f t="shared" si="20"/>
        <v>Client</v>
      </c>
      <c r="V488" s="12" t="s">
        <v>405</v>
      </c>
    </row>
    <row r="489" spans="1:23" ht="102" x14ac:dyDescent="0.2">
      <c r="A489" s="7">
        <v>488</v>
      </c>
      <c r="B489" s="52" t="s">
        <v>807</v>
      </c>
      <c r="C489" s="8" t="s">
        <v>897</v>
      </c>
      <c r="D489" s="7" t="s">
        <v>32</v>
      </c>
      <c r="E489" s="7" t="s">
        <v>30</v>
      </c>
      <c r="G489" s="7" t="b">
        <v>1</v>
      </c>
      <c r="H489" s="12" t="s">
        <v>503</v>
      </c>
      <c r="M489" s="9" t="str" cm="1">
        <f t="array" ref="M489">PAGE_NAME(B489)</f>
        <v>StructureDefinition-us-core-procedure</v>
      </c>
      <c r="N489" s="9" t="str" cm="1">
        <f t="array" ref="N489">SECTION_NAME(B489)</f>
        <v>mandatory-and-must-support-data-elements</v>
      </c>
      <c r="O489" s="10" t="str">
        <f t="shared" si="19"/>
        <v>SHOULD</v>
      </c>
      <c r="P489" s="10" t="str">
        <f t="shared" si="20"/>
        <v/>
      </c>
      <c r="V489" s="12" t="s">
        <v>405</v>
      </c>
    </row>
    <row r="490" spans="1:23" ht="34" x14ac:dyDescent="0.2">
      <c r="A490" s="7">
        <v>489</v>
      </c>
      <c r="B490" s="52" t="s">
        <v>898</v>
      </c>
      <c r="C490" s="8" t="s">
        <v>505</v>
      </c>
      <c r="D490" s="7" t="s">
        <v>29</v>
      </c>
      <c r="E490" s="7" t="s">
        <v>30</v>
      </c>
      <c r="G490" s="7" t="b">
        <v>0</v>
      </c>
      <c r="M490" s="9" t="str" cm="1">
        <f t="array" ref="M490">PAGE_NAME(B490)</f>
        <v>StructureDefinition-us-core-provenance</v>
      </c>
      <c r="N490" s="9" t="str" cm="1">
        <f t="array" ref="N490">SECTION_NAME(B490)</f>
        <v>mandatory-and-must-support-data-elements</v>
      </c>
      <c r="O490" s="10" t="str">
        <f t="shared" si="19"/>
        <v>SHALL</v>
      </c>
      <c r="P490" s="10" t="str">
        <f t="shared" si="20"/>
        <v/>
      </c>
      <c r="W490" s="6" t="s">
        <v>1140</v>
      </c>
    </row>
    <row r="491" spans="1:23" ht="34" x14ac:dyDescent="0.2">
      <c r="A491" s="7">
        <v>490</v>
      </c>
      <c r="B491" s="52" t="s">
        <v>898</v>
      </c>
      <c r="C491" s="8" t="s">
        <v>506</v>
      </c>
      <c r="D491" s="7" t="s">
        <v>29</v>
      </c>
      <c r="E491" s="7" t="s">
        <v>30</v>
      </c>
      <c r="G491" s="7" t="b">
        <v>0</v>
      </c>
      <c r="M491" s="9" t="str" cm="1">
        <f t="array" ref="M491">PAGE_NAME(B491)</f>
        <v>StructureDefinition-us-core-provenance</v>
      </c>
      <c r="N491" s="9" t="str" cm="1">
        <f t="array" ref="N491">SECTION_NAME(B491)</f>
        <v>mandatory-and-must-support-data-elements</v>
      </c>
      <c r="O491" s="10" t="str">
        <f t="shared" si="19"/>
        <v>SHALL</v>
      </c>
      <c r="P491" s="10" t="str">
        <f t="shared" si="20"/>
        <v/>
      </c>
      <c r="W491" s="6" t="s">
        <v>1140</v>
      </c>
    </row>
    <row r="492" spans="1:23" ht="34" x14ac:dyDescent="0.2">
      <c r="A492" s="7">
        <v>491</v>
      </c>
      <c r="B492" s="52" t="s">
        <v>898</v>
      </c>
      <c r="C492" s="8" t="s">
        <v>507</v>
      </c>
      <c r="D492" s="7" t="s">
        <v>29</v>
      </c>
      <c r="E492" s="7" t="s">
        <v>30</v>
      </c>
      <c r="G492" s="7" t="b">
        <v>0</v>
      </c>
      <c r="M492" s="9" t="str" cm="1">
        <f t="array" ref="M492">PAGE_NAME(B492)</f>
        <v>StructureDefinition-us-core-provenance</v>
      </c>
      <c r="N492" s="9" t="str" cm="1">
        <f t="array" ref="N492">SECTION_NAME(B492)</f>
        <v>mandatory-and-must-support-data-elements</v>
      </c>
      <c r="O492" s="10" t="str">
        <f t="shared" si="19"/>
        <v>SHALL</v>
      </c>
      <c r="P492" s="10" t="str">
        <f t="shared" si="20"/>
        <v/>
      </c>
      <c r="W492" s="6" t="s">
        <v>1140</v>
      </c>
    </row>
    <row r="493" spans="1:23" ht="34" x14ac:dyDescent="0.2">
      <c r="A493" s="7">
        <v>492</v>
      </c>
      <c r="B493" s="52" t="s">
        <v>898</v>
      </c>
      <c r="C493" s="8" t="s">
        <v>508</v>
      </c>
      <c r="D493" s="7" t="s">
        <v>29</v>
      </c>
      <c r="E493" s="7" t="s">
        <v>30</v>
      </c>
      <c r="G493" s="7" t="b">
        <v>0</v>
      </c>
      <c r="M493" s="9" t="str" cm="1">
        <f t="array" ref="M493">PAGE_NAME(B493)</f>
        <v>StructureDefinition-us-core-provenance</v>
      </c>
      <c r="N493" s="9" t="str" cm="1">
        <f t="array" ref="N493">SECTION_NAME(B493)</f>
        <v>mandatory-and-must-support-data-elements</v>
      </c>
      <c r="O493" s="10" t="str">
        <f t="shared" si="19"/>
        <v>SHALL</v>
      </c>
      <c r="P493" s="10" t="str">
        <f t="shared" si="20"/>
        <v/>
      </c>
      <c r="W493" s="6" t="s">
        <v>1140</v>
      </c>
    </row>
    <row r="494" spans="1:23" ht="34" x14ac:dyDescent="0.2">
      <c r="A494" s="7">
        <v>493</v>
      </c>
      <c r="B494" s="52" t="s">
        <v>898</v>
      </c>
      <c r="C494" s="8" t="s">
        <v>509</v>
      </c>
      <c r="D494" s="7" t="s">
        <v>29</v>
      </c>
      <c r="E494" s="7" t="s">
        <v>30</v>
      </c>
      <c r="G494" s="7" t="b">
        <v>0</v>
      </c>
      <c r="M494" s="9" t="str" cm="1">
        <f t="array" ref="M494">PAGE_NAME(B494)</f>
        <v>StructureDefinition-us-core-provenance</v>
      </c>
      <c r="N494" s="9" t="str" cm="1">
        <f t="array" ref="N494">SECTION_NAME(B494)</f>
        <v>mandatory-and-must-support-data-elements</v>
      </c>
      <c r="O494" s="10" t="str">
        <f t="shared" si="19"/>
        <v>SHALL</v>
      </c>
      <c r="P494" s="10" t="str">
        <f t="shared" si="20"/>
        <v/>
      </c>
      <c r="W494" s="6" t="s">
        <v>1140</v>
      </c>
    </row>
    <row r="495" spans="1:23" ht="34" x14ac:dyDescent="0.2">
      <c r="A495" s="7">
        <v>494</v>
      </c>
      <c r="B495" s="52" t="s">
        <v>898</v>
      </c>
      <c r="C495" s="8" t="s">
        <v>510</v>
      </c>
      <c r="D495" s="7" t="s">
        <v>29</v>
      </c>
      <c r="E495" s="7" t="s">
        <v>30</v>
      </c>
      <c r="G495" s="7" t="b">
        <v>0</v>
      </c>
      <c r="M495" s="9" t="str" cm="1">
        <f t="array" ref="M495">PAGE_NAME(B495)</f>
        <v>StructureDefinition-us-core-provenance</v>
      </c>
      <c r="N495" s="9" t="str" cm="1">
        <f t="array" ref="N495">SECTION_NAME(B495)</f>
        <v>mandatory-and-must-support-data-elements</v>
      </c>
      <c r="O495" s="10" t="str">
        <f t="shared" ref="O495:O514" si="21">IF(ISNUMBER(SEARCH("MAY", C495)), "MAY", IF(ISNUMBER(SEARCH("SHOULD", C495)), "SHOULD", IF(ISNUMBER(SEARCH("SHALL", C495)), "SHALL", IF(ISNUMBER(SEARCH("SHOULD NOT", C495)), "SHOULD NOT", IF(ISNUMBER(SEARCH("SHALL NOT", C495)), "SHALL NOT", "")))))</f>
        <v>SHALL</v>
      </c>
      <c r="P495" s="10" t="str">
        <f t="shared" ref="P495:P514" si="22">IF(ISNUMBER(SEARCH("Server", C495)), "Server", IF(ISNUMBER(SEARCH("Server", C495)), "Server", IF(ISNUMBER(SEARCH("Client", C495)), "Client", IF(ISNUMBER(SEARCH("Client", C495)), "Client", IF(ISNUMBER(SEARCH("US Core Responder", C495)), "Server", IF(ISNUMBER(SEARCH("US Core Requestor", C495)), "Client", ""))))))</f>
        <v/>
      </c>
      <c r="W495" s="6" t="s">
        <v>1140</v>
      </c>
    </row>
    <row r="496" spans="1:23" ht="34" x14ac:dyDescent="0.2">
      <c r="A496" s="7">
        <v>495</v>
      </c>
      <c r="B496" s="52" t="s">
        <v>898</v>
      </c>
      <c r="C496" s="8" t="s">
        <v>511</v>
      </c>
      <c r="D496" s="7" t="s">
        <v>29</v>
      </c>
      <c r="E496" s="7" t="s">
        <v>30</v>
      </c>
      <c r="G496" s="7" t="b">
        <v>0</v>
      </c>
      <c r="M496" s="9" t="str" cm="1">
        <f t="array" ref="M496">PAGE_NAME(B496)</f>
        <v>StructureDefinition-us-core-provenance</v>
      </c>
      <c r="N496" s="9" t="str" cm="1">
        <f t="array" ref="N496">SECTION_NAME(B496)</f>
        <v>mandatory-and-must-support-data-elements</v>
      </c>
      <c r="O496" s="10" t="str">
        <f t="shared" si="21"/>
        <v>SHALL</v>
      </c>
      <c r="P496" s="10" t="str">
        <f t="shared" si="22"/>
        <v/>
      </c>
      <c r="W496" s="6" t="s">
        <v>1140</v>
      </c>
    </row>
    <row r="497" spans="1:23" ht="34" x14ac:dyDescent="0.2">
      <c r="A497" s="7">
        <v>496</v>
      </c>
      <c r="B497" s="52" t="s">
        <v>898</v>
      </c>
      <c r="C497" s="8" t="s">
        <v>512</v>
      </c>
      <c r="D497" s="7" t="s">
        <v>29</v>
      </c>
      <c r="E497" s="7" t="s">
        <v>30</v>
      </c>
      <c r="G497" s="7" t="b">
        <v>0</v>
      </c>
      <c r="M497" s="9" t="str" cm="1">
        <f t="array" ref="M497">PAGE_NAME(B497)</f>
        <v>StructureDefinition-us-core-provenance</v>
      </c>
      <c r="N497" s="9" t="str" cm="1">
        <f t="array" ref="N497">SECTION_NAME(B497)</f>
        <v>mandatory-and-must-support-data-elements</v>
      </c>
      <c r="O497" s="10" t="str">
        <f t="shared" si="21"/>
        <v>SHALL</v>
      </c>
      <c r="P497" s="10" t="str">
        <f t="shared" si="22"/>
        <v/>
      </c>
      <c r="W497" s="6" t="s">
        <v>1140</v>
      </c>
    </row>
    <row r="498" spans="1:23" ht="34" x14ac:dyDescent="0.2">
      <c r="A498" s="7">
        <v>497</v>
      </c>
      <c r="B498" s="52" t="s">
        <v>898</v>
      </c>
      <c r="C498" s="8" t="s">
        <v>513</v>
      </c>
      <c r="D498" s="7" t="s">
        <v>29</v>
      </c>
      <c r="E498" s="7" t="s">
        <v>30</v>
      </c>
      <c r="G498" s="7" t="b">
        <v>0</v>
      </c>
      <c r="M498" s="9" t="str" cm="1">
        <f t="array" ref="M498">PAGE_NAME(B498)</f>
        <v>StructureDefinition-us-core-provenance</v>
      </c>
      <c r="N498" s="9" t="str" cm="1">
        <f t="array" ref="N498">SECTION_NAME(B498)</f>
        <v>mandatory-and-must-support-data-elements</v>
      </c>
      <c r="O498" s="10" t="str">
        <f t="shared" si="21"/>
        <v>SHALL</v>
      </c>
      <c r="P498" s="10" t="str">
        <f t="shared" si="22"/>
        <v/>
      </c>
      <c r="W498" s="6" t="s">
        <v>1140</v>
      </c>
    </row>
    <row r="499" spans="1:23" ht="34" x14ac:dyDescent="0.2">
      <c r="A499" s="7">
        <v>498</v>
      </c>
      <c r="B499" s="52" t="s">
        <v>898</v>
      </c>
      <c r="C499" s="8" t="s">
        <v>514</v>
      </c>
      <c r="D499" s="7" t="s">
        <v>29</v>
      </c>
      <c r="E499" s="7" t="s">
        <v>30</v>
      </c>
      <c r="G499" s="7" t="b">
        <v>0</v>
      </c>
      <c r="M499" s="9" t="str" cm="1">
        <f t="array" ref="M499">PAGE_NAME(B499)</f>
        <v>StructureDefinition-us-core-provenance</v>
      </c>
      <c r="N499" s="9" t="str" cm="1">
        <f t="array" ref="N499">SECTION_NAME(B499)</f>
        <v>mandatory-and-must-support-data-elements</v>
      </c>
      <c r="O499" s="10" t="str">
        <f t="shared" si="21"/>
        <v>SHALL</v>
      </c>
      <c r="P499" s="10" t="str">
        <f t="shared" si="22"/>
        <v/>
      </c>
      <c r="W499" s="6" t="s">
        <v>1140</v>
      </c>
    </row>
    <row r="500" spans="1:23" ht="34" x14ac:dyDescent="0.2">
      <c r="A500" s="7">
        <v>499</v>
      </c>
      <c r="B500" s="52" t="s">
        <v>898</v>
      </c>
      <c r="C500" s="8" t="s">
        <v>515</v>
      </c>
      <c r="D500" s="7" t="s">
        <v>29</v>
      </c>
      <c r="E500" s="7" t="s">
        <v>30</v>
      </c>
      <c r="G500" s="7" t="b">
        <v>0</v>
      </c>
      <c r="M500" s="9" t="str" cm="1">
        <f t="array" ref="M500">PAGE_NAME(B500)</f>
        <v>StructureDefinition-us-core-provenance</v>
      </c>
      <c r="N500" s="9" t="str" cm="1">
        <f t="array" ref="N500">SECTION_NAME(B500)</f>
        <v>mandatory-and-must-support-data-elements</v>
      </c>
      <c r="O500" s="10" t="str">
        <f t="shared" si="21"/>
        <v>SHALL</v>
      </c>
      <c r="P500" s="10" t="str">
        <f t="shared" si="22"/>
        <v/>
      </c>
      <c r="W500" s="6" t="s">
        <v>1140</v>
      </c>
    </row>
    <row r="501" spans="1:23" ht="34" x14ac:dyDescent="0.2">
      <c r="A501" s="7">
        <v>500</v>
      </c>
      <c r="B501" s="52" t="s">
        <v>898</v>
      </c>
      <c r="C501" s="8" t="s">
        <v>516</v>
      </c>
      <c r="D501" s="7" t="s">
        <v>29</v>
      </c>
      <c r="E501" s="7" t="s">
        <v>30</v>
      </c>
      <c r="G501" s="7" t="b">
        <v>0</v>
      </c>
      <c r="M501" s="9" t="str" cm="1">
        <f t="array" ref="M501">PAGE_NAME(B501)</f>
        <v>StructureDefinition-us-core-provenance</v>
      </c>
      <c r="N501" s="9" t="str" cm="1">
        <f t="array" ref="N501">SECTION_NAME(B501)</f>
        <v>mandatory-and-must-support-data-elements</v>
      </c>
      <c r="O501" s="10" t="str">
        <f t="shared" si="21"/>
        <v>SHALL</v>
      </c>
      <c r="P501" s="10" t="str">
        <f t="shared" si="22"/>
        <v/>
      </c>
      <c r="W501" s="6" t="s">
        <v>1140</v>
      </c>
    </row>
    <row r="502" spans="1:23" ht="34" x14ac:dyDescent="0.2">
      <c r="A502" s="7">
        <v>501</v>
      </c>
      <c r="B502" s="52" t="s">
        <v>898</v>
      </c>
      <c r="C502" s="8" t="s">
        <v>517</v>
      </c>
      <c r="D502" s="7" t="s">
        <v>29</v>
      </c>
      <c r="E502" s="7" t="s">
        <v>30</v>
      </c>
      <c r="G502" s="7" t="b">
        <v>0</v>
      </c>
      <c r="M502" s="9" t="str" cm="1">
        <f t="array" ref="M502">PAGE_NAME(B502)</f>
        <v>StructureDefinition-us-core-provenance</v>
      </c>
      <c r="N502" s="9" t="str" cm="1">
        <f t="array" ref="N502">SECTION_NAME(B502)</f>
        <v>mandatory-and-must-support-data-elements</v>
      </c>
      <c r="O502" s="10" t="str">
        <f t="shared" si="21"/>
        <v>SHALL</v>
      </c>
      <c r="P502" s="10" t="str">
        <f t="shared" si="22"/>
        <v/>
      </c>
      <c r="W502" s="6" t="s">
        <v>1140</v>
      </c>
    </row>
    <row r="503" spans="1:23" ht="34" x14ac:dyDescent="0.2">
      <c r="A503" s="7">
        <v>502</v>
      </c>
      <c r="B503" s="52" t="s">
        <v>898</v>
      </c>
      <c r="C503" s="8" t="s">
        <v>518</v>
      </c>
      <c r="D503" s="7" t="s">
        <v>29</v>
      </c>
      <c r="E503" s="7" t="s">
        <v>30</v>
      </c>
      <c r="G503" s="7" t="b">
        <v>0</v>
      </c>
      <c r="M503" s="9" t="str" cm="1">
        <f t="array" ref="M503">PAGE_NAME(B503)</f>
        <v>StructureDefinition-us-core-provenance</v>
      </c>
      <c r="N503" s="9" t="str" cm="1">
        <f t="array" ref="N503">SECTION_NAME(B503)</f>
        <v>mandatory-and-must-support-data-elements</v>
      </c>
      <c r="O503" s="10" t="str">
        <f t="shared" si="21"/>
        <v>SHALL</v>
      </c>
      <c r="P503" s="10" t="str">
        <f t="shared" si="22"/>
        <v/>
      </c>
      <c r="W503" s="6" t="s">
        <v>1140</v>
      </c>
    </row>
    <row r="504" spans="1:23" ht="34" x14ac:dyDescent="0.2">
      <c r="A504" s="7">
        <v>503</v>
      </c>
      <c r="B504" s="52" t="s">
        <v>898</v>
      </c>
      <c r="C504" s="8" t="s">
        <v>519</v>
      </c>
      <c r="D504" s="7" t="s">
        <v>29</v>
      </c>
      <c r="E504" s="7" t="s">
        <v>30</v>
      </c>
      <c r="G504" s="7" t="b">
        <v>0</v>
      </c>
      <c r="M504" s="9" t="str" cm="1">
        <f t="array" ref="M504">PAGE_NAME(B504)</f>
        <v>StructureDefinition-us-core-provenance</v>
      </c>
      <c r="N504" s="9" t="str" cm="1">
        <f t="array" ref="N504">SECTION_NAME(B504)</f>
        <v>mandatory-and-must-support-data-elements</v>
      </c>
      <c r="O504" s="10" t="str">
        <f t="shared" si="21"/>
        <v>SHALL</v>
      </c>
      <c r="P504" s="10" t="str">
        <f t="shared" si="22"/>
        <v/>
      </c>
      <c r="W504" s="6" t="s">
        <v>1140</v>
      </c>
    </row>
    <row r="505" spans="1:23" ht="34" x14ac:dyDescent="0.2">
      <c r="A505" s="7">
        <v>504</v>
      </c>
      <c r="B505" s="52" t="s">
        <v>898</v>
      </c>
      <c r="C505" s="8" t="s">
        <v>520</v>
      </c>
      <c r="D505" s="7" t="s">
        <v>29</v>
      </c>
      <c r="E505" s="7" t="s">
        <v>30</v>
      </c>
      <c r="G505" s="7" t="b">
        <v>0</v>
      </c>
      <c r="M505" s="9" t="str" cm="1">
        <f t="array" ref="M505">PAGE_NAME(B505)</f>
        <v>StructureDefinition-us-core-provenance</v>
      </c>
      <c r="N505" s="9" t="str" cm="1">
        <f t="array" ref="N505">SECTION_NAME(B505)</f>
        <v>mandatory-and-must-support-data-elements</v>
      </c>
      <c r="O505" s="10" t="str">
        <f t="shared" si="21"/>
        <v>SHALL</v>
      </c>
      <c r="P505" s="10" t="str">
        <f t="shared" si="22"/>
        <v/>
      </c>
      <c r="W505" s="6" t="s">
        <v>1140</v>
      </c>
    </row>
    <row r="506" spans="1:23" ht="34" x14ac:dyDescent="0.2">
      <c r="A506" s="7">
        <v>505</v>
      </c>
      <c r="B506" s="52" t="s">
        <v>898</v>
      </c>
      <c r="C506" s="8" t="s">
        <v>521</v>
      </c>
      <c r="D506" s="7" t="s">
        <v>29</v>
      </c>
      <c r="E506" s="7" t="s">
        <v>30</v>
      </c>
      <c r="G506" s="7" t="b">
        <v>0</v>
      </c>
      <c r="M506" s="9" t="str" cm="1">
        <f t="array" ref="M506">PAGE_NAME(B506)</f>
        <v>StructureDefinition-us-core-provenance</v>
      </c>
      <c r="N506" s="9" t="str" cm="1">
        <f t="array" ref="N506">SECTION_NAME(B506)</f>
        <v>mandatory-and-must-support-data-elements</v>
      </c>
      <c r="O506" s="10" t="str">
        <f t="shared" si="21"/>
        <v>SHALL</v>
      </c>
      <c r="P506" s="10" t="str">
        <f t="shared" si="22"/>
        <v/>
      </c>
      <c r="W506" s="6" t="s">
        <v>1140</v>
      </c>
    </row>
    <row r="507" spans="1:23" ht="34" x14ac:dyDescent="0.2">
      <c r="A507" s="7">
        <v>506</v>
      </c>
      <c r="B507" s="52" t="s">
        <v>898</v>
      </c>
      <c r="C507" s="8" t="s">
        <v>522</v>
      </c>
      <c r="D507" s="7" t="s">
        <v>29</v>
      </c>
      <c r="E507" s="7" t="s">
        <v>30</v>
      </c>
      <c r="G507" s="7" t="b">
        <v>0</v>
      </c>
      <c r="M507" s="9" t="str" cm="1">
        <f t="array" ref="M507">PAGE_NAME(B507)</f>
        <v>StructureDefinition-us-core-provenance</v>
      </c>
      <c r="N507" s="9" t="str" cm="1">
        <f t="array" ref="N507">SECTION_NAME(B507)</f>
        <v>mandatory-and-must-support-data-elements</v>
      </c>
      <c r="O507" s="10" t="str">
        <f t="shared" si="21"/>
        <v>SHALL</v>
      </c>
      <c r="P507" s="10" t="str">
        <f t="shared" si="22"/>
        <v/>
      </c>
      <c r="W507" s="6" t="s">
        <v>1140</v>
      </c>
    </row>
    <row r="508" spans="1:23" ht="34" x14ac:dyDescent="0.2">
      <c r="A508" s="7">
        <v>507</v>
      </c>
      <c r="B508" s="52" t="s">
        <v>898</v>
      </c>
      <c r="C508" s="8" t="s">
        <v>523</v>
      </c>
      <c r="D508" s="7" t="s">
        <v>29</v>
      </c>
      <c r="E508" s="7" t="s">
        <v>30</v>
      </c>
      <c r="G508" s="7" t="b">
        <v>0</v>
      </c>
      <c r="M508" s="9" t="str" cm="1">
        <f t="array" ref="M508">PAGE_NAME(B508)</f>
        <v>StructureDefinition-us-core-provenance</v>
      </c>
      <c r="N508" s="9" t="str" cm="1">
        <f t="array" ref="N508">SECTION_NAME(B508)</f>
        <v>mandatory-and-must-support-data-elements</v>
      </c>
      <c r="O508" s="10" t="str">
        <f t="shared" si="21"/>
        <v>SHALL</v>
      </c>
      <c r="P508" s="10" t="str">
        <f t="shared" si="22"/>
        <v/>
      </c>
      <c r="W508" s="6" t="s">
        <v>1140</v>
      </c>
    </row>
    <row r="509" spans="1:23" ht="68" x14ac:dyDescent="0.2">
      <c r="A509" s="7">
        <v>508</v>
      </c>
      <c r="B509" s="52" t="s">
        <v>898</v>
      </c>
      <c r="C509" s="8" t="s">
        <v>524</v>
      </c>
      <c r="D509" s="7" t="s">
        <v>29</v>
      </c>
      <c r="E509" s="7" t="s">
        <v>30</v>
      </c>
      <c r="G509" s="7" t="b">
        <v>1</v>
      </c>
      <c r="H509" s="12" t="s">
        <v>525</v>
      </c>
      <c r="M509" s="9" t="str" cm="1">
        <f t="array" ref="M509">PAGE_NAME(B509)</f>
        <v>StructureDefinition-us-core-provenance</v>
      </c>
      <c r="N509" s="9" t="str" cm="1">
        <f t="array" ref="N509">SECTION_NAME(B509)</f>
        <v>mandatory-and-must-support-data-elements</v>
      </c>
      <c r="O509" s="10" t="str">
        <f t="shared" si="21"/>
        <v>SHALL</v>
      </c>
      <c r="P509" s="10" t="str">
        <f t="shared" si="22"/>
        <v/>
      </c>
      <c r="W509" s="6" t="s">
        <v>1140</v>
      </c>
    </row>
    <row r="510" spans="1:23" ht="68" x14ac:dyDescent="0.2">
      <c r="A510" s="7">
        <v>509</v>
      </c>
      <c r="B510" s="59" t="s">
        <v>898</v>
      </c>
      <c r="C510" s="8" t="s">
        <v>526</v>
      </c>
      <c r="D510" s="7" t="s">
        <v>35</v>
      </c>
      <c r="E510" s="7" t="s">
        <v>30</v>
      </c>
      <c r="G510" s="7" t="b">
        <v>1</v>
      </c>
      <c r="H510" s="12" t="s">
        <v>527</v>
      </c>
      <c r="M510" s="9" t="str" cm="1">
        <f t="array" ref="M510">PAGE_NAME(B510)</f>
        <v>StructureDefinition-us-core-provenance</v>
      </c>
      <c r="N510" s="9" t="str" cm="1">
        <f t="array" ref="N510">SECTION_NAME(B510)</f>
        <v>mandatory-and-must-support-data-elements</v>
      </c>
      <c r="O510" s="10" t="str">
        <f t="shared" si="21"/>
        <v>MAY</v>
      </c>
      <c r="P510" s="10" t="str">
        <f t="shared" si="22"/>
        <v/>
      </c>
      <c r="W510" s="6" t="s">
        <v>1141</v>
      </c>
    </row>
    <row r="511" spans="1:23" ht="34" x14ac:dyDescent="0.2">
      <c r="A511" s="7">
        <v>510</v>
      </c>
      <c r="B511" s="52" t="s">
        <v>898</v>
      </c>
      <c r="C511" s="8" t="s">
        <v>528</v>
      </c>
      <c r="D511" s="7" t="s">
        <v>32</v>
      </c>
      <c r="E511" s="7" t="s">
        <v>30</v>
      </c>
      <c r="G511" s="7" t="b">
        <v>0</v>
      </c>
      <c r="M511" s="9" t="str" cm="1">
        <f t="array" ref="M511">PAGE_NAME(B511)</f>
        <v>StructureDefinition-us-core-provenance</v>
      </c>
      <c r="N511" s="9" t="str" cm="1">
        <f t="array" ref="N511">SECTION_NAME(B511)</f>
        <v>mandatory-and-must-support-data-elements</v>
      </c>
      <c r="O511" s="10" t="str">
        <f t="shared" si="21"/>
        <v>SHOULD</v>
      </c>
      <c r="P511" s="10" t="str">
        <f t="shared" si="22"/>
        <v/>
      </c>
    </row>
    <row r="512" spans="1:23" ht="51" x14ac:dyDescent="0.2">
      <c r="A512" s="7">
        <v>511</v>
      </c>
      <c r="B512" s="59" t="s">
        <v>899</v>
      </c>
      <c r="C512" s="8" t="s">
        <v>529</v>
      </c>
      <c r="D512" s="7" t="s">
        <v>29</v>
      </c>
      <c r="E512" s="7" t="s">
        <v>30</v>
      </c>
      <c r="G512" s="7" t="b">
        <v>1</v>
      </c>
      <c r="H512" s="12" t="s">
        <v>530</v>
      </c>
      <c r="M512" s="9" t="str" cm="1">
        <f t="array" ref="M512">PAGE_NAME(B512)</f>
        <v>StructureDefinition-us-core-questionnaireresponse</v>
      </c>
      <c r="N512" s="9" t="str" cm="1">
        <f t="array" ref="N512">SECTION_NAME(B512)</f>
        <v>mandatory-and-must-support-data-elements</v>
      </c>
      <c r="O512" s="10" t="str">
        <f t="shared" si="21"/>
        <v/>
      </c>
      <c r="P512" s="10" t="str">
        <f t="shared" si="22"/>
        <v/>
      </c>
      <c r="W512" s="6" t="s">
        <v>1141</v>
      </c>
    </row>
    <row r="513" spans="1:23" ht="51" x14ac:dyDescent="0.2">
      <c r="A513" s="7">
        <v>512</v>
      </c>
      <c r="B513" s="52" t="s">
        <v>899</v>
      </c>
      <c r="C513" s="8" t="s">
        <v>531</v>
      </c>
      <c r="D513" s="7" t="s">
        <v>35</v>
      </c>
      <c r="E513" s="7" t="s">
        <v>30</v>
      </c>
      <c r="G513" s="7" t="b">
        <v>1</v>
      </c>
      <c r="H513" s="12" t="s">
        <v>530</v>
      </c>
      <c r="M513" s="9" t="str" cm="1">
        <f t="array" ref="M513">PAGE_NAME(B513)</f>
        <v>StructureDefinition-us-core-questionnaireresponse</v>
      </c>
      <c r="N513" s="9" t="str" cm="1">
        <f t="array" ref="N513">SECTION_NAME(B513)</f>
        <v>mandatory-and-must-support-data-elements</v>
      </c>
      <c r="O513" s="10" t="str">
        <f t="shared" si="21"/>
        <v>MAY</v>
      </c>
      <c r="P513" s="10" t="str">
        <f t="shared" si="22"/>
        <v/>
      </c>
    </row>
    <row r="514" spans="1:23" ht="102" x14ac:dyDescent="0.2">
      <c r="A514" s="7">
        <v>513</v>
      </c>
      <c r="B514" s="52" t="s">
        <v>900</v>
      </c>
      <c r="C514" s="8" t="s">
        <v>532</v>
      </c>
      <c r="D514" s="7" t="s">
        <v>32</v>
      </c>
      <c r="E514" s="7" t="s">
        <v>30</v>
      </c>
      <c r="G514" s="7" t="b">
        <v>0</v>
      </c>
      <c r="M514" s="9" t="str" cm="1">
        <f t="array" ref="M514">PAGE_NAME(B514)</f>
        <v>StructureDefinition-us-core-relatedperson</v>
      </c>
      <c r="N514" s="9" t="str" cm="1">
        <f t="array" ref="N514">SECTION_NAME(B514)</f>
        <v>mandatory-and-must-support-data-elements</v>
      </c>
      <c r="O514" s="10" t="str">
        <f t="shared" si="21"/>
        <v>SHOULD</v>
      </c>
      <c r="P514" s="10" t="str">
        <f t="shared" si="22"/>
        <v/>
      </c>
    </row>
    <row r="515" spans="1:23" ht="238" x14ac:dyDescent="0.2">
      <c r="A515" s="7">
        <v>514</v>
      </c>
      <c r="B515" s="52" t="s">
        <v>901</v>
      </c>
      <c r="C515" s="8" t="s">
        <v>809</v>
      </c>
      <c r="D515" s="7" t="s">
        <v>35</v>
      </c>
      <c r="E515" s="7" t="s">
        <v>30</v>
      </c>
      <c r="G515" s="7" t="b">
        <v>0</v>
      </c>
      <c r="M515" s="9" t="str" cm="1">
        <f t="array" ref="M515">PAGE_NAME(B515)</f>
        <v>StructureDefinition-us-core-servicerequest</v>
      </c>
      <c r="N515" s="9" t="str" cm="1">
        <f t="array" ref="N515">SECTION_NAME(B515)</f>
        <v>mandatory-and-must-support-data-elements</v>
      </c>
      <c r="O515" s="10" t="str">
        <f>IF(ISNUMBER( SEARCH("MAY",#REF!)), "MAY", IF(ISNUMBER( SEARCH("SHOULD",#REF!)), "SHOULD", IF(ISNUMBER( SEARCH("SHALL",#REF!)), "SHALL", IF(ISNUMBER( SEARCH("SHOULD NOT",#REF!)), "SHOULD NOT", IF(ISNUMBER( SEARCH("SHALL NOT",#REF!)), "SHALL NOT", "")))))</f>
        <v/>
      </c>
      <c r="P515" s="10" t="str">
        <f>IF(ISNUMBER( SEARCH("Server",#REF!)), "Server", IF(ISNUMBER( SEARCH("Server",#REF!)), "Server", IF(ISNUMBER( SEARCH("Client",#REF!)), "Client", IF(ISNUMBER( SEARCH("Client",#REF!)), "Client", IF(ISNUMBER( SEARCH("US Core Responder",#REF!)), "Server", IF(ISNUMBER( SEARCH("US Core Requestor",#REF!)), "Client", ""))))))</f>
        <v/>
      </c>
      <c r="V515" s="12" t="s">
        <v>810</v>
      </c>
    </row>
    <row r="516" spans="1:23" ht="289" x14ac:dyDescent="0.2">
      <c r="A516" s="7">
        <v>515</v>
      </c>
      <c r="B516" s="52" t="s">
        <v>901</v>
      </c>
      <c r="C516" s="8" t="s">
        <v>533</v>
      </c>
      <c r="D516" s="7" t="s">
        <v>32</v>
      </c>
      <c r="E516" s="7" t="s">
        <v>30</v>
      </c>
      <c r="G516" s="7" t="b">
        <v>0</v>
      </c>
      <c r="M516" s="9" t="str" cm="1">
        <f t="array" ref="M516">PAGE_NAME(B516)</f>
        <v>StructureDefinition-us-core-servicerequest</v>
      </c>
      <c r="N516" s="9" t="str" cm="1">
        <f t="array" ref="N516">SECTION_NAME(B516)</f>
        <v>mandatory-and-must-support-data-elements</v>
      </c>
      <c r="O516" s="10" t="str">
        <f>IF(ISNUMBER(SEARCH("MAY", C515)), "MAY", IF(ISNUMBER(SEARCH("SHOULD", C515)), "SHOULD", IF(ISNUMBER(SEARCH("SHALL", C515)), "SHALL", IF(ISNUMBER(SEARCH("SHOULD NOT", C515)), "SHOULD NOT", IF(ISNUMBER(SEARCH("SHALL NOT", C515)), "SHALL NOT", "")))))</f>
        <v/>
      </c>
      <c r="P516" s="10" t="str">
        <f>IF(ISNUMBER(SEARCH("Server", C515)), "Server", IF(ISNUMBER(SEARCH("Server", C515)), "Server", IF(ISNUMBER(SEARCH("Client", C515)), "Client", IF(ISNUMBER(SEARCH("Client", C515)), "Client", IF(ISNUMBER(SEARCH("US Core Responder", C515)), "Server", IF(ISNUMBER(SEARCH("US Core Requestor", C515)), "Client", ""))))))</f>
        <v/>
      </c>
      <c r="V516" s="12" t="s">
        <v>816</v>
      </c>
    </row>
    <row r="517" spans="1:23" ht="68" x14ac:dyDescent="0.2">
      <c r="A517" s="7">
        <v>516</v>
      </c>
      <c r="B517" s="52" t="s">
        <v>901</v>
      </c>
      <c r="C517" s="8" t="s">
        <v>534</v>
      </c>
      <c r="D517" s="7" t="s">
        <v>29</v>
      </c>
      <c r="E517" s="7" t="s">
        <v>30</v>
      </c>
      <c r="G517" s="7" t="b">
        <v>1</v>
      </c>
      <c r="H517" s="12" t="s">
        <v>500</v>
      </c>
      <c r="M517" s="9" t="str" cm="1">
        <f t="array" ref="M517">PAGE_NAME(B517)</f>
        <v>StructureDefinition-us-core-servicerequest</v>
      </c>
      <c r="N517" s="9" t="str" cm="1">
        <f t="array" ref="N517">SECTION_NAME(B517)</f>
        <v>mandatory-and-must-support-data-elements</v>
      </c>
      <c r="O517" s="10" t="str">
        <f t="shared" ref="O517:O534" si="23">IF(ISNUMBER(SEARCH("MAY", C517)), "MAY", IF(ISNUMBER(SEARCH("SHOULD", C517)), "SHOULD", IF(ISNUMBER(SEARCH("SHALL", C517)), "SHALL", IF(ISNUMBER(SEARCH("SHOULD NOT", C517)), "SHOULD NOT", IF(ISNUMBER(SEARCH("SHALL NOT", C517)), "SHALL NOT", "")))))</f>
        <v>SHALL</v>
      </c>
      <c r="P517" s="10" t="str">
        <f t="shared" ref="P517:P534" si="24">IF(ISNUMBER(SEARCH("Server", C517)), "Server", IF(ISNUMBER(SEARCH("Server", C517)), "Server", IF(ISNUMBER(SEARCH("Client", C517)), "Client", IF(ISNUMBER(SEARCH("Client", C517)), "Client", IF(ISNUMBER(SEARCH("US Core Responder", C517)), "Server", IF(ISNUMBER(SEARCH("US Core Requestor", C517)), "Client", ""))))))</f>
        <v>Server</v>
      </c>
      <c r="V517" s="12" t="s">
        <v>405</v>
      </c>
      <c r="W517" s="6" t="s">
        <v>1140</v>
      </c>
    </row>
    <row r="518" spans="1:23" ht="68" x14ac:dyDescent="0.2">
      <c r="A518" s="7">
        <v>517</v>
      </c>
      <c r="B518" s="52" t="s">
        <v>901</v>
      </c>
      <c r="C518" s="8" t="s">
        <v>535</v>
      </c>
      <c r="D518" s="7" t="s">
        <v>29</v>
      </c>
      <c r="E518" s="7" t="s">
        <v>58</v>
      </c>
      <c r="G518" s="7" t="b">
        <v>1</v>
      </c>
      <c r="H518" s="12" t="s">
        <v>500</v>
      </c>
      <c r="M518" s="9" t="str" cm="1">
        <f t="array" ref="M518">PAGE_NAME(B518)</f>
        <v>StructureDefinition-us-core-servicerequest</v>
      </c>
      <c r="N518" s="9" t="str" cm="1">
        <f t="array" ref="N518">SECTION_NAME(B518)</f>
        <v>mandatory-and-must-support-data-elements</v>
      </c>
      <c r="O518" s="10" t="str">
        <f t="shared" si="23"/>
        <v>SHALL</v>
      </c>
      <c r="P518" s="10" t="str">
        <f t="shared" si="24"/>
        <v>Client</v>
      </c>
      <c r="V518" s="12" t="s">
        <v>405</v>
      </c>
    </row>
    <row r="519" spans="1:23" ht="119" x14ac:dyDescent="0.2">
      <c r="A519" s="7">
        <v>518</v>
      </c>
      <c r="B519" s="52" t="s">
        <v>901</v>
      </c>
      <c r="C519" s="8" t="s">
        <v>1072</v>
      </c>
      <c r="D519" s="7" t="s">
        <v>29</v>
      </c>
      <c r="E519" s="7" t="s">
        <v>30</v>
      </c>
      <c r="G519" s="7" t="b">
        <v>1</v>
      </c>
      <c r="H519" s="12" t="s">
        <v>1071</v>
      </c>
      <c r="M519" s="9" t="str" cm="1">
        <f t="array" ref="M519">PAGE_NAME(B519)</f>
        <v>StructureDefinition-us-core-servicerequest</v>
      </c>
      <c r="N519" s="9" t="str" cm="1">
        <f t="array" ref="N519">SECTION_NAME(B519)</f>
        <v>mandatory-and-must-support-data-elements</v>
      </c>
      <c r="O519" s="10" t="str">
        <f t="shared" si="23"/>
        <v>SHALL</v>
      </c>
      <c r="P519" s="10" t="str">
        <f t="shared" si="24"/>
        <v>Server</v>
      </c>
      <c r="V519" s="12" t="s">
        <v>405</v>
      </c>
      <c r="W519" s="6" t="s">
        <v>1140</v>
      </c>
    </row>
    <row r="520" spans="1:23" ht="68" x14ac:dyDescent="0.2">
      <c r="A520" s="7">
        <v>519</v>
      </c>
      <c r="B520" s="52" t="s">
        <v>901</v>
      </c>
      <c r="C520" s="8" t="s">
        <v>956</v>
      </c>
      <c r="D520" s="7" t="s">
        <v>29</v>
      </c>
      <c r="E520" s="7" t="s">
        <v>58</v>
      </c>
      <c r="G520" s="7" t="b">
        <v>1</v>
      </c>
      <c r="H520" s="12" t="s">
        <v>500</v>
      </c>
      <c r="M520" s="9" t="str" cm="1">
        <f t="array" ref="M520">PAGE_NAME(B520)</f>
        <v>StructureDefinition-us-core-servicerequest</v>
      </c>
      <c r="N520" s="9" t="str" cm="1">
        <f t="array" ref="N520">SECTION_NAME(B520)</f>
        <v>mandatory-and-must-support-data-elements</v>
      </c>
      <c r="O520" s="10" t="str">
        <f t="shared" si="23"/>
        <v>SHALL</v>
      </c>
      <c r="P520" s="10" t="str">
        <f t="shared" si="24"/>
        <v>Client</v>
      </c>
      <c r="V520" s="12" t="s">
        <v>405</v>
      </c>
    </row>
    <row r="521" spans="1:23" ht="85" x14ac:dyDescent="0.2">
      <c r="A521" s="7">
        <v>520</v>
      </c>
      <c r="B521" s="52" t="s">
        <v>901</v>
      </c>
      <c r="C521" s="8" t="s">
        <v>536</v>
      </c>
      <c r="D521" s="7" t="s">
        <v>29</v>
      </c>
      <c r="E521" s="7" t="s">
        <v>30</v>
      </c>
      <c r="G521" s="7" t="b">
        <v>1</v>
      </c>
      <c r="H521" s="12" t="s">
        <v>503</v>
      </c>
      <c r="M521" s="9" t="str" cm="1">
        <f t="array" ref="M521">PAGE_NAME(B521)</f>
        <v>StructureDefinition-us-core-servicerequest</v>
      </c>
      <c r="N521" s="9" t="str" cm="1">
        <f t="array" ref="N521">SECTION_NAME(B521)</f>
        <v>mandatory-and-must-support-data-elements</v>
      </c>
      <c r="O521" s="10" t="str">
        <f t="shared" si="23"/>
        <v>SHALL</v>
      </c>
      <c r="P521" s="10" t="str">
        <f t="shared" si="24"/>
        <v>Server</v>
      </c>
      <c r="V521" s="12" t="s">
        <v>405</v>
      </c>
      <c r="W521" s="6" t="s">
        <v>1140</v>
      </c>
    </row>
    <row r="522" spans="1:23" ht="85" x14ac:dyDescent="0.2">
      <c r="A522" s="7">
        <v>521</v>
      </c>
      <c r="B522" s="52" t="s">
        <v>901</v>
      </c>
      <c r="C522" s="8" t="s">
        <v>537</v>
      </c>
      <c r="D522" s="7" t="s">
        <v>29</v>
      </c>
      <c r="E522" s="7" t="s">
        <v>58</v>
      </c>
      <c r="G522" s="7" t="b">
        <v>1</v>
      </c>
      <c r="H522" s="12" t="s">
        <v>503</v>
      </c>
      <c r="M522" s="9" t="str" cm="1">
        <f t="array" ref="M522">PAGE_NAME(B522)</f>
        <v>StructureDefinition-us-core-servicerequest</v>
      </c>
      <c r="N522" s="9" t="str" cm="1">
        <f t="array" ref="N522">SECTION_NAME(B522)</f>
        <v>mandatory-and-must-support-data-elements</v>
      </c>
      <c r="O522" s="10" t="str">
        <f t="shared" si="23"/>
        <v>SHALL</v>
      </c>
      <c r="P522" s="10" t="str">
        <f t="shared" si="24"/>
        <v>Client</v>
      </c>
      <c r="V522" s="12" t="s">
        <v>405</v>
      </c>
    </row>
    <row r="523" spans="1:23" ht="102" x14ac:dyDescent="0.2">
      <c r="A523" s="7">
        <v>522</v>
      </c>
      <c r="B523" s="52" t="s">
        <v>901</v>
      </c>
      <c r="C523" s="8" t="s">
        <v>902</v>
      </c>
      <c r="D523" s="7" t="s">
        <v>32</v>
      </c>
      <c r="E523" s="7" t="s">
        <v>30</v>
      </c>
      <c r="G523" s="7" t="b">
        <v>1</v>
      </c>
      <c r="H523" s="12" t="s">
        <v>503</v>
      </c>
      <c r="M523" s="9" t="str" cm="1">
        <f t="array" ref="M523">PAGE_NAME(B523)</f>
        <v>StructureDefinition-us-core-servicerequest</v>
      </c>
      <c r="N523" s="9" t="str" cm="1">
        <f t="array" ref="N523">SECTION_NAME(B523)</f>
        <v>mandatory-and-must-support-data-elements</v>
      </c>
      <c r="O523" s="10" t="str">
        <f t="shared" si="23"/>
        <v>SHOULD</v>
      </c>
      <c r="P523" s="10" t="str">
        <f t="shared" si="24"/>
        <v/>
      </c>
      <c r="V523" s="12" t="s">
        <v>405</v>
      </c>
    </row>
    <row r="524" spans="1:23" ht="85" x14ac:dyDescent="0.2">
      <c r="A524" s="7">
        <v>523</v>
      </c>
      <c r="B524" s="52" t="s">
        <v>903</v>
      </c>
      <c r="C524" s="8" t="s">
        <v>538</v>
      </c>
      <c r="D524" s="7" t="s">
        <v>35</v>
      </c>
      <c r="E524" s="7" t="s">
        <v>30</v>
      </c>
      <c r="G524" s="7" t="b">
        <v>0</v>
      </c>
      <c r="M524" s="9" t="str" cm="1">
        <f t="array" ref="M524">PAGE_NAME(B524)</f>
        <v>StructureDefinition-us-core-specimen</v>
      </c>
      <c r="N524" s="9" t="str" cm="1">
        <f t="array" ref="N524">SECTION_NAME(B524)</f>
        <v>mandatory-and-must-support-data-elements</v>
      </c>
      <c r="O524" s="10" t="str">
        <f t="shared" si="23"/>
        <v/>
      </c>
      <c r="P524" s="10" t="str">
        <f t="shared" si="24"/>
        <v/>
      </c>
    </row>
    <row r="525" spans="1:23" ht="68" x14ac:dyDescent="0.2">
      <c r="A525" s="7">
        <v>524</v>
      </c>
      <c r="B525" s="52" t="s">
        <v>903</v>
      </c>
      <c r="C525" s="8" t="s">
        <v>1073</v>
      </c>
      <c r="D525" s="7" t="s">
        <v>29</v>
      </c>
      <c r="E525" s="7" t="s">
        <v>30</v>
      </c>
      <c r="G525" s="7" t="b">
        <v>1</v>
      </c>
      <c r="H525" s="12" t="s">
        <v>539</v>
      </c>
      <c r="M525" s="9" t="str" cm="1">
        <f t="array" ref="M525">PAGE_NAME(B525)</f>
        <v>StructureDefinition-us-core-specimen</v>
      </c>
      <c r="N525" s="9" t="str" cm="1">
        <f t="array" ref="N525">SECTION_NAME(B525)</f>
        <v>mandatory-and-must-support-data-elements</v>
      </c>
      <c r="O525" s="10" t="str">
        <f t="shared" si="23"/>
        <v>SHALL</v>
      </c>
      <c r="P525" s="10" t="str">
        <f t="shared" si="24"/>
        <v>Server</v>
      </c>
      <c r="W525" s="6" t="s">
        <v>1143</v>
      </c>
    </row>
    <row r="526" spans="1:23" ht="34" x14ac:dyDescent="0.2">
      <c r="A526" s="7">
        <v>525</v>
      </c>
      <c r="B526" s="52" t="s">
        <v>903</v>
      </c>
      <c r="C526" s="8" t="s">
        <v>957</v>
      </c>
      <c r="D526" s="7" t="s">
        <v>29</v>
      </c>
      <c r="E526" s="7" t="s">
        <v>58</v>
      </c>
      <c r="G526" s="7" t="b">
        <v>1</v>
      </c>
      <c r="M526" s="9" t="str" cm="1">
        <f t="array" ref="M526">PAGE_NAME(B526)</f>
        <v>StructureDefinition-us-core-specimen</v>
      </c>
      <c r="N526" s="9" t="str" cm="1">
        <f t="array" ref="N526">SECTION_NAME(B526)</f>
        <v>mandatory-and-must-support-data-elements</v>
      </c>
      <c r="O526" s="10" t="str">
        <f t="shared" si="23"/>
        <v>SHALL</v>
      </c>
      <c r="P526" s="10" t="str">
        <f t="shared" si="24"/>
        <v>Client</v>
      </c>
    </row>
    <row r="527" spans="1:23" ht="34" x14ac:dyDescent="0.2">
      <c r="A527" s="7">
        <v>526</v>
      </c>
      <c r="B527" s="52" t="s">
        <v>903</v>
      </c>
      <c r="C527" s="8" t="s">
        <v>540</v>
      </c>
      <c r="D527" s="7" t="s">
        <v>35</v>
      </c>
      <c r="E527" s="7" t="s">
        <v>58</v>
      </c>
      <c r="G527" s="7" t="b">
        <v>0</v>
      </c>
      <c r="M527" s="9" t="str" cm="1">
        <f t="array" ref="M527">PAGE_NAME(B527)</f>
        <v>StructureDefinition-us-core-specimen</v>
      </c>
      <c r="N527" s="9" t="str" cm="1">
        <f t="array" ref="N527">SECTION_NAME(B527)</f>
        <v>mandatory-and-must-support-data-elements</v>
      </c>
      <c r="O527" s="10" t="str">
        <f t="shared" si="23"/>
        <v>MAY</v>
      </c>
      <c r="P527" s="10" t="str">
        <f t="shared" si="24"/>
        <v>Client</v>
      </c>
    </row>
    <row r="528" spans="1:23" ht="238" x14ac:dyDescent="0.2">
      <c r="A528" s="7">
        <v>527</v>
      </c>
      <c r="B528" s="52" t="s">
        <v>958</v>
      </c>
      <c r="C528" s="8" t="s">
        <v>744</v>
      </c>
      <c r="D528" s="7" t="s">
        <v>32</v>
      </c>
      <c r="E528" s="7" t="s">
        <v>58</v>
      </c>
      <c r="G528" s="7" t="b">
        <v>0</v>
      </c>
      <c r="M528" s="9" t="str" cm="1">
        <f t="array" ref="M528">PAGE_NAME(B528)</f>
        <v>CapabilityStatement-us-core-Client</v>
      </c>
      <c r="N528" s="9" t="str" cm="1">
        <f t="array" ref="N528">SECTION_NAME(B528)</f>
        <v>should_igs</v>
      </c>
      <c r="O528" s="10" t="str">
        <f t="shared" si="23"/>
        <v>SHOULD</v>
      </c>
      <c r="P528" s="10" t="str">
        <f t="shared" si="24"/>
        <v>Client</v>
      </c>
      <c r="V528" s="12" t="s">
        <v>745</v>
      </c>
    </row>
    <row r="529" spans="1:23" ht="17" x14ac:dyDescent="0.2">
      <c r="A529" s="7">
        <v>528</v>
      </c>
      <c r="B529" s="52" t="s">
        <v>959</v>
      </c>
      <c r="C529" s="8" t="s">
        <v>541</v>
      </c>
      <c r="D529" s="7" t="s">
        <v>35</v>
      </c>
      <c r="E529" s="7" t="s">
        <v>58</v>
      </c>
      <c r="G529" s="7" t="b">
        <v>0</v>
      </c>
      <c r="M529" s="9" t="str" cm="1">
        <f t="array" ref="M529">PAGE_NAME(B529)</f>
        <v>CapabilityStatement-us-core-Client</v>
      </c>
      <c r="N529" s="9" t="str" cm="1">
        <f t="array" ref="N529">SECTION_NAME(B529)</f>
        <v>behavior</v>
      </c>
      <c r="O529" s="10" t="str">
        <f t="shared" si="23"/>
        <v>MAY</v>
      </c>
      <c r="P529" s="10" t="str">
        <f t="shared" si="24"/>
        <v>Client</v>
      </c>
    </row>
    <row r="530" spans="1:23" ht="17" x14ac:dyDescent="0.2">
      <c r="A530" s="7">
        <v>529</v>
      </c>
      <c r="B530" s="52" t="s">
        <v>959</v>
      </c>
      <c r="C530" s="8" t="s">
        <v>542</v>
      </c>
      <c r="D530" s="7" t="s">
        <v>35</v>
      </c>
      <c r="E530" s="7" t="s">
        <v>58</v>
      </c>
      <c r="G530" s="7" t="b">
        <v>0</v>
      </c>
      <c r="M530" s="9" t="str" cm="1">
        <f t="array" ref="M530">PAGE_NAME(B530)</f>
        <v>CapabilityStatement-us-core-Client</v>
      </c>
      <c r="N530" s="9" t="str" cm="1">
        <f t="array" ref="N530">SECTION_NAME(B530)</f>
        <v>behavior</v>
      </c>
      <c r="O530" s="10" t="str">
        <f t="shared" si="23"/>
        <v>MAY</v>
      </c>
      <c r="P530" s="10" t="str">
        <f t="shared" si="24"/>
        <v>Client</v>
      </c>
    </row>
    <row r="531" spans="1:23" ht="17" x14ac:dyDescent="0.2">
      <c r="A531" s="7">
        <v>530</v>
      </c>
      <c r="B531" s="52" t="s">
        <v>959</v>
      </c>
      <c r="C531" s="8" t="s">
        <v>543</v>
      </c>
      <c r="D531" s="7" t="s">
        <v>35</v>
      </c>
      <c r="E531" s="7" t="s">
        <v>58</v>
      </c>
      <c r="G531" s="7" t="b">
        <v>0</v>
      </c>
      <c r="M531" s="9" t="str" cm="1">
        <f t="array" ref="M531">PAGE_NAME(B531)</f>
        <v>CapabilityStatement-us-core-Client</v>
      </c>
      <c r="N531" s="9" t="str" cm="1">
        <f t="array" ref="N531">SECTION_NAME(B531)</f>
        <v>behavior</v>
      </c>
      <c r="O531" s="10" t="str">
        <f t="shared" si="23"/>
        <v>MAY</v>
      </c>
      <c r="P531" s="10" t="str">
        <f t="shared" si="24"/>
        <v>Client</v>
      </c>
    </row>
    <row r="532" spans="1:23" ht="17" x14ac:dyDescent="0.2">
      <c r="A532" s="7">
        <v>531</v>
      </c>
      <c r="B532" s="52" t="s">
        <v>959</v>
      </c>
      <c r="C532" s="8" t="s">
        <v>544</v>
      </c>
      <c r="D532" s="7" t="s">
        <v>35</v>
      </c>
      <c r="E532" s="7" t="s">
        <v>58</v>
      </c>
      <c r="G532" s="7" t="b">
        <v>0</v>
      </c>
      <c r="M532" s="9" t="str" cm="1">
        <f t="array" ref="M532">PAGE_NAME(B532)</f>
        <v>CapabilityStatement-us-core-Client</v>
      </c>
      <c r="N532" s="9" t="str" cm="1">
        <f t="array" ref="N532">SECTION_NAME(B532)</f>
        <v>behavior</v>
      </c>
      <c r="O532" s="10" t="str">
        <f t="shared" si="23"/>
        <v>MAY</v>
      </c>
      <c r="P532" s="10" t="str">
        <f t="shared" si="24"/>
        <v>Client</v>
      </c>
    </row>
    <row r="533" spans="1:23" ht="238" x14ac:dyDescent="0.2">
      <c r="A533" s="7">
        <v>532</v>
      </c>
      <c r="B533" s="52" t="s">
        <v>1074</v>
      </c>
      <c r="C533" s="8" t="s">
        <v>750</v>
      </c>
      <c r="D533" s="7" t="s">
        <v>32</v>
      </c>
      <c r="E533" s="7" t="s">
        <v>30</v>
      </c>
      <c r="G533" s="7" t="b">
        <v>0</v>
      </c>
      <c r="M533" s="9" t="str" cm="1">
        <f t="array" ref="M533">PAGE_NAME(B533)</f>
        <v>CapabilityStatement-us-core-Server</v>
      </c>
      <c r="N533" s="9" t="str" cm="1">
        <f t="array" ref="N533">SECTION_NAME(B533)</f>
        <v>should_igs</v>
      </c>
      <c r="O533" s="10" t="str">
        <f t="shared" si="23"/>
        <v>SHOULD</v>
      </c>
      <c r="P533" s="10" t="str">
        <f t="shared" si="24"/>
        <v>Server</v>
      </c>
      <c r="V533" s="12" t="s">
        <v>745</v>
      </c>
    </row>
    <row r="534" spans="1:23" ht="34" x14ac:dyDescent="0.2">
      <c r="A534" s="7">
        <v>533</v>
      </c>
      <c r="B534" s="52" t="s">
        <v>1075</v>
      </c>
      <c r="C534" s="8" t="s">
        <v>545</v>
      </c>
      <c r="D534" s="7" t="s">
        <v>29</v>
      </c>
      <c r="E534" s="7" t="s">
        <v>30</v>
      </c>
      <c r="G534" s="7" t="b">
        <v>0</v>
      </c>
      <c r="M534" s="9" t="str" cm="1">
        <f t="array" ref="M534">PAGE_NAME(B534)</f>
        <v>CapabilityStatement-us-core-Server</v>
      </c>
      <c r="N534" s="9" t="str" cm="1">
        <f t="array" ref="N534">SECTION_NAME(B534)</f>
        <v>behavior</v>
      </c>
      <c r="O534" s="10" t="str">
        <f t="shared" si="23"/>
        <v>SHALL</v>
      </c>
      <c r="P534" s="10" t="str">
        <f t="shared" si="24"/>
        <v>Server</v>
      </c>
      <c r="W534" s="6" t="s">
        <v>1140</v>
      </c>
    </row>
    <row r="535" spans="1:23" ht="51" x14ac:dyDescent="0.2">
      <c r="A535" s="7">
        <v>534</v>
      </c>
      <c r="B535" s="52" t="s">
        <v>1075</v>
      </c>
      <c r="C535" s="8" t="s">
        <v>546</v>
      </c>
      <c r="D535" s="7" t="s">
        <v>29</v>
      </c>
      <c r="E535" s="7" t="s">
        <v>30</v>
      </c>
      <c r="G535" s="7" t="b">
        <v>0</v>
      </c>
      <c r="M535" s="9" t="str" cm="1">
        <f t="array" ref="M535">PAGE_NAME(B535)</f>
        <v>CapabilityStatement-us-core-Server</v>
      </c>
      <c r="N535" s="9" t="str" cm="1">
        <f t="array" ref="N535">SECTION_NAME(B535)</f>
        <v>behavior</v>
      </c>
      <c r="W535" s="6" t="s">
        <v>1140</v>
      </c>
    </row>
    <row r="536" spans="1:23" ht="34" x14ac:dyDescent="0.2">
      <c r="A536" s="7">
        <v>535</v>
      </c>
      <c r="B536" s="52" t="s">
        <v>1075</v>
      </c>
      <c r="C536" s="8" t="s">
        <v>547</v>
      </c>
      <c r="D536" s="7" t="s">
        <v>29</v>
      </c>
      <c r="E536" s="7" t="s">
        <v>30</v>
      </c>
      <c r="G536" s="7" t="b">
        <v>0</v>
      </c>
      <c r="M536" s="9" t="str" cm="1">
        <f t="array" ref="M536">PAGE_NAME(B536)</f>
        <v>CapabilityStatement-us-core-Server</v>
      </c>
      <c r="N536" s="9" t="str" cm="1">
        <f t="array" ref="N536">SECTION_NAME(B536)</f>
        <v>behavior</v>
      </c>
      <c r="W536" s="6" t="s">
        <v>1140</v>
      </c>
    </row>
    <row r="537" spans="1:23" ht="34" x14ac:dyDescent="0.2">
      <c r="A537" s="7">
        <v>536</v>
      </c>
      <c r="B537" s="52" t="s">
        <v>1075</v>
      </c>
      <c r="C537" s="8" t="s">
        <v>548</v>
      </c>
      <c r="D537" s="7" t="s">
        <v>29</v>
      </c>
      <c r="E537" s="7" t="s">
        <v>30</v>
      </c>
      <c r="G537" s="7" t="b">
        <v>0</v>
      </c>
      <c r="M537" s="9" t="str" cm="1">
        <f t="array" ref="M537">PAGE_NAME(B537)</f>
        <v>CapabilityStatement-us-core-Server</v>
      </c>
      <c r="N537" s="9" t="str" cm="1">
        <f t="array" ref="N537">SECTION_NAME(B537)</f>
        <v>behavior</v>
      </c>
      <c r="W537" s="6" t="s">
        <v>1141</v>
      </c>
    </row>
    <row r="538" spans="1:23" ht="34" x14ac:dyDescent="0.2">
      <c r="A538" s="7">
        <v>537</v>
      </c>
      <c r="B538" s="52" t="s">
        <v>1075</v>
      </c>
      <c r="C538" s="8" t="s">
        <v>549</v>
      </c>
      <c r="D538" s="7" t="s">
        <v>29</v>
      </c>
      <c r="E538" s="7" t="s">
        <v>30</v>
      </c>
      <c r="G538" s="7" t="b">
        <v>0</v>
      </c>
      <c r="M538" s="9" t="str" cm="1">
        <f t="array" ref="M538">PAGE_NAME(B538)</f>
        <v>CapabilityStatement-us-core-Server</v>
      </c>
      <c r="N538" s="9" t="str" cm="1">
        <f t="array" ref="N538">SECTION_NAME(B538)</f>
        <v>behavior</v>
      </c>
      <c r="W538" s="6" t="s">
        <v>1141</v>
      </c>
    </row>
    <row r="539" spans="1:23" ht="34" x14ac:dyDescent="0.2">
      <c r="A539" s="7">
        <v>538</v>
      </c>
      <c r="B539" s="52" t="s">
        <v>1075</v>
      </c>
      <c r="C539" s="8" t="s">
        <v>550</v>
      </c>
      <c r="D539" s="7" t="s">
        <v>29</v>
      </c>
      <c r="E539" s="7" t="s">
        <v>30</v>
      </c>
      <c r="G539" s="7" t="b">
        <v>0</v>
      </c>
      <c r="M539" s="9" t="str" cm="1">
        <f t="array" ref="M539">PAGE_NAME(B539)</f>
        <v>CapabilityStatement-us-core-Server</v>
      </c>
      <c r="N539" s="9" t="str" cm="1">
        <f t="array" ref="N539">SECTION_NAME(B539)</f>
        <v>behavior</v>
      </c>
      <c r="W539" s="6" t="s">
        <v>1141</v>
      </c>
    </row>
    <row r="540" spans="1:23" ht="34" x14ac:dyDescent="0.2">
      <c r="A540" s="7">
        <v>539</v>
      </c>
      <c r="B540" s="52" t="s">
        <v>1075</v>
      </c>
      <c r="C540" s="8" t="s">
        <v>551</v>
      </c>
      <c r="D540" s="7" t="s">
        <v>29</v>
      </c>
      <c r="E540" s="7" t="s">
        <v>30</v>
      </c>
      <c r="G540" s="7" t="b">
        <v>0</v>
      </c>
      <c r="M540" s="9" t="str" cm="1">
        <f t="array" ref="M540">PAGE_NAME(B540)</f>
        <v>CapabilityStatement-us-core-Server</v>
      </c>
      <c r="N540" s="9" t="str" cm="1">
        <f t="array" ref="N540">SECTION_NAME(B540)</f>
        <v>behavior</v>
      </c>
      <c r="W540" s="6" t="s">
        <v>1141</v>
      </c>
    </row>
    <row r="541" spans="1:23" ht="34" x14ac:dyDescent="0.2">
      <c r="A541" s="7">
        <v>540</v>
      </c>
      <c r="B541" s="52" t="s">
        <v>1075</v>
      </c>
      <c r="C541" s="8" t="s">
        <v>552</v>
      </c>
      <c r="D541" s="7" t="s">
        <v>29</v>
      </c>
      <c r="E541" s="7" t="s">
        <v>30</v>
      </c>
      <c r="G541" s="7" t="b">
        <v>0</v>
      </c>
      <c r="M541" s="9" t="str" cm="1">
        <f t="array" ref="M541">PAGE_NAME(B541)</f>
        <v>CapabilityStatement-us-core-Server</v>
      </c>
      <c r="N541" s="9" t="str" cm="1">
        <f t="array" ref="N541">SECTION_NAME(B541)</f>
        <v>behavior</v>
      </c>
      <c r="W541" s="6" t="s">
        <v>1140</v>
      </c>
    </row>
    <row r="542" spans="1:23" ht="34" x14ac:dyDescent="0.2">
      <c r="A542" s="7">
        <v>541</v>
      </c>
      <c r="B542" s="52" t="s">
        <v>1075</v>
      </c>
      <c r="C542" s="8" t="s">
        <v>553</v>
      </c>
      <c r="D542" s="7" t="s">
        <v>32</v>
      </c>
      <c r="E542" s="7" t="s">
        <v>30</v>
      </c>
      <c r="G542" s="7" t="b">
        <v>0</v>
      </c>
      <c r="M542" s="9" t="str" cm="1">
        <f t="array" ref="M542">PAGE_NAME(B542)</f>
        <v>CapabilityStatement-us-core-Server</v>
      </c>
      <c r="N542" s="9" t="str" cm="1">
        <f t="array" ref="N542">SECTION_NAME(B542)</f>
        <v>behavior</v>
      </c>
    </row>
    <row r="543" spans="1:23" ht="51" x14ac:dyDescent="0.2">
      <c r="A543" s="7">
        <v>542</v>
      </c>
      <c r="B543" s="52" t="s">
        <v>1075</v>
      </c>
      <c r="C543" s="8" t="s">
        <v>554</v>
      </c>
      <c r="D543" s="7" t="s">
        <v>32</v>
      </c>
      <c r="E543" s="7" t="s">
        <v>30</v>
      </c>
      <c r="G543" s="7" t="b">
        <v>0</v>
      </c>
      <c r="M543" s="9" t="str" cm="1">
        <f t="array" ref="M543">PAGE_NAME(B543)</f>
        <v>CapabilityStatement-us-core-Server</v>
      </c>
      <c r="N543" s="9" t="str" cm="1">
        <f t="array" ref="N543">SECTION_NAME(B543)</f>
        <v>behavior</v>
      </c>
    </row>
    <row r="544" spans="1:23" ht="51" x14ac:dyDescent="0.2">
      <c r="A544" s="7">
        <v>543</v>
      </c>
      <c r="B544" s="52" t="s">
        <v>1075</v>
      </c>
      <c r="C544" s="8" t="s">
        <v>1076</v>
      </c>
      <c r="D544" s="7" t="s">
        <v>29</v>
      </c>
      <c r="E544" s="7" t="s">
        <v>30</v>
      </c>
      <c r="G544" s="7" t="b">
        <v>1</v>
      </c>
      <c r="H544" s="12" t="s">
        <v>555</v>
      </c>
      <c r="M544" s="9" t="str" cm="1">
        <f t="array" ref="M544">PAGE_NAME(B544)</f>
        <v>CapabilityStatement-us-core-Server</v>
      </c>
      <c r="N544" s="9" t="str" cm="1">
        <f t="array" ref="N544">SECTION_NAME(B544)</f>
        <v>behavior</v>
      </c>
      <c r="W544" s="6" t="s">
        <v>1140</v>
      </c>
    </row>
    <row r="545" spans="1:23" ht="17" x14ac:dyDescent="0.2">
      <c r="A545" s="7">
        <v>544</v>
      </c>
      <c r="B545" s="52" t="s">
        <v>1075</v>
      </c>
      <c r="C545" s="8" t="s">
        <v>556</v>
      </c>
      <c r="D545" s="7" t="s">
        <v>35</v>
      </c>
      <c r="E545" s="7" t="s">
        <v>58</v>
      </c>
      <c r="G545" s="7" t="b">
        <v>0</v>
      </c>
      <c r="M545" s="9" t="str" cm="1">
        <f t="array" ref="M545">PAGE_NAME(B545)</f>
        <v>CapabilityStatement-us-core-Server</v>
      </c>
      <c r="N545" s="9" t="str" cm="1">
        <f t="array" ref="N545">SECTION_NAME(B545)</f>
        <v>behavior</v>
      </c>
    </row>
    <row r="546" spans="1:23" ht="17" x14ac:dyDescent="0.2">
      <c r="A546" s="7">
        <v>545</v>
      </c>
      <c r="B546" s="52" t="s">
        <v>1075</v>
      </c>
      <c r="C546" s="8" t="s">
        <v>557</v>
      </c>
      <c r="D546" s="7" t="s">
        <v>35</v>
      </c>
      <c r="E546" s="7" t="s">
        <v>58</v>
      </c>
      <c r="G546" s="7" t="b">
        <v>0</v>
      </c>
      <c r="M546" s="9" t="str" cm="1">
        <f t="array" ref="M546">PAGE_NAME(B546)</f>
        <v>CapabilityStatement-us-core-Server</v>
      </c>
      <c r="N546" s="9" t="str" cm="1">
        <f t="array" ref="N546">SECTION_NAME(B546)</f>
        <v>behavior</v>
      </c>
    </row>
    <row r="547" spans="1:23" ht="17" x14ac:dyDescent="0.2">
      <c r="A547" s="7">
        <v>546</v>
      </c>
      <c r="B547" s="52" t="s">
        <v>1075</v>
      </c>
      <c r="C547" s="8" t="s">
        <v>558</v>
      </c>
      <c r="D547" s="7" t="s">
        <v>35</v>
      </c>
      <c r="E547" s="7" t="s">
        <v>58</v>
      </c>
      <c r="G547" s="7" t="b">
        <v>0</v>
      </c>
      <c r="M547" s="9" t="str" cm="1">
        <f t="array" ref="M547">PAGE_NAME(B547)</f>
        <v>CapabilityStatement-us-core-Server</v>
      </c>
      <c r="N547" s="9" t="str" cm="1">
        <f t="array" ref="N547">SECTION_NAME(B547)</f>
        <v>behavior</v>
      </c>
    </row>
    <row r="548" spans="1:23" ht="17" x14ac:dyDescent="0.2">
      <c r="A548" s="7">
        <v>547</v>
      </c>
      <c r="B548" s="52" t="s">
        <v>1075</v>
      </c>
      <c r="C548" s="8" t="s">
        <v>559</v>
      </c>
      <c r="D548" s="7" t="s">
        <v>35</v>
      </c>
      <c r="E548" s="7" t="s">
        <v>58</v>
      </c>
      <c r="G548" s="7" t="b">
        <v>0</v>
      </c>
      <c r="M548" s="9" t="str" cm="1">
        <f t="array" ref="M548">PAGE_NAME(B548)</f>
        <v>CapabilityStatement-us-core-Server</v>
      </c>
      <c r="N548" s="9" t="str" cm="1">
        <f t="array" ref="N548">SECTION_NAME(B548)</f>
        <v>behavior</v>
      </c>
    </row>
    <row r="549" spans="1:23" ht="51" x14ac:dyDescent="0.2">
      <c r="A549" s="7">
        <v>548</v>
      </c>
      <c r="B549" s="52" t="s">
        <v>1077</v>
      </c>
      <c r="C549" s="8" t="s">
        <v>560</v>
      </c>
      <c r="D549" s="7" t="s">
        <v>32</v>
      </c>
      <c r="E549" s="7" t="s">
        <v>30</v>
      </c>
      <c r="G549" s="7" t="b">
        <v>0</v>
      </c>
      <c r="M549" s="9" t="str" cm="1">
        <f t="array" ref="M549">PAGE_NAME(B549)</f>
        <v>CapabilityStatement-us-core-Server</v>
      </c>
      <c r="N549" s="9" t="str" cm="1">
        <f t="array" ref="N549">SECTION_NAME(B549)</f>
        <v>valueset</v>
      </c>
    </row>
    <row r="550" spans="1:23" ht="68" x14ac:dyDescent="0.2">
      <c r="A550" s="7">
        <v>549</v>
      </c>
      <c r="B550" s="52" t="s">
        <v>1077</v>
      </c>
      <c r="C550" s="8" t="s">
        <v>1078</v>
      </c>
      <c r="D550" s="7" t="s">
        <v>32</v>
      </c>
      <c r="E550" s="7" t="s">
        <v>30</v>
      </c>
      <c r="G550" s="7" t="b">
        <v>1</v>
      </c>
      <c r="H550" s="12" t="s">
        <v>1079</v>
      </c>
      <c r="M550" s="9" t="str" cm="1">
        <f t="array" ref="M550">PAGE_NAME(B550)</f>
        <v>CapabilityStatement-us-core-Server</v>
      </c>
      <c r="N550" s="9" t="str" cm="1">
        <f t="array" ref="N550">SECTION_NAME(B550)</f>
        <v>valueset</v>
      </c>
    </row>
    <row r="551" spans="1:23" ht="34" x14ac:dyDescent="0.2">
      <c r="A551" s="7">
        <v>550</v>
      </c>
      <c r="B551" s="52" t="s">
        <v>633</v>
      </c>
      <c r="C551" s="8" t="s">
        <v>561</v>
      </c>
      <c r="D551" s="7" t="s">
        <v>29</v>
      </c>
      <c r="E551" s="7" t="s">
        <v>30</v>
      </c>
      <c r="G551" s="7" t="b">
        <v>0</v>
      </c>
      <c r="M551" s="9" t="str" cm="1">
        <f t="array" ref="M551">PAGE_NAME(B551)</f>
        <v>security</v>
      </c>
      <c r="N551" s="9" t="str" cm="1">
        <f t="array" ref="N551">SECTION_NAME(B551)</f>
        <v>patient-privacy-and-security</v>
      </c>
      <c r="W551" s="6" t="s">
        <v>1141</v>
      </c>
    </row>
    <row r="552" spans="1:23" ht="34" x14ac:dyDescent="0.2">
      <c r="A552" s="7">
        <v>551</v>
      </c>
      <c r="B552" s="52" t="s">
        <v>633</v>
      </c>
      <c r="C552" s="8" t="s">
        <v>561</v>
      </c>
      <c r="D552" s="7" t="s">
        <v>29</v>
      </c>
      <c r="E552" s="7" t="s">
        <v>58</v>
      </c>
      <c r="G552" s="7" t="b">
        <v>0</v>
      </c>
      <c r="M552" s="9" t="str" cm="1">
        <f t="array" ref="M552">PAGE_NAME(B552)</f>
        <v>security</v>
      </c>
      <c r="N552" s="9" t="str" cm="1">
        <f t="array" ref="N552">SECTION_NAME(B552)</f>
        <v>patient-privacy-and-security</v>
      </c>
    </row>
    <row r="553" spans="1:23" ht="51" x14ac:dyDescent="0.2">
      <c r="A553" s="7">
        <v>552</v>
      </c>
      <c r="B553" s="52" t="s">
        <v>633</v>
      </c>
      <c r="C553" s="8" t="s">
        <v>562</v>
      </c>
      <c r="D553" s="7" t="s">
        <v>32</v>
      </c>
      <c r="E553" s="7" t="s">
        <v>30</v>
      </c>
      <c r="G553" s="7" t="b">
        <v>0</v>
      </c>
      <c r="M553" s="9" t="str" cm="1">
        <f t="array" ref="M553">PAGE_NAME(B553)</f>
        <v>security</v>
      </c>
      <c r="N553" s="9" t="str" cm="1">
        <f t="array" ref="N553">SECTION_NAME(B553)</f>
        <v>patient-privacy-and-security</v>
      </c>
    </row>
    <row r="554" spans="1:23" ht="51" x14ac:dyDescent="0.2">
      <c r="A554" s="7">
        <v>553</v>
      </c>
      <c r="B554" s="52" t="s">
        <v>633</v>
      </c>
      <c r="C554" s="8" t="s">
        <v>562</v>
      </c>
      <c r="D554" s="7" t="s">
        <v>32</v>
      </c>
      <c r="E554" s="7" t="s">
        <v>58</v>
      </c>
      <c r="G554" s="7" t="b">
        <v>0</v>
      </c>
      <c r="M554" s="9" t="str" cm="1">
        <f t="array" ref="M554">PAGE_NAME(B554)</f>
        <v>security</v>
      </c>
      <c r="N554" s="9" t="str" cm="1">
        <f t="array" ref="N554">SECTION_NAME(B554)</f>
        <v>patient-privacy-and-security</v>
      </c>
    </row>
    <row r="555" spans="1:23" ht="34" x14ac:dyDescent="0.2">
      <c r="A555" s="7">
        <v>554</v>
      </c>
      <c r="B555" s="52" t="s">
        <v>633</v>
      </c>
      <c r="C555" s="8" t="s">
        <v>563</v>
      </c>
      <c r="D555" s="7" t="s">
        <v>32</v>
      </c>
      <c r="E555" s="7" t="s">
        <v>30</v>
      </c>
      <c r="G555" s="7" t="b">
        <v>0</v>
      </c>
      <c r="M555" s="9" t="str" cm="1">
        <f t="array" ref="M555">PAGE_NAME(B555)</f>
        <v>security</v>
      </c>
      <c r="N555" s="9" t="str" cm="1">
        <f t="array" ref="N555">SECTION_NAME(B555)</f>
        <v>patient-privacy-and-security</v>
      </c>
    </row>
    <row r="556" spans="1:23" ht="34" x14ac:dyDescent="0.2">
      <c r="A556" s="7">
        <v>555</v>
      </c>
      <c r="B556" s="52" t="s">
        <v>633</v>
      </c>
      <c r="C556" s="8" t="s">
        <v>563</v>
      </c>
      <c r="D556" s="7" t="s">
        <v>32</v>
      </c>
      <c r="E556" s="7" t="s">
        <v>58</v>
      </c>
      <c r="G556" s="7" t="b">
        <v>0</v>
      </c>
      <c r="M556" s="9" t="str" cm="1">
        <f t="array" ref="M556">PAGE_NAME(B556)</f>
        <v>security</v>
      </c>
      <c r="N556" s="9" t="str" cm="1">
        <f t="array" ref="N556">SECTION_NAME(B556)</f>
        <v>patient-privacy-and-security</v>
      </c>
    </row>
    <row r="557" spans="1:23" ht="51" x14ac:dyDescent="0.2">
      <c r="A557" s="7">
        <v>556</v>
      </c>
      <c r="B557" s="52" t="s">
        <v>633</v>
      </c>
      <c r="C557" s="8" t="s">
        <v>564</v>
      </c>
      <c r="D557" s="7" t="s">
        <v>32</v>
      </c>
      <c r="E557" s="7" t="s">
        <v>30</v>
      </c>
      <c r="G557" s="7" t="b">
        <v>0</v>
      </c>
      <c r="M557" s="9" t="str" cm="1">
        <f t="array" ref="M557">PAGE_NAME(B557)</f>
        <v>security</v>
      </c>
      <c r="N557" s="9" t="str" cm="1">
        <f t="array" ref="N557">SECTION_NAME(B557)</f>
        <v>patient-privacy-and-security</v>
      </c>
    </row>
    <row r="558" spans="1:23" ht="51" x14ac:dyDescent="0.2">
      <c r="A558" s="7">
        <v>557</v>
      </c>
      <c r="B558" s="52" t="s">
        <v>633</v>
      </c>
      <c r="C558" s="8" t="s">
        <v>564</v>
      </c>
      <c r="D558" s="7" t="s">
        <v>32</v>
      </c>
      <c r="E558" s="7" t="s">
        <v>58</v>
      </c>
      <c r="G558" s="7" t="b">
        <v>0</v>
      </c>
      <c r="M558" s="9" t="str" cm="1">
        <f t="array" ref="M558">PAGE_NAME(B558)</f>
        <v>security</v>
      </c>
      <c r="N558" s="9" t="str" cm="1">
        <f t="array" ref="N558">SECTION_NAME(B558)</f>
        <v>patient-privacy-and-security</v>
      </c>
    </row>
    <row r="559" spans="1:23" ht="51" x14ac:dyDescent="0.2">
      <c r="A559" s="7">
        <v>558</v>
      </c>
      <c r="B559" s="52" t="s">
        <v>633</v>
      </c>
      <c r="C559" s="8" t="s">
        <v>565</v>
      </c>
      <c r="D559" s="7" t="s">
        <v>29</v>
      </c>
      <c r="E559" s="7" t="s">
        <v>30</v>
      </c>
      <c r="G559" s="7" t="b">
        <v>0</v>
      </c>
      <c r="M559" s="9" t="str" cm="1">
        <f t="array" ref="M559">PAGE_NAME(B559)</f>
        <v>security</v>
      </c>
      <c r="N559" s="9" t="str" cm="1">
        <f t="array" ref="N559">SECTION_NAME(B559)</f>
        <v>patient-privacy-and-security</v>
      </c>
      <c r="W559" s="6" t="s">
        <v>1141</v>
      </c>
    </row>
    <row r="560" spans="1:23" ht="51" x14ac:dyDescent="0.2">
      <c r="A560" s="7">
        <v>559</v>
      </c>
      <c r="B560" s="52" t="s">
        <v>633</v>
      </c>
      <c r="C560" s="8" t="s">
        <v>565</v>
      </c>
      <c r="D560" s="7" t="s">
        <v>29</v>
      </c>
      <c r="E560" s="7" t="s">
        <v>58</v>
      </c>
      <c r="G560" s="7" t="b">
        <v>0</v>
      </c>
      <c r="M560" s="9" t="str" cm="1">
        <f t="array" ref="M560">PAGE_NAME(B560)</f>
        <v>security</v>
      </c>
      <c r="N560" s="9" t="str" cm="1">
        <f t="array" ref="N560">SECTION_NAME(B560)</f>
        <v>patient-privacy-and-security</v>
      </c>
    </row>
    <row r="561" spans="1:23" ht="34" x14ac:dyDescent="0.2">
      <c r="A561" s="7">
        <v>560</v>
      </c>
      <c r="B561" s="52" t="s">
        <v>633</v>
      </c>
      <c r="C561" s="8" t="s">
        <v>566</v>
      </c>
      <c r="D561" s="7" t="s">
        <v>32</v>
      </c>
      <c r="E561" s="7" t="s">
        <v>30</v>
      </c>
      <c r="G561" s="7" t="b">
        <v>0</v>
      </c>
      <c r="M561" s="9" t="str" cm="1">
        <f t="array" ref="M561">PAGE_NAME(B561)</f>
        <v>security</v>
      </c>
      <c r="N561" s="9" t="str" cm="1">
        <f t="array" ref="N561">SECTION_NAME(B561)</f>
        <v>patient-privacy-and-security</v>
      </c>
    </row>
    <row r="562" spans="1:23" ht="34" x14ac:dyDescent="0.2">
      <c r="A562" s="7">
        <v>561</v>
      </c>
      <c r="B562" s="52" t="s">
        <v>633</v>
      </c>
      <c r="C562" s="8" t="s">
        <v>566</v>
      </c>
      <c r="D562" s="7" t="s">
        <v>32</v>
      </c>
      <c r="E562" s="7" t="s">
        <v>58</v>
      </c>
      <c r="G562" s="7" t="b">
        <v>0</v>
      </c>
      <c r="M562" s="9" t="str" cm="1">
        <f t="array" ref="M562">PAGE_NAME(B562)</f>
        <v>security</v>
      </c>
      <c r="N562" s="9" t="str" cm="1">
        <f t="array" ref="N562">SECTION_NAME(B562)</f>
        <v>patient-privacy-and-security</v>
      </c>
    </row>
    <row r="563" spans="1:23" ht="17" x14ac:dyDescent="0.2">
      <c r="A563" s="7">
        <v>562</v>
      </c>
      <c r="B563" s="52" t="s">
        <v>633</v>
      </c>
      <c r="C563" s="8" t="s">
        <v>567</v>
      </c>
      <c r="D563" s="7" t="s">
        <v>29</v>
      </c>
      <c r="E563" s="7" t="s">
        <v>30</v>
      </c>
      <c r="G563" s="7" t="b">
        <v>0</v>
      </c>
      <c r="M563" s="9" t="str" cm="1">
        <f t="array" ref="M563">PAGE_NAME(B563)</f>
        <v>security</v>
      </c>
      <c r="N563" s="9" t="str" cm="1">
        <f t="array" ref="N563">SECTION_NAME(B563)</f>
        <v>patient-privacy-and-security</v>
      </c>
      <c r="W563" s="6" t="s">
        <v>1141</v>
      </c>
    </row>
    <row r="564" spans="1:23" ht="17" x14ac:dyDescent="0.2">
      <c r="A564" s="7">
        <v>563</v>
      </c>
      <c r="B564" s="52" t="s">
        <v>633</v>
      </c>
      <c r="C564" s="8" t="s">
        <v>567</v>
      </c>
      <c r="D564" s="7" t="s">
        <v>29</v>
      </c>
      <c r="E564" s="7" t="s">
        <v>58</v>
      </c>
      <c r="G564" s="7" t="b">
        <v>0</v>
      </c>
      <c r="M564" s="9" t="str" cm="1">
        <f t="array" ref="M564">PAGE_NAME(B564)</f>
        <v>security</v>
      </c>
      <c r="N564" s="9" t="str" cm="1">
        <f t="array" ref="N564">SECTION_NAME(B564)</f>
        <v>patient-privacy-and-security</v>
      </c>
    </row>
    <row r="565" spans="1:23" ht="34" x14ac:dyDescent="0.2">
      <c r="A565" s="7">
        <v>564</v>
      </c>
      <c r="B565" s="52" t="s">
        <v>633</v>
      </c>
      <c r="C565" s="8" t="s">
        <v>568</v>
      </c>
      <c r="D565" s="7" t="s">
        <v>29</v>
      </c>
      <c r="E565" s="7" t="s">
        <v>30</v>
      </c>
      <c r="G565" s="7" t="b">
        <v>0</v>
      </c>
      <c r="M565" s="9" t="str" cm="1">
        <f t="array" ref="M565">PAGE_NAME(B565)</f>
        <v>security</v>
      </c>
      <c r="N565" s="9" t="str" cm="1">
        <f t="array" ref="N565">SECTION_NAME(B565)</f>
        <v>patient-privacy-and-security</v>
      </c>
      <c r="W565" s="6" t="s">
        <v>1140</v>
      </c>
    </row>
    <row r="566" spans="1:23" ht="34" x14ac:dyDescent="0.2">
      <c r="A566" s="7">
        <v>565</v>
      </c>
      <c r="B566" s="52" t="s">
        <v>633</v>
      </c>
      <c r="C566" s="8" t="s">
        <v>568</v>
      </c>
      <c r="D566" s="7" t="s">
        <v>29</v>
      </c>
      <c r="E566" s="7" t="s">
        <v>58</v>
      </c>
      <c r="G566" s="7" t="b">
        <v>0</v>
      </c>
      <c r="M566" s="9" t="str" cm="1">
        <f t="array" ref="M566">PAGE_NAME(B566)</f>
        <v>security</v>
      </c>
      <c r="N566" s="9" t="str" cm="1">
        <f t="array" ref="N566">SECTION_NAME(B566)</f>
        <v>patient-privacy-and-security</v>
      </c>
    </row>
    <row r="567" spans="1:23" ht="17" x14ac:dyDescent="0.2">
      <c r="A567" s="7">
        <v>566</v>
      </c>
      <c r="B567" s="52" t="s">
        <v>633</v>
      </c>
      <c r="C567" s="8" t="s">
        <v>569</v>
      </c>
      <c r="D567" s="7" t="s">
        <v>32</v>
      </c>
      <c r="E567" s="7" t="s">
        <v>30</v>
      </c>
      <c r="G567" s="7" t="b">
        <v>0</v>
      </c>
      <c r="M567" s="9" t="str" cm="1">
        <f t="array" ref="M567">PAGE_NAME(B567)</f>
        <v>security</v>
      </c>
      <c r="N567" s="9" t="str" cm="1">
        <f t="array" ref="N567">SECTION_NAME(B567)</f>
        <v>patient-privacy-and-security</v>
      </c>
    </row>
    <row r="568" spans="1:23" ht="17" x14ac:dyDescent="0.2">
      <c r="A568" s="7">
        <v>567</v>
      </c>
      <c r="B568" s="52" t="s">
        <v>633</v>
      </c>
      <c r="C568" s="8" t="s">
        <v>569</v>
      </c>
      <c r="D568" s="7" t="s">
        <v>32</v>
      </c>
      <c r="E568" s="7" t="s">
        <v>58</v>
      </c>
      <c r="G568" s="7" t="b">
        <v>0</v>
      </c>
      <c r="M568" s="9" t="str" cm="1">
        <f t="array" ref="M568">PAGE_NAME(B568)</f>
        <v>security</v>
      </c>
      <c r="N568" s="9" t="str" cm="1">
        <f t="array" ref="N568">SECTION_NAME(B568)</f>
        <v>patient-privacy-and-security</v>
      </c>
    </row>
    <row r="569" spans="1:23" ht="51" x14ac:dyDescent="0.2">
      <c r="A569" s="7">
        <v>568</v>
      </c>
      <c r="B569" s="52" t="s">
        <v>633</v>
      </c>
      <c r="C569" s="8" t="s">
        <v>570</v>
      </c>
      <c r="D569" s="7" t="s">
        <v>29</v>
      </c>
      <c r="E569" s="7" t="s">
        <v>30</v>
      </c>
      <c r="G569" s="7" t="b">
        <v>0</v>
      </c>
      <c r="M569" s="9" t="str" cm="1">
        <f t="array" ref="M569">PAGE_NAME(B569)</f>
        <v>security</v>
      </c>
      <c r="N569" s="9" t="str" cm="1">
        <f t="array" ref="N569">SECTION_NAME(B569)</f>
        <v>patient-privacy-and-security</v>
      </c>
      <c r="W569" s="6" t="s">
        <v>1141</v>
      </c>
    </row>
    <row r="570" spans="1:23" ht="51" x14ac:dyDescent="0.2">
      <c r="A570" s="7">
        <v>569</v>
      </c>
      <c r="B570" s="52" t="s">
        <v>633</v>
      </c>
      <c r="C570" s="8" t="s">
        <v>570</v>
      </c>
      <c r="D570" s="7" t="s">
        <v>29</v>
      </c>
      <c r="E570" s="7" t="s">
        <v>58</v>
      </c>
      <c r="G570" s="7" t="b">
        <v>0</v>
      </c>
      <c r="M570" s="9" t="str" cm="1">
        <f t="array" ref="M570">PAGE_NAME(B570)</f>
        <v>security</v>
      </c>
      <c r="N570" s="9" t="str" cm="1">
        <f t="array" ref="N570">SECTION_NAME(B570)</f>
        <v>patient-privacy-and-security</v>
      </c>
    </row>
    <row r="571" spans="1:23" ht="51" x14ac:dyDescent="0.2">
      <c r="A571" s="7">
        <v>570</v>
      </c>
      <c r="B571" s="52" t="s">
        <v>633</v>
      </c>
      <c r="C571" s="8" t="s">
        <v>1080</v>
      </c>
      <c r="D571" s="7" t="s">
        <v>29</v>
      </c>
      <c r="E571" s="7" t="s">
        <v>30</v>
      </c>
      <c r="G571" s="7" t="b">
        <v>0</v>
      </c>
      <c r="M571" s="9" t="str" cm="1">
        <f t="array" ref="M571">PAGE_NAME(B571)</f>
        <v>security</v>
      </c>
      <c r="N571" s="9" t="str" cm="1">
        <f t="array" ref="N571">SECTION_NAME(B571)</f>
        <v>patient-privacy-and-security</v>
      </c>
      <c r="W571" s="6" t="s">
        <v>1140</v>
      </c>
    </row>
    <row r="572" spans="1:23" ht="255" x14ac:dyDescent="0.2">
      <c r="A572" s="7">
        <v>571</v>
      </c>
      <c r="B572" s="52" t="s">
        <v>633</v>
      </c>
      <c r="C572" s="8" t="s">
        <v>1081</v>
      </c>
      <c r="D572" s="7" t="s">
        <v>29</v>
      </c>
      <c r="E572" s="7" t="s">
        <v>58</v>
      </c>
      <c r="G572" s="7" t="b">
        <v>0</v>
      </c>
      <c r="M572" s="9" t="str" cm="1">
        <f t="array" ref="M572">PAGE_NAME(B572)</f>
        <v>security</v>
      </c>
      <c r="N572" s="9" t="str" cm="1">
        <f t="array" ref="N572">SECTION_NAME(B572)</f>
        <v>patient-privacy-and-security</v>
      </c>
      <c r="V572" s="12" t="s">
        <v>1082</v>
      </c>
    </row>
    <row r="573" spans="1:23" ht="34" x14ac:dyDescent="0.2">
      <c r="A573" s="7">
        <v>572</v>
      </c>
      <c r="B573" s="52" t="s">
        <v>633</v>
      </c>
      <c r="C573" s="8" t="s">
        <v>571</v>
      </c>
      <c r="D573" s="7" t="s">
        <v>29</v>
      </c>
      <c r="E573" s="7" t="s">
        <v>30</v>
      </c>
      <c r="G573" s="7" t="b">
        <v>0</v>
      </c>
      <c r="M573" s="9" t="str" cm="1">
        <f t="array" ref="M573">PAGE_NAME(B573)</f>
        <v>security</v>
      </c>
      <c r="N573" s="9" t="str" cm="1">
        <f t="array" ref="N573">SECTION_NAME(B573)</f>
        <v>patient-privacy-and-security</v>
      </c>
      <c r="W573" s="6" t="s">
        <v>1141</v>
      </c>
    </row>
    <row r="574" spans="1:23" ht="34" x14ac:dyDescent="0.2">
      <c r="A574" s="7">
        <v>573</v>
      </c>
      <c r="B574" s="52" t="s">
        <v>633</v>
      </c>
      <c r="C574" s="8" t="s">
        <v>571</v>
      </c>
      <c r="D574" s="7" t="s">
        <v>29</v>
      </c>
      <c r="E574" s="7" t="s">
        <v>58</v>
      </c>
      <c r="G574" s="7" t="b">
        <v>0</v>
      </c>
      <c r="M574" s="9" t="str" cm="1">
        <f t="array" ref="M574">PAGE_NAME(B574)</f>
        <v>security</v>
      </c>
      <c r="N574" s="9" t="str" cm="1">
        <f t="array" ref="N574">SECTION_NAME(B574)</f>
        <v>patient-privacy-and-security</v>
      </c>
    </row>
    <row r="575" spans="1:23" ht="34" x14ac:dyDescent="0.2">
      <c r="A575" s="7">
        <v>574</v>
      </c>
      <c r="B575" s="52" t="s">
        <v>633</v>
      </c>
      <c r="C575" s="8" t="s">
        <v>572</v>
      </c>
      <c r="D575" s="7" t="s">
        <v>32</v>
      </c>
      <c r="E575" s="7" t="s">
        <v>30</v>
      </c>
      <c r="G575" s="7" t="b">
        <v>0</v>
      </c>
      <c r="M575" s="9" t="str" cm="1">
        <f t="array" ref="M575">PAGE_NAME(B575)</f>
        <v>security</v>
      </c>
      <c r="N575" s="9" t="str" cm="1">
        <f t="array" ref="N575">SECTION_NAME(B575)</f>
        <v>patient-privacy-and-security</v>
      </c>
    </row>
    <row r="576" spans="1:23" ht="34" x14ac:dyDescent="0.2">
      <c r="A576" s="7">
        <v>575</v>
      </c>
      <c r="B576" s="52" t="s">
        <v>633</v>
      </c>
      <c r="C576" s="8" t="s">
        <v>572</v>
      </c>
      <c r="D576" s="7" t="s">
        <v>32</v>
      </c>
      <c r="E576" s="7" t="s">
        <v>58</v>
      </c>
      <c r="G576" s="7" t="b">
        <v>0</v>
      </c>
      <c r="M576" s="9" t="str" cm="1">
        <f t="array" ref="M576">PAGE_NAME(B576)</f>
        <v>security</v>
      </c>
      <c r="N576" s="9" t="str" cm="1">
        <f t="array" ref="N576">SECTION_NAME(B576)</f>
        <v>patient-privacy-and-security</v>
      </c>
    </row>
    <row r="577" spans="1:24" ht="85" x14ac:dyDescent="0.2">
      <c r="A577" s="7">
        <v>576</v>
      </c>
      <c r="B577" s="52" t="s">
        <v>633</v>
      </c>
      <c r="C577" s="8" t="s">
        <v>904</v>
      </c>
      <c r="D577" s="7" t="s">
        <v>32</v>
      </c>
      <c r="E577" s="7" t="s">
        <v>30</v>
      </c>
      <c r="G577" s="7" t="b">
        <v>0</v>
      </c>
      <c r="M577" s="9" t="str" cm="1">
        <f t="array" ref="M577">PAGE_NAME(B577)</f>
        <v>security</v>
      </c>
      <c r="N577" s="9" t="str" cm="1">
        <f t="array" ref="N577">SECTION_NAME(B577)</f>
        <v>patient-privacy-and-security</v>
      </c>
    </row>
    <row r="578" spans="1:24" ht="85" x14ac:dyDescent="0.2">
      <c r="A578" s="7">
        <v>577</v>
      </c>
      <c r="B578" s="52" t="s">
        <v>633</v>
      </c>
      <c r="C578" s="8" t="s">
        <v>904</v>
      </c>
      <c r="D578" s="7" t="s">
        <v>32</v>
      </c>
      <c r="E578" s="7" t="s">
        <v>58</v>
      </c>
      <c r="G578" s="7" t="b">
        <v>0</v>
      </c>
      <c r="M578" s="9" t="str" cm="1">
        <f t="array" ref="M578">PAGE_NAME(B578)</f>
        <v>security</v>
      </c>
      <c r="N578" s="9" t="str" cm="1">
        <f t="array" ref="N578">SECTION_NAME(B578)</f>
        <v>patient-privacy-and-security</v>
      </c>
    </row>
    <row r="579" spans="1:24" ht="51" x14ac:dyDescent="0.2">
      <c r="A579" s="7">
        <v>578</v>
      </c>
      <c r="B579" s="52" t="s">
        <v>633</v>
      </c>
      <c r="C579" s="8" t="s">
        <v>573</v>
      </c>
      <c r="D579" s="7" t="s">
        <v>35</v>
      </c>
      <c r="E579" s="7" t="s">
        <v>30</v>
      </c>
      <c r="G579" s="7" t="b">
        <v>0</v>
      </c>
      <c r="M579" s="9" t="str" cm="1">
        <f t="array" ref="M579">PAGE_NAME(B579)</f>
        <v>security</v>
      </c>
      <c r="N579" s="9" t="str" cm="1">
        <f t="array" ref="N579">SECTION_NAME(B579)</f>
        <v>patient-privacy-and-security</v>
      </c>
    </row>
    <row r="580" spans="1:24" ht="51" x14ac:dyDescent="0.2">
      <c r="A580" s="7">
        <v>579</v>
      </c>
      <c r="B580" s="52" t="s">
        <v>633</v>
      </c>
      <c r="C580" s="8" t="s">
        <v>573</v>
      </c>
      <c r="D580" s="7" t="s">
        <v>35</v>
      </c>
      <c r="E580" s="7" t="s">
        <v>58</v>
      </c>
      <c r="G580" s="7" t="b">
        <v>0</v>
      </c>
      <c r="M580" s="9" t="str" cm="1">
        <f t="array" ref="M580">PAGE_NAME(B580)</f>
        <v>security</v>
      </c>
      <c r="N580" s="9" t="str" cm="1">
        <f t="array" ref="N580">SECTION_NAME(B580)</f>
        <v>patient-privacy-and-security</v>
      </c>
    </row>
    <row r="581" spans="1:24" ht="34" x14ac:dyDescent="0.2">
      <c r="A581" s="7">
        <v>580</v>
      </c>
      <c r="B581" s="52" t="s">
        <v>633</v>
      </c>
      <c r="C581" s="8" t="s">
        <v>574</v>
      </c>
      <c r="D581" s="7" t="s">
        <v>35</v>
      </c>
      <c r="E581" s="7" t="s">
        <v>30</v>
      </c>
      <c r="G581" s="7" t="b">
        <v>0</v>
      </c>
      <c r="M581" s="9" t="str" cm="1">
        <f t="array" ref="M581">PAGE_NAME(B581)</f>
        <v>security</v>
      </c>
      <c r="N581" s="9" t="str" cm="1">
        <f t="array" ref="N581">SECTION_NAME(B581)</f>
        <v>patient-privacy-and-security</v>
      </c>
    </row>
    <row r="582" spans="1:24" ht="34" x14ac:dyDescent="0.2">
      <c r="A582" s="7">
        <v>581</v>
      </c>
      <c r="B582" s="52" t="s">
        <v>633</v>
      </c>
      <c r="C582" s="8" t="s">
        <v>574</v>
      </c>
      <c r="D582" s="7" t="s">
        <v>35</v>
      </c>
      <c r="E582" s="7" t="s">
        <v>58</v>
      </c>
      <c r="G582" s="7" t="b">
        <v>0</v>
      </c>
      <c r="M582" s="9" t="str" cm="1">
        <f t="array" ref="M582">PAGE_NAME(B582)</f>
        <v>security</v>
      </c>
      <c r="N582" s="9" t="str" cm="1">
        <f t="array" ref="N582">SECTION_NAME(B582)</f>
        <v>patient-privacy-and-security</v>
      </c>
    </row>
    <row r="583" spans="1:24" ht="68" x14ac:dyDescent="0.2">
      <c r="A583" s="7">
        <v>582</v>
      </c>
      <c r="B583" s="52" t="s">
        <v>905</v>
      </c>
      <c r="C583" s="8" t="s">
        <v>575</v>
      </c>
      <c r="D583" s="7" t="s">
        <v>29</v>
      </c>
      <c r="E583" s="7" t="s">
        <v>58</v>
      </c>
      <c r="G583" s="7" t="b">
        <v>1</v>
      </c>
      <c r="H583" s="12" t="s">
        <v>576</v>
      </c>
      <c r="M583" s="9" t="str" cm="1">
        <f t="array" ref="M583">PAGE_NAME(B583)</f>
        <v>general-requirements</v>
      </c>
      <c r="N583" s="9" t="str" cm="1">
        <f t="array" ref="N583">SECTION_NAME(B583)</f>
        <v>current-binding-for-coded-elements</v>
      </c>
    </row>
    <row r="584" spans="1:24" ht="68" x14ac:dyDescent="0.2">
      <c r="A584" s="7">
        <v>583</v>
      </c>
      <c r="B584" s="52" t="s">
        <v>905</v>
      </c>
      <c r="C584" s="8" t="s">
        <v>575</v>
      </c>
      <c r="D584" s="7" t="s">
        <v>29</v>
      </c>
      <c r="E584" s="7" t="s">
        <v>30</v>
      </c>
      <c r="G584" s="7" t="b">
        <v>1</v>
      </c>
      <c r="H584" s="12" t="s">
        <v>576</v>
      </c>
      <c r="M584" s="9" t="str" cm="1">
        <f t="array" ref="M584">PAGE_NAME(B584)</f>
        <v>general-requirements</v>
      </c>
      <c r="N584" s="9" t="str" cm="1">
        <f t="array" ref="N584">SECTION_NAME(B584)</f>
        <v>current-binding-for-coded-elements</v>
      </c>
      <c r="W584" s="6" t="s">
        <v>1141</v>
      </c>
    </row>
    <row r="585" spans="1:24" ht="68" x14ac:dyDescent="0.2">
      <c r="A585" s="7">
        <v>584</v>
      </c>
      <c r="B585" s="59" t="s">
        <v>899</v>
      </c>
      <c r="C585" s="8" t="s">
        <v>577</v>
      </c>
      <c r="D585" s="7" t="s">
        <v>29</v>
      </c>
      <c r="E585" s="7" t="s">
        <v>30</v>
      </c>
      <c r="G585" s="7" t="b">
        <v>1</v>
      </c>
      <c r="H585" s="12" t="s">
        <v>530</v>
      </c>
      <c r="M585" s="9" t="str" cm="1">
        <f t="array" ref="M585">PAGE_NAME(B585)</f>
        <v>StructureDefinition-us-core-questionnaireresponse</v>
      </c>
      <c r="N585" s="9" t="str" cm="1">
        <f t="array" ref="N585">SECTION_NAME(B585)</f>
        <v>mandatory-and-must-support-data-elements</v>
      </c>
      <c r="O585" s="10" t="str">
        <f t="shared" ref="O585:O587" si="25">IF(ISNUMBER(SEARCH("MAY", C585)), "MAY", IF(ISNUMBER(SEARCH("SHOULD", C585)), "SHOULD", IF(ISNUMBER(SEARCH("SHALL", C585)), "SHALL", IF(ISNUMBER(SEARCH("SHOULD NOT", C585)), "SHOULD NOT", IF(ISNUMBER(SEARCH("SHALL NOT", C585)), "SHALL NOT", "")))))</f>
        <v/>
      </c>
      <c r="P585" s="10" t="str">
        <f>IF(ISNUMBER(SEARCH("Server", C585)), "Server", IF(ISNUMBER(SEARCH("Server", C585)), "Server", IF(ISNUMBER(SEARCH("Client", C585)), "Client", IF(ISNUMBER(SEARCH("Client", C585)), "Client", IF(ISNUMBER(SEARCH("US Core Responder", C585)), "Server", IF(ISNUMBER(SEARCH("US Core Requestor", C585)), "Client", ""))))))</f>
        <v/>
      </c>
      <c r="W585" s="6" t="s">
        <v>1140</v>
      </c>
    </row>
    <row r="586" spans="1:24" ht="51" x14ac:dyDescent="0.2">
      <c r="A586" s="7">
        <v>585</v>
      </c>
      <c r="B586" s="52" t="s">
        <v>1160</v>
      </c>
      <c r="C586" s="8" t="s">
        <v>1161</v>
      </c>
      <c r="D586" s="7" t="s">
        <v>64</v>
      </c>
      <c r="E586" s="7" t="s">
        <v>30</v>
      </c>
      <c r="G586" s="7" t="b">
        <v>0</v>
      </c>
      <c r="M586" s="9" t="str" cm="1">
        <f t="array" ref="M586">PAGE_NAME(B586)</f>
        <v>StructureDefinition-us-core-allergyintolerance</v>
      </c>
      <c r="N586" s="9" t="str" cm="1">
        <f t="array" ref="N586">SECTION_NAME(B586)</f>
        <v>mandatory-and-must-support-data-elements</v>
      </c>
      <c r="O586" s="10" t="str">
        <f t="shared" si="25"/>
        <v/>
      </c>
      <c r="P586" s="10" t="str">
        <f t="shared" ref="P586:P587" si="26">IF(ISNUMBER(SEARCH("server", C586)), "Server", IF(ISNUMBER(SEARCH("Server", C586)), "Server", IF(ISNUMBER(SEARCH("client", C586)), "Client", IF(ISNUMBER(SEARCH("Client", C586)), "Client", IF(ISNUMBER(SEARCH("US Core Responder", C586)), "Server", IF(ISNUMBER(SEARCH("US Core Requestor", C586)), "Client", ""))))))</f>
        <v/>
      </c>
      <c r="V586" s="66" t="s">
        <v>1167</v>
      </c>
    </row>
    <row r="587" spans="1:24" ht="51" x14ac:dyDescent="0.2">
      <c r="A587" s="7">
        <v>586</v>
      </c>
      <c r="B587" s="52" t="s">
        <v>1160</v>
      </c>
      <c r="C587" s="8" t="s">
        <v>1162</v>
      </c>
      <c r="D587" s="7" t="s">
        <v>64</v>
      </c>
      <c r="E587" s="7" t="s">
        <v>30</v>
      </c>
      <c r="G587" s="7" t="b">
        <v>0</v>
      </c>
      <c r="M587" s="9" t="str" cm="1">
        <f t="array" ref="M587">PAGE_NAME(B587)</f>
        <v>StructureDefinition-us-core-allergyintolerance</v>
      </c>
      <c r="N587" s="9" t="str" cm="1">
        <f t="array" ref="N587">SECTION_NAME(B587)</f>
        <v>mandatory-and-must-support-data-elements</v>
      </c>
      <c r="O587" s="10" t="str">
        <f t="shared" si="25"/>
        <v/>
      </c>
      <c r="P587" s="10" t="str">
        <f t="shared" si="26"/>
        <v/>
      </c>
      <c r="V587" s="66" t="s">
        <v>1167</v>
      </c>
    </row>
    <row r="588" spans="1:24" ht="17" x14ac:dyDescent="0.2">
      <c r="A588" s="7">
        <v>587</v>
      </c>
      <c r="B588" s="60" t="s">
        <v>1160</v>
      </c>
      <c r="C588" s="61" t="s">
        <v>1163</v>
      </c>
      <c r="D588" s="56" t="s">
        <v>29</v>
      </c>
      <c r="E588" s="56" t="s">
        <v>30</v>
      </c>
      <c r="F588" s="55"/>
      <c r="G588" s="56" t="b">
        <v>0</v>
      </c>
      <c r="H588" s="62"/>
      <c r="I588" s="63"/>
      <c r="J588" s="63"/>
      <c r="K588" s="63"/>
      <c r="L588" s="63"/>
      <c r="M588" s="64" t="s">
        <v>1165</v>
      </c>
      <c r="N588" s="64" t="s">
        <v>1166</v>
      </c>
      <c r="O588" s="65"/>
      <c r="P588" s="65"/>
      <c r="Q588" s="65"/>
      <c r="R588" s="65"/>
      <c r="S588" s="62"/>
      <c r="T588" s="65"/>
      <c r="U588" s="62"/>
      <c r="V588" s="62"/>
    </row>
    <row r="589" spans="1:24" ht="17" x14ac:dyDescent="0.2">
      <c r="A589" s="7">
        <v>588</v>
      </c>
      <c r="B589" s="60" t="s">
        <v>1160</v>
      </c>
      <c r="C589" s="61" t="s">
        <v>1164</v>
      </c>
      <c r="D589" s="56" t="s">
        <v>29</v>
      </c>
      <c r="E589" s="56" t="s">
        <v>30</v>
      </c>
      <c r="F589" s="55"/>
      <c r="G589" s="56" t="b">
        <v>0</v>
      </c>
      <c r="H589" s="62"/>
      <c r="I589" s="63"/>
      <c r="J589" s="63"/>
      <c r="K589" s="63"/>
      <c r="L589" s="63"/>
      <c r="M589" s="64" t="s">
        <v>1165</v>
      </c>
      <c r="N589" s="64" t="s">
        <v>1166</v>
      </c>
      <c r="O589" s="65"/>
      <c r="P589" s="65"/>
      <c r="Q589" s="65"/>
      <c r="R589" s="65"/>
      <c r="S589" s="62"/>
      <c r="T589" s="65"/>
      <c r="U589" s="62"/>
      <c r="V589" s="62"/>
    </row>
    <row r="590" spans="1:24" ht="102" x14ac:dyDescent="0.2">
      <c r="A590" s="7">
        <v>800</v>
      </c>
      <c r="B590" s="7" t="s">
        <v>612</v>
      </c>
      <c r="C590" s="8" t="s">
        <v>647</v>
      </c>
      <c r="D590" s="7" t="s">
        <v>35</v>
      </c>
      <c r="E590" s="7" t="s">
        <v>58</v>
      </c>
      <c r="G590" s="7" t="b">
        <v>0</v>
      </c>
    </row>
    <row r="591" spans="1:24" ht="153" x14ac:dyDescent="0.2">
      <c r="A591" s="7">
        <v>801</v>
      </c>
      <c r="B591" s="7" t="s">
        <v>614</v>
      </c>
      <c r="C591" s="8" t="s">
        <v>653</v>
      </c>
      <c r="D591" s="7" t="s">
        <v>29</v>
      </c>
      <c r="E591" s="7" t="s">
        <v>30</v>
      </c>
      <c r="G591" s="7" t="b">
        <v>1</v>
      </c>
      <c r="H591" s="12" t="s">
        <v>1125</v>
      </c>
      <c r="V591" s="12" t="s">
        <v>405</v>
      </c>
      <c r="W591" s="6" t="s">
        <v>1140</v>
      </c>
      <c r="X591" s="6" t="s">
        <v>1156</v>
      </c>
    </row>
    <row r="592" spans="1:24" ht="102" x14ac:dyDescent="0.2">
      <c r="A592" s="7">
        <v>802</v>
      </c>
      <c r="B592" s="7" t="s">
        <v>615</v>
      </c>
      <c r="C592" s="8" t="s">
        <v>654</v>
      </c>
      <c r="D592" s="7" t="s">
        <v>29</v>
      </c>
      <c r="E592" s="7" t="s">
        <v>30</v>
      </c>
      <c r="G592" s="7" t="b">
        <v>1</v>
      </c>
      <c r="H592" s="12" t="s">
        <v>1124</v>
      </c>
      <c r="V592" s="12" t="s">
        <v>405</v>
      </c>
      <c r="W592" s="6" t="s">
        <v>1140</v>
      </c>
      <c r="X592" s="6" t="s">
        <v>1156</v>
      </c>
    </row>
    <row r="593" spans="1:24" ht="51" x14ac:dyDescent="0.2">
      <c r="A593" s="7">
        <v>803</v>
      </c>
      <c r="B593" s="7" t="s">
        <v>616</v>
      </c>
      <c r="C593" s="8" t="s">
        <v>655</v>
      </c>
      <c r="D593" s="7" t="s">
        <v>29</v>
      </c>
      <c r="E593" s="7" t="s">
        <v>30</v>
      </c>
      <c r="G593" s="7" t="b">
        <v>0</v>
      </c>
      <c r="V593" s="12" t="s">
        <v>405</v>
      </c>
      <c r="W593" s="6" t="s">
        <v>1140</v>
      </c>
      <c r="X593" s="6" t="s">
        <v>1156</v>
      </c>
    </row>
    <row r="594" spans="1:24" ht="68" x14ac:dyDescent="0.2">
      <c r="A594" s="7">
        <v>804</v>
      </c>
      <c r="B594" s="7" t="s">
        <v>616</v>
      </c>
      <c r="C594" s="8" t="s">
        <v>656</v>
      </c>
      <c r="D594" s="7" t="s">
        <v>29</v>
      </c>
      <c r="E594" s="7" t="s">
        <v>30</v>
      </c>
      <c r="G594" s="7" t="b">
        <v>1</v>
      </c>
      <c r="H594" s="12" t="s">
        <v>1123</v>
      </c>
      <c r="V594" s="12" t="s">
        <v>405</v>
      </c>
      <c r="W594" s="6" t="s">
        <v>1140</v>
      </c>
      <c r="X594" s="6" t="s">
        <v>1156</v>
      </c>
    </row>
    <row r="595" spans="1:24" ht="85" x14ac:dyDescent="0.2">
      <c r="A595" s="7">
        <v>805</v>
      </c>
      <c r="B595" s="54" t="s">
        <v>616</v>
      </c>
      <c r="C595" s="55" t="s">
        <v>658</v>
      </c>
      <c r="D595" s="56" t="s">
        <v>29</v>
      </c>
      <c r="E595" s="56" t="s">
        <v>30</v>
      </c>
      <c r="F595" s="55"/>
      <c r="G595" s="57" t="b">
        <v>0</v>
      </c>
      <c r="V595" s="12" t="s">
        <v>405</v>
      </c>
      <c r="W595" s="6" t="s">
        <v>1140</v>
      </c>
      <c r="X595" s="6" t="s">
        <v>1156</v>
      </c>
    </row>
    <row r="596" spans="1:24" ht="68" x14ac:dyDescent="0.2">
      <c r="A596" s="7">
        <v>808</v>
      </c>
      <c r="B596" s="7" t="s">
        <v>618</v>
      </c>
      <c r="C596" s="8" t="s">
        <v>668</v>
      </c>
      <c r="D596" s="7" t="s">
        <v>29</v>
      </c>
      <c r="E596" s="7" t="s">
        <v>30</v>
      </c>
      <c r="G596" s="7" t="b">
        <v>1</v>
      </c>
      <c r="H596" s="12" t="s">
        <v>1122</v>
      </c>
      <c r="W596" s="6" t="s">
        <v>1140</v>
      </c>
      <c r="X596" s="6" t="s">
        <v>1154</v>
      </c>
    </row>
    <row r="597" spans="1:24" ht="85" x14ac:dyDescent="0.2">
      <c r="A597" s="7">
        <v>809</v>
      </c>
      <c r="B597" s="7" t="s">
        <v>618</v>
      </c>
      <c r="C597" s="8" t="s">
        <v>669</v>
      </c>
      <c r="D597" s="7" t="s">
        <v>29</v>
      </c>
      <c r="E597" s="7" t="s">
        <v>30</v>
      </c>
      <c r="G597" s="7" t="b">
        <v>1</v>
      </c>
      <c r="H597" s="12" t="s">
        <v>1121</v>
      </c>
      <c r="V597" s="12" t="s">
        <v>405</v>
      </c>
      <c r="W597" s="6" t="s">
        <v>1140</v>
      </c>
      <c r="X597" s="6" t="s">
        <v>1156</v>
      </c>
    </row>
    <row r="598" spans="1:24" ht="68" x14ac:dyDescent="0.2">
      <c r="A598" s="7">
        <v>810</v>
      </c>
      <c r="B598" s="7" t="s">
        <v>618</v>
      </c>
      <c r="C598" s="8" t="s">
        <v>671</v>
      </c>
      <c r="D598" s="7" t="s">
        <v>29</v>
      </c>
      <c r="E598" s="7" t="s">
        <v>30</v>
      </c>
      <c r="G598" s="7" t="b">
        <v>1</v>
      </c>
      <c r="H598" s="12" t="s">
        <v>1120</v>
      </c>
      <c r="W598" s="6" t="s">
        <v>1140</v>
      </c>
      <c r="X598" s="6" t="s">
        <v>1154</v>
      </c>
    </row>
    <row r="599" spans="1:24" ht="119" x14ac:dyDescent="0.2">
      <c r="A599" s="7">
        <v>811</v>
      </c>
      <c r="B599" s="7" t="s">
        <v>618</v>
      </c>
      <c r="C599" s="8" t="s">
        <v>672</v>
      </c>
      <c r="D599" s="7" t="s">
        <v>29</v>
      </c>
      <c r="E599" s="7" t="s">
        <v>30</v>
      </c>
      <c r="G599" s="7" t="b">
        <v>1</v>
      </c>
      <c r="H599" s="12" t="s">
        <v>1119</v>
      </c>
      <c r="V599" s="12" t="s">
        <v>405</v>
      </c>
      <c r="W599" s="6" t="s">
        <v>1140</v>
      </c>
      <c r="X599" s="6" t="s">
        <v>1156</v>
      </c>
    </row>
    <row r="600" spans="1:24" ht="85" x14ac:dyDescent="0.2">
      <c r="A600" s="7">
        <v>812</v>
      </c>
      <c r="B600" s="7" t="s">
        <v>621</v>
      </c>
      <c r="C600" s="8" t="s">
        <v>1153</v>
      </c>
      <c r="D600" s="7" t="s">
        <v>29</v>
      </c>
      <c r="E600" s="7" t="s">
        <v>30</v>
      </c>
      <c r="G600" s="7" t="b">
        <v>1</v>
      </c>
      <c r="H600" s="12" t="s">
        <v>1118</v>
      </c>
      <c r="V600" s="12" t="s">
        <v>405</v>
      </c>
      <c r="W600" s="6" t="s">
        <v>1140</v>
      </c>
      <c r="X600" s="6" t="s">
        <v>1156</v>
      </c>
    </row>
    <row r="601" spans="1:24" ht="136" x14ac:dyDescent="0.2">
      <c r="A601" s="7">
        <v>813</v>
      </c>
      <c r="B601" s="7" t="s">
        <v>621</v>
      </c>
      <c r="C601" s="8" t="s">
        <v>1152</v>
      </c>
      <c r="D601" s="7" t="s">
        <v>35</v>
      </c>
      <c r="E601" s="7" t="s">
        <v>30</v>
      </c>
      <c r="G601" s="7" t="b">
        <v>1</v>
      </c>
      <c r="H601" s="12" t="s">
        <v>1117</v>
      </c>
      <c r="V601" s="12" t="s">
        <v>405</v>
      </c>
    </row>
    <row r="602" spans="1:24" ht="85" x14ac:dyDescent="0.2">
      <c r="A602" s="7">
        <v>814</v>
      </c>
      <c r="B602" s="7" t="s">
        <v>621</v>
      </c>
      <c r="C602" s="8" t="s">
        <v>1151</v>
      </c>
      <c r="D602" s="7" t="s">
        <v>29</v>
      </c>
      <c r="E602" s="7" t="s">
        <v>30</v>
      </c>
      <c r="G602" s="7" t="b">
        <v>1</v>
      </c>
      <c r="H602" s="12" t="s">
        <v>1116</v>
      </c>
      <c r="V602" s="12" t="s">
        <v>405</v>
      </c>
      <c r="W602" s="6" t="s">
        <v>1140</v>
      </c>
      <c r="X602" s="6" t="s">
        <v>1156</v>
      </c>
    </row>
    <row r="603" spans="1:24" ht="85" x14ac:dyDescent="0.2">
      <c r="A603" s="7">
        <v>815</v>
      </c>
      <c r="B603" s="7" t="s">
        <v>960</v>
      </c>
      <c r="C603" s="8" t="s">
        <v>1114</v>
      </c>
      <c r="D603" s="7" t="s">
        <v>32</v>
      </c>
      <c r="E603" s="7" t="s">
        <v>58</v>
      </c>
      <c r="G603" s="7" t="b">
        <v>1</v>
      </c>
      <c r="H603" s="12" t="s">
        <v>1115</v>
      </c>
    </row>
    <row r="604" spans="1:24" ht="51" x14ac:dyDescent="0.2">
      <c r="A604" s="7">
        <v>816</v>
      </c>
      <c r="B604" s="7" t="s">
        <v>960</v>
      </c>
      <c r="C604" s="8" t="s">
        <v>713</v>
      </c>
      <c r="D604" s="7" t="s">
        <v>32</v>
      </c>
      <c r="E604" s="7" t="s">
        <v>58</v>
      </c>
      <c r="G604" s="7" t="b">
        <v>1</v>
      </c>
      <c r="H604" s="12" t="s">
        <v>1113</v>
      </c>
    </row>
    <row r="605" spans="1:24" ht="119" x14ac:dyDescent="0.2">
      <c r="A605" s="7">
        <v>817</v>
      </c>
      <c r="B605" s="7" t="s">
        <v>960</v>
      </c>
      <c r="C605" s="8" t="s">
        <v>714</v>
      </c>
      <c r="D605" s="7" t="s">
        <v>76</v>
      </c>
      <c r="E605" s="7" t="s">
        <v>58</v>
      </c>
      <c r="G605" s="7" t="b">
        <v>1</v>
      </c>
      <c r="H605" s="12" t="s">
        <v>1112</v>
      </c>
    </row>
    <row r="606" spans="1:24" ht="68" x14ac:dyDescent="0.2">
      <c r="A606" s="7">
        <v>818</v>
      </c>
      <c r="B606" s="7" t="s">
        <v>627</v>
      </c>
      <c r="C606" s="8" t="s">
        <v>715</v>
      </c>
      <c r="D606" s="7" t="s">
        <v>29</v>
      </c>
      <c r="E606" s="7" t="s">
        <v>30</v>
      </c>
      <c r="G606" s="7" t="b">
        <v>0</v>
      </c>
      <c r="W606" s="6" t="s">
        <v>1140</v>
      </c>
      <c r="X606" s="6" t="s">
        <v>1140</v>
      </c>
    </row>
    <row r="607" spans="1:24" ht="68" x14ac:dyDescent="0.2">
      <c r="A607" s="7">
        <v>819</v>
      </c>
      <c r="B607" s="7" t="s">
        <v>627</v>
      </c>
      <c r="C607" s="8" t="s">
        <v>716</v>
      </c>
      <c r="D607" s="7" t="s">
        <v>29</v>
      </c>
      <c r="E607" s="7" t="s">
        <v>30</v>
      </c>
      <c r="G607" s="7" t="b">
        <v>0</v>
      </c>
      <c r="W607" s="6" t="s">
        <v>1140</v>
      </c>
      <c r="X607" s="6" t="s">
        <v>1140</v>
      </c>
    </row>
    <row r="608" spans="1:24" ht="68" x14ac:dyDescent="0.2">
      <c r="A608" s="7">
        <v>820</v>
      </c>
      <c r="B608" s="7" t="s">
        <v>631</v>
      </c>
      <c r="C608" s="8" t="s">
        <v>735</v>
      </c>
      <c r="D608" s="7" t="s">
        <v>29</v>
      </c>
      <c r="E608" s="7" t="s">
        <v>30</v>
      </c>
      <c r="G608" s="7" t="b">
        <v>1</v>
      </c>
      <c r="H608" s="12" t="s">
        <v>1111</v>
      </c>
      <c r="W608" s="6" t="s">
        <v>1140</v>
      </c>
      <c r="X608" s="6" t="s">
        <v>1154</v>
      </c>
    </row>
    <row r="609" spans="1:24" ht="68" x14ac:dyDescent="0.2">
      <c r="A609" s="7">
        <v>821</v>
      </c>
      <c r="B609" s="7" t="s">
        <v>631</v>
      </c>
      <c r="C609" s="8" t="s">
        <v>736</v>
      </c>
      <c r="D609" s="7" t="s">
        <v>32</v>
      </c>
      <c r="E609" s="7" t="s">
        <v>30</v>
      </c>
      <c r="G609" s="7" t="b">
        <v>1</v>
      </c>
      <c r="H609" s="12" t="s">
        <v>1111</v>
      </c>
    </row>
    <row r="610" spans="1:24" ht="68" x14ac:dyDescent="0.2">
      <c r="A610" s="7">
        <v>822</v>
      </c>
      <c r="B610" s="58" t="s">
        <v>632</v>
      </c>
      <c r="C610" s="8" t="s">
        <v>739</v>
      </c>
      <c r="D610" s="7" t="s">
        <v>29</v>
      </c>
      <c r="E610" s="7" t="s">
        <v>30</v>
      </c>
      <c r="G610" s="7" t="b">
        <v>0</v>
      </c>
      <c r="W610" s="6" t="s">
        <v>1140</v>
      </c>
      <c r="X610" s="6" t="s">
        <v>1140</v>
      </c>
    </row>
    <row r="611" spans="1:24" ht="68" x14ac:dyDescent="0.2">
      <c r="A611" s="7">
        <v>823</v>
      </c>
      <c r="B611" s="7" t="s">
        <v>632</v>
      </c>
      <c r="C611" s="8" t="s">
        <v>740</v>
      </c>
      <c r="D611" s="7" t="s">
        <v>29</v>
      </c>
      <c r="E611" s="7" t="s">
        <v>30</v>
      </c>
      <c r="G611" s="7" t="b">
        <v>0</v>
      </c>
      <c r="W611" s="6" t="s">
        <v>1140</v>
      </c>
      <c r="X611" s="6" t="s">
        <v>1140</v>
      </c>
    </row>
    <row r="612" spans="1:24" ht="34" x14ac:dyDescent="0.2">
      <c r="A612" s="7">
        <v>824</v>
      </c>
      <c r="B612" s="7" t="s">
        <v>632</v>
      </c>
      <c r="C612" s="8" t="s">
        <v>741</v>
      </c>
      <c r="D612" s="7" t="s">
        <v>29</v>
      </c>
      <c r="E612" s="7" t="s">
        <v>30</v>
      </c>
      <c r="G612" s="7" t="b">
        <v>0</v>
      </c>
      <c r="W612" s="6" t="s">
        <v>1140</v>
      </c>
      <c r="X612" s="6" t="s">
        <v>1140</v>
      </c>
    </row>
    <row r="613" spans="1:24" ht="68" x14ac:dyDescent="0.2">
      <c r="A613" s="7">
        <v>825</v>
      </c>
      <c r="B613" s="7" t="s">
        <v>632</v>
      </c>
      <c r="C613" s="8" t="s">
        <v>742</v>
      </c>
      <c r="D613" s="7" t="s">
        <v>32</v>
      </c>
      <c r="E613" s="7" t="s">
        <v>30</v>
      </c>
      <c r="G613" s="7" t="b">
        <v>0</v>
      </c>
    </row>
    <row r="614" spans="1:24" ht="68" x14ac:dyDescent="0.2">
      <c r="A614" s="7">
        <v>826</v>
      </c>
      <c r="B614" s="7" t="s">
        <v>632</v>
      </c>
      <c r="C614" s="8" t="s">
        <v>743</v>
      </c>
      <c r="D614" s="7" t="s">
        <v>32</v>
      </c>
      <c r="E614" s="7" t="s">
        <v>30</v>
      </c>
      <c r="G614" s="7" t="b">
        <v>0</v>
      </c>
    </row>
    <row r="615" spans="1:24" ht="238" x14ac:dyDescent="0.2">
      <c r="A615" s="7">
        <v>827</v>
      </c>
      <c r="B615" s="7" t="s">
        <v>1083</v>
      </c>
      <c r="C615" s="8" t="s">
        <v>747</v>
      </c>
      <c r="D615" s="7" t="s">
        <v>54</v>
      </c>
      <c r="E615" s="7" t="s">
        <v>30</v>
      </c>
      <c r="G615" s="7" t="b">
        <v>0</v>
      </c>
      <c r="W615" s="6" t="s">
        <v>1141</v>
      </c>
      <c r="X615" s="6" t="s">
        <v>1141</v>
      </c>
    </row>
    <row r="616" spans="1:24" ht="34" x14ac:dyDescent="0.2">
      <c r="A616" s="7">
        <v>828</v>
      </c>
      <c r="B616" s="7" t="s">
        <v>1083</v>
      </c>
      <c r="C616" s="8" t="s">
        <v>748</v>
      </c>
      <c r="D616" s="7" t="s">
        <v>32</v>
      </c>
      <c r="E616" s="7" t="s">
        <v>30</v>
      </c>
      <c r="G616" s="7" t="b">
        <v>0</v>
      </c>
    </row>
    <row r="617" spans="1:24" ht="238" x14ac:dyDescent="0.2">
      <c r="A617" s="7">
        <v>829</v>
      </c>
      <c r="B617" s="7" t="s">
        <v>1083</v>
      </c>
      <c r="C617" s="8" t="s">
        <v>746</v>
      </c>
      <c r="D617" s="7" t="s">
        <v>54</v>
      </c>
      <c r="E617" s="7" t="s">
        <v>58</v>
      </c>
      <c r="G617" s="7" t="b">
        <v>0</v>
      </c>
    </row>
    <row r="618" spans="1:24" ht="17" x14ac:dyDescent="0.2">
      <c r="A618" s="7">
        <v>830</v>
      </c>
      <c r="B618" s="7" t="s">
        <v>1083</v>
      </c>
      <c r="C618" s="8" t="s">
        <v>749</v>
      </c>
      <c r="D618" s="7" t="s">
        <v>32</v>
      </c>
      <c r="E618" s="7" t="s">
        <v>58</v>
      </c>
      <c r="G618" s="7" t="b">
        <v>0</v>
      </c>
    </row>
    <row r="619" spans="1:24" ht="34" x14ac:dyDescent="0.2">
      <c r="A619" s="7">
        <v>831</v>
      </c>
      <c r="B619" s="7" t="s">
        <v>638</v>
      </c>
      <c r="C619" s="8" t="s">
        <v>753</v>
      </c>
      <c r="D619" s="7" t="s">
        <v>29</v>
      </c>
      <c r="E619" s="7" t="s">
        <v>30</v>
      </c>
      <c r="G619" s="7" t="b">
        <v>0</v>
      </c>
      <c r="W619" s="6" t="s">
        <v>1140</v>
      </c>
      <c r="X619" s="6" t="s">
        <v>1140</v>
      </c>
    </row>
    <row r="620" spans="1:24" ht="34" x14ac:dyDescent="0.2">
      <c r="A620" s="7">
        <v>832</v>
      </c>
      <c r="B620" s="7" t="s">
        <v>638</v>
      </c>
      <c r="C620" s="8" t="s">
        <v>754</v>
      </c>
      <c r="D620" s="7" t="s">
        <v>29</v>
      </c>
      <c r="E620" s="7" t="s">
        <v>30</v>
      </c>
      <c r="G620" s="7" t="b">
        <v>0</v>
      </c>
      <c r="W620" s="6" t="s">
        <v>1140</v>
      </c>
      <c r="X620" s="6" t="s">
        <v>1140</v>
      </c>
    </row>
    <row r="621" spans="1:24" ht="34" x14ac:dyDescent="0.2">
      <c r="A621" s="7">
        <v>833</v>
      </c>
      <c r="B621" s="7" t="s">
        <v>638</v>
      </c>
      <c r="C621" s="8" t="s">
        <v>755</v>
      </c>
      <c r="D621" s="7" t="s">
        <v>29</v>
      </c>
      <c r="E621" s="7" t="s">
        <v>30</v>
      </c>
      <c r="G621" s="7" t="b">
        <v>1</v>
      </c>
      <c r="H621" s="12" t="s">
        <v>1155</v>
      </c>
      <c r="V621" s="12" t="s">
        <v>405</v>
      </c>
      <c r="W621" s="6" t="s">
        <v>1140</v>
      </c>
      <c r="X621" s="6" t="s">
        <v>1156</v>
      </c>
    </row>
    <row r="622" spans="1:24" ht="68" x14ac:dyDescent="0.2">
      <c r="A622" s="7">
        <v>834</v>
      </c>
      <c r="B622" s="7" t="s">
        <v>638</v>
      </c>
      <c r="C622" s="8" t="s">
        <v>756</v>
      </c>
      <c r="D622" s="7" t="s">
        <v>32</v>
      </c>
      <c r="E622" s="7" t="s">
        <v>30</v>
      </c>
      <c r="G622" s="7" t="b">
        <v>0</v>
      </c>
    </row>
    <row r="623" spans="1:24" ht="17" x14ac:dyDescent="0.2">
      <c r="A623" s="7">
        <v>835</v>
      </c>
      <c r="B623" s="7" t="s">
        <v>638</v>
      </c>
      <c r="C623" s="8" t="s">
        <v>757</v>
      </c>
      <c r="D623" s="7" t="s">
        <v>35</v>
      </c>
      <c r="E623" s="7" t="s">
        <v>30</v>
      </c>
      <c r="G623" s="7" t="b">
        <v>0</v>
      </c>
    </row>
    <row r="624" spans="1:24" ht="68" x14ac:dyDescent="0.2">
      <c r="A624" s="7">
        <v>836</v>
      </c>
      <c r="B624" s="7" t="s">
        <v>641</v>
      </c>
      <c r="C624" s="8" t="s">
        <v>760</v>
      </c>
      <c r="D624" s="7" t="s">
        <v>32</v>
      </c>
      <c r="E624" s="7" t="s">
        <v>30</v>
      </c>
      <c r="G624" s="7" t="b">
        <v>1</v>
      </c>
      <c r="H624" s="12" t="s">
        <v>1110</v>
      </c>
    </row>
    <row r="625" spans="1:24" ht="68" x14ac:dyDescent="0.2">
      <c r="A625" s="7">
        <v>837</v>
      </c>
      <c r="B625" s="7" t="s">
        <v>641</v>
      </c>
      <c r="C625" s="8" t="s">
        <v>761</v>
      </c>
      <c r="D625" s="7" t="s">
        <v>32</v>
      </c>
      <c r="E625" s="7" t="s">
        <v>30</v>
      </c>
      <c r="G625" s="7" t="b">
        <v>0</v>
      </c>
    </row>
    <row r="626" spans="1:24" ht="102" x14ac:dyDescent="0.2">
      <c r="A626" s="7">
        <v>838</v>
      </c>
      <c r="B626" s="7" t="s">
        <v>641</v>
      </c>
      <c r="C626" s="8" t="s">
        <v>762</v>
      </c>
      <c r="D626" s="7" t="s">
        <v>32</v>
      </c>
      <c r="E626" s="7" t="s">
        <v>30</v>
      </c>
      <c r="G626" s="7" t="b">
        <v>0</v>
      </c>
    </row>
    <row r="627" spans="1:24" ht="119" x14ac:dyDescent="0.2">
      <c r="A627" s="7">
        <v>839</v>
      </c>
      <c r="B627" s="7" t="s">
        <v>642</v>
      </c>
      <c r="C627" s="8" t="s">
        <v>1084</v>
      </c>
      <c r="D627" s="7" t="s">
        <v>32</v>
      </c>
      <c r="E627" s="7" t="s">
        <v>30</v>
      </c>
      <c r="G627" s="7" t="b">
        <v>1</v>
      </c>
      <c r="H627" s="12" t="s">
        <v>1109</v>
      </c>
    </row>
    <row r="628" spans="1:24" ht="85" x14ac:dyDescent="0.2">
      <c r="A628" s="7">
        <v>840</v>
      </c>
      <c r="B628" s="7" t="s">
        <v>765</v>
      </c>
      <c r="C628" s="8" t="s">
        <v>766</v>
      </c>
      <c r="D628" s="7" t="s">
        <v>29</v>
      </c>
      <c r="E628" s="7" t="s">
        <v>30</v>
      </c>
      <c r="G628" s="7" t="b">
        <v>1</v>
      </c>
      <c r="H628" s="12" t="s">
        <v>800</v>
      </c>
      <c r="V628" s="12" t="s">
        <v>405</v>
      </c>
      <c r="W628" s="6" t="s">
        <v>1140</v>
      </c>
      <c r="X628" s="6" t="s">
        <v>1156</v>
      </c>
    </row>
    <row r="629" spans="1:24" ht="119" x14ac:dyDescent="0.2">
      <c r="A629" s="7">
        <v>841</v>
      </c>
      <c r="B629" s="7" t="s">
        <v>773</v>
      </c>
      <c r="C629" s="8" t="s">
        <v>772</v>
      </c>
      <c r="D629" s="7" t="s">
        <v>35</v>
      </c>
      <c r="E629" s="7" t="s">
        <v>30</v>
      </c>
      <c r="G629" s="7" t="b">
        <v>0</v>
      </c>
    </row>
    <row r="630" spans="1:24" ht="68" x14ac:dyDescent="0.2">
      <c r="A630" s="7">
        <v>842</v>
      </c>
      <c r="B630" s="7" t="s">
        <v>775</v>
      </c>
      <c r="C630" s="8" t="s">
        <v>774</v>
      </c>
      <c r="D630" s="7" t="s">
        <v>29</v>
      </c>
      <c r="E630" s="7" t="s">
        <v>30</v>
      </c>
      <c r="G630" s="7" t="b">
        <v>0</v>
      </c>
      <c r="W630" s="6" t="s">
        <v>1140</v>
      </c>
      <c r="X630" s="6" t="s">
        <v>1154</v>
      </c>
    </row>
    <row r="631" spans="1:24" ht="102" x14ac:dyDescent="0.2">
      <c r="A631" s="7">
        <v>843</v>
      </c>
      <c r="B631" s="7" t="s">
        <v>778</v>
      </c>
      <c r="C631" s="8" t="s">
        <v>776</v>
      </c>
      <c r="D631" s="7" t="s">
        <v>32</v>
      </c>
      <c r="E631" s="7" t="s">
        <v>30</v>
      </c>
      <c r="G631" s="7" t="b">
        <v>1</v>
      </c>
      <c r="H631" s="12" t="s">
        <v>1108</v>
      </c>
    </row>
    <row r="632" spans="1:24" ht="51" x14ac:dyDescent="0.2">
      <c r="A632" s="7">
        <v>844</v>
      </c>
      <c r="B632" s="7" t="s">
        <v>778</v>
      </c>
      <c r="C632" s="8" t="s">
        <v>777</v>
      </c>
      <c r="D632" s="7" t="s">
        <v>32</v>
      </c>
      <c r="E632" s="7" t="s">
        <v>30</v>
      </c>
      <c r="G632" s="7" t="b">
        <v>0</v>
      </c>
    </row>
    <row r="633" spans="1:24" ht="34" x14ac:dyDescent="0.2">
      <c r="A633" s="7">
        <v>845</v>
      </c>
      <c r="B633" s="58" t="s">
        <v>783</v>
      </c>
      <c r="C633" s="8" t="s">
        <v>779</v>
      </c>
      <c r="D633" s="7" t="s">
        <v>29</v>
      </c>
      <c r="E633" s="7" t="s">
        <v>30</v>
      </c>
      <c r="G633" s="7" t="b">
        <v>0</v>
      </c>
      <c r="W633" s="6" t="s">
        <v>1140</v>
      </c>
      <c r="X633" s="6" t="s">
        <v>1140</v>
      </c>
    </row>
    <row r="634" spans="1:24" ht="85" x14ac:dyDescent="0.2">
      <c r="A634" s="7">
        <v>846</v>
      </c>
      <c r="B634" s="7" t="s">
        <v>783</v>
      </c>
      <c r="C634" s="8" t="s">
        <v>780</v>
      </c>
      <c r="D634" s="7" t="s">
        <v>29</v>
      </c>
      <c r="E634" s="7" t="s">
        <v>30</v>
      </c>
      <c r="G634" s="7" t="b">
        <v>1</v>
      </c>
      <c r="H634" s="12" t="s">
        <v>1155</v>
      </c>
      <c r="V634" s="12" t="s">
        <v>405</v>
      </c>
      <c r="W634" s="6" t="s">
        <v>1140</v>
      </c>
      <c r="X634" s="6" t="s">
        <v>1156</v>
      </c>
    </row>
    <row r="635" spans="1:24" ht="102" x14ac:dyDescent="0.2">
      <c r="A635" s="7">
        <v>847</v>
      </c>
      <c r="B635" s="7" t="s">
        <v>783</v>
      </c>
      <c r="C635" s="8" t="s">
        <v>781</v>
      </c>
      <c r="D635" s="7" t="s">
        <v>32</v>
      </c>
      <c r="E635" s="7" t="s">
        <v>30</v>
      </c>
      <c r="G635" s="7" t="b">
        <v>0</v>
      </c>
    </row>
    <row r="636" spans="1:24" ht="34" x14ac:dyDescent="0.2">
      <c r="A636" s="7">
        <v>848</v>
      </c>
      <c r="B636" s="7" t="s">
        <v>783</v>
      </c>
      <c r="C636" s="8" t="s">
        <v>782</v>
      </c>
      <c r="D636" s="7" t="s">
        <v>35</v>
      </c>
      <c r="E636" s="7" t="s">
        <v>30</v>
      </c>
      <c r="G636" s="7" t="b">
        <v>0</v>
      </c>
    </row>
    <row r="637" spans="1:24" ht="85" x14ac:dyDescent="0.2">
      <c r="A637" s="7">
        <v>849</v>
      </c>
      <c r="B637" s="7" t="s">
        <v>783</v>
      </c>
      <c r="C637" s="8" t="s">
        <v>785</v>
      </c>
      <c r="D637" s="7" t="s">
        <v>29</v>
      </c>
      <c r="E637" s="7" t="s">
        <v>58</v>
      </c>
      <c r="G637" s="7" t="b">
        <v>0</v>
      </c>
    </row>
    <row r="638" spans="1:24" ht="68" x14ac:dyDescent="0.2">
      <c r="A638" s="7">
        <v>850</v>
      </c>
      <c r="B638" s="7" t="s">
        <v>783</v>
      </c>
      <c r="C638" s="8" t="s">
        <v>786</v>
      </c>
      <c r="D638" s="7" t="s">
        <v>32</v>
      </c>
      <c r="E638" s="7" t="s">
        <v>30</v>
      </c>
      <c r="G638" s="7" t="b">
        <v>0</v>
      </c>
    </row>
    <row r="639" spans="1:24" ht="136" x14ac:dyDescent="0.2">
      <c r="A639" s="7">
        <v>851</v>
      </c>
      <c r="B639" s="7" t="s">
        <v>794</v>
      </c>
      <c r="C639" s="8" t="s">
        <v>796</v>
      </c>
      <c r="D639" s="7" t="s">
        <v>35</v>
      </c>
      <c r="E639" s="7" t="s">
        <v>30</v>
      </c>
      <c r="G639" s="7" t="b">
        <v>0</v>
      </c>
    </row>
    <row r="640" spans="1:24" ht="119" x14ac:dyDescent="0.2">
      <c r="A640" s="7">
        <v>852</v>
      </c>
      <c r="B640" s="7" t="s">
        <v>794</v>
      </c>
      <c r="C640" s="8" t="s">
        <v>795</v>
      </c>
      <c r="D640" s="7" t="s">
        <v>29</v>
      </c>
      <c r="E640" s="7" t="s">
        <v>30</v>
      </c>
      <c r="G640" s="7" t="b">
        <v>1</v>
      </c>
      <c r="H640" s="12" t="s">
        <v>800</v>
      </c>
      <c r="V640" s="12" t="s">
        <v>405</v>
      </c>
      <c r="W640" s="6" t="s">
        <v>1140</v>
      </c>
      <c r="X640" s="6" t="s">
        <v>1156</v>
      </c>
    </row>
    <row r="641" spans="1:24" ht="102" x14ac:dyDescent="0.2">
      <c r="A641" s="7">
        <v>853</v>
      </c>
      <c r="B641" s="7" t="s">
        <v>794</v>
      </c>
      <c r="C641" s="8" t="s">
        <v>797</v>
      </c>
      <c r="D641" s="7" t="s">
        <v>29</v>
      </c>
      <c r="E641" s="7" t="s">
        <v>58</v>
      </c>
      <c r="G641" s="7" t="b">
        <v>1</v>
      </c>
      <c r="H641" s="12" t="s">
        <v>799</v>
      </c>
    </row>
    <row r="642" spans="1:24" ht="102" x14ac:dyDescent="0.2">
      <c r="A642" s="7">
        <v>854</v>
      </c>
      <c r="B642" s="7" t="s">
        <v>794</v>
      </c>
      <c r="C642" s="8" t="s">
        <v>798</v>
      </c>
      <c r="D642" s="7" t="s">
        <v>29</v>
      </c>
      <c r="E642" s="7" t="s">
        <v>58</v>
      </c>
      <c r="G642" s="7" t="b">
        <v>1</v>
      </c>
      <c r="H642" s="12" t="s">
        <v>799</v>
      </c>
    </row>
    <row r="643" spans="1:24" ht="34" x14ac:dyDescent="0.2">
      <c r="A643" s="7">
        <v>855</v>
      </c>
      <c r="B643" s="7" t="s">
        <v>794</v>
      </c>
      <c r="C643" s="8" t="s">
        <v>801</v>
      </c>
      <c r="D643" s="7" t="s">
        <v>32</v>
      </c>
      <c r="E643" s="7" t="s">
        <v>30</v>
      </c>
      <c r="G643" s="7" t="b">
        <v>0</v>
      </c>
    </row>
    <row r="644" spans="1:24" ht="34" x14ac:dyDescent="0.2">
      <c r="A644" s="7">
        <v>856</v>
      </c>
      <c r="B644" s="7" t="s">
        <v>807</v>
      </c>
      <c r="C644" s="8" t="s">
        <v>806</v>
      </c>
      <c r="D644" s="7" t="s">
        <v>29</v>
      </c>
      <c r="E644" s="7" t="s">
        <v>30</v>
      </c>
      <c r="G644" s="7" t="b">
        <v>1</v>
      </c>
      <c r="H644" s="12" t="s">
        <v>808</v>
      </c>
      <c r="W644" s="6" t="s">
        <v>1140</v>
      </c>
      <c r="X644" s="6" t="s">
        <v>1154</v>
      </c>
    </row>
    <row r="645" spans="1:24" ht="153" x14ac:dyDescent="0.2">
      <c r="A645" s="7">
        <v>857</v>
      </c>
      <c r="B645" s="7" t="s">
        <v>815</v>
      </c>
      <c r="C645" s="8" t="s">
        <v>811</v>
      </c>
      <c r="D645" s="7" t="s">
        <v>32</v>
      </c>
      <c r="E645" s="7" t="s">
        <v>30</v>
      </c>
      <c r="G645" s="7" t="b">
        <v>0</v>
      </c>
    </row>
    <row r="646" spans="1:24" ht="289" x14ac:dyDescent="0.2">
      <c r="A646" s="7">
        <v>858</v>
      </c>
      <c r="B646" s="7" t="s">
        <v>815</v>
      </c>
      <c r="C646" s="8" t="s">
        <v>813</v>
      </c>
      <c r="D646" s="7" t="s">
        <v>32</v>
      </c>
      <c r="E646" s="7" t="s">
        <v>30</v>
      </c>
      <c r="G646" s="7" t="b">
        <v>0</v>
      </c>
    </row>
    <row r="647" spans="1:24" ht="153" x14ac:dyDescent="0.2">
      <c r="A647" s="7">
        <v>859</v>
      </c>
      <c r="B647" s="7" t="s">
        <v>815</v>
      </c>
      <c r="C647" s="8" t="s">
        <v>812</v>
      </c>
      <c r="D647" s="7" t="s">
        <v>32</v>
      </c>
      <c r="E647" s="7" t="s">
        <v>30</v>
      </c>
      <c r="G647" s="7" t="b">
        <v>0</v>
      </c>
    </row>
    <row r="648" spans="1:24" ht="289" x14ac:dyDescent="0.2">
      <c r="A648" s="7">
        <v>860</v>
      </c>
      <c r="B648" s="7" t="s">
        <v>815</v>
      </c>
      <c r="C648" s="8" t="s">
        <v>814</v>
      </c>
      <c r="D648" s="7" t="s">
        <v>32</v>
      </c>
      <c r="E648" s="7" t="s">
        <v>30</v>
      </c>
      <c r="G648" s="7" t="b">
        <v>0</v>
      </c>
    </row>
    <row r="649" spans="1:24" ht="153" x14ac:dyDescent="0.2">
      <c r="A649" s="7">
        <v>861</v>
      </c>
      <c r="B649" s="7" t="s">
        <v>879</v>
      </c>
      <c r="C649" s="8" t="s">
        <v>1127</v>
      </c>
      <c r="D649" s="7" t="s">
        <v>32</v>
      </c>
      <c r="E649" s="7" t="s">
        <v>30</v>
      </c>
      <c r="G649" s="7" t="b">
        <v>1</v>
      </c>
      <c r="H649" s="12" t="s">
        <v>1135</v>
      </c>
    </row>
    <row r="650" spans="1:24" ht="119" x14ac:dyDescent="0.2">
      <c r="A650" s="7">
        <v>862</v>
      </c>
      <c r="B650" s="7" t="s">
        <v>879</v>
      </c>
      <c r="C650" s="8" t="s">
        <v>1128</v>
      </c>
      <c r="D650" s="7" t="s">
        <v>29</v>
      </c>
      <c r="E650" s="7" t="s">
        <v>30</v>
      </c>
      <c r="G650" s="7" t="b">
        <v>1</v>
      </c>
      <c r="H650" s="12" t="s">
        <v>1135</v>
      </c>
      <c r="V650" s="12" t="s">
        <v>405</v>
      </c>
      <c r="W650" s="6" t="s">
        <v>1140</v>
      </c>
      <c r="X650" s="6" t="s">
        <v>1156</v>
      </c>
    </row>
    <row r="651" spans="1:24" ht="170" x14ac:dyDescent="0.2">
      <c r="A651" s="7">
        <v>863</v>
      </c>
      <c r="B651" s="7" t="s">
        <v>879</v>
      </c>
      <c r="C651" s="8" t="s">
        <v>1129</v>
      </c>
      <c r="D651" s="7" t="s">
        <v>35</v>
      </c>
      <c r="E651" s="7" t="s">
        <v>30</v>
      </c>
      <c r="G651" s="7" t="b">
        <v>1</v>
      </c>
      <c r="H651" s="12" t="s">
        <v>1135</v>
      </c>
    </row>
    <row r="652" spans="1:24" ht="68" x14ac:dyDescent="0.2">
      <c r="A652" s="7">
        <v>864</v>
      </c>
      <c r="B652" s="7" t="s">
        <v>879</v>
      </c>
      <c r="C652" s="8" t="s">
        <v>1126</v>
      </c>
      <c r="D652" s="7" t="s">
        <v>29</v>
      </c>
      <c r="E652" s="7" t="s">
        <v>30</v>
      </c>
      <c r="G652" s="7" t="b">
        <v>0</v>
      </c>
      <c r="K652" s="22" t="s">
        <v>45</v>
      </c>
      <c r="L652" s="22" t="s">
        <v>1159</v>
      </c>
      <c r="V652" s="12" t="s">
        <v>1158</v>
      </c>
      <c r="W652" s="6" t="s">
        <v>1140</v>
      </c>
      <c r="X652" s="6" t="s">
        <v>1154</v>
      </c>
    </row>
    <row r="653" spans="1:24" ht="51" x14ac:dyDescent="0.2">
      <c r="A653" s="7">
        <v>865</v>
      </c>
      <c r="B653" s="7" t="s">
        <v>879</v>
      </c>
      <c r="C653" s="8" t="s">
        <v>1131</v>
      </c>
      <c r="D653" s="7" t="s">
        <v>35</v>
      </c>
      <c r="E653" s="7" t="s">
        <v>30</v>
      </c>
      <c r="G653" s="7" t="b">
        <v>1</v>
      </c>
      <c r="H653" s="12" t="s">
        <v>1136</v>
      </c>
    </row>
    <row r="654" spans="1:24" ht="68" x14ac:dyDescent="0.2">
      <c r="A654" s="7">
        <v>866</v>
      </c>
      <c r="B654" s="7" t="s">
        <v>879</v>
      </c>
      <c r="C654" s="8" t="s">
        <v>1130</v>
      </c>
      <c r="D654" s="7" t="s">
        <v>29</v>
      </c>
      <c r="E654" s="7" t="s">
        <v>30</v>
      </c>
      <c r="G654" s="7" t="b">
        <v>0</v>
      </c>
      <c r="K654" s="22" t="s">
        <v>45</v>
      </c>
      <c r="L654" s="22" t="s">
        <v>1159</v>
      </c>
      <c r="V654" s="12" t="s">
        <v>1158</v>
      </c>
      <c r="W654" s="6" t="s">
        <v>1140</v>
      </c>
      <c r="X654" s="6" t="s">
        <v>1157</v>
      </c>
    </row>
    <row r="655" spans="1:24" ht="51" x14ac:dyDescent="0.2">
      <c r="A655" s="7">
        <v>867</v>
      </c>
      <c r="B655" s="7" t="s">
        <v>879</v>
      </c>
      <c r="C655" s="8" t="s">
        <v>1132</v>
      </c>
      <c r="D655" s="7" t="s">
        <v>35</v>
      </c>
      <c r="E655" s="7" t="s">
        <v>30</v>
      </c>
      <c r="G655" s="7" t="b">
        <v>1</v>
      </c>
      <c r="H655" s="12" t="s">
        <v>1137</v>
      </c>
    </row>
    <row r="656" spans="1:24" ht="119" x14ac:dyDescent="0.2">
      <c r="A656" s="7">
        <v>868</v>
      </c>
      <c r="B656" s="7" t="s">
        <v>879</v>
      </c>
      <c r="C656" s="8" t="s">
        <v>1133</v>
      </c>
      <c r="D656" s="7" t="s">
        <v>29</v>
      </c>
      <c r="E656" s="7" t="s">
        <v>30</v>
      </c>
      <c r="G656" s="7" t="b">
        <v>0</v>
      </c>
      <c r="W656" s="6" t="s">
        <v>1140</v>
      </c>
      <c r="X656" s="6" t="s">
        <v>1140</v>
      </c>
    </row>
    <row r="657" spans="1:24" ht="102" x14ac:dyDescent="0.2">
      <c r="A657" s="7">
        <v>869</v>
      </c>
      <c r="B657" s="7" t="s">
        <v>879</v>
      </c>
      <c r="C657" s="8" t="s">
        <v>1134</v>
      </c>
      <c r="D657" s="7" t="s">
        <v>29</v>
      </c>
      <c r="E657" s="7" t="s">
        <v>58</v>
      </c>
      <c r="G657" s="7" t="b">
        <v>0</v>
      </c>
    </row>
    <row r="658" spans="1:24" ht="68" x14ac:dyDescent="0.2">
      <c r="A658" s="7">
        <v>870</v>
      </c>
      <c r="B658" s="7" t="s">
        <v>621</v>
      </c>
      <c r="C658" s="8" t="s">
        <v>1145</v>
      </c>
      <c r="D658" s="7" t="s">
        <v>29</v>
      </c>
      <c r="E658" s="7" t="s">
        <v>30</v>
      </c>
      <c r="G658" s="7" t="b">
        <v>1</v>
      </c>
      <c r="H658" s="12" t="s">
        <v>1150</v>
      </c>
      <c r="W658" s="6" t="s">
        <v>1140</v>
      </c>
      <c r="X658" s="6" t="s">
        <v>1140</v>
      </c>
    </row>
    <row r="659" spans="1:24" ht="102" x14ac:dyDescent="0.2">
      <c r="A659" s="7">
        <v>871</v>
      </c>
      <c r="B659" s="7" t="s">
        <v>621</v>
      </c>
      <c r="C659" s="8" t="s">
        <v>1146</v>
      </c>
      <c r="D659" s="7" t="s">
        <v>35</v>
      </c>
      <c r="E659" s="7" t="s">
        <v>30</v>
      </c>
      <c r="G659" s="7" t="b">
        <v>1</v>
      </c>
      <c r="H659" s="12" t="s">
        <v>1148</v>
      </c>
    </row>
    <row r="660" spans="1:24" ht="68" x14ac:dyDescent="0.2">
      <c r="A660" s="7">
        <v>872</v>
      </c>
      <c r="B660" s="7" t="s">
        <v>621</v>
      </c>
      <c r="C660" s="8" t="s">
        <v>1147</v>
      </c>
      <c r="D660" s="7" t="s">
        <v>29</v>
      </c>
      <c r="E660" s="7" t="s">
        <v>30</v>
      </c>
      <c r="G660" s="7" t="b">
        <v>1</v>
      </c>
      <c r="H660" s="12" t="s">
        <v>1149</v>
      </c>
      <c r="W660" s="6" t="s">
        <v>1140</v>
      </c>
      <c r="X660" s="6" t="s">
        <v>1140</v>
      </c>
    </row>
  </sheetData>
  <autoFilter ref="A1:X660" xr:uid="{0272D98A-080C-3945-A7E0-CB54FB3A65A9}"/>
  <phoneticPr fontId="19" type="noConversion"/>
  <hyperlinks>
    <hyperlink ref="B169" r:id="rId1" location="additional-us-core-requirements" xr:uid="{1640FE42-DDC3-4648-AFAA-22D5D9D70232}"/>
    <hyperlink ref="B253" r:id="rId2" location="fetching-all-medications-active-medications-and-all-medications-for-an-encounter" xr:uid="{83F4F559-47A2-6C41-9E56-4606F73EA822}"/>
    <hyperlink ref="B277" r:id="rId3" location="category-codes" xr:uid="{CD9C6AC2-AF47-BC4B-AC7D-E2AB81C49CEB}"/>
    <hyperlink ref="B32" r:id="rId4" location="modifier-elements" xr:uid="{0310FCC6-3500-2442-84AC-62E3002F99FA}"/>
    <hyperlink ref="B67" r:id="rId5" location="search-for-Servers-requiring-status" xr:uid="{BA90A2E5-D7D4-C846-B8E4-65A4D8B1389B}"/>
    <hyperlink ref="B248" r:id="rId6" location="options-for-representing-medication" xr:uid="{50A27C25-DB15-D649-880B-4A67E25B79CF}"/>
    <hyperlink ref="B266" r:id="rId7" location="hie-transformation" xr:uid="{C58FE758-838C-C348-A689-DBD8D7694DDB}"/>
    <hyperlink ref="B304" r:id="rId8" location="mandatory-and-must-support-data-elements" xr:uid="{EC12D932-5369-3342-B957-A3CA33FAEA11}"/>
    <hyperlink ref="B510" r:id="rId9" location="mandatory-and-must-support-data-elements" xr:uid="{08DF7006-16A6-F44E-86E9-3263B32AD105}"/>
    <hyperlink ref="B512" r:id="rId10" location="mandatory-and-must-support-data-elements" xr:uid="{F7322B18-B8D9-804F-A812-42B788F45C4C}"/>
    <hyperlink ref="B585" r:id="rId11" location="mandatory-and-must-support-data-elements" xr:uid="{AE01349F-701A-AA4F-A4F8-1A4A910946B0}"/>
    <hyperlink ref="B610" r:id="rId12" location="category-codes" xr:uid="{D02A04B1-91C2-F841-AF4E-F242CCC69AE3}"/>
    <hyperlink ref="B633" r:id="rId13" location="mandatory-and-must-support-data-elements" xr:uid="{B8DB1B24-35F7-7B45-A1F4-06D7D9D7CB5A}"/>
  </hyperlinks>
  <pageMargins left="0.7" right="0.7" top="0.75" bottom="0.75" header="0.3" footer="0.3"/>
  <pageSetup orientation="portrait" horizontalDpi="0" verticalDpi="0"/>
  <extLst>
    <ext xmlns:x14="http://schemas.microsoft.com/office/spreadsheetml/2009/9/main" uri="{CCE6A557-97BC-4b89-ADB6-D9C93CAAB3DF}">
      <x14:dataValidations xmlns:xm="http://schemas.microsoft.com/office/excel/2006/main" count="3">
        <x14:dataValidation type="list" allowBlank="1" showInputMessage="1" showErrorMessage="1" xr:uid="{3CFA7B25-010E-E34A-859C-3E49F45E1500}">
          <x14:formula1>
            <xm:f>'Column Data'!$B$2:$B$3</xm:f>
          </x14:formula1>
          <xm:sqref>G1:G250 G596:G1048576 G252:G585 G590:G594</xm:sqref>
        </x14:dataValidation>
        <x14:dataValidation type="list" allowBlank="1" showInputMessage="1" showErrorMessage="1" xr:uid="{F4FB27A2-804E-CB49-B85C-BBEE0C688B4F}">
          <x14:formula1>
            <xm:f>'Column Data'!$D$2:$D$4</xm:f>
          </x14:formula1>
          <xm:sqref>K418:K459 K467:K469 K471 K473:K482 K490:K516 K2:K11 K14:K84 K86:K391 K393:K405 K408:K411 I661:I1048576 K590:K1048576 K524:K585 I2:I585 I590:I657</xm:sqref>
        </x14:dataValidation>
        <x14:dataValidation type="list" allowBlank="1" showInputMessage="1" showErrorMessage="1" xr:uid="{4866B9BF-5615-6646-965F-909D4D65F2A5}">
          <x14:formula1>
            <xm:f>'Column Data'!$A$2:$A$7</xm:f>
          </x14:formula1>
          <xm:sqref>D596:D1048576 D2:D585 D590:D594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9AD59-AF8C-3E4B-B411-77500DC2659E}">
  <dimension ref="A1"/>
  <sheetViews>
    <sheetView workbookViewId="0"/>
  </sheetViews>
  <sheetFormatPr baseColWidth="10" defaultRowHeight="16"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3F474-BE25-4449-9222-E1A46A1843B5}">
  <dimension ref="A1:B14"/>
  <sheetViews>
    <sheetView workbookViewId="0">
      <selection activeCell="B15" sqref="B15"/>
    </sheetView>
  </sheetViews>
  <sheetFormatPr baseColWidth="10" defaultColWidth="11" defaultRowHeight="16" x14ac:dyDescent="0.2"/>
  <cols>
    <col min="1" max="1" width="17" customWidth="1"/>
    <col min="2" max="2" width="56.5" style="15" customWidth="1"/>
  </cols>
  <sheetData>
    <row r="1" spans="1:2" ht="409.25" customHeight="1" x14ac:dyDescent="0.2">
      <c r="A1" s="77" t="s">
        <v>578</v>
      </c>
      <c r="B1" s="78"/>
    </row>
    <row r="2" spans="1:2" ht="82.25" customHeight="1" x14ac:dyDescent="0.2">
      <c r="A2" s="78"/>
      <c r="B2" s="78"/>
    </row>
    <row r="3" spans="1:2" x14ac:dyDescent="0.2">
      <c r="A3" s="14" t="s">
        <v>579</v>
      </c>
      <c r="B3" t="s">
        <v>607</v>
      </c>
    </row>
    <row r="4" spans="1:2" x14ac:dyDescent="0.2">
      <c r="A4" s="14" t="s">
        <v>580</v>
      </c>
    </row>
    <row r="5" spans="1:2" x14ac:dyDescent="0.2">
      <c r="A5" s="14" t="s">
        <v>581</v>
      </c>
      <c r="B5" s="15" t="s">
        <v>582</v>
      </c>
    </row>
    <row r="6" spans="1:2" x14ac:dyDescent="0.2">
      <c r="A6" s="14" t="s">
        <v>583</v>
      </c>
      <c r="B6" s="15" t="s">
        <v>584</v>
      </c>
    </row>
    <row r="7" spans="1:2" x14ac:dyDescent="0.2">
      <c r="A7" s="14" t="s">
        <v>585</v>
      </c>
      <c r="B7" s="15" t="s">
        <v>586</v>
      </c>
    </row>
    <row r="8" spans="1:2" x14ac:dyDescent="0.2">
      <c r="A8" s="14" t="s">
        <v>587</v>
      </c>
      <c r="B8" s="15" t="s">
        <v>588</v>
      </c>
    </row>
    <row r="9" spans="1:2" x14ac:dyDescent="0.2">
      <c r="A9" s="14" t="s">
        <v>589</v>
      </c>
    </row>
    <row r="10" spans="1:2" x14ac:dyDescent="0.2">
      <c r="A10" s="14" t="s">
        <v>590</v>
      </c>
    </row>
    <row r="11" spans="1:2" ht="153" x14ac:dyDescent="0.2">
      <c r="A11" s="14" t="s">
        <v>591</v>
      </c>
      <c r="B11" s="29" t="s">
        <v>592</v>
      </c>
    </row>
    <row r="12" spans="1:2" x14ac:dyDescent="0.2">
      <c r="A12" s="14" t="s">
        <v>593</v>
      </c>
      <c r="B12" s="15" t="s">
        <v>609</v>
      </c>
    </row>
    <row r="13" spans="1:2" x14ac:dyDescent="0.2">
      <c r="A13" s="14" t="s">
        <v>594</v>
      </c>
      <c r="B13" s="30" t="s">
        <v>608</v>
      </c>
    </row>
    <row r="14" spans="1:2" ht="119" x14ac:dyDescent="0.2">
      <c r="A14" s="14" t="s">
        <v>1094</v>
      </c>
      <c r="B14" s="29" t="s">
        <v>1138</v>
      </c>
    </row>
  </sheetData>
  <mergeCells count="1">
    <mergeCell ref="A1:B2"/>
  </mergeCells>
  <hyperlinks>
    <hyperlink ref="B13" r:id="rId1" display="https://hl7.org/fhir/us/core/STU7/" xr:uid="{CB438912-F9FB-42EF-88D8-89E99D9AD6CB}"/>
  </hyperlinks>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B4E29-A057-6044-8543-9F9FC3A9F2DF}">
  <dimension ref="A1:E2"/>
  <sheetViews>
    <sheetView workbookViewId="0">
      <selection activeCell="D12" sqref="D12"/>
    </sheetView>
  </sheetViews>
  <sheetFormatPr baseColWidth="10" defaultColWidth="11" defaultRowHeight="16" x14ac:dyDescent="0.2"/>
  <cols>
    <col min="2" max="3" width="14.6640625" customWidth="1"/>
    <col min="4" max="4" width="29.5" customWidth="1"/>
  </cols>
  <sheetData>
    <row r="1" spans="1:5" x14ac:dyDescent="0.2">
      <c r="A1" s="14" t="s">
        <v>581</v>
      </c>
      <c r="B1" s="14" t="s">
        <v>595</v>
      </c>
      <c r="C1" s="14" t="s">
        <v>596</v>
      </c>
      <c r="D1" s="14" t="s">
        <v>597</v>
      </c>
      <c r="E1" s="14" t="s">
        <v>598</v>
      </c>
    </row>
    <row r="2" spans="1:5" x14ac:dyDescent="0.2">
      <c r="A2">
        <v>0.1</v>
      </c>
      <c r="B2" t="s">
        <v>599</v>
      </c>
      <c r="C2" s="42" t="s">
        <v>600</v>
      </c>
      <c r="D2" t="s">
        <v>601</v>
      </c>
      <c r="E2" s="43">
        <v>45618</v>
      </c>
    </row>
  </sheetData>
  <hyperlinks>
    <hyperlink ref="C2" r:id="rId1" xr:uid="{784888A6-CCDB-4464-8627-011F66CF97EF}"/>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89888-9517-1640-A922-49BDADD5811C}">
  <dimension ref="A1:D7"/>
  <sheetViews>
    <sheetView workbookViewId="0">
      <selection activeCell="H9" sqref="H9"/>
    </sheetView>
  </sheetViews>
  <sheetFormatPr baseColWidth="10" defaultColWidth="11" defaultRowHeight="16" x14ac:dyDescent="0.2"/>
  <sheetData>
    <row r="1" spans="1:4" x14ac:dyDescent="0.2">
      <c r="A1" t="s">
        <v>602</v>
      </c>
      <c r="B1" t="s">
        <v>13</v>
      </c>
      <c r="C1" t="s">
        <v>603</v>
      </c>
      <c r="D1" t="s">
        <v>15</v>
      </c>
    </row>
    <row r="2" spans="1:4" x14ac:dyDescent="0.2">
      <c r="A2" t="s">
        <v>29</v>
      </c>
      <c r="B2" t="b">
        <v>1</v>
      </c>
      <c r="C2" t="s">
        <v>604</v>
      </c>
      <c r="D2" t="s">
        <v>45</v>
      </c>
    </row>
    <row r="3" spans="1:4" x14ac:dyDescent="0.2">
      <c r="A3" t="s">
        <v>32</v>
      </c>
      <c r="B3" t="b">
        <v>0</v>
      </c>
      <c r="C3" t="s">
        <v>605</v>
      </c>
      <c r="D3" t="s">
        <v>44</v>
      </c>
    </row>
    <row r="4" spans="1:4" x14ac:dyDescent="0.2">
      <c r="A4" t="s">
        <v>35</v>
      </c>
      <c r="C4" t="s">
        <v>606</v>
      </c>
    </row>
    <row r="5" spans="1:4" x14ac:dyDescent="0.2">
      <c r="A5" t="s">
        <v>76</v>
      </c>
    </row>
    <row r="6" spans="1:4" x14ac:dyDescent="0.2">
      <c r="A6" t="s">
        <v>54</v>
      </c>
    </row>
    <row r="7" spans="1:4" x14ac:dyDescent="0.2">
      <c r="A7" t="s">
        <v>64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EC335ED7BB179244BF94A0DFE64544DC" ma:contentTypeVersion="17" ma:contentTypeDescription="Create a new document." ma:contentTypeScope="" ma:versionID="d3a0f66abe5d2a0564332877ab55d3f7">
  <xsd:schema xmlns:xsd="http://www.w3.org/2001/XMLSchema" xmlns:xs="http://www.w3.org/2001/XMLSchema" xmlns:p="http://schemas.microsoft.com/office/2006/metadata/properties" xmlns:ns2="eebd8b74-b9de-41b2-9247-c010c4973c2b" xmlns:ns3="b7009bbd-f938-489b-a530-f05273710fff" xmlns:ns4="b5a44311-ed64-4a72-909f-c9dc6973bde2" targetNamespace="http://schemas.microsoft.com/office/2006/metadata/properties" ma:root="true" ma:fieldsID="ec7ca2ee893ff8a0f61d4046c6461645" ns2:_="" ns3:_="" ns4:_="">
    <xsd:import namespace="eebd8b74-b9de-41b2-9247-c010c4973c2b"/>
    <xsd:import namespace="b7009bbd-f938-489b-a530-f05273710fff"/>
    <xsd:import namespace="b5a44311-ed64-4a72-909f-c9dc6973bde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Description"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lcf76f155ced4ddcb4097134ff3c332f" minOccurs="0"/>
                <xsd:element ref="ns4:TaxCatchAll" minOccurs="0"/>
                <xsd:element ref="ns2:MediaLengthInSeconds" minOccurs="0"/>
                <xsd:element ref="ns2:SortOr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bd8b74-b9de-41b2-9247-c010c4973c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Description" ma:index="14" nillable="true" ma:displayName="Description" ma:format="Dropdown" ma:internalName="Description">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ea1a638-fe8f-4e55-a8a3-ec1a1fdf419b"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SortOrder" ma:index="24" nillable="true" ma:displayName="Sort Order" ma:format="Dropdown" ma:internalName="SortOrder" ma:percentage="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7009bbd-f938-489b-a530-f05273710ff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5a44311-ed64-4a72-909f-c9dc6973bde2"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eb2147c2-73e8-4ace-b987-f4badfc2b106}" ma:internalName="TaxCatchAll" ma:showField="CatchAllData" ma:web="b7009bbd-f938-489b-a530-f05273710f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b5a44311-ed64-4a72-909f-c9dc6973bde2" xsi:nil="true"/>
    <lcf76f155ced4ddcb4097134ff3c332f xmlns="eebd8b74-b9de-41b2-9247-c010c4973c2b">
      <Terms xmlns="http://schemas.microsoft.com/office/infopath/2007/PartnerControls"/>
    </lcf76f155ced4ddcb4097134ff3c332f>
    <Description xmlns="eebd8b74-b9de-41b2-9247-c010c4973c2b" xsi:nil="true"/>
    <SortOrder xmlns="eebd8b74-b9de-41b2-9247-c010c4973c2b"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225D6BB-BE6A-3148-AA42-4BBE2D66A470}">
  <ds:schemaRefs>
    <ds:schemaRef ds:uri="http://schemas.microsoft.com/DataMashup"/>
  </ds:schemaRefs>
</ds:datastoreItem>
</file>

<file path=customXml/itemProps2.xml><?xml version="1.0" encoding="utf-8"?>
<ds:datastoreItem xmlns:ds="http://schemas.openxmlformats.org/officeDocument/2006/customXml" ds:itemID="{7C0B0A19-6928-4F0B-831A-5B9FDDD3F6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ebd8b74-b9de-41b2-9247-c010c4973c2b"/>
    <ds:schemaRef ds:uri="b7009bbd-f938-489b-a530-f05273710fff"/>
    <ds:schemaRef ds:uri="b5a44311-ed64-4a72-909f-c9dc6973bd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9B0E317-5E0E-4728-AB3F-40F2C2B957FB}">
  <ds:schemaRefs>
    <ds:schemaRef ds:uri="http://schemas.microsoft.com/office/2006/documentManagement/types"/>
    <ds:schemaRef ds:uri="http://schemas.microsoft.com/office/2006/metadata/properties"/>
    <ds:schemaRef ds:uri="http://purl.org/dc/elements/1.1/"/>
    <ds:schemaRef ds:uri="http://purl.org/dc/terms/"/>
    <ds:schemaRef ds:uri="http://schemas.openxmlformats.org/package/2006/metadata/core-properties"/>
    <ds:schemaRef ds:uri="b5a44311-ed64-4a72-909f-c9dc6973bde2"/>
    <ds:schemaRef ds:uri="http://www.w3.org/XML/1998/namespace"/>
    <ds:schemaRef ds:uri="b7009bbd-f938-489b-a530-f05273710fff"/>
    <ds:schemaRef ds:uri="http://purl.org/dc/dcmitype/"/>
    <ds:schemaRef ds:uri="http://schemas.microsoft.com/office/infopath/2007/PartnerControls"/>
    <ds:schemaRef ds:uri="eebd8b74-b9de-41b2-9247-c010c4973c2b"/>
  </ds:schemaRefs>
</ds:datastoreItem>
</file>

<file path=customXml/itemProps4.xml><?xml version="1.0" encoding="utf-8"?>
<ds:datastoreItem xmlns:ds="http://schemas.openxmlformats.org/officeDocument/2006/customXml" ds:itemID="{CA84097F-5807-4DCF-92C6-48C9EE26CFB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Info</vt:lpstr>
      <vt:lpstr>us_core_reqs</vt:lpstr>
      <vt:lpstr>Requirements</vt:lpstr>
      <vt:lpstr>Sheet1</vt:lpstr>
      <vt:lpstr>Metadata</vt:lpstr>
      <vt:lpstr>Change Log</vt:lpstr>
      <vt:lpstr>Column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Lizzie Charbonneau</dc:creator>
  <cp:keywords/>
  <dc:description/>
  <cp:lastModifiedBy>Eric Haas</cp:lastModifiedBy>
  <cp:revision/>
  <dcterms:created xsi:type="dcterms:W3CDTF">2024-07-24T12:37:51Z</dcterms:created>
  <dcterms:modified xsi:type="dcterms:W3CDTF">2026-03-04T17:58:06Z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0x010100EC335ED7BB179244BF94A0DFE64544DC</vt:lpwstr>
  </property>
  <property fmtid="{D5CDD505-2E9C-101B-9397-08002B2CF9AE}" pid="3" name="MediaServiceImageTags">
    <vt:lpwstr/>
  </property>
</Properties>
</file>