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71D21B47-F2B5-0640-B239-F7C84A463F61}" xr6:coauthVersionLast="47" xr6:coauthVersionMax="47" xr10:uidLastSave="{00000000-0000-0000-0000-000000000000}"/>
  <bookViews>
    <workbookView xWindow="61120" yWindow="500" windowWidth="4116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us_core_reqs!$A$1:$AD$673</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0" i="11" l="1"/>
  <c r="S672" i="11"/>
  <c r="R672" i="11"/>
  <c r="E672" i="11"/>
  <c r="C672" i="11"/>
  <c r="S673" i="11"/>
  <c r="R673" i="11"/>
  <c r="S671" i="11"/>
  <c r="R671" i="11"/>
  <c r="S670" i="11"/>
  <c r="R670" i="11"/>
  <c r="S669" i="11"/>
  <c r="R669" i="11"/>
  <c r="S668" i="11"/>
  <c r="R668" i="11"/>
  <c r="S667" i="11"/>
  <c r="R667" i="11"/>
  <c r="S666" i="11"/>
  <c r="R666" i="11"/>
  <c r="S665" i="11"/>
  <c r="R665" i="11"/>
  <c r="S664" i="11"/>
  <c r="R664" i="11"/>
  <c r="S663" i="11"/>
  <c r="R663" i="11"/>
  <c r="S662" i="11"/>
  <c r="R662" i="11"/>
  <c r="S661" i="11"/>
  <c r="R661" i="11"/>
  <c r="S660" i="11"/>
  <c r="R660" i="11"/>
  <c r="S659" i="11"/>
  <c r="R659" i="11"/>
  <c r="S658" i="11"/>
  <c r="R658" i="11"/>
  <c r="S657" i="11"/>
  <c r="R657" i="11"/>
  <c r="S656" i="11"/>
  <c r="R656" i="11"/>
  <c r="S655" i="11"/>
  <c r="R655" i="11"/>
  <c r="S654" i="11"/>
  <c r="R654" i="11"/>
  <c r="S653" i="11"/>
  <c r="R653" i="11"/>
  <c r="S652" i="11"/>
  <c r="R652" i="11"/>
  <c r="S651" i="11"/>
  <c r="R651" i="11"/>
  <c r="S650" i="11"/>
  <c r="R650" i="11"/>
  <c r="S649" i="11"/>
  <c r="R649" i="11"/>
  <c r="S648" i="11"/>
  <c r="R648" i="11"/>
  <c r="S647" i="11"/>
  <c r="R647" i="11"/>
  <c r="S646" i="11"/>
  <c r="R646" i="11"/>
  <c r="S645" i="11"/>
  <c r="R645" i="11"/>
  <c r="S644" i="11"/>
  <c r="R644" i="11"/>
  <c r="S643" i="11"/>
  <c r="R643" i="11"/>
  <c r="S642" i="11"/>
  <c r="R642" i="11"/>
  <c r="S641" i="11"/>
  <c r="R641" i="11"/>
  <c r="S640" i="11"/>
  <c r="R640" i="11"/>
  <c r="S639" i="11"/>
  <c r="R639" i="11"/>
  <c r="S638" i="11"/>
  <c r="R638" i="11"/>
  <c r="S637" i="11"/>
  <c r="R637" i="11"/>
  <c r="S636" i="11"/>
  <c r="R636" i="11"/>
  <c r="S635" i="11"/>
  <c r="R635" i="11"/>
  <c r="S634" i="11"/>
  <c r="R634" i="11"/>
  <c r="S633" i="11"/>
  <c r="R633" i="11"/>
  <c r="S632" i="11"/>
  <c r="R632" i="11"/>
  <c r="S631" i="11"/>
  <c r="R631" i="11"/>
  <c r="S630" i="11"/>
  <c r="R630" i="11"/>
  <c r="S629" i="11"/>
  <c r="R629" i="11"/>
  <c r="S628" i="11"/>
  <c r="R628" i="11"/>
  <c r="S627" i="11"/>
  <c r="R627" i="11"/>
  <c r="S626" i="11"/>
  <c r="R626" i="11"/>
  <c r="S625" i="11"/>
  <c r="R625" i="11"/>
  <c r="S624" i="11"/>
  <c r="R624" i="11"/>
  <c r="S623" i="11"/>
  <c r="R623" i="11"/>
  <c r="S622" i="11"/>
  <c r="R622" i="11"/>
  <c r="S621" i="11"/>
  <c r="R621" i="11"/>
  <c r="S620" i="11"/>
  <c r="R620" i="11"/>
  <c r="S619" i="11"/>
  <c r="R619" i="11"/>
  <c r="S618" i="11"/>
  <c r="R618" i="11"/>
  <c r="S617" i="11"/>
  <c r="R617" i="11"/>
  <c r="S616" i="11"/>
  <c r="R616" i="11"/>
  <c r="S615" i="11"/>
  <c r="R615" i="11"/>
  <c r="S614" i="11"/>
  <c r="R614" i="11"/>
  <c r="S613" i="11"/>
  <c r="R613" i="11"/>
  <c r="S612" i="11"/>
  <c r="R612" i="11"/>
  <c r="S611" i="11"/>
  <c r="R611" i="11"/>
  <c r="S610" i="11"/>
  <c r="R610" i="11"/>
  <c r="S609" i="11"/>
  <c r="R609" i="11"/>
  <c r="S608" i="11"/>
  <c r="R608" i="11"/>
  <c r="S607" i="11"/>
  <c r="R607" i="11"/>
  <c r="S606" i="11"/>
  <c r="R606" i="11"/>
  <c r="S605" i="11"/>
  <c r="R605" i="11"/>
  <c r="S604" i="11"/>
  <c r="R604" i="11"/>
  <c r="S603" i="11"/>
  <c r="R603" i="11"/>
  <c r="S602" i="11"/>
  <c r="R602" i="11"/>
  <c r="S601" i="11"/>
  <c r="R601" i="11"/>
  <c r="S600" i="11"/>
  <c r="R600" i="11"/>
  <c r="S599" i="11"/>
  <c r="R599" i="11"/>
  <c r="S598" i="11"/>
  <c r="R598" i="11"/>
  <c r="S597" i="11"/>
  <c r="R597" i="11"/>
  <c r="S596" i="11"/>
  <c r="R596" i="11"/>
  <c r="S595" i="11"/>
  <c r="R595" i="11"/>
  <c r="S594" i="11"/>
  <c r="R594" i="11"/>
  <c r="S593" i="11"/>
  <c r="R593" i="11"/>
  <c r="S592" i="11"/>
  <c r="R592" i="11"/>
  <c r="S591" i="11"/>
  <c r="R591" i="11"/>
  <c r="S590" i="11"/>
  <c r="R590" i="11"/>
  <c r="S589" i="11"/>
  <c r="R589" i="11"/>
  <c r="S588" i="11"/>
  <c r="R588" i="11"/>
  <c r="S587" i="11"/>
  <c r="R587" i="11"/>
  <c r="S586" i="11"/>
  <c r="R586" i="11"/>
  <c r="S585" i="11"/>
  <c r="R585" i="11"/>
  <c r="S584" i="11"/>
  <c r="R584" i="11"/>
  <c r="S583" i="11"/>
  <c r="R583" i="11"/>
  <c r="S582" i="11"/>
  <c r="R582" i="11"/>
  <c r="S581" i="11"/>
  <c r="R581" i="11"/>
  <c r="S580" i="11"/>
  <c r="R580" i="11"/>
  <c r="S579" i="11"/>
  <c r="R579" i="11"/>
  <c r="S578" i="11"/>
  <c r="R578" i="11"/>
  <c r="S577" i="11"/>
  <c r="R577" i="11"/>
  <c r="S576" i="11"/>
  <c r="R576" i="11"/>
  <c r="S575" i="11"/>
  <c r="R575" i="11"/>
  <c r="S574" i="11"/>
  <c r="R574" i="11"/>
  <c r="S573" i="11"/>
  <c r="R573" i="11"/>
  <c r="S572" i="11"/>
  <c r="R572" i="11"/>
  <c r="S571" i="11"/>
  <c r="R571" i="11"/>
  <c r="S570" i="11"/>
  <c r="R570" i="11"/>
  <c r="S569" i="11"/>
  <c r="R569" i="11"/>
  <c r="S568" i="11"/>
  <c r="R568" i="11"/>
  <c r="S567" i="11"/>
  <c r="R567" i="11"/>
  <c r="S566" i="11"/>
  <c r="R566" i="11"/>
  <c r="S565" i="11"/>
  <c r="R565" i="11"/>
  <c r="S564" i="11"/>
  <c r="R564" i="11"/>
  <c r="S563" i="11"/>
  <c r="R563" i="11"/>
  <c r="S562" i="11"/>
  <c r="R562" i="11"/>
  <c r="S561" i="11"/>
  <c r="R561" i="11"/>
  <c r="S560" i="11"/>
  <c r="R560" i="11"/>
  <c r="S559" i="11"/>
  <c r="R559" i="11"/>
  <c r="S558" i="11"/>
  <c r="R558" i="11"/>
  <c r="S557" i="11"/>
  <c r="R557" i="11"/>
  <c r="S556" i="11"/>
  <c r="R556" i="11"/>
  <c r="S555" i="11"/>
  <c r="R555" i="11"/>
  <c r="S554" i="11"/>
  <c r="R554" i="11"/>
  <c r="S553" i="11"/>
  <c r="R553" i="11"/>
  <c r="S552" i="11"/>
  <c r="R552" i="11"/>
  <c r="S551" i="11"/>
  <c r="R551" i="11"/>
  <c r="S550" i="11"/>
  <c r="R550" i="11"/>
  <c r="S549" i="11"/>
  <c r="R549" i="11"/>
  <c r="S548" i="11"/>
  <c r="R548" i="11"/>
  <c r="S547" i="11"/>
  <c r="R547" i="11"/>
  <c r="S546" i="11"/>
  <c r="R546" i="11"/>
  <c r="S545" i="11"/>
  <c r="R545" i="11"/>
  <c r="S544" i="11"/>
  <c r="R544" i="11"/>
  <c r="S543" i="11"/>
  <c r="R543" i="11"/>
  <c r="S542" i="11"/>
  <c r="R542" i="11"/>
  <c r="S541" i="11"/>
  <c r="R541" i="11"/>
  <c r="S540" i="11"/>
  <c r="R540" i="11"/>
  <c r="S539" i="11"/>
  <c r="R539" i="11"/>
  <c r="S538" i="11"/>
  <c r="R538" i="11"/>
  <c r="S537" i="11"/>
  <c r="R537" i="11"/>
  <c r="S536" i="11"/>
  <c r="R536" i="11"/>
  <c r="S535" i="11"/>
  <c r="R535" i="11"/>
  <c r="S534" i="11"/>
  <c r="R534" i="11"/>
  <c r="S533" i="11"/>
  <c r="R533" i="11"/>
  <c r="S532" i="11"/>
  <c r="R532" i="11"/>
  <c r="S531" i="11"/>
  <c r="R531" i="11"/>
  <c r="S530" i="11"/>
  <c r="R530" i="11"/>
  <c r="S529" i="11"/>
  <c r="R529" i="11"/>
  <c r="S528" i="11"/>
  <c r="R528" i="11"/>
  <c r="S527" i="11"/>
  <c r="R527" i="11"/>
  <c r="S526" i="11"/>
  <c r="R526" i="11"/>
  <c r="S525" i="11"/>
  <c r="R525" i="11"/>
  <c r="S524" i="11"/>
  <c r="R524" i="11"/>
  <c r="S523" i="11"/>
  <c r="R523" i="11"/>
  <c r="S522" i="11"/>
  <c r="R522" i="11"/>
  <c r="S521" i="11"/>
  <c r="R521" i="11"/>
  <c r="S520" i="11"/>
  <c r="R520" i="11"/>
  <c r="S519" i="11"/>
  <c r="R519" i="11"/>
  <c r="S518" i="11"/>
  <c r="R518" i="11"/>
  <c r="S517" i="11"/>
  <c r="R517" i="11"/>
  <c r="S516" i="11"/>
  <c r="R516" i="11"/>
  <c r="S515" i="11"/>
  <c r="R515" i="11"/>
  <c r="S514" i="11"/>
  <c r="R514" i="11"/>
  <c r="S513" i="11"/>
  <c r="R513" i="11"/>
  <c r="S512" i="11"/>
  <c r="R512" i="11"/>
  <c r="S511" i="11"/>
  <c r="R511" i="11"/>
  <c r="S510" i="11"/>
  <c r="R510" i="11"/>
  <c r="S509" i="11"/>
  <c r="R509" i="11"/>
  <c r="S508" i="11"/>
  <c r="R508" i="11"/>
  <c r="S507" i="11"/>
  <c r="R507" i="11"/>
  <c r="S506" i="11"/>
  <c r="R506" i="11"/>
  <c r="S505" i="11"/>
  <c r="R505" i="11"/>
  <c r="S504" i="11"/>
  <c r="R504" i="11"/>
  <c r="S503" i="11"/>
  <c r="R503" i="11"/>
  <c r="S502" i="11"/>
  <c r="R502" i="11"/>
  <c r="S501" i="11"/>
  <c r="R501" i="11"/>
  <c r="S500" i="11"/>
  <c r="R500" i="11"/>
  <c r="S499" i="11"/>
  <c r="R499" i="11"/>
  <c r="S498" i="11"/>
  <c r="R498" i="11"/>
  <c r="S497" i="11"/>
  <c r="R497" i="11"/>
  <c r="S496" i="11"/>
  <c r="R496" i="11"/>
  <c r="S495" i="11"/>
  <c r="R495" i="11"/>
  <c r="S494" i="11"/>
  <c r="R494" i="11"/>
  <c r="S493" i="11"/>
  <c r="R493" i="11"/>
  <c r="S492" i="11"/>
  <c r="R492" i="11"/>
  <c r="S491" i="11"/>
  <c r="R491" i="11"/>
  <c r="S490" i="11"/>
  <c r="R490" i="11"/>
  <c r="S489" i="11"/>
  <c r="R489" i="11"/>
  <c r="S488" i="11"/>
  <c r="R488" i="11"/>
  <c r="S487" i="11"/>
  <c r="R487" i="11"/>
  <c r="S486" i="11"/>
  <c r="R486" i="11"/>
  <c r="S485" i="11"/>
  <c r="R485" i="11"/>
  <c r="S484" i="11"/>
  <c r="R484" i="11"/>
  <c r="S483" i="11"/>
  <c r="R483" i="11"/>
  <c r="S482" i="11"/>
  <c r="R482" i="11"/>
  <c r="S481" i="11"/>
  <c r="R481" i="11"/>
  <c r="S480" i="11"/>
  <c r="R480" i="11"/>
  <c r="S479" i="11"/>
  <c r="R479" i="11"/>
  <c r="S478" i="11"/>
  <c r="R478" i="11"/>
  <c r="S477" i="11"/>
  <c r="R477" i="11"/>
  <c r="S476" i="11"/>
  <c r="R476" i="11"/>
  <c r="S475" i="11"/>
  <c r="R475" i="11"/>
  <c r="S474" i="11"/>
  <c r="R474" i="11"/>
  <c r="S473" i="11"/>
  <c r="R473" i="11"/>
  <c r="S472" i="11"/>
  <c r="R472" i="11"/>
  <c r="S471" i="11"/>
  <c r="R471" i="11"/>
  <c r="S470" i="11"/>
  <c r="R470" i="11"/>
  <c r="S469" i="11"/>
  <c r="R469" i="11"/>
  <c r="S468" i="11"/>
  <c r="R468" i="11"/>
  <c r="S467" i="11"/>
  <c r="R467" i="11"/>
  <c r="S466" i="11"/>
  <c r="R466" i="11"/>
  <c r="S465" i="11"/>
  <c r="R465" i="11"/>
  <c r="S464" i="11"/>
  <c r="R464" i="11"/>
  <c r="S463" i="11"/>
  <c r="R463" i="11"/>
  <c r="S462" i="11"/>
  <c r="R462" i="11"/>
  <c r="S461" i="11"/>
  <c r="R461" i="11"/>
  <c r="S460" i="11"/>
  <c r="R460" i="11"/>
  <c r="S459" i="11"/>
  <c r="R459" i="11"/>
  <c r="S458" i="11"/>
  <c r="R458" i="11"/>
  <c r="S457" i="11"/>
  <c r="R457" i="11"/>
  <c r="S456" i="11"/>
  <c r="R456" i="11"/>
  <c r="S455" i="11"/>
  <c r="R455" i="11"/>
  <c r="S454" i="11"/>
  <c r="R454" i="11"/>
  <c r="S453" i="11"/>
  <c r="R453" i="11"/>
  <c r="S452" i="11"/>
  <c r="R452" i="11"/>
  <c r="S451" i="11"/>
  <c r="R451" i="11"/>
  <c r="S450" i="11"/>
  <c r="R450" i="11"/>
  <c r="S449" i="11"/>
  <c r="R449" i="11"/>
  <c r="S448" i="11"/>
  <c r="R448" i="11"/>
  <c r="S447" i="11"/>
  <c r="R447" i="11"/>
  <c r="S446" i="11"/>
  <c r="R446" i="11"/>
  <c r="S445" i="11"/>
  <c r="R445" i="11"/>
  <c r="S444" i="11"/>
  <c r="R444" i="11"/>
  <c r="S443" i="11"/>
  <c r="R443" i="11"/>
  <c r="S442" i="11"/>
  <c r="R442" i="11"/>
  <c r="S441" i="11"/>
  <c r="R441" i="11"/>
  <c r="S440" i="11"/>
  <c r="R440" i="11"/>
  <c r="S439" i="11"/>
  <c r="R439" i="11"/>
  <c r="S438" i="11"/>
  <c r="R438" i="11"/>
  <c r="S437" i="11"/>
  <c r="R437" i="11"/>
  <c r="S436" i="11"/>
  <c r="R436" i="11"/>
  <c r="S435" i="11"/>
  <c r="R435" i="11"/>
  <c r="S434" i="11"/>
  <c r="R434" i="11"/>
  <c r="S433" i="11"/>
  <c r="R433" i="11"/>
  <c r="S432" i="11"/>
  <c r="R432" i="11"/>
  <c r="S431" i="11"/>
  <c r="R431" i="11"/>
  <c r="S430" i="11"/>
  <c r="R430" i="11"/>
  <c r="S429" i="11"/>
  <c r="R429" i="11"/>
  <c r="S428" i="11"/>
  <c r="R428" i="11"/>
  <c r="S427" i="11"/>
  <c r="R427" i="11"/>
  <c r="S426" i="11"/>
  <c r="R426" i="11"/>
  <c r="S425" i="11"/>
  <c r="R425" i="11"/>
  <c r="S424" i="11"/>
  <c r="R424" i="11"/>
  <c r="S423" i="11"/>
  <c r="R423" i="11"/>
  <c r="S422" i="11"/>
  <c r="R422" i="11"/>
  <c r="S421" i="11"/>
  <c r="R421" i="11"/>
  <c r="S420" i="11"/>
  <c r="R420" i="11"/>
  <c r="S419" i="11"/>
  <c r="R419" i="11"/>
  <c r="S418" i="11"/>
  <c r="R418" i="11"/>
  <c r="S417" i="11"/>
  <c r="R417" i="11"/>
  <c r="S416" i="11"/>
  <c r="R416" i="11"/>
  <c r="S415" i="11"/>
  <c r="R415" i="11"/>
  <c r="S414" i="11"/>
  <c r="R414" i="11"/>
  <c r="S413" i="11"/>
  <c r="R413" i="11"/>
  <c r="S412" i="11"/>
  <c r="R412" i="11"/>
  <c r="S411" i="11"/>
  <c r="R411" i="11"/>
  <c r="S410" i="11"/>
  <c r="R410" i="11"/>
  <c r="S409" i="11"/>
  <c r="R409" i="11"/>
  <c r="S408" i="11"/>
  <c r="R408" i="11"/>
  <c r="S407" i="11"/>
  <c r="R407" i="11"/>
  <c r="S406" i="11"/>
  <c r="R406" i="11"/>
  <c r="S405" i="11"/>
  <c r="R405" i="11"/>
  <c r="S404" i="11"/>
  <c r="R404" i="11"/>
  <c r="S403" i="11"/>
  <c r="R403" i="11"/>
  <c r="S402" i="11"/>
  <c r="R402" i="11"/>
  <c r="S401" i="11"/>
  <c r="R401" i="11"/>
  <c r="S400" i="11"/>
  <c r="R400" i="11"/>
  <c r="S399" i="11"/>
  <c r="R399" i="11"/>
  <c r="S398" i="11"/>
  <c r="R398" i="11"/>
  <c r="S397" i="11"/>
  <c r="R397" i="11"/>
  <c r="S396" i="11"/>
  <c r="R396" i="11"/>
  <c r="S395" i="11"/>
  <c r="R395" i="11"/>
  <c r="S394" i="11"/>
  <c r="R394" i="11"/>
  <c r="S393" i="11"/>
  <c r="R393" i="11"/>
  <c r="S392" i="11"/>
  <c r="R392" i="11"/>
  <c r="S391" i="11"/>
  <c r="R391" i="11"/>
  <c r="S390" i="11"/>
  <c r="R390" i="11"/>
  <c r="S389" i="11"/>
  <c r="R389" i="11"/>
  <c r="S388" i="11"/>
  <c r="R388" i="11"/>
  <c r="S387" i="11"/>
  <c r="R387" i="11"/>
  <c r="S386" i="11"/>
  <c r="R386" i="11"/>
  <c r="S385" i="11"/>
  <c r="R385" i="11"/>
  <c r="S384" i="11"/>
  <c r="R384" i="11"/>
  <c r="S383" i="11"/>
  <c r="R383" i="11"/>
  <c r="S382" i="11"/>
  <c r="R382" i="11"/>
  <c r="S381" i="11"/>
  <c r="R381" i="11"/>
  <c r="S380" i="11"/>
  <c r="R380" i="11"/>
  <c r="S379" i="11"/>
  <c r="R379" i="11"/>
  <c r="S378" i="11"/>
  <c r="R378" i="11"/>
  <c r="S377" i="11"/>
  <c r="R377" i="11"/>
  <c r="S376" i="11"/>
  <c r="R376" i="11"/>
  <c r="S375" i="11"/>
  <c r="R375" i="11"/>
  <c r="S374" i="11"/>
  <c r="R374" i="11"/>
  <c r="S373" i="11"/>
  <c r="R373" i="11"/>
  <c r="S372" i="11"/>
  <c r="R372" i="11"/>
  <c r="S371" i="11"/>
  <c r="R371" i="11"/>
  <c r="S370" i="11"/>
  <c r="R370" i="11"/>
  <c r="S369" i="11"/>
  <c r="R369" i="11"/>
  <c r="S368" i="11"/>
  <c r="R368" i="11"/>
  <c r="S367" i="11"/>
  <c r="R367" i="11"/>
  <c r="S366" i="11"/>
  <c r="R366" i="11"/>
  <c r="S365" i="11"/>
  <c r="R365" i="11"/>
  <c r="S364" i="11"/>
  <c r="R364" i="11"/>
  <c r="S363" i="11"/>
  <c r="R363" i="11"/>
  <c r="S362" i="11"/>
  <c r="R362" i="11"/>
  <c r="S361" i="11"/>
  <c r="R361" i="11"/>
  <c r="S360" i="11"/>
  <c r="R360" i="11"/>
  <c r="S359" i="11"/>
  <c r="R359" i="11"/>
  <c r="S358" i="11"/>
  <c r="R358" i="11"/>
  <c r="S357" i="11"/>
  <c r="R357" i="11"/>
  <c r="S356" i="11"/>
  <c r="R356" i="11"/>
  <c r="S355" i="11"/>
  <c r="R355" i="11"/>
  <c r="S354" i="11"/>
  <c r="R354" i="11"/>
  <c r="S353" i="11"/>
  <c r="R353" i="11"/>
  <c r="S352" i="11"/>
  <c r="R352" i="11"/>
  <c r="S351" i="11"/>
  <c r="R351" i="11"/>
  <c r="S350" i="11"/>
  <c r="R350" i="11"/>
  <c r="S349" i="11"/>
  <c r="R349" i="11"/>
  <c r="S348" i="11"/>
  <c r="R348" i="11"/>
  <c r="S347" i="11"/>
  <c r="R347" i="11"/>
  <c r="S346" i="11"/>
  <c r="R346" i="11"/>
  <c r="S345" i="11"/>
  <c r="R345" i="11"/>
  <c r="S344" i="11"/>
  <c r="R344" i="11"/>
  <c r="S343" i="11"/>
  <c r="R343" i="11"/>
  <c r="S342" i="11"/>
  <c r="R342" i="11"/>
  <c r="S341" i="11"/>
  <c r="R341" i="11"/>
  <c r="S340" i="11"/>
  <c r="R340" i="11"/>
  <c r="S339" i="11"/>
  <c r="R339" i="11"/>
  <c r="S338" i="11"/>
  <c r="R338" i="11"/>
  <c r="S337" i="11"/>
  <c r="R337" i="11"/>
  <c r="S336" i="11"/>
  <c r="R336" i="11"/>
  <c r="S335" i="11"/>
  <c r="R335" i="11"/>
  <c r="S334" i="11"/>
  <c r="R334" i="11"/>
  <c r="S333" i="11"/>
  <c r="R333" i="11"/>
  <c r="S332" i="11"/>
  <c r="R332" i="11"/>
  <c r="S331" i="11"/>
  <c r="R331" i="11"/>
  <c r="S330" i="11"/>
  <c r="R330" i="11"/>
  <c r="S329" i="11"/>
  <c r="R329" i="11"/>
  <c r="S328" i="11"/>
  <c r="R328" i="11"/>
  <c r="S327" i="11"/>
  <c r="R327" i="11"/>
  <c r="S326" i="11"/>
  <c r="R326" i="11"/>
  <c r="S325" i="11"/>
  <c r="R325" i="11"/>
  <c r="S324" i="11"/>
  <c r="R324" i="11"/>
  <c r="S323" i="11"/>
  <c r="R323" i="11"/>
  <c r="S322" i="11"/>
  <c r="R322" i="11"/>
  <c r="S321" i="11"/>
  <c r="R321" i="11"/>
  <c r="S320" i="11"/>
  <c r="R320" i="11"/>
  <c r="S319" i="11"/>
  <c r="R319" i="11"/>
  <c r="S318" i="11"/>
  <c r="R318" i="11"/>
  <c r="S317" i="11"/>
  <c r="R317" i="11"/>
  <c r="S316" i="11"/>
  <c r="R316" i="11"/>
  <c r="S315" i="11"/>
  <c r="R315" i="11"/>
  <c r="S314" i="11"/>
  <c r="R314" i="11"/>
  <c r="S313" i="11"/>
  <c r="R313" i="11"/>
  <c r="S312" i="11"/>
  <c r="R312" i="11"/>
  <c r="S311" i="11"/>
  <c r="R311" i="11"/>
  <c r="S310" i="11"/>
  <c r="R310" i="11"/>
  <c r="S309" i="11"/>
  <c r="R309" i="11"/>
  <c r="S308" i="11"/>
  <c r="R308" i="11"/>
  <c r="S307" i="11"/>
  <c r="R307" i="11"/>
  <c r="S306" i="11"/>
  <c r="R306" i="11"/>
  <c r="S305" i="11"/>
  <c r="R305" i="11"/>
  <c r="S304" i="11"/>
  <c r="R304" i="11"/>
  <c r="S303" i="11"/>
  <c r="R303" i="11"/>
  <c r="S302" i="11"/>
  <c r="R302" i="11"/>
  <c r="S301" i="11"/>
  <c r="R301" i="11"/>
  <c r="S300" i="11"/>
  <c r="R300" i="11"/>
  <c r="S299" i="11"/>
  <c r="R299" i="11"/>
  <c r="S298" i="11"/>
  <c r="R298" i="11"/>
  <c r="S297" i="11"/>
  <c r="R297" i="11"/>
  <c r="S296" i="11"/>
  <c r="R296" i="11"/>
  <c r="S295" i="11"/>
  <c r="R295" i="11"/>
  <c r="S294" i="11"/>
  <c r="R294" i="11"/>
  <c r="S293" i="11"/>
  <c r="R293" i="11"/>
  <c r="S292" i="11"/>
  <c r="R292" i="11"/>
  <c r="S291" i="11"/>
  <c r="R291" i="11"/>
  <c r="S290" i="11"/>
  <c r="R290" i="11"/>
  <c r="S289" i="11"/>
  <c r="R289" i="11"/>
  <c r="S288" i="11"/>
  <c r="R288" i="11"/>
  <c r="S287" i="11"/>
  <c r="R287" i="11"/>
  <c r="S286" i="11"/>
  <c r="R286" i="11"/>
  <c r="S285" i="11"/>
  <c r="R285" i="11"/>
  <c r="S284" i="11"/>
  <c r="R284" i="11"/>
  <c r="S283" i="11"/>
  <c r="R283" i="11"/>
  <c r="S282" i="11"/>
  <c r="R282" i="11"/>
  <c r="S281" i="11"/>
  <c r="R281" i="11"/>
  <c r="S280" i="11"/>
  <c r="R280" i="11"/>
  <c r="S279" i="11"/>
  <c r="R279" i="11"/>
  <c r="S278" i="11"/>
  <c r="R278" i="11"/>
  <c r="S277" i="11"/>
  <c r="R277" i="11"/>
  <c r="S276" i="11"/>
  <c r="R276" i="11"/>
  <c r="S275" i="11"/>
  <c r="R275" i="11"/>
  <c r="S274" i="11"/>
  <c r="R274" i="11"/>
  <c r="S273" i="11"/>
  <c r="R273" i="11"/>
  <c r="S272" i="11"/>
  <c r="R272" i="11"/>
  <c r="S271" i="11"/>
  <c r="R271" i="11"/>
  <c r="S270" i="11"/>
  <c r="R270" i="11"/>
  <c r="S269" i="11"/>
  <c r="R269" i="11"/>
  <c r="S268" i="11"/>
  <c r="R268" i="11"/>
  <c r="S267" i="11"/>
  <c r="R267" i="11"/>
  <c r="S266" i="11"/>
  <c r="R266" i="11"/>
  <c r="S265" i="11"/>
  <c r="R265" i="11"/>
  <c r="S264" i="11"/>
  <c r="R264" i="11"/>
  <c r="S263" i="11"/>
  <c r="R263" i="11"/>
  <c r="S262" i="11"/>
  <c r="R262" i="11"/>
  <c r="S261" i="11"/>
  <c r="R261" i="11"/>
  <c r="S260" i="11"/>
  <c r="R260" i="11"/>
  <c r="S259" i="11"/>
  <c r="R259" i="11"/>
  <c r="S258" i="11"/>
  <c r="R258" i="11"/>
  <c r="S257" i="11"/>
  <c r="R257" i="11"/>
  <c r="S256" i="11"/>
  <c r="R256" i="11"/>
  <c r="S255" i="11"/>
  <c r="R255" i="11"/>
  <c r="S254" i="11"/>
  <c r="R254" i="11"/>
  <c r="S253" i="11"/>
  <c r="R253" i="11"/>
  <c r="S252" i="11"/>
  <c r="R252" i="11"/>
  <c r="S251" i="11"/>
  <c r="R251" i="11"/>
  <c r="S250" i="11"/>
  <c r="R250" i="11"/>
  <c r="S249" i="11"/>
  <c r="R249" i="11"/>
  <c r="S248" i="11"/>
  <c r="R248" i="11"/>
  <c r="S247" i="11"/>
  <c r="R247" i="11"/>
  <c r="S246" i="11"/>
  <c r="R246" i="11"/>
  <c r="S245" i="11"/>
  <c r="R245" i="11"/>
  <c r="S244" i="11"/>
  <c r="R244" i="11"/>
  <c r="S243" i="11"/>
  <c r="R243" i="11"/>
  <c r="S242" i="11"/>
  <c r="R242" i="11"/>
  <c r="S241" i="11"/>
  <c r="R241" i="11"/>
  <c r="S240" i="11"/>
  <c r="R240" i="11"/>
  <c r="S239" i="11"/>
  <c r="R239" i="11"/>
  <c r="S238" i="11"/>
  <c r="R238" i="11"/>
  <c r="S237" i="11"/>
  <c r="R237" i="11"/>
  <c r="S236" i="11"/>
  <c r="R236" i="11"/>
  <c r="S235" i="11"/>
  <c r="R235" i="11"/>
  <c r="S234" i="11"/>
  <c r="R234" i="11"/>
  <c r="S233" i="11"/>
  <c r="R233" i="11"/>
  <c r="S232" i="11"/>
  <c r="R232" i="11"/>
  <c r="S231" i="11"/>
  <c r="R231" i="11"/>
  <c r="S230" i="11"/>
  <c r="R230" i="11"/>
  <c r="S229" i="11"/>
  <c r="R229" i="11"/>
  <c r="S228" i="11"/>
  <c r="R228" i="11"/>
  <c r="S227" i="11"/>
  <c r="R227" i="11"/>
  <c r="S226" i="11"/>
  <c r="R226" i="11"/>
  <c r="S225" i="11"/>
  <c r="R225" i="11"/>
  <c r="S224" i="11"/>
  <c r="R224" i="11"/>
  <c r="S223" i="11"/>
  <c r="R223" i="11"/>
  <c r="S222" i="11"/>
  <c r="R222" i="11"/>
  <c r="S221" i="11"/>
  <c r="R221" i="11"/>
  <c r="S220" i="11"/>
  <c r="R220" i="11"/>
  <c r="S219" i="11"/>
  <c r="R219" i="11"/>
  <c r="S218" i="11"/>
  <c r="R218" i="11"/>
  <c r="S217" i="11"/>
  <c r="R217" i="11"/>
  <c r="S216" i="11"/>
  <c r="R216" i="11"/>
  <c r="S215" i="11"/>
  <c r="R215" i="11"/>
  <c r="S214" i="11"/>
  <c r="R214" i="11"/>
  <c r="S213" i="11"/>
  <c r="R213" i="11"/>
  <c r="S212" i="11"/>
  <c r="R212" i="11"/>
  <c r="S211" i="11"/>
  <c r="R211" i="11"/>
  <c r="S210" i="11"/>
  <c r="R210" i="11"/>
  <c r="S209" i="11"/>
  <c r="R209" i="11"/>
  <c r="S208" i="11"/>
  <c r="R208" i="11"/>
  <c r="S207" i="11"/>
  <c r="R207" i="11"/>
  <c r="S206" i="11"/>
  <c r="R206" i="11"/>
  <c r="S205" i="11"/>
  <c r="R205" i="11"/>
  <c r="S204" i="11"/>
  <c r="R204" i="11"/>
  <c r="S203" i="11"/>
  <c r="R203" i="11"/>
  <c r="S202" i="11"/>
  <c r="R202" i="11"/>
  <c r="S201" i="11"/>
  <c r="R201" i="11"/>
  <c r="S200" i="11"/>
  <c r="R200" i="11"/>
  <c r="S199" i="11"/>
  <c r="R199" i="11"/>
  <c r="S198" i="11"/>
  <c r="R198" i="11"/>
  <c r="S197" i="11"/>
  <c r="R197" i="11"/>
  <c r="S196" i="11"/>
  <c r="R196" i="11"/>
  <c r="S195" i="11"/>
  <c r="R195" i="11"/>
  <c r="S194" i="11"/>
  <c r="R194" i="11"/>
  <c r="S193" i="11"/>
  <c r="R193" i="11"/>
  <c r="S192" i="11"/>
  <c r="R192" i="11"/>
  <c r="S191" i="11"/>
  <c r="R191" i="11"/>
  <c r="S190" i="11"/>
  <c r="R190" i="11"/>
  <c r="S189" i="11"/>
  <c r="R189" i="11"/>
  <c r="S188" i="11"/>
  <c r="R188" i="11"/>
  <c r="S187" i="11"/>
  <c r="R187" i="11"/>
  <c r="S186" i="11"/>
  <c r="R186" i="11"/>
  <c r="S185" i="11"/>
  <c r="R185" i="11"/>
  <c r="S184" i="11"/>
  <c r="R184" i="11"/>
  <c r="S183" i="11"/>
  <c r="R183" i="11"/>
  <c r="S182" i="11"/>
  <c r="R182" i="11"/>
  <c r="S181" i="11"/>
  <c r="R181" i="11"/>
  <c r="S180" i="11"/>
  <c r="R180" i="11"/>
  <c r="S179" i="11"/>
  <c r="R179" i="11"/>
  <c r="S178" i="11"/>
  <c r="R178" i="11"/>
  <c r="S177" i="11"/>
  <c r="R177" i="11"/>
  <c r="S176" i="11"/>
  <c r="R176" i="11"/>
  <c r="S175" i="11"/>
  <c r="R175" i="11"/>
  <c r="S174" i="11"/>
  <c r="R174" i="11"/>
  <c r="S173" i="11"/>
  <c r="R173" i="11"/>
  <c r="S172" i="11"/>
  <c r="R172" i="11"/>
  <c r="S171" i="11"/>
  <c r="R171" i="11"/>
  <c r="S170" i="11"/>
  <c r="R170" i="11"/>
  <c r="S169" i="11"/>
  <c r="R169" i="11"/>
  <c r="S168" i="11"/>
  <c r="R168" i="11"/>
  <c r="S167" i="11"/>
  <c r="R167" i="11"/>
  <c r="S166" i="11"/>
  <c r="R166" i="11"/>
  <c r="S165" i="11"/>
  <c r="R165" i="11"/>
  <c r="S164" i="11"/>
  <c r="R164" i="11"/>
  <c r="S163" i="11"/>
  <c r="R163" i="11"/>
  <c r="S162" i="11"/>
  <c r="R162" i="11"/>
  <c r="S161" i="11"/>
  <c r="R161" i="11"/>
  <c r="S160" i="11"/>
  <c r="R160" i="11"/>
  <c r="S159" i="11"/>
  <c r="R159" i="11"/>
  <c r="S158" i="11"/>
  <c r="R158" i="11"/>
  <c r="S157" i="11"/>
  <c r="R157" i="11"/>
  <c r="S156" i="11"/>
  <c r="R156" i="11"/>
  <c r="S155" i="11"/>
  <c r="R155" i="11"/>
  <c r="S154" i="11"/>
  <c r="R154" i="11"/>
  <c r="S153" i="11"/>
  <c r="R153" i="11"/>
  <c r="S152" i="11"/>
  <c r="R152" i="11"/>
  <c r="S151" i="11"/>
  <c r="R151" i="11"/>
  <c r="S150" i="11"/>
  <c r="R150" i="11"/>
  <c r="S149" i="11"/>
  <c r="R149" i="11"/>
  <c r="S148" i="11"/>
  <c r="R148" i="11"/>
  <c r="S147" i="11"/>
  <c r="R147" i="11"/>
  <c r="S146" i="11"/>
  <c r="R146" i="11"/>
  <c r="S145" i="11"/>
  <c r="R145" i="11"/>
  <c r="S144" i="11"/>
  <c r="R144" i="11"/>
  <c r="S143" i="11"/>
  <c r="R143" i="11"/>
  <c r="S142" i="11"/>
  <c r="R142" i="11"/>
  <c r="S141" i="11"/>
  <c r="R141" i="11"/>
  <c r="S140" i="11"/>
  <c r="R140" i="11"/>
  <c r="S139" i="11"/>
  <c r="R139" i="11"/>
  <c r="S138" i="11"/>
  <c r="R138" i="11"/>
  <c r="S137" i="11"/>
  <c r="R137" i="11"/>
  <c r="S136" i="11"/>
  <c r="R136" i="11"/>
  <c r="S135" i="11"/>
  <c r="R135" i="11"/>
  <c r="S134" i="11"/>
  <c r="R134" i="11"/>
  <c r="S133" i="11"/>
  <c r="R133" i="11"/>
  <c r="S132" i="11"/>
  <c r="R132" i="11"/>
  <c r="S131" i="11"/>
  <c r="R131" i="11"/>
  <c r="S130" i="11"/>
  <c r="R130" i="11"/>
  <c r="S129" i="11"/>
  <c r="R129" i="11"/>
  <c r="S128" i="11"/>
  <c r="R128" i="11"/>
  <c r="S127" i="11"/>
  <c r="R127" i="11"/>
  <c r="S126" i="11"/>
  <c r="R126" i="11"/>
  <c r="S125" i="11"/>
  <c r="R125" i="11"/>
  <c r="S124" i="11"/>
  <c r="R124" i="11"/>
  <c r="S123" i="11"/>
  <c r="R123" i="11"/>
  <c r="S122" i="11"/>
  <c r="R122" i="11"/>
  <c r="S121" i="11"/>
  <c r="R121" i="11"/>
  <c r="S120" i="11"/>
  <c r="R120" i="11"/>
  <c r="S119" i="11"/>
  <c r="R119" i="11"/>
  <c r="S118" i="11"/>
  <c r="R118" i="11"/>
  <c r="S117" i="11"/>
  <c r="R117" i="11"/>
  <c r="S116" i="11"/>
  <c r="R116" i="11"/>
  <c r="S115" i="11"/>
  <c r="R115" i="11"/>
  <c r="S114" i="11"/>
  <c r="R114" i="11"/>
  <c r="S113" i="11"/>
  <c r="R113" i="11"/>
  <c r="S112" i="11"/>
  <c r="R112" i="11"/>
  <c r="S111" i="11"/>
  <c r="R111" i="11"/>
  <c r="S110" i="11"/>
  <c r="R110" i="11"/>
  <c r="S109" i="11"/>
  <c r="R109" i="11"/>
  <c r="S108" i="11"/>
  <c r="R108" i="11"/>
  <c r="S107" i="11"/>
  <c r="R107" i="11"/>
  <c r="S106" i="11"/>
  <c r="R106" i="11"/>
  <c r="S105" i="11"/>
  <c r="R105" i="11"/>
  <c r="S104" i="11"/>
  <c r="R104" i="11"/>
  <c r="S103" i="11"/>
  <c r="R103" i="11"/>
  <c r="S102" i="11"/>
  <c r="R102" i="11"/>
  <c r="S101" i="11"/>
  <c r="R101" i="11"/>
  <c r="S100" i="11"/>
  <c r="R100" i="11"/>
  <c r="S99" i="11"/>
  <c r="R99" i="11"/>
  <c r="S98" i="11"/>
  <c r="R98" i="11"/>
  <c r="S97" i="11"/>
  <c r="R97" i="11"/>
  <c r="S96" i="11"/>
  <c r="R96" i="11"/>
  <c r="S95" i="11"/>
  <c r="R95" i="11"/>
  <c r="S94" i="11"/>
  <c r="R94" i="11"/>
  <c r="S93" i="11"/>
  <c r="R93" i="11"/>
  <c r="S92" i="11"/>
  <c r="R92" i="11"/>
  <c r="S91" i="11"/>
  <c r="R91" i="11"/>
  <c r="S90" i="11"/>
  <c r="R90" i="11"/>
  <c r="S89" i="11"/>
  <c r="R89" i="11"/>
  <c r="S88" i="11"/>
  <c r="R88" i="11"/>
  <c r="S87" i="11"/>
  <c r="R87" i="11"/>
  <c r="S86" i="11"/>
  <c r="R86" i="11"/>
  <c r="S85" i="11"/>
  <c r="R85" i="11"/>
  <c r="S84" i="11"/>
  <c r="R84" i="11"/>
  <c r="S83" i="11"/>
  <c r="R83" i="11"/>
  <c r="S82" i="11"/>
  <c r="R82" i="11"/>
  <c r="S81" i="11"/>
  <c r="R81" i="11"/>
  <c r="S80" i="11"/>
  <c r="R80" i="11"/>
  <c r="S79" i="11"/>
  <c r="R79" i="11"/>
  <c r="S78" i="11"/>
  <c r="R78" i="11"/>
  <c r="S77" i="11"/>
  <c r="R77" i="11"/>
  <c r="S76" i="11"/>
  <c r="R76" i="11"/>
  <c r="S75" i="11"/>
  <c r="R75" i="11"/>
  <c r="S74" i="11"/>
  <c r="R74" i="11"/>
  <c r="S73" i="11"/>
  <c r="R73" i="11"/>
  <c r="S72" i="11"/>
  <c r="R72" i="11"/>
  <c r="S71" i="11"/>
  <c r="R71" i="11"/>
  <c r="S70" i="11"/>
  <c r="R70" i="11"/>
  <c r="S69" i="11"/>
  <c r="R69" i="11"/>
  <c r="S68" i="11"/>
  <c r="R68" i="11"/>
  <c r="S67" i="11"/>
  <c r="R67" i="11"/>
  <c r="S66" i="11"/>
  <c r="R66" i="11"/>
  <c r="S65" i="11"/>
  <c r="R65" i="11"/>
  <c r="S64" i="11"/>
  <c r="R64" i="11"/>
  <c r="S63" i="11"/>
  <c r="R63" i="11"/>
  <c r="S62" i="11"/>
  <c r="R62" i="11"/>
  <c r="S61" i="11"/>
  <c r="R61" i="11"/>
  <c r="S60" i="11"/>
  <c r="R60" i="11"/>
  <c r="S59" i="11"/>
  <c r="R59" i="11"/>
  <c r="S58" i="11"/>
  <c r="R58" i="11"/>
  <c r="S57" i="11"/>
  <c r="R57" i="11"/>
  <c r="S56" i="11"/>
  <c r="R56" i="11"/>
  <c r="S55" i="11"/>
  <c r="R55" i="11"/>
  <c r="S54" i="11"/>
  <c r="R54" i="11"/>
  <c r="S53" i="11"/>
  <c r="R53" i="11"/>
  <c r="S52" i="11"/>
  <c r="R52" i="11"/>
  <c r="S51" i="11"/>
  <c r="R51" i="11"/>
  <c r="S50" i="11"/>
  <c r="R50" i="11"/>
  <c r="S49" i="11"/>
  <c r="R49" i="11"/>
  <c r="S48" i="11"/>
  <c r="R48" i="11"/>
  <c r="S47" i="11"/>
  <c r="R47" i="11"/>
  <c r="S46" i="11"/>
  <c r="R46" i="11"/>
  <c r="S45" i="11"/>
  <c r="R45" i="11"/>
  <c r="S44" i="11"/>
  <c r="R44" i="11"/>
  <c r="S43" i="11"/>
  <c r="R43" i="11"/>
  <c r="S42" i="11"/>
  <c r="R42" i="11"/>
  <c r="S41" i="11"/>
  <c r="R41" i="11"/>
  <c r="S40" i="11"/>
  <c r="R40" i="11"/>
  <c r="S39" i="11"/>
  <c r="R39" i="11"/>
  <c r="S38" i="11"/>
  <c r="R38" i="11"/>
  <c r="S37" i="11"/>
  <c r="R37" i="11"/>
  <c r="S36" i="11"/>
  <c r="R36" i="11"/>
  <c r="S35" i="11"/>
  <c r="R35" i="11"/>
  <c r="S34" i="11"/>
  <c r="R34" i="11"/>
  <c r="S33" i="11"/>
  <c r="R33" i="11"/>
  <c r="S32" i="11"/>
  <c r="R32" i="11"/>
  <c r="S31" i="11"/>
  <c r="R31" i="11"/>
  <c r="S30" i="11"/>
  <c r="R30" i="11"/>
  <c r="S29" i="11"/>
  <c r="R29" i="11"/>
  <c r="S28" i="11"/>
  <c r="R28" i="11"/>
  <c r="S27" i="11"/>
  <c r="R27" i="11"/>
  <c r="S26" i="11"/>
  <c r="R26" i="11"/>
  <c r="S25" i="11"/>
  <c r="R25" i="11"/>
  <c r="S24" i="11"/>
  <c r="R24" i="11"/>
  <c r="S23" i="11"/>
  <c r="R23" i="11"/>
  <c r="S22" i="11"/>
  <c r="R22" i="11"/>
  <c r="S21" i="11"/>
  <c r="R21" i="11"/>
  <c r="S20" i="11"/>
  <c r="R20" i="11"/>
  <c r="S19" i="11"/>
  <c r="R19" i="11"/>
  <c r="S18" i="11"/>
  <c r="R18" i="11"/>
  <c r="S17" i="11"/>
  <c r="R17" i="11"/>
  <c r="S16" i="11"/>
  <c r="R16" i="11"/>
  <c r="S15" i="11"/>
  <c r="R15" i="11"/>
  <c r="S14" i="11"/>
  <c r="R14" i="11"/>
  <c r="S13" i="11"/>
  <c r="R13" i="11"/>
  <c r="S12" i="11"/>
  <c r="R12" i="11"/>
  <c r="S11" i="11"/>
  <c r="R11" i="11"/>
  <c r="S10" i="11"/>
  <c r="R10" i="11"/>
  <c r="S9" i="11"/>
  <c r="R9" i="11"/>
  <c r="S8" i="11"/>
  <c r="R8" i="11"/>
  <c r="S7" i="11"/>
  <c r="R7" i="11"/>
  <c r="S6" i="11"/>
  <c r="R6" i="11"/>
  <c r="S5" i="11"/>
  <c r="R5" i="11"/>
  <c r="S4" i="11"/>
  <c r="R4" i="11"/>
  <c r="S3" i="11"/>
  <c r="R3" i="11"/>
  <c r="R2" i="11"/>
  <c r="S2" i="11"/>
  <c r="C669" i="11"/>
  <c r="C668" i="11"/>
  <c r="C667" i="11"/>
  <c r="C666" i="11"/>
  <c r="C665" i="11"/>
  <c r="C664" i="11"/>
  <c r="C663" i="11"/>
  <c r="C662" i="11"/>
  <c r="C661" i="11"/>
  <c r="C660" i="11"/>
  <c r="C659" i="11"/>
  <c r="C658" i="11"/>
  <c r="C657" i="11"/>
  <c r="C656" i="11"/>
  <c r="C655" i="11"/>
  <c r="C654" i="11"/>
  <c r="C653" i="11"/>
  <c r="C652" i="11"/>
  <c r="C651" i="11"/>
  <c r="C650" i="11"/>
  <c r="C649" i="11"/>
  <c r="C648" i="11"/>
  <c r="C647" i="11"/>
  <c r="C646" i="11"/>
  <c r="C645" i="11"/>
  <c r="C644" i="11"/>
  <c r="C643" i="11"/>
  <c r="C642" i="11"/>
  <c r="C641" i="11"/>
  <c r="C640" i="11"/>
  <c r="C639" i="11"/>
  <c r="C638" i="11"/>
  <c r="C637" i="11"/>
  <c r="C636" i="11"/>
  <c r="C635" i="11"/>
  <c r="C634" i="11"/>
  <c r="C633" i="11"/>
  <c r="C632" i="11"/>
  <c r="C631" i="11"/>
  <c r="C630" i="11"/>
  <c r="C629" i="11"/>
  <c r="C628" i="11"/>
  <c r="C627" i="11"/>
  <c r="C626" i="11"/>
  <c r="C625" i="11"/>
  <c r="C624" i="11"/>
  <c r="C623" i="11"/>
  <c r="C622" i="11"/>
  <c r="C621" i="11"/>
  <c r="C620" i="11"/>
  <c r="C619" i="11"/>
  <c r="C618" i="11"/>
  <c r="C617" i="11"/>
  <c r="C616" i="11"/>
  <c r="C615" i="11"/>
  <c r="C614" i="11"/>
  <c r="C613" i="11"/>
  <c r="C612" i="11"/>
  <c r="C611" i="11"/>
  <c r="C610" i="11"/>
  <c r="C609" i="11"/>
  <c r="C608" i="11"/>
  <c r="C607" i="11"/>
  <c r="C606" i="11"/>
  <c r="C605" i="11"/>
  <c r="C604" i="11"/>
  <c r="C603" i="11"/>
  <c r="C602" i="11"/>
  <c r="C601" i="11"/>
  <c r="C600" i="11"/>
  <c r="C599" i="11"/>
  <c r="C598" i="11"/>
  <c r="C597" i="11"/>
  <c r="C596" i="11"/>
  <c r="C595" i="11"/>
  <c r="C594" i="11"/>
  <c r="C593" i="11"/>
  <c r="C592" i="11"/>
  <c r="C591" i="11"/>
  <c r="C590" i="11"/>
  <c r="C589" i="11"/>
  <c r="C588" i="11"/>
  <c r="C587" i="11"/>
  <c r="C586" i="11"/>
  <c r="C585" i="11"/>
  <c r="C584" i="11"/>
  <c r="C583" i="11"/>
  <c r="C582" i="11"/>
  <c r="C581" i="11"/>
  <c r="C580" i="11"/>
  <c r="C579" i="11"/>
  <c r="C578" i="11"/>
  <c r="C577" i="11"/>
  <c r="C576" i="11"/>
  <c r="C575" i="11"/>
  <c r="C574" i="11"/>
  <c r="C573" i="11"/>
  <c r="C572" i="11"/>
  <c r="C571" i="11"/>
  <c r="C570" i="11"/>
  <c r="C569" i="11"/>
  <c r="C568" i="11"/>
  <c r="C567" i="11"/>
  <c r="C566" i="11"/>
  <c r="C565" i="11"/>
  <c r="C564" i="11"/>
  <c r="C563" i="11"/>
  <c r="C562" i="11"/>
  <c r="C561" i="11"/>
  <c r="C560" i="11"/>
  <c r="C559" i="11"/>
  <c r="C558" i="11"/>
  <c r="C557" i="11"/>
  <c r="C556" i="11"/>
  <c r="C555" i="11"/>
  <c r="C554" i="11"/>
  <c r="C553" i="11"/>
  <c r="C552" i="11"/>
  <c r="C551" i="11"/>
  <c r="C550" i="11"/>
  <c r="C549" i="11"/>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2" i="11"/>
  <c r="E671" i="11"/>
  <c r="E670" i="11"/>
  <c r="E669" i="11"/>
  <c r="E668" i="11"/>
  <c r="E667" i="11"/>
  <c r="E666" i="11"/>
  <c r="E665" i="11"/>
  <c r="E664" i="11"/>
  <c r="E663" i="11"/>
  <c r="E662" i="11"/>
  <c r="E661" i="11"/>
  <c r="E660" i="11"/>
  <c r="E659" i="11"/>
  <c r="E658" i="11"/>
  <c r="E657" i="11"/>
  <c r="E656" i="11"/>
  <c r="E655" i="11"/>
  <c r="E654" i="11"/>
  <c r="E653" i="11"/>
  <c r="E652" i="11"/>
  <c r="E651" i="11"/>
  <c r="E650" i="11"/>
  <c r="E649" i="11"/>
  <c r="E648" i="11"/>
  <c r="E647" i="11"/>
  <c r="E646" i="11"/>
  <c r="E645" i="11"/>
  <c r="E644" i="11"/>
  <c r="E643" i="11"/>
  <c r="E642" i="11"/>
  <c r="E641" i="11"/>
  <c r="E640" i="11"/>
  <c r="E639" i="11"/>
  <c r="E638" i="11"/>
  <c r="E637" i="11"/>
  <c r="E636" i="11"/>
  <c r="E635" i="11"/>
  <c r="E634" i="11"/>
  <c r="E633" i="11"/>
  <c r="E632" i="11"/>
  <c r="E631" i="11"/>
  <c r="E630" i="11"/>
  <c r="E629" i="11"/>
  <c r="E628" i="11"/>
  <c r="E627" i="11"/>
  <c r="E626" i="11"/>
  <c r="E625" i="11"/>
  <c r="E624" i="11"/>
  <c r="E623" i="11"/>
  <c r="E622" i="11"/>
  <c r="E621" i="11"/>
  <c r="E620" i="11"/>
  <c r="E619" i="11"/>
  <c r="E618" i="11"/>
  <c r="E617" i="11"/>
  <c r="E616" i="11"/>
  <c r="E615" i="11"/>
  <c r="E614" i="11"/>
  <c r="E613" i="11"/>
  <c r="E612" i="11"/>
  <c r="E611" i="11"/>
  <c r="E610" i="11"/>
  <c r="E609" i="11"/>
  <c r="E608" i="11"/>
  <c r="E607" i="11"/>
  <c r="E606" i="11"/>
  <c r="E605" i="11"/>
  <c r="E604" i="11"/>
  <c r="E603" i="11"/>
  <c r="E602" i="11"/>
  <c r="E601" i="11"/>
  <c r="E600" i="11"/>
  <c r="E599" i="11"/>
  <c r="E598" i="11"/>
  <c r="E597" i="11"/>
  <c r="E596" i="11"/>
  <c r="E595" i="11"/>
  <c r="E594" i="11"/>
  <c r="E593" i="11"/>
  <c r="E592" i="11"/>
  <c r="E591" i="11"/>
  <c r="E590" i="11"/>
  <c r="E589" i="11"/>
  <c r="E588" i="11"/>
  <c r="E587" i="11"/>
  <c r="E586" i="11"/>
  <c r="E585" i="11"/>
  <c r="E584" i="11"/>
  <c r="E583" i="11"/>
  <c r="E582" i="11"/>
  <c r="E581" i="11"/>
  <c r="E580" i="11"/>
  <c r="E579" i="11"/>
  <c r="E578" i="11"/>
  <c r="E577" i="11"/>
  <c r="E576" i="11"/>
  <c r="E575" i="11"/>
  <c r="E574" i="11"/>
  <c r="E573" i="11"/>
  <c r="E572" i="11"/>
  <c r="E571" i="11"/>
  <c r="E570" i="11"/>
  <c r="E569" i="11"/>
  <c r="E568" i="11"/>
  <c r="E567" i="11"/>
  <c r="E566" i="11"/>
  <c r="E565" i="11"/>
  <c r="E564" i="11"/>
  <c r="E563" i="11"/>
  <c r="E562" i="11"/>
  <c r="E561" i="11"/>
  <c r="E560" i="11"/>
  <c r="E559" i="11"/>
  <c r="E558" i="11"/>
  <c r="E557" i="11"/>
  <c r="E556" i="11"/>
  <c r="E555" i="11"/>
  <c r="E554" i="11"/>
  <c r="E553" i="11"/>
  <c r="E552" i="11"/>
  <c r="E551" i="11"/>
  <c r="E550" i="11"/>
  <c r="E549" i="11"/>
  <c r="E548" i="11"/>
  <c r="E547" i="11"/>
  <c r="E546" i="11"/>
  <c r="E545" i="11"/>
  <c r="E544" i="11"/>
  <c r="E543" i="11"/>
  <c r="E542" i="11"/>
  <c r="E541" i="11"/>
  <c r="E540" i="11"/>
  <c r="E539" i="11"/>
  <c r="E538" i="11"/>
  <c r="E537" i="11"/>
  <c r="E536" i="11"/>
  <c r="E535" i="11"/>
  <c r="E534" i="11"/>
  <c r="E533" i="11"/>
  <c r="E532" i="11"/>
  <c r="E531" i="11"/>
  <c r="E530" i="11"/>
  <c r="E529" i="11"/>
  <c r="E528" i="11"/>
  <c r="E527" i="11"/>
  <c r="E526" i="11"/>
  <c r="E525" i="11"/>
  <c r="E524" i="11"/>
  <c r="E523" i="11"/>
  <c r="E522" i="11"/>
  <c r="E521" i="11"/>
  <c r="E520" i="11"/>
  <c r="E519" i="11"/>
  <c r="E518" i="11"/>
  <c r="E517" i="11"/>
  <c r="E516" i="11"/>
  <c r="E515" i="11"/>
  <c r="E514" i="11"/>
  <c r="E513" i="11"/>
  <c r="E512" i="11"/>
  <c r="E511" i="11"/>
  <c r="E510" i="11"/>
  <c r="E509" i="11"/>
  <c r="E508" i="11"/>
  <c r="E507" i="11"/>
  <c r="E506" i="11"/>
  <c r="E505" i="11"/>
  <c r="E504" i="11"/>
  <c r="E503" i="11"/>
  <c r="E502" i="11"/>
  <c r="E501" i="11"/>
  <c r="E500" i="11"/>
  <c r="E499" i="11"/>
  <c r="E498" i="11"/>
  <c r="E497" i="11"/>
  <c r="E496" i="11"/>
  <c r="E495" i="11"/>
  <c r="E494" i="11"/>
  <c r="E493" i="11"/>
  <c r="E492" i="11"/>
  <c r="E491" i="11"/>
  <c r="E490" i="11"/>
  <c r="E489" i="11"/>
  <c r="E488" i="11"/>
  <c r="E487" i="11"/>
  <c r="E486" i="11"/>
  <c r="E485" i="11"/>
  <c r="E484" i="11"/>
  <c r="E483" i="11"/>
  <c r="E482" i="11"/>
  <c r="E481" i="11"/>
  <c r="E480" i="11"/>
  <c r="E479" i="11"/>
  <c r="E478" i="11"/>
  <c r="E477" i="11"/>
  <c r="E476" i="11"/>
  <c r="E475" i="11"/>
  <c r="E474" i="11"/>
  <c r="E473" i="11"/>
  <c r="E472" i="11"/>
  <c r="E471" i="11"/>
  <c r="E470" i="11"/>
  <c r="E469" i="11"/>
  <c r="E468" i="11"/>
  <c r="E467" i="11"/>
  <c r="E466" i="11"/>
  <c r="E465" i="11"/>
  <c r="E464" i="11"/>
  <c r="E463" i="11"/>
  <c r="E462" i="11"/>
  <c r="E461" i="11"/>
  <c r="E460" i="11"/>
  <c r="E459" i="11"/>
  <c r="E458" i="11"/>
  <c r="E457" i="11"/>
  <c r="E456" i="11"/>
  <c r="E455" i="11"/>
  <c r="E454" i="11"/>
  <c r="E453" i="11"/>
  <c r="E452" i="11"/>
  <c r="E451" i="11"/>
  <c r="E450" i="11"/>
  <c r="E449" i="11"/>
  <c r="E448" i="11"/>
  <c r="E447" i="11"/>
  <c r="E446" i="11"/>
  <c r="E445" i="11"/>
  <c r="E444" i="11"/>
  <c r="E443" i="11"/>
  <c r="E442" i="11"/>
  <c r="E441" i="11"/>
  <c r="E440" i="11"/>
  <c r="E439" i="11"/>
  <c r="E438" i="11"/>
  <c r="E437" i="11"/>
  <c r="E436" i="11"/>
  <c r="E435" i="11"/>
  <c r="E434" i="11"/>
  <c r="E433" i="11"/>
  <c r="E432" i="11"/>
  <c r="E431" i="11"/>
  <c r="E430" i="11"/>
  <c r="E429" i="11"/>
  <c r="E428" i="11"/>
  <c r="E427" i="11"/>
  <c r="E426" i="11"/>
  <c r="E425" i="11"/>
  <c r="E424" i="11"/>
  <c r="E423" i="11"/>
  <c r="E422" i="11"/>
  <c r="E421" i="11"/>
  <c r="E420" i="11"/>
  <c r="E419" i="11"/>
  <c r="E418" i="11"/>
  <c r="E417" i="11"/>
  <c r="E416" i="11"/>
  <c r="E415" i="11"/>
  <c r="E414" i="11"/>
  <c r="E413" i="11"/>
  <c r="E412" i="11"/>
  <c r="E411" i="11"/>
  <c r="E410" i="11"/>
  <c r="E409" i="11"/>
  <c r="E408" i="11"/>
  <c r="E407" i="11"/>
  <c r="E406" i="11"/>
  <c r="E405" i="11"/>
  <c r="E404" i="11"/>
  <c r="E403" i="11"/>
  <c r="E402" i="11"/>
  <c r="E401" i="11"/>
  <c r="E400" i="11"/>
  <c r="E399" i="11"/>
  <c r="E398" i="11"/>
  <c r="E397" i="11"/>
  <c r="E396" i="11"/>
  <c r="E395" i="11"/>
  <c r="E394" i="11"/>
  <c r="E393" i="11"/>
  <c r="E392" i="11"/>
  <c r="E391" i="11"/>
  <c r="E390" i="11"/>
  <c r="E389" i="11"/>
  <c r="E388" i="11"/>
  <c r="E387" i="11"/>
  <c r="E386" i="11"/>
  <c r="E385" i="11"/>
  <c r="E384" i="11"/>
  <c r="E383" i="11"/>
  <c r="E382" i="11"/>
  <c r="E381" i="11"/>
  <c r="E380" i="11"/>
  <c r="E379" i="11"/>
  <c r="E378" i="11"/>
  <c r="E377" i="11"/>
  <c r="E376" i="11"/>
  <c r="E375" i="11"/>
  <c r="E374" i="11"/>
  <c r="E373" i="11"/>
  <c r="E372" i="11"/>
  <c r="E371" i="11"/>
  <c r="E370" i="11"/>
  <c r="E369" i="11"/>
  <c r="E368" i="11"/>
  <c r="E367" i="11"/>
  <c r="E366" i="11"/>
  <c r="E365" i="11"/>
  <c r="E364" i="11"/>
  <c r="E363" i="11"/>
  <c r="E362" i="11"/>
  <c r="E361" i="11"/>
  <c r="E360" i="11"/>
  <c r="E359" i="11"/>
  <c r="E358" i="11"/>
  <c r="E357" i="11"/>
  <c r="E356" i="11"/>
  <c r="E355" i="11"/>
  <c r="E354" i="11"/>
  <c r="E353" i="11"/>
  <c r="E352" i="11"/>
  <c r="E351" i="11"/>
  <c r="E350" i="11"/>
  <c r="E349" i="11"/>
  <c r="E348" i="11"/>
  <c r="E347" i="11"/>
  <c r="E346" i="11"/>
  <c r="E345" i="11"/>
  <c r="E344" i="11"/>
  <c r="E343" i="11"/>
  <c r="E342" i="11"/>
  <c r="E341" i="11"/>
  <c r="E340" i="11"/>
  <c r="E339" i="11"/>
  <c r="E338" i="11"/>
  <c r="E337" i="11"/>
  <c r="E336" i="11"/>
  <c r="E335" i="11"/>
  <c r="E334" i="11"/>
  <c r="E333" i="11"/>
  <c r="E332" i="11"/>
  <c r="E331" i="11"/>
  <c r="E330" i="11"/>
  <c r="E329" i="11"/>
  <c r="E328" i="11"/>
  <c r="E327" i="11"/>
  <c r="E326" i="11"/>
  <c r="E325" i="11"/>
  <c r="E324" i="11"/>
  <c r="E323" i="11"/>
  <c r="E322" i="11"/>
  <c r="E321" i="11"/>
  <c r="E320" i="11"/>
  <c r="E319" i="11"/>
  <c r="E318" i="11"/>
  <c r="E317" i="11"/>
  <c r="E316" i="11"/>
  <c r="E315" i="11"/>
  <c r="E314" i="11"/>
  <c r="E313" i="11"/>
  <c r="E312" i="11"/>
  <c r="E311" i="11"/>
  <c r="E310" i="11"/>
  <c r="E309" i="11"/>
  <c r="E308" i="11"/>
  <c r="E307" i="11"/>
  <c r="E306" i="11"/>
  <c r="E305" i="11"/>
  <c r="E304" i="11"/>
  <c r="E303" i="11"/>
  <c r="E302" i="11"/>
  <c r="E301" i="11"/>
  <c r="E300" i="11"/>
  <c r="E299" i="11"/>
  <c r="E298" i="11"/>
  <c r="E297" i="11"/>
  <c r="E296" i="11"/>
  <c r="E295" i="11"/>
  <c r="E294" i="11"/>
  <c r="E293" i="11"/>
  <c r="E292" i="11"/>
  <c r="E291" i="11"/>
  <c r="E289" i="11"/>
  <c r="E288" i="11"/>
  <c r="E287" i="11"/>
  <c r="E286" i="11"/>
  <c r="E285" i="11"/>
  <c r="E284" i="11"/>
  <c r="E283" i="11"/>
  <c r="E282" i="11"/>
  <c r="E281" i="11"/>
  <c r="E280" i="11"/>
  <c r="E279" i="11"/>
  <c r="E278" i="11"/>
  <c r="E277" i="11"/>
  <c r="E276" i="11"/>
  <c r="E275" i="11"/>
  <c r="E274" i="11"/>
  <c r="E273" i="11"/>
  <c r="E272" i="11"/>
  <c r="E271" i="11"/>
  <c r="E270" i="11"/>
  <c r="E269" i="11"/>
  <c r="E268" i="11"/>
  <c r="E267" i="11"/>
  <c r="E266" i="11"/>
  <c r="E265" i="11"/>
  <c r="E264" i="11"/>
  <c r="E263" i="11"/>
  <c r="E262" i="11"/>
  <c r="E261" i="11"/>
  <c r="E260" i="11"/>
  <c r="E259" i="11"/>
  <c r="E258" i="11"/>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E673" i="11"/>
  <c r="C673" i="11"/>
  <c r="C671" i="11"/>
  <c r="C670" i="11"/>
  <c r="P587" i="5"/>
  <c r="O587" i="5"/>
  <c r="N587" i="5" a="1"/>
  <c r="N587" i="5" s="1"/>
  <c r="M587" i="5" a="1"/>
  <c r="M587" i="5" s="1"/>
  <c r="P586" i="5"/>
  <c r="O586" i="5"/>
  <c r="N586" i="5" a="1"/>
  <c r="N586" i="5" s="1"/>
  <c r="M586" i="5" a="1"/>
  <c r="M586" i="5" s="1"/>
  <c r="T453" i="11" l="1"/>
  <c r="T461" i="11"/>
  <c r="T469" i="11"/>
  <c r="T477" i="11"/>
  <c r="T481" i="11"/>
  <c r="T485" i="11"/>
  <c r="T489" i="11"/>
  <c r="T493" i="11"/>
  <c r="T501" i="11"/>
  <c r="T5" i="11"/>
  <c r="T9" i="11"/>
  <c r="T13" i="11"/>
  <c r="T17" i="11"/>
  <c r="T21" i="11"/>
  <c r="T25" i="11"/>
  <c r="T29" i="11"/>
  <c r="T33" i="11"/>
  <c r="T37" i="11"/>
  <c r="T41" i="11"/>
  <c r="T45" i="11"/>
  <c r="T49" i="11"/>
  <c r="T53" i="11"/>
  <c r="T57" i="11"/>
  <c r="T61" i="11"/>
  <c r="T65" i="11"/>
  <c r="T69" i="11"/>
  <c r="T73" i="11"/>
  <c r="T77" i="11"/>
  <c r="T81" i="11"/>
  <c r="T85" i="11"/>
  <c r="T89" i="11"/>
  <c r="T93" i="11"/>
  <c r="T97" i="11"/>
  <c r="T101" i="11"/>
  <c r="T105" i="11"/>
  <c r="T109" i="11"/>
  <c r="T113" i="11"/>
  <c r="T117" i="11"/>
  <c r="T121" i="11"/>
  <c r="T125" i="11"/>
  <c r="T129" i="11"/>
  <c r="T133" i="11"/>
  <c r="T137" i="11"/>
  <c r="T141" i="11"/>
  <c r="T6" i="11"/>
  <c r="T10" i="11"/>
  <c r="T14" i="11"/>
  <c r="T18" i="11"/>
  <c r="T22" i="11"/>
  <c r="T26" i="11"/>
  <c r="T30" i="11"/>
  <c r="T34" i="11"/>
  <c r="T38" i="11"/>
  <c r="T42" i="11"/>
  <c r="T46" i="11"/>
  <c r="T50" i="11"/>
  <c r="T54" i="11"/>
  <c r="T58" i="11"/>
  <c r="T62" i="11"/>
  <c r="T66" i="11"/>
  <c r="T70" i="11"/>
  <c r="T74" i="11"/>
  <c r="T78" i="11"/>
  <c r="T82" i="11"/>
  <c r="T86" i="11"/>
  <c r="T90" i="11"/>
  <c r="T94" i="11"/>
  <c r="T98" i="11"/>
  <c r="T102" i="11"/>
  <c r="T3" i="11"/>
  <c r="T7" i="11"/>
  <c r="T11" i="11"/>
  <c r="T15" i="11"/>
  <c r="T19" i="11"/>
  <c r="T23" i="11"/>
  <c r="T27" i="11"/>
  <c r="T31" i="11"/>
  <c r="T35" i="11"/>
  <c r="T39" i="11"/>
  <c r="T43" i="11"/>
  <c r="T47" i="11"/>
  <c r="T51" i="11"/>
  <c r="T55" i="11"/>
  <c r="T59" i="11"/>
  <c r="T63" i="11"/>
  <c r="T67" i="11"/>
  <c r="T71" i="11"/>
  <c r="T75" i="11"/>
  <c r="T79" i="11"/>
  <c r="T83" i="11"/>
  <c r="T87" i="11"/>
  <c r="T91" i="11"/>
  <c r="T95" i="11"/>
  <c r="T99" i="11"/>
  <c r="T103" i="11"/>
  <c r="T107" i="11"/>
  <c r="T111" i="11"/>
  <c r="T115" i="11"/>
  <c r="T119" i="11"/>
  <c r="T123" i="11"/>
  <c r="T127" i="11"/>
  <c r="T131" i="11"/>
  <c r="T135" i="11"/>
  <c r="T139" i="11"/>
  <c r="T143" i="11"/>
  <c r="T147" i="11"/>
  <c r="T151" i="11"/>
  <c r="T155" i="11"/>
  <c r="T159" i="11"/>
  <c r="T163" i="11"/>
  <c r="T167" i="11"/>
  <c r="T171" i="11"/>
  <c r="T175" i="11"/>
  <c r="T179" i="11"/>
  <c r="T183" i="11"/>
  <c r="T187" i="11"/>
  <c r="T191" i="11"/>
  <c r="T195" i="11"/>
  <c r="T199" i="11"/>
  <c r="T203" i="11"/>
  <c r="T207" i="11"/>
  <c r="T211" i="11"/>
  <c r="T215" i="11"/>
  <c r="T219" i="11"/>
  <c r="T223" i="11"/>
  <c r="T227" i="11"/>
  <c r="T145" i="11"/>
  <c r="T149" i="11"/>
  <c r="T153" i="11"/>
  <c r="T157" i="11"/>
  <c r="T161" i="11"/>
  <c r="T165" i="11"/>
  <c r="T169" i="11"/>
  <c r="T173" i="11"/>
  <c r="T177" i="11"/>
  <c r="T181" i="11"/>
  <c r="T185" i="11"/>
  <c r="T189" i="11"/>
  <c r="T193" i="11"/>
  <c r="T197" i="11"/>
  <c r="T365" i="11"/>
  <c r="T373" i="11"/>
  <c r="T381" i="11"/>
  <c r="T389" i="11"/>
  <c r="T397" i="11"/>
  <c r="T405" i="11"/>
  <c r="T413" i="11"/>
  <c r="T417" i="11"/>
  <c r="T421" i="11"/>
  <c r="T425" i="11"/>
  <c r="T429" i="11"/>
  <c r="T437" i="11"/>
  <c r="T445" i="11"/>
  <c r="T106" i="11"/>
  <c r="T110" i="11"/>
  <c r="T114" i="11"/>
  <c r="T118" i="11"/>
  <c r="T122" i="11"/>
  <c r="T126" i="11"/>
  <c r="T130" i="11"/>
  <c r="T134" i="11"/>
  <c r="T138" i="11"/>
  <c r="T142" i="11"/>
  <c r="T146" i="11"/>
  <c r="T150" i="11"/>
  <c r="T154" i="11"/>
  <c r="T158" i="11"/>
  <c r="T162" i="11"/>
  <c r="T166" i="11"/>
  <c r="T170" i="11"/>
  <c r="T174" i="11"/>
  <c r="T178" i="11"/>
  <c r="T182" i="11"/>
  <c r="T186" i="11"/>
  <c r="T190" i="11"/>
  <c r="T194" i="11"/>
  <c r="T198" i="11"/>
  <c r="T202" i="11"/>
  <c r="T206" i="11"/>
  <c r="T210" i="11"/>
  <c r="T214" i="11"/>
  <c r="T218" i="11"/>
  <c r="T222" i="11"/>
  <c r="T226" i="11"/>
  <c r="T658" i="11"/>
  <c r="T662" i="11"/>
  <c r="T666" i="11"/>
  <c r="T670" i="11"/>
  <c r="T231" i="11"/>
  <c r="T235" i="11"/>
  <c r="T239" i="11"/>
  <c r="T243" i="11"/>
  <c r="T247" i="11"/>
  <c r="T251" i="11"/>
  <c r="T255" i="11"/>
  <c r="T259" i="11"/>
  <c r="T263" i="11"/>
  <c r="T267" i="11"/>
  <c r="T271" i="11"/>
  <c r="T275" i="11"/>
  <c r="T279" i="11"/>
  <c r="T283" i="11"/>
  <c r="T287" i="11"/>
  <c r="T291" i="11"/>
  <c r="T295" i="11"/>
  <c r="T303" i="11"/>
  <c r="T307" i="11"/>
  <c r="T311" i="11"/>
  <c r="T315" i="11"/>
  <c r="T319" i="11"/>
  <c r="T323" i="11"/>
  <c r="T327" i="11"/>
  <c r="T331" i="11"/>
  <c r="T335" i="11"/>
  <c r="T339" i="11"/>
  <c r="T343" i="11"/>
  <c r="T347" i="11"/>
  <c r="T351" i="11"/>
  <c r="T355" i="11"/>
  <c r="T359" i="11"/>
  <c r="T363" i="11"/>
  <c r="T367" i="11"/>
  <c r="T371" i="11"/>
  <c r="T375" i="11"/>
  <c r="T379" i="11"/>
  <c r="T383" i="11"/>
  <c r="T387" i="11"/>
  <c r="T391" i="11"/>
  <c r="T395" i="11"/>
  <c r="T399" i="11"/>
  <c r="T403" i="11"/>
  <c r="T407" i="11"/>
  <c r="T411" i="11"/>
  <c r="T415" i="11"/>
  <c r="T419" i="11"/>
  <c r="T423" i="11"/>
  <c r="T427" i="11"/>
  <c r="T431" i="11"/>
  <c r="T435" i="11"/>
  <c r="T439" i="11"/>
  <c r="T443" i="11"/>
  <c r="T447" i="11"/>
  <c r="T451" i="11"/>
  <c r="T455" i="11"/>
  <c r="T459" i="11"/>
  <c r="T463" i="11"/>
  <c r="T467" i="11"/>
  <c r="T471" i="11"/>
  <c r="T475" i="11"/>
  <c r="T479" i="11"/>
  <c r="T483" i="11"/>
  <c r="T487" i="11"/>
  <c r="T491" i="11"/>
  <c r="T495" i="11"/>
  <c r="T499" i="11"/>
  <c r="T503" i="11"/>
  <c r="T507" i="11"/>
  <c r="T511" i="11"/>
  <c r="T515" i="11"/>
  <c r="T519" i="11"/>
  <c r="T523" i="11"/>
  <c r="T527" i="11"/>
  <c r="T531" i="11"/>
  <c r="T535" i="11"/>
  <c r="T539" i="11"/>
  <c r="T543" i="11"/>
  <c r="T547" i="11"/>
  <c r="T551" i="11"/>
  <c r="T555" i="11"/>
  <c r="T559" i="11"/>
  <c r="T563" i="11"/>
  <c r="T567" i="11"/>
  <c r="T571" i="11"/>
  <c r="T230" i="11"/>
  <c r="T234" i="11"/>
  <c r="T246" i="11"/>
  <c r="T250" i="11"/>
  <c r="T254" i="11"/>
  <c r="T258" i="11"/>
  <c r="T262" i="11"/>
  <c r="T266" i="11"/>
  <c r="T270" i="11"/>
  <c r="T274" i="11"/>
  <c r="T278" i="11"/>
  <c r="T282" i="11"/>
  <c r="T286" i="11"/>
  <c r="T294" i="11"/>
  <c r="T302" i="11"/>
  <c r="T306" i="11"/>
  <c r="T310" i="11"/>
  <c r="T314" i="11"/>
  <c r="T318" i="11"/>
  <c r="T4" i="11"/>
  <c r="T8" i="11"/>
  <c r="T12" i="11"/>
  <c r="T16" i="11"/>
  <c r="T20" i="11"/>
  <c r="T24" i="11"/>
  <c r="T28" i="11"/>
  <c r="T32" i="11"/>
  <c r="T36" i="11"/>
  <c r="T40" i="11"/>
  <c r="T44" i="11"/>
  <c r="T48" i="11"/>
  <c r="T52" i="11"/>
  <c r="T56" i="11"/>
  <c r="T60" i="11"/>
  <c r="T64" i="11"/>
  <c r="T68" i="11"/>
  <c r="T72" i="11"/>
  <c r="T76" i="11"/>
  <c r="T80" i="11"/>
  <c r="T84" i="11"/>
  <c r="T88" i="11"/>
  <c r="T92" i="11"/>
  <c r="T96" i="11"/>
  <c r="T100" i="11"/>
  <c r="T104" i="11"/>
  <c r="T108" i="11"/>
  <c r="T112" i="11"/>
  <c r="T116" i="11"/>
  <c r="T120" i="11"/>
  <c r="T124" i="11"/>
  <c r="T128" i="11"/>
  <c r="T132" i="11"/>
  <c r="T136" i="11"/>
  <c r="T140" i="11"/>
  <c r="T144" i="11"/>
  <c r="T148" i="11"/>
  <c r="T152" i="11"/>
  <c r="T156" i="11"/>
  <c r="T160" i="11"/>
  <c r="T164" i="11"/>
  <c r="T168" i="11"/>
  <c r="T172" i="11"/>
  <c r="T176" i="11"/>
  <c r="T180" i="11"/>
  <c r="T184" i="11"/>
  <c r="T188" i="11"/>
  <c r="T192" i="11"/>
  <c r="T196" i="11"/>
  <c r="T200" i="11"/>
  <c r="T204" i="11"/>
  <c r="T208" i="11"/>
  <c r="T212" i="11"/>
  <c r="T216" i="11"/>
  <c r="T220" i="11"/>
  <c r="T224" i="11"/>
  <c r="T228" i="11"/>
  <c r="T232" i="11"/>
  <c r="T236" i="11"/>
  <c r="T240" i="11"/>
  <c r="T244" i="11"/>
  <c r="T248" i="11"/>
  <c r="T252" i="11"/>
  <c r="T256" i="11"/>
  <c r="T260" i="11"/>
  <c r="T264" i="11"/>
  <c r="T268" i="11"/>
  <c r="T272" i="11"/>
  <c r="T276" i="11"/>
  <c r="T280" i="11"/>
  <c r="T284" i="11"/>
  <c r="T201" i="11"/>
  <c r="T205" i="11"/>
  <c r="T209" i="11"/>
  <c r="T213" i="11"/>
  <c r="T217" i="11"/>
  <c r="T221" i="11"/>
  <c r="T225" i="11"/>
  <c r="T229" i="11"/>
  <c r="T233" i="11"/>
  <c r="T241" i="11"/>
  <c r="T245" i="11"/>
  <c r="T253" i="11"/>
  <c r="T261" i="11"/>
  <c r="T269" i="11"/>
  <c r="T285" i="11"/>
  <c r="T289" i="11"/>
  <c r="T293" i="11"/>
  <c r="T297" i="11"/>
  <c r="T301" i="11"/>
  <c r="T309" i="11"/>
  <c r="T317" i="11"/>
  <c r="T325" i="11"/>
  <c r="T333" i="11"/>
  <c r="T341" i="11"/>
  <c r="T349" i="11"/>
  <c r="T353" i="11"/>
  <c r="T357" i="11"/>
  <c r="T361" i="11"/>
  <c r="T509" i="11"/>
  <c r="T517" i="11"/>
  <c r="T525" i="11"/>
  <c r="T533" i="11"/>
  <c r="T541" i="11"/>
  <c r="T545" i="11"/>
  <c r="T549" i="11"/>
  <c r="T553" i="11"/>
  <c r="T557" i="11"/>
  <c r="T565" i="11"/>
  <c r="T573" i="11"/>
  <c r="T581" i="11"/>
  <c r="T589" i="11"/>
  <c r="T597" i="11"/>
  <c r="T605" i="11"/>
  <c r="T609" i="11"/>
  <c r="T613" i="11"/>
  <c r="T617" i="11"/>
  <c r="T621" i="11"/>
  <c r="T629" i="11"/>
  <c r="T637" i="11"/>
  <c r="T645" i="11"/>
  <c r="T653" i="11"/>
  <c r="T661" i="11"/>
  <c r="T669" i="11"/>
  <c r="T322" i="11"/>
  <c r="T326" i="11"/>
  <c r="T330" i="11"/>
  <c r="T334" i="11"/>
  <c r="T338" i="11"/>
  <c r="T342" i="11"/>
  <c r="T346" i="11"/>
  <c r="T350" i="11"/>
  <c r="T354" i="11"/>
  <c r="T358" i="11"/>
  <c r="T362" i="11"/>
  <c r="T366" i="11"/>
  <c r="T370" i="11"/>
  <c r="T374" i="11"/>
  <c r="T378" i="11"/>
  <c r="T382" i="11"/>
  <c r="T386" i="11"/>
  <c r="T390" i="11"/>
  <c r="T394" i="11"/>
  <c r="T398" i="11"/>
  <c r="T402" i="11"/>
  <c r="T406" i="11"/>
  <c r="T410" i="11"/>
  <c r="T414" i="11"/>
  <c r="T418" i="11"/>
  <c r="T422" i="11"/>
  <c r="T426" i="11"/>
  <c r="T430" i="11"/>
  <c r="T434" i="11"/>
  <c r="T438" i="11"/>
  <c r="T442" i="11"/>
  <c r="T446" i="11"/>
  <c r="T450" i="11"/>
  <c r="T454" i="11"/>
  <c r="T458" i="11"/>
  <c r="T462" i="11"/>
  <c r="T466" i="11"/>
  <c r="T470" i="11"/>
  <c r="T474" i="11"/>
  <c r="T478" i="11"/>
  <c r="T482" i="11"/>
  <c r="T486" i="11"/>
  <c r="T490" i="11"/>
  <c r="T494" i="11"/>
  <c r="T498" i="11"/>
  <c r="T502" i="11"/>
  <c r="T506" i="11"/>
  <c r="T510" i="11"/>
  <c r="T514" i="11"/>
  <c r="T518" i="11"/>
  <c r="T522" i="11"/>
  <c r="T526" i="11"/>
  <c r="T530" i="11"/>
  <c r="T534" i="11"/>
  <c r="T538" i="11"/>
  <c r="T542" i="11"/>
  <c r="T546" i="11"/>
  <c r="T550" i="11"/>
  <c r="T554" i="11"/>
  <c r="T558" i="11"/>
  <c r="T562" i="11"/>
  <c r="T566" i="11"/>
  <c r="T570" i="11"/>
  <c r="T574" i="11"/>
  <c r="T578" i="11"/>
  <c r="T582" i="11"/>
  <c r="T586" i="11"/>
  <c r="T590" i="11"/>
  <c r="T594" i="11"/>
  <c r="T598" i="11"/>
  <c r="T602" i="11"/>
  <c r="T606" i="11"/>
  <c r="T610" i="11"/>
  <c r="T614" i="11"/>
  <c r="T618" i="11"/>
  <c r="T622" i="11"/>
  <c r="T626" i="11"/>
  <c r="T630" i="11"/>
  <c r="T634" i="11"/>
  <c r="T638" i="11"/>
  <c r="T642" i="11"/>
  <c r="T646" i="11"/>
  <c r="T650" i="11"/>
  <c r="T654" i="11"/>
  <c r="T672" i="11"/>
  <c r="T288" i="11"/>
  <c r="T292" i="11"/>
  <c r="T296" i="11"/>
  <c r="T304" i="11"/>
  <c r="T308" i="11"/>
  <c r="T312" i="11"/>
  <c r="T316" i="11"/>
  <c r="T320" i="11"/>
  <c r="T324" i="11"/>
  <c r="T328" i="11"/>
  <c r="T332" i="11"/>
  <c r="T336" i="11"/>
  <c r="T277" i="11"/>
  <c r="T237" i="11"/>
  <c r="T249" i="11"/>
  <c r="T257" i="11"/>
  <c r="T265" i="11"/>
  <c r="T273" i="11"/>
  <c r="T281" i="11"/>
  <c r="T305" i="11"/>
  <c r="T313" i="11"/>
  <c r="T321" i="11"/>
  <c r="T329" i="11"/>
  <c r="T337" i="11"/>
  <c r="T345" i="11"/>
  <c r="T369" i="11"/>
  <c r="T377" i="11"/>
  <c r="T385" i="11"/>
  <c r="T393" i="11"/>
  <c r="T401" i="11"/>
  <c r="T409" i="11"/>
  <c r="T433" i="11"/>
  <c r="T441" i="11"/>
  <c r="T449" i="11"/>
  <c r="T457" i="11"/>
  <c r="T465" i="11"/>
  <c r="T473" i="11"/>
  <c r="T497" i="11"/>
  <c r="T505" i="11"/>
  <c r="T513" i="11"/>
  <c r="T521" i="11"/>
  <c r="T529" i="11"/>
  <c r="T537" i="11"/>
  <c r="T561" i="11"/>
  <c r="T569" i="11"/>
  <c r="T577" i="11"/>
  <c r="T585" i="11"/>
  <c r="T593" i="11"/>
  <c r="T601" i="11"/>
  <c r="T625" i="11"/>
  <c r="T633" i="11"/>
  <c r="T641" i="11"/>
  <c r="T649" i="11"/>
  <c r="T657" i="11"/>
  <c r="T665" i="11"/>
  <c r="T575" i="11"/>
  <c r="T579" i="11"/>
  <c r="T583" i="11"/>
  <c r="T587" i="11"/>
  <c r="T591" i="11"/>
  <c r="T595" i="11"/>
  <c r="T599" i="11"/>
  <c r="T603" i="11"/>
  <c r="T607" i="11"/>
  <c r="T611" i="11"/>
  <c r="T615" i="11"/>
  <c r="T619" i="11"/>
  <c r="T623" i="11"/>
  <c r="T627" i="11"/>
  <c r="T631" i="11"/>
  <c r="T635" i="11"/>
  <c r="T639" i="11"/>
  <c r="T643" i="11"/>
  <c r="T647" i="11"/>
  <c r="T651" i="11"/>
  <c r="T655" i="11"/>
  <c r="T659" i="11"/>
  <c r="T663" i="11"/>
  <c r="T667" i="11"/>
  <c r="T671" i="11"/>
  <c r="T340" i="11"/>
  <c r="T344" i="11"/>
  <c r="T348" i="11"/>
  <c r="T352" i="11"/>
  <c r="T356" i="11"/>
  <c r="T360" i="11"/>
  <c r="T364" i="11"/>
  <c r="T368" i="11"/>
  <c r="T372" i="11"/>
  <c r="T376" i="11"/>
  <c r="T380" i="11"/>
  <c r="T384" i="11"/>
  <c r="T388" i="11"/>
  <c r="T392" i="11"/>
  <c r="T396" i="11"/>
  <c r="T400" i="11"/>
  <c r="T404" i="11"/>
  <c r="T408" i="11"/>
  <c r="T412" i="11"/>
  <c r="T416" i="11"/>
  <c r="T420" i="11"/>
  <c r="T424" i="11"/>
  <c r="T428" i="11"/>
  <c r="T432" i="11"/>
  <c r="T436" i="11"/>
  <c r="T440" i="11"/>
  <c r="T444" i="11"/>
  <c r="T448" i="11"/>
  <c r="T452" i="11"/>
  <c r="T456" i="11"/>
  <c r="T460" i="11"/>
  <c r="T464" i="11"/>
  <c r="T468" i="11"/>
  <c r="T472" i="11"/>
  <c r="T476" i="11"/>
  <c r="T480" i="11"/>
  <c r="T484" i="11"/>
  <c r="T488" i="11"/>
  <c r="T492" i="11"/>
  <c r="T496" i="11"/>
  <c r="T500" i="11"/>
  <c r="T504" i="11"/>
  <c r="T508" i="11"/>
  <c r="T512" i="11"/>
  <c r="T516" i="11"/>
  <c r="T520" i="11"/>
  <c r="T524" i="11"/>
  <c r="T528" i="11"/>
  <c r="T532" i="11"/>
  <c r="T536" i="11"/>
  <c r="T540" i="11"/>
  <c r="T544" i="11"/>
  <c r="T548" i="11"/>
  <c r="T552" i="11"/>
  <c r="T556" i="11"/>
  <c r="T560" i="11"/>
  <c r="T564" i="11"/>
  <c r="T568" i="11"/>
  <c r="T572" i="11"/>
  <c r="T576" i="11"/>
  <c r="T580" i="11"/>
  <c r="T584" i="11"/>
  <c r="T588" i="11"/>
  <c r="T592" i="11"/>
  <c r="T596" i="11"/>
  <c r="T600" i="11"/>
  <c r="T604" i="11"/>
  <c r="T608" i="11"/>
  <c r="T612" i="11"/>
  <c r="T616" i="11"/>
  <c r="T620" i="11"/>
  <c r="T624" i="11"/>
  <c r="T628" i="11"/>
  <c r="T632" i="11"/>
  <c r="T636" i="11"/>
  <c r="T640" i="11"/>
  <c r="T644" i="11"/>
  <c r="T648" i="11"/>
  <c r="T652" i="11"/>
  <c r="T656" i="11"/>
  <c r="T660" i="11"/>
  <c r="T664" i="11"/>
  <c r="T668" i="11"/>
  <c r="T673" i="11"/>
  <c r="T298" i="11"/>
  <c r="T299" i="11"/>
  <c r="T290" i="11"/>
  <c r="T300" i="11"/>
  <c r="T2" i="11"/>
  <c r="T238" i="11"/>
  <c r="T242" i="11"/>
  <c r="P58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<sst xmlns="http://schemas.openxmlformats.org/spreadsheetml/2006/main" count="19684" uniqueCount="2234">
  <si>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</si>
  <si>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</si>
  <si>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</si>
  <si>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</si>
  <si>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</si>
  <si>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</si>
  <si>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</si>
  <si>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</si>
  <si>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</si>
  <si>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</si>
  <si>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</si>
  <si>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</si>
  <si>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</si>
  <si>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</si>
  <si>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</si>
  <si>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</si>
  <si>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</si>
  <si>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</si>
  <si>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</si>
  <si>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</si>
  <si>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</si>
  <si>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</si>
  <si>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</si>
  <si>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</si>
  <si>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</si>
  <si>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</si>
  <si>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</si>
  <si>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</si>
  <si>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</si>
  <si>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</si>
  <si>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</si>
  <si>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</si>
  <si>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</si>
  <si>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</si>
  <si>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</si>
  <si>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</si>
  <si>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</si>
  <si>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</si>
  <si>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</si>
  <si>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</si>
  <si>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</si>
  <si>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</si>
  <si>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</si>
  <si>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</si>
  <si>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</si>
  <si>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</si>
  <si>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</si>
  <si>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</si>
  <si>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</si>
  <si>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</si>
  <si>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</si>
  <si>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</si>
  <si>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</si>
  <si>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</si>
  <si>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</si>
  <si>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</si>
  <si>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</si>
  <si>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</si>
  <si>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</si>
  <si>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</si>
  <si>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</si>
  <si>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</si>
  <si>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</si>
  <si>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</si>
  <si>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</si>
  <si>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</si>
  <si>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</si>
  <si>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</si>
  <si>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</si>
  <si>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</si>
  <si>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</si>
  <si>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</si>
  <si>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</si>
  <si>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</si>
  <si>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</si>
  <si>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</si>
  <si>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</si>
  <si>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</si>
  <si>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</si>
  <si>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</si>
  <si>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</si>
  <si>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</si>
  <si>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</si>
  <si>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</si>
  <si>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</si>
  <si>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</si>
  <si>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</si>
  <si>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</si>
  <si>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</si>
  <si>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</si>
  <si>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</si>
  <si>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</si>
  <si>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</si>
  <si>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</si>
  <si>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</si>
  <si>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</si>
  <si>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</si>
  <si>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</si>
  <si>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</si>
  <si>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</si>
  <si>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</si>
  <si>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</si>
  <si>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</si>
  <si>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</si>
  <si>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</si>
  <si>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</si>
  <si>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</si>
  <si>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</si>
  <si>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</si>
  <si>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</si>
  <si>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</si>
  <si>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</si>
  <si>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</si>
  <si>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</si>
  <si>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</si>
  <si>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</si>
  <si>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</si>
  <si>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</si>
  <si>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</si>
  <si>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</si>
  <si>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</si>
  <si>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</si>
  <si>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</si>
  <si>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</si>
  <si>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</si>
  <si>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</si>
  <si>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</si>
  <si>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</si>
  <si>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</si>
  <si>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</si>
  <si>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</si>
  <si>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</si>
  <si>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</si>
  <si>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</si>
  <si>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</si>
  <si>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</si>
  <si>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</si>
  <si>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</si>
  <si>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</si>
  <si>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</si>
  <si>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</si>
  <si>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</si>
  <si>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</si>
  <si>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</si>
  <si>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</si>
  <si>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</si>
  <si>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</si>
  <si>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</si>
  <si>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</si>
  <si>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</si>
  <si>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</si>
  <si>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</si>
  <si>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</si>
  <si>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</si>
  <si>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</si>
  <si>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</si>
  <si>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</si>
  <si>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</si>
  <si>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</si>
  <si>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</si>
  <si>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</si>
  <si>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</si>
  <si>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</si>
  <si>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</si>
  <si>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</si>
  <si>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</si>
  <si>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</si>
  <si>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</si>
  <si>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</si>
  <si>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</si>
  <si>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</si>
  <si>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</si>
  <si>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</si>
  <si>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</si>
  <si>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</si>
  <si>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</si>
  <si>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</si>
  <si>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</si>
  <si>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</si>
  <si>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</si>
  <si>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</si>
  <si>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</si>
  <si>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</si>
  <si>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</si>
  <si>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</si>
  <si>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</si>
  <si>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</si>
  <si>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</si>
  <si>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</si>
  <si>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</si>
  <si>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</si>
  <si>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</si>
  <si>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</si>
  <si>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</si>
  <si>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</si>
  <si>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</si>
  <si>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</si>
  <si>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</si>
  <si>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</si>
  <si>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</si>
  <si>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</si>
  <si>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</si>
  <si>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</si>
  <si>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</si>
  <si>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</si>
  <si>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</si>
  <si>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</si>
  <si>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</si>
  <si>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</si>
  <si>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</si>
  <si>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</si>
  <si>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</si>
  <si>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</si>
  <si>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</si>
  <si>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</si>
  <si>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</si>
  <si>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</si>
  <si>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</si>
  <si>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</si>
  <si>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</si>
  <si>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</si>
  <si>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</si>
  <si>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</si>
  <si>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</si>
  <si>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</si>
  <si>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</si>
  <si>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</si>
  <si>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</si>
  <si>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</si>
  <si>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</si>
  <si>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</si>
  <si>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</si>
  <si>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</si>
  <si>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</si>
  <si>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</si>
  <si>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</si>
  <si>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</si>
  <si>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</si>
  <si>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</si>
  <si>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</si>
  <si>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</si>
  <si>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</si>
  <si>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</si>
  <si>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</si>
  <si>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</si>
  <si>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</si>
  <si>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</si>
  <si>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</si>
  <si>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</si>
  <si>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</si>
  <si>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</si>
  <si>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</si>
  <si>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</si>
  <si>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</si>
  <si>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</si>
  <si>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</si>
  <si>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</si>
  <si>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</si>
  <si>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</si>
  <si>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</si>
  <si>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</si>
  <si>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</si>
  <si>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</si>
  <si>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</si>
  <si>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</si>
  <si>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</si>
  <si>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</si>
  <si>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</si>
  <si>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</si>
  <si>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</si>
  <si>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</si>
  <si>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</si>
  <si>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</si>
  <si>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</si>
  <si>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</si>
  <si>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</si>
  <si>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</si>
  <si>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</si>
  <si>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</si>
  <si>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</si>
  <si>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</si>
  <si>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</si>
  <si>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</si>
  <si>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</si>
  <si>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</si>
  <si>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</si>
  <si>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</si>
  <si>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</si>
  <si>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</si>
  <si>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</si>
  <si>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</si>
  <si>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</si>
  <si>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</si>
  <si>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</si>
  <si>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</si>
  <si>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</si>
  <si>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</si>
  <si>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</si>
  <si>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</si>
  <si>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</si>
  <si>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</si>
  <si>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</si>
  <si>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</si>
  <si>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</si>
  <si>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</si>
  <si>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</si>
  <si>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</si>
  <si>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</si>
  <si>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</si>
  <si>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</si>
  <si>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</si>
  <si>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</si>
  <si>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</si>
  <si>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</si>
  <si>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</si>
  <si>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</si>
  <si>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</si>
  <si>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</si>
  <si>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</si>
  <si>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</si>
  <si>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</si>
  <si>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</si>
  <si>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</si>
  <si>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</si>
  <si>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</si>
  <si>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</si>
  <si>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</si>
  <si>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</si>
  <si>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</si>
  <si>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</si>
  <si>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</si>
  <si>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</si>
  <si>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</si>
  <si>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</si>
  <si>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</si>
  <si>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</si>
  <si>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</si>
  <si>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</si>
  <si>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</si>
  <si>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</si>
  <si>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</si>
  <si>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</si>
  <si>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</si>
  <si>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</si>
  <si>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</si>
  <si>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</si>
  <si>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</si>
  <si>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</si>
  <si>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</si>
  <si>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</si>
  <si>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</si>
  <si>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</si>
  <si>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</si>
  <si>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</si>
  <si>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</si>
  <si>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</si>
  <si>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</si>
  <si>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</si>
  <si>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</si>
  <si>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</si>
  <si>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</si>
  <si>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</si>
  <si>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</si>
  <si>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</si>
  <si>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</si>
  <si>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</si>
  <si>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</si>
  <si>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</si>
  <si>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</si>
  <si>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</si>
  <si>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</si>
  <si>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</si>
  <si>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</si>
  <si>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</si>
  <si>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</si>
  <si>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</si>
  <si>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</si>
  <si>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</si>
  <si>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</si>
  <si>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</si>
  <si>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</si>
  <si>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</si>
  <si>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</si>
  <si>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</si>
  <si>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</si>
  <si>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</si>
  <si>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</si>
  <si>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</si>
  <si>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</si>
  <si>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</si>
  <si>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</si>
  <si>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</si>
  <si>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</si>
  <si>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</si>
  <si>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</si>
  <si>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</si>
  <si>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</si>
  <si>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</si>
  <si>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</si>
  <si>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</si>
  <si>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</si>
  <si>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</si>
  <si>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</si>
  <si>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</si>
  <si>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</si>
  <si>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</si>
  <si>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</si>
  <si>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</si>
  <si>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</si>
  <si>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</si>
  <si>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</si>
  <si>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</si>
  <si>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</si>
  <si>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</si>
  <si>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</si>
  <si>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</si>
  <si>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</si>
  <si>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</si>
  <si>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</si>
  <si>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</si>
  <si>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</si>
  <si>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</si>
  <si>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</si>
  <si>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</si>
  <si>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</si>
  <si>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</si>
  <si>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</si>
  <si>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</si>
  <si>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</si>
  <si>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</si>
  <si>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</si>
  <si>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</si>
  <si>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</si>
  <si>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</si>
  <si>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</si>
  <si>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</si>
  <si>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</si>
  <si>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</si>
  <si>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</si>
  <si>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</si>
  <si>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</si>
  <si>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</si>
  <si>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</si>
  <si>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</si>
  <si>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</si>
  <si>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</si>
  <si>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</si>
  <si>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</si>
  <si>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</si>
  <si>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</si>
  <si>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</si>
  <si>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</si>
  <si>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</si>
  <si>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</si>
  <si>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</si>
  <si>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</si>
  <si>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</si>
  <si>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</si>
  <si>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</si>
  <si>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</si>
  <si>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</si>
  <si>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</si>
  <si>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</si>
  <si>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</si>
  <si>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</si>
  <si>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</si>
  <si>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</si>
  <si>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</si>
  <si>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</si>
  <si>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</si>
  <si>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</si>
  <si>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</si>
  <si>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</si>
  <si>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</si>
  <si>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</si>
  <si>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</si>
  <si>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</si>
  <si>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</si>
  <si>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</si>
  <si>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</si>
  <si>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</si>
  <si>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</si>
  <si>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</si>
  <si>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</si>
  <si>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</si>
  <si>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</si>
  <si>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</si>
  <si>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</si>
  <si>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</si>
  <si>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</si>
  <si>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</si>
  <si>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</si>
  <si>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</si>
  <si>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</si>
  <si>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</si>
  <si>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</si>
  <si>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</si>
  <si>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</si>
  <si>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</si>
  <si>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</si>
  <si>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</si>
  <si>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</si>
  <si>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</si>
  <si>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</si>
  <si>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</si>
  <si>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</si>
  <si>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</si>
  <si>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</si>
  <si>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</si>
  <si>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</si>
  <si>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</si>
  <si>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</si>
  <si>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</si>
  <si>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</si>
  <si>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</si>
  <si>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</si>
  <si>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</si>
  <si>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</si>
  <si>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</si>
  <si>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</si>
  <si>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</si>
  <si>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</si>
  <si>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</si>
  <si>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</si>
  <si>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</si>
  <si>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</si>
  <si>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</si>
  <si>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</si>
  <si>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</si>
  <si>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</si>
  <si>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</si>
  <si>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</si>
  <si>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</si>
  <si>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</si>
  <si>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</si>
  <si>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</si>
  <si>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</si>
  <si>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</si>
  <si>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</si>
  <si>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</si>
  <si>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</si>
  <si>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</si>
  <si>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</si>
  <si>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</si>
  <si>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</si>
  <si>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</si>
  <si>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</si>
  <si>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</si>
  <si>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</si>
  <si>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</si>
  <si>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</si>
  <si>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</si>
  <si>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</si>
  <si>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</si>
  <si>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</si>
  <si>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</si>
  <si>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</si>
  <si>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</si>
  <si>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</si>
  <si>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</si>
  <si>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</si>
  <si>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</si>
  <si>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</si>
  <si>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</si>
  <si>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</si>
  <si>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</si>
  <si>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</si>
  <si>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</si>
  <si>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</si>
  <si>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</si>
  <si>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</si>
  <si>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</si>
  <si>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</si>
  <si>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</si>
  <si>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</si>
  <si>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</si>
  <si>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</si>
  <si>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</si>
  <si>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</si>
  <si>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</si>
  <si>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</si>
  <si>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</si>
  <si>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</si>
  <si>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</si>
  <si>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</si>
  <si>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</si>
  <si>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</si>
  <si>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</si>
  <si>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</si>
  <si>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</si>
  <si>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</si>
  <si>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</si>
  <si>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</si>
  <si>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</si>
  <si>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</si>
  <si>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</si>
  <si>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</si>
  <si>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</si>
  <si>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</si>
  <si>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</si>
  <si>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</si>
  <si>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</si>
  <si>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</si>
  <si>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</si>
  <si>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</si>
  <si>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</si>
  <si>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</si>
  <si>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</si>
  <si>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</si>
  <si>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</si>
  <si>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</si>
  <si>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</si>
  <si>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</si>
  <si>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</si>
  <si>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</si>
  <si>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</si>
  <si>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</si>
  <si>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</si>
  <si>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</si>
  <si>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</si>
  <si>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</si>
  <si>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</si>
  <si>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</si>
  <si>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</si>
  <si>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</si>
  <si>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</si>
  <si>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</si>
  <si>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</si>
  <si>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</si>
  <si>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</si>
  <si>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</si>
  <si>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</si>
  <si>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</si>
  <si>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</si>
  <si>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</si>
  <si>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</si>
  <si>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</si>
  <si>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</si>
  <si>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</si>
  <si>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</si>
  <si>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</si>
  <si>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</si>
  <si>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</si>
  <si>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</si>
  <si>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</si>
  <si>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</si>
  <si>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</si>
  <si>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</si>
  <si>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</si>
  <si>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</si>
  <si>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</si>
  <si>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</si>
  <si>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</si>
  <si>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</si>
  <si>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</si>
  <si>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</si>
  <si>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</si>
  <si>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</si>
  <si>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</si>
  <si>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</si>
  <si>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</si>
  <si>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</si>
  <si>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</si>
  <si>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</si>
  <si>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</si>
  <si>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</si>
  <si>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</si>
  <si>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</si>
  <si>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</si>
  <si>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</si>
  <si>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</si>
  <si>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</si>
  <si>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</si>
  <si>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</si>
  <si>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</si>
  <si>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</si>
  <si>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</si>
  <si>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</si>
  <si>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</si>
  <si>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</si>
  <si>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</si>
  <si>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</si>
  <si>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</si>
  <si>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</si>
  <si>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</si>
  <si>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</si>
  <si>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</si>
  <si>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</si>
  <si>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</si>
  <si>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</si>
  <si>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</si>
  <si>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</si>
  <si>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</si>
  <si>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</si>
  <si>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</si>
  <si>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</si>
  <si>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</si>
  <si>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</si>
  <si>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</si>
  <si>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</si>
  <si>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</si>
  <si>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</si>
  <si>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</si>
  <si>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</si>
  <si>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</si>
  <si>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</si>
  <si>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</si>
  <si>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</si>
  <si>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</si>
  <si>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</si>
  <si>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</si>
  <si>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</si>
  <si>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</si>
  <si>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</si>
  <si>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</si>
  <si>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</si>
  <si>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</si>
  <si>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</si>
  <si>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</si>
  <si>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</si>
  <si>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</si>
  <si>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</si>
  <si>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</si>
  <si>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</si>
  <si>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</si>
  <si>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</si>
  <si>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</si>
  <si>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</si>
  <si>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</si>
  <si>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</si>
  <si>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</si>
  <si>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</si>
  <si>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</si>
  <si>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</si>
  <si>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</si>
  <si>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</si>
  <si>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</si>
  <si>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</si>
  <si>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</si>
  <si>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</si>
  <si>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</si>
  <si>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</si>
  <si>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</si>
  <si>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</si>
  <si>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</si>
  <si>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</si>
  <si>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</si>
  <si>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</si>
  <si>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</si>
  <si>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</si>
  <si>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</si>
  <si>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</si>
  <si>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</si>
  <si>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</si>
  <si>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</si>
  <si>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</si>
  <si>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</si>
  <si>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</si>
  <si>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</si>
  <si>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</si>
  <si>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</si>
  <si>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</si>
  <si>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</si>
  <si>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</si>
  <si>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</si>
  <si>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</si>
  <si>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</si>
  <si>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</si>
  <si>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</si>
  <si>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</si>
  <si>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</si>
  <si>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</si>
  <si>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</si>
  <si>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</si>
  <si>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</si>
  <si>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</si>
  <si>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</si>
  <si>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</si>
  <si>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</si>
  <si>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</si>
  <si>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</si>
  <si>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</si>
  <si>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</si>
  <si>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</si>
  <si>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</si>
  <si>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</si>
  <si>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</si>
  <si>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</si>
  <si>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</si>
  <si>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</si>
  <si>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</si>
  <si>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</si>
  <si>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</si>
  <si>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</si>
  <si>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</si>
  <si>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</si>
  <si>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</si>
  <si>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</si>
  <si>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</si>
  <si>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</si>
  <si>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</si>
  <si>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</si>
  <si>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</si>
  <si>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</si>
  <si>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</si>
  <si>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</si>
  <si>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</si>
  <si>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</si>
  <si>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</si>
  <si>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</si>
  <si>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</si>
  <si>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</si>
  <si>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</si>
  <si>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</si>
  <si>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</si>
  <si>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</si>
  <si>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</si>
  <si>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</si>
  <si>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</si>
  <si>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</si>
  <si>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</si>
  <si>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</si>
  <si>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</si>
  <si>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</si>
  <si>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</si>
  <si>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</si>
  <si>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</si>
  <si>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</si>
  <si>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</si>
  <si>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</si>
  <si>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</si>
  <si>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</si>
  <si>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</si>
  <si>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</si>
  <si>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</si>
  <si>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</si>
  <si>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</si>
  <si>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</si>
  <si>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</si>
  <si>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</si>
  <si>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</si>
  <si>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</si>
  <si>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</si>
  <si>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</si>
  <si>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</si>
  <si>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</si>
  <si>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</si>
  <si>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</si>
  <si>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</si>
  <si>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</si>
  <si>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</si>
  <si>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</si>
  <si>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</si>
  <si>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</si>
  <si>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</si>
  <si>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</si>
  <si>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</si>
  <si>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</si>
  <si>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</si>
  <si>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</si>
  <si>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</si>
  <si>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</si>
  <si>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</si>
  <si>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</si>
  <si>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</si>
  <si>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</si>
  <si>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</si>
  <si>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</si>
  <si>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</si>
  <si>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</si>
  <si>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</si>
  <si>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</si>
  <si>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</si>
  <si>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</si>
  <si>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</si>
  <si>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</si>
  <si>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</si>
  <si>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</si>
  <si>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</si>
  <si>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</si>
  <si>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</si>
  <si>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</si>
  <si>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</si>
  <si>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</si>
  <si>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</si>
  <si>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</si>
  <si>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</si>
  <si>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</si>
  <si>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</si>
  <si>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</si>
  <si>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</si>
  <si>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</si>
  <si>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</si>
  <si>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</si>
  <si>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</si>
  <si>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</si>
  <si>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</si>
  <si>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</si>
  <si>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</si>
  <si>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</si>
  <si>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</si>
  <si>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</si>
  <si>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</si>
  <si>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</si>
  <si>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</si>
  <si>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</si>
  <si>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</si>
  <si>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</si>
  <si>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</si>
  <si>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</si>
  <si>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</si>
  <si>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</si>
  <si>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</si>
  <si>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</si>
  <si>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</si>
  <si>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</si>
  <si>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</si>
  <si>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</si>
  <si>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</si>
  <si>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</si>
  <si>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</si>
  <si>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</si>
  <si>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</si>
  <si>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</si>
  <si>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</si>
  <si>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</si>
  <si>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</si>
  <si>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</si>
  <si>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</si>
  <si>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</si>
  <si>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</si>
  <si>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</si>
  <si>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</si>
  <si>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</si>
  <si>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</si>
  <si>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</si>
  <si>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</si>
  <si>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</si>
  <si>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</si>
  <si>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</si>
  <si>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</si>
  <si>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</si>
  <si>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</si>
  <si>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</si>
  <si>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</si>
  <si>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</si>
  <si>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</si>
  <si>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</si>
  <si>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</si>
  <si>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</si>
  <si>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</si>
  <si>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</si>
  <si>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</si>
  <si>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</si>
  <si>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</si>
  <si>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</si>
  <si>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</si>
  <si>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</si>
  <si>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</si>
  <si>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</si>
  <si>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</si>
  <si>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</si>
  <si>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</si>
  <si>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</si>
  <si>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</si>
  <si>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</si>
  <si>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</si>
  <si>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</si>
  <si>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</si>
  <si>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</si>
  <si>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</si>
  <si>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</si>
  <si>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</si>
  <si>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</si>
  <si>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</si>
  <si>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</si>
  <si>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</si>
  <si>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</si>
  <si>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</si>
  <si>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</si>
  <si>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</si>
  <si>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</si>
  <si>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</si>
  <si>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</si>
  <si>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</si>
  <si>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</si>
  <si>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</si>
  <si>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</si>
  <si>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</si>
  <si>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</si>
  <si>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</si>
  <si>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</si>
  <si>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</si>
  <si>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</si>
  <si>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</si>
  <si>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</si>
  <si>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</si>
  <si>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</si>
  <si>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</si>
  <si>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</si>
  <si>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</si>
  <si>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</si>
  <si>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</si>
  <si>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</si>
  <si>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</si>
  <si>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</si>
  <si>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</si>
  <si>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</si>
  <si>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</si>
  <si>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</si>
  <si>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</si>
  <si>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</si>
  <si>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</si>
  <si>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</si>
  <si>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</si>
  <si>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</si>
  <si>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</si>
  <si>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</si>
  <si>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</si>
  <si>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</si>
  <si>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</si>
  <si>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</si>
  <si>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</si>
  <si>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</si>
  <si>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</si>
  <si>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</si>
  <si>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</si>
  <si>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</si>
  <si>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</si>
  <si>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</si>
  <si>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</si>
  <si>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</si>
  <si>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</si>
  <si>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</si>
  <si>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</si>
  <si>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</si>
  <si>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</si>
  <si>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</si>
  <si>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</si>
  <si>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</si>
  <si>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</si>
  <si>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</si>
  <si>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</si>
  <si>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</si>
  <si>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</si>
  <si>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</si>
  <si>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</si>
  <si>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</si>
  <si>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</si>
  <si>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</si>
  <si>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</si>
  <si>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</si>
  <si>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</si>
  <si>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</si>
  <si>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</si>
  <si>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</si>
  <si>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</si>
  <si>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</si>
  <si>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</si>
  <si>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</si>
  <si>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</si>
  <si>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</si>
  <si>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</si>
  <si>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</si>
  <si>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</si>
  <si>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</si>
  <si>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</si>
  <si>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</si>
  <si>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</si>
  <si>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</si>
  <si>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</si>
  <si>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</si>
  <si>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</si>
  <si>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</si>
  <si>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</si>
  <si>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</si>
  <si>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</si>
  <si>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</si>
  <si>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</si>
  <si>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</si>
  <si>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</si>
  <si>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</si>
  <si>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</si>
  <si>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</si>
  <si>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</si>
  <si>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</si>
  <si>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</si>
  <si>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</si>
  <si>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</si>
  <si>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</si>
  <si>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</si>
  <si>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</si>
  <si>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</si>
  <si>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</si>
  <si>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</si>
  <si>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</si>
  <si>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</si>
  <si>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</si>
  <si>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</si>
  <si>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</si>
  <si>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</si>
  <si>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</si>
  <si>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</si>
  <si>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</si>
  <si>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</si>
  <si>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</si>
  <si>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</si>
  <si>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</si>
  <si>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</si>
  <si>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</si>
  <si>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</si>
  <si>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</si>
  <si>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</si>
  <si>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</si>
  <si>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</si>
  <si>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</si>
  <si>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</si>
  <si>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</si>
  <si>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</si>
  <si>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</si>
  <si>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</si>
  <si>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</si>
  <si>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</si>
  <si>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</si>
  <si>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</si>
  <si>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</si>
  <si>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</si>
  <si>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</si>
  <si>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</si>
  <si>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</si>
  <si>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</si>
  <si>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</si>
  <si>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</si>
  <si>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</si>
  <si>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</si>
  <si>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</si>
  <si>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</si>
  <si>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</si>
  <si>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</si>
  <si>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</si>
  <si>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</si>
  <si>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</si>
  <si>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</si>
  <si>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</si>
  <si>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</si>
  <si>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</si>
  <si>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</si>
  <si>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</si>
  <si>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</si>
  <si>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</si>
  <si>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</si>
  <si>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</si>
  <si>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</si>
  <si>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</si>
  <si>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</si>
  <si>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</si>
  <si>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</si>
  <si>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</si>
  <si>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</si>
  <si>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</si>
  <si>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</si>
  <si>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</si>
  <si>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</si>
  <si>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</si>
  <si>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</si>
  <si>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</si>
  <si>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</si>
  <si>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</si>
  <si>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</si>
  <si>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</si>
  <si>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</si>
  <si>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</si>
  <si>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</si>
  <si>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FALSE</t>
  </si>
  <si>
    <t>2</t>
  </si>
  <si>
    <t>3</t>
  </si>
  <si>
    <t>TRUE</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</si>
  <si>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</si>
  <si>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</si>
  <si>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</si>
  <si>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</si>
  <si>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</si>
  <si>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</si>
  <si>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</si>
  <si>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</si>
  <si>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</si>
  <si>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</si>
  <si>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</si>
  <si>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</si>
  <si>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</si>
  <si>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</si>
  <si>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</si>
  <si>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</si>
  <si>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</si>
  <si>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</si>
  <si>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</si>
  <si>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</si>
  <si>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</si>
  <si>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</si>
  <si>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</si>
  <si>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</si>
  <si>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</si>
  <si>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</si>
  <si>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</si>
  <si>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</si>
  <si>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</si>
  <si>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</si>
  <si>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</si>
  <si>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</si>
  <si>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</si>
  <si>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</si>
  <si>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</si>
  <si>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</si>
  <si>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</si>
  <si>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</si>
  <si>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</si>
  <si>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</si>
  <si>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</si>
  <si>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</si>
  <si>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</si>
  <si>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</si>
  <si>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</si>
  <si>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</si>
  <si>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</si>
  <si>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</si>
  <si>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</si>
  <si>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</si>
  <si>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</si>
  <si>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</si>
  <si>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</si>
  <si>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</si>
  <si>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</si>
  <si>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</si>
  <si>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</si>
  <si>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</si>
  <si>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</si>
  <si>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</si>
  <si>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</si>
  <si>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</si>
  <si>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</si>
  <si>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</si>
  <si>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</si>
  <si>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</si>
  <si>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</si>
  <si>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</si>
  <si>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</si>
  <si>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</si>
  <si>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</si>
  <si>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</si>
  <si>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</si>
  <si>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</si>
  <si>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</si>
  <si>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</si>
  <si>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</si>
  <si>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</si>
  <si>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</si>
  <si>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</si>
  <si>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</si>
  <si>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</si>
  <si>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</si>
  <si>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</si>
  <si>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</si>
  <si>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</si>
  <si>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</si>
  <si>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</si>
  <si>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</si>
  <si>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</si>
  <si>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</si>
  <si>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</si>
  <si>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</si>
  <si>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</si>
  <si>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</si>
  <si>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</si>
  <si>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</si>
  <si>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</si>
  <si>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</si>
  <si>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</si>
  <si>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</si>
  <si>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</si>
  <si>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</si>
  <si>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</si>
  <si>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</si>
  <si>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</si>
  <si>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</si>
  <si>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</si>
  <si>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</si>
  <si>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</si>
  <si>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</si>
  <si>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</si>
  <si>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</si>
  <si>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</si>
  <si>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</si>
  <si>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</si>
  <si>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</si>
  <si>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</si>
  <si>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</si>
  <si>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</si>
  <si>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</si>
  <si>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</si>
  <si>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</si>
  <si>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</si>
  <si>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</si>
  <si>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</si>
  <si>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</si>
  <si>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</si>
  <si>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</si>
  <si>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</si>
  <si>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</si>
  <si>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</si>
  <si>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</si>
  <si>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</si>
  <si>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</si>
  <si>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</si>
  <si>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</si>
  <si>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</si>
  <si>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</si>
  <si>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</si>
  <si>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</si>
  <si>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</si>
  <si>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</si>
  <si>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</si>
  <si>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</si>
  <si>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</si>
  <si>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</si>
  <si>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</si>
  <si>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</si>
  <si>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</si>
  <si>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</si>
  <si>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</si>
  <si>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</si>
  <si>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</si>
  <si>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</si>
  <si>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</si>
  <si>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</si>
  <si>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</si>
  <si>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</si>
  <si>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</si>
  <si>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</si>
  <si>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</si>
  <si>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</si>
  <si>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</si>
  <si>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</si>
  <si>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</si>
  <si>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</si>
  <si>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</si>
  <si>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</si>
  <si>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</si>
  <si>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</si>
  <si>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</si>
  <si>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</si>
  <si>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</si>
  <si>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</si>
  <si>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</si>
  <si>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</si>
  <si>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</si>
  <si>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</si>
  <si>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</si>
  <si>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</si>
  <si>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</si>
  <si>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</si>
  <si>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</si>
  <si>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</si>
  <si>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</si>
  <si>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</si>
  <si>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</si>
  <si>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</si>
  <si>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</si>
  <si>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</si>
  <si>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</si>
  <si>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</si>
  <si>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</si>
  <si>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</si>
  <si>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</si>
  <si>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</si>
  <si>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</si>
  <si>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</si>
  <si>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</si>
  <si>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</si>
  <si>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</si>
  <si>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</si>
  <si>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</si>
  <si>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</si>
  <si>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</si>
  <si>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</si>
  <si>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</si>
  <si>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</si>
  <si>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</si>
  <si>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</si>
  <si>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</si>
  <si>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</si>
  <si>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</si>
  <si>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</si>
  <si>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</si>
  <si>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</si>
  <si>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</si>
  <si>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</si>
  <si>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</si>
  <si>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</si>
  <si>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</si>
  <si>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</si>
  <si>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</si>
  <si>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</si>
  <si>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</si>
  <si>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</si>
  <si>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</si>
  <si>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</si>
  <si>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</si>
  <si>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</si>
  <si>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</si>
  <si>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</si>
  <si>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</si>
  <si>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</si>
  <si>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</si>
  <si>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</si>
  <si>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</si>
  <si>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</si>
  <si>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</si>
  <si>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</si>
  <si>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</si>
  <si>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</si>
  <si>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</si>
  <si>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</si>
  <si>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</si>
  <si>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</si>
  <si>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</si>
  <si>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</si>
  <si>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</si>
  <si>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</si>
  <si>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</si>
  <si>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</si>
  <si>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</si>
  <si>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</si>
  <si>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</si>
  <si>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</si>
  <si>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</si>
  <si>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</si>
  <si>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</si>
  <si>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</si>
  <si>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</si>
  <si>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</si>
  <si>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</si>
  <si>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</si>
  <si>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</si>
  <si>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</si>
  <si>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</si>
  <si>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</si>
  <si>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</si>
  <si>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</si>
  <si>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</si>
  <si>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</si>
  <si>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</si>
  <si>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</si>
  <si>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</si>
  <si>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</si>
  <si>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</si>
  <si>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</si>
  <si>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</si>
  <si>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</si>
  <si>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</si>
  <si>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</si>
  <si>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</si>
  <si>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</si>
  <si>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</si>
  <si>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</si>
  <si>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</si>
  <si>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</si>
  <si>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</si>
  <si>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</si>
  <si>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</si>
  <si>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</si>
  <si>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</si>
  <si>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</si>
  <si>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</si>
  <si>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</si>
  <si>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</si>
  <si>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</si>
  <si>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</si>
  <si>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</si>
  <si>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</si>
  <si>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</si>
  <si>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</si>
  <si>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</si>
  <si>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</si>
  <si>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</si>
  <si>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</si>
  <si>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</si>
  <si>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</si>
  <si>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</si>
  <si>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</si>
  <si>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</si>
  <si>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</si>
  <si>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</si>
  <si>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</si>
  <si>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</si>
  <si>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</si>
  <si>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</si>
  <si>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</si>
  <si>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</si>
  <si>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</si>
  <si>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</si>
  <si>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</si>
  <si>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</si>
  <si>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</si>
  <si>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</si>
  <si>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</si>
  <si>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</si>
  <si>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</si>
  <si>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</si>
  <si>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</si>
  <si>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</si>
  <si>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</si>
  <si>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</si>
  <si>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</si>
  <si>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</si>
  <si>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</si>
  <si>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</si>
  <si>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</si>
  <si>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</si>
  <si>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</si>
  <si>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</si>
  <si>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</si>
  <si>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</si>
  <si>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</si>
  <si>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</si>
  <si>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</si>
  <si>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</si>
  <si>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</si>
  <si>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</si>
  <si>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</si>
  <si>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</si>
  <si>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</si>
  <si>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</si>
  <si>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</si>
  <si>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</si>
  <si>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</si>
  <si>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</si>
  <si>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</si>
  <si>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</si>
  <si>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</si>
  <si>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</si>
  <si>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</si>
  <si>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</si>
  <si>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</si>
  <si>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</si>
  <si>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</si>
  <si>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</si>
  <si>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</si>
  <si>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</si>
  <si>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</si>
  <si>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</si>
  <si>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</si>
  <si>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</si>
  <si>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</si>
  <si>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</si>
  <si>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</si>
  <si>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</si>
  <si>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</si>
  <si>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</si>
  <si>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</si>
  <si>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</si>
  <si>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</si>
  <si>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</si>
  <si>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</si>
  <si>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</si>
  <si>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</si>
  <si>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</si>
  <si>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</si>
  <si>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</si>
  <si>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</si>
  <si>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</si>
  <si>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</si>
  <si>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</si>
  <si>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</si>
  <si>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</si>
  <si>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</si>
  <si>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</si>
  <si>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</si>
  <si>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</si>
  <si>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</si>
  <si>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</si>
  <si>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</si>
  <si>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</si>
  <si>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</si>
  <si>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</si>
  <si>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</si>
  <si>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</si>
  <si>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</si>
  <si>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</si>
  <si>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</si>
  <si>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</si>
  <si>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</si>
  <si>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</si>
  <si>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</si>
  <si>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</si>
  <si>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</si>
  <si>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</si>
  <si>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</si>
  <si>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</si>
  <si>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</si>
  <si>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</si>
  <si>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</si>
  <si>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</si>
  <si>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</si>
  <si>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</si>
  <si>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</si>
  <si>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</si>
  <si>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</si>
  <si>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</si>
  <si>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</si>
  <si>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</si>
  <si>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</si>
  <si>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</si>
  <si>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</si>
  <si>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</si>
  <si>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</si>
  <si>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</si>
  <si>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</si>
  <si>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</si>
  <si>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</si>
  <si>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</si>
  <si>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</si>
  <si>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</si>
  <si>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</si>
  <si>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</si>
  <si>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</si>
  <si>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</si>
  <si>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</si>
  <si>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</si>
  <si>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</si>
  <si>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</si>
  <si>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</si>
  <si>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</si>
  <si>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</si>
  <si>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</si>
  <si>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</si>
  <si>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</si>
  <si>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</si>
  <si>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</si>
  <si>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</si>
  <si>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</si>
  <si>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</si>
  <si>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</si>
  <si>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</si>
  <si>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</si>
  <si>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</si>
  <si>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</si>
  <si>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</si>
  <si>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</si>
  <si>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</si>
  <si>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</si>
  <si>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</si>
  <si>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</si>
  <si>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</si>
  <si>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</si>
  <si>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</si>
  <si>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</si>
  <si>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</si>
  <si>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</si>
  <si>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</si>
  <si>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</si>
  <si>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</si>
  <si>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</si>
  <si>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</si>
  <si>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</si>
  <si>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</si>
  <si>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</si>
  <si>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</si>
  <si>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</si>
  <si>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</si>
  <si>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</si>
  <si>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</si>
  <si>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</si>
  <si>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</si>
  <si>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</si>
  <si>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</si>
  <si>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</si>
  <si>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</si>
  <si>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</si>
  <si>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</si>
  <si>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</si>
  <si>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</si>
  <si>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</si>
  <si>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</si>
  <si>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</si>
  <si>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</si>
  <si>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</si>
  <si>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</si>
  <si>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</si>
  <si>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</si>
  <si>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</si>
  <si>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</si>
  <si>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</si>
  <si>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</si>
  <si>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</si>
  <si>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</si>
  <si>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</si>
  <si>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</si>
  <si>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</si>
  <si>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</si>
  <si>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</si>
  <si>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</si>
  <si>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</si>
  <si>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</si>
  <si>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</si>
  <si>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</si>
  <si>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</si>
  <si>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</si>
  <si>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</si>
  <si>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</si>
  <si>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</si>
  <si>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</si>
  <si>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</si>
  <si>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</si>
  <si>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</si>
  <si>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</si>
  <si>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</si>
  <si>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</si>
  <si>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</si>
  <si>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</si>
  <si>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</si>
  <si>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</si>
  <si>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</si>
  <si>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</si>
  <si>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</si>
  <si>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</si>
  <si>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</si>
  <si>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</si>
  <si>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</si>
  <si>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</si>
  <si>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</si>
  <si>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</si>
  <si>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</si>
  <si>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</si>
  <si>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</si>
  <si>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</si>
  <si>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</si>
  <si>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</si>
  <si>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</si>
  <si>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</si>
  <si>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</si>
  <si>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</si>
  <si>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</si>
  <si>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</si>
  <si>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</si>
  <si>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</si>
  <si>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</si>
  <si>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</si>
  <si>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</si>
  <si>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</si>
  <si>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</si>
  <si>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</si>
  <si>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</si>
  <si>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</si>
  <si>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</si>
  <si>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</si>
  <si>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</si>
  <si>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</si>
  <si>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</si>
  <si>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</si>
  <si>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</si>
  <si>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</si>
  <si>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</si>
  <si>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800</t>
  </si>
  <si>
    <t>801</t>
  </si>
  <si>
    <t>802</t>
  </si>
  <si>
    <t>803</t>
  </si>
  <si>
    <t>804</t>
  </si>
  <si>
    <t>805</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</si>
  <si>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</si>
  <si>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</si>
  <si>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</si>
  <si>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</si>
  <si>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</si>
  <si>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</si>
  <si>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</si>
  <si>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</si>
  <si>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</si>
  <si>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</si>
  <si>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</si>
  <si>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</si>
  <si>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</si>
  <si>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</si>
  <si>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</si>
  <si>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</si>
  <si>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</si>
  <si>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</si>
  <si>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</si>
  <si>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</si>
  <si>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</si>
  <si>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</si>
  <si>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</si>
  <si>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</si>
  <si>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</si>
  <si>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</si>
  <si>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</si>
  <si>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</si>
  <si>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</si>
  <si>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</si>
  <si>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</si>
  <si>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</si>
  <si>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</si>
  <si>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</si>
  <si>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</si>
  <si>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</si>
  <si>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</si>
  <si>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</si>
  <si>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</si>
  <si>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</si>
  <si>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</si>
  <si>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</si>
  <si>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</si>
  <si>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</si>
  <si>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</si>
  <si>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</si>
  <si>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</si>
  <si>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</si>
  <si>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</si>
  <si>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</si>
  <si>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</si>
  <si>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</si>
  <si>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</si>
  <si>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</si>
  <si>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</si>
  <si>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</si>
  <si>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</si>
  <si>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</si>
  <si>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</si>
  <si>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</si>
  <si>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</si>
  <si>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</si>
  <si>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</si>
  <si>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</si>
  <si>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</si>
  <si>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</si>
  <si>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</si>
  <si>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</si>
  <si>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</si>
  <si>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</si>
  <si>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</si>
  <si>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</si>
  <si>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</si>
  <si>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</si>
  <si>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</si>
  <si>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</si>
  <si>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</si>
  <si>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</si>
  <si>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</si>
  <si>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</si>
  <si>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</si>
  <si>
    <t>is expected to **SHALL**</t>
  </si>
  <si>
    <t>https://hl7.org/fhir/us/core/STU8/must-support.html#must-support-el+D647ements</t>
  </si>
  <si>
    <t>https://hl7.org/fhir/us/core/STU8/must-support.html#must-support---primitive-elements</t>
  </si>
  <si>
    <t>If [an element is] ... marked as *Additional USCDI*, then the Certifying System **SHALL** be capable of providing the element value to meet the *Additional USCDI* requirement.</t>
  </si>
  <si>
    <t>"is represented in the structure" to  "is present in an instance"</t>
  </si>
  <si>
    <t>[For any complex element marked as *Additional USCDI*]. If any sub-element is marked as *Additional USCDI*, [the Certifying System **SHALL**] ... meet the *Additional USCDI* requirements and satisfy the *Additional USCDI* requirements for the parent element.</t>
  </si>
  <si>
    <t>For any complex element marked as *Additional USCDI*, the Certifying System **SHALL** be capable of providing at least one of the sub-element values</t>
  </si>
  <si>
    <t>Remove "The [U.S. Core Data for Interoperability (USCDI)] may require additional elements such as `Patient.suffix` Add somewhere else a note that USCDI may update its requirements retroactively…</t>
  </si>
  <si>
    <t>"In certain profiles, only specific resource references are labeled as Must Support". To "When a Reference type element is labeled as *Must Support* and has a single target profile referenced,"</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</si>
  <si>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</si>
  <si>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</si>
  <si>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</si>
  <si>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</si>
  <si>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"When a Reference type element is labeled as *Must Support*, has multiple target profiles referenced, and specific targets are labeled as *Must Support*,"to " When a Reference type element is labeled as *Must Support*, has multiple target profiles referenced, and specific targets are labeled as *Must Support*,"</t>
  </si>
  <si>
    <t>When a Reference element is labeled as *Additional USCDI* has multiple target profiles referenced, but none are labeled as *Must Support*, *at least one* target profile **SHALL** be supported by Certifying Systems.</t>
  </si>
  <si>
    <t>When a Reference element is labeled as *Must Support* has multiple target profiles referenced, but none are labeled as *Must Support*
...
- US Core Requesters **SHALL** be capable of processing  [such an element]  with a valid reference to *at least one* target profile.</t>
  </si>
  <si>
    <t>When a Reference element is labeled as *Must Support* has multiple target profiles referenced, but none are labeled as *Must Support*
...
- US Core Responders **SHALL** be capable of providing [such an element] with a valid reference to *at least one* target profile.</t>
  </si>
  <si>
    <t>[If a profile has] a Must Support element [with] a choice of datatypes for its content [and some of] the datatypes … are labeled as Must Support
… When claiming conformance to [such a] profile:
- US Core Responders **SHALL** be capable of populating [the Must Support  data type choice]</t>
  </si>
  <si>
    <t>[If a profile has] a Must Support element [with] a choice of datatypes for its content [and some of] the datatypes … are labeled as Must Support
… When claiming conformance to [such a] profile:
- US Core Requestors **SHALL** be capable of processing [the Must Support data type choice]</t>
  </si>
  <si>
    <t>If an *Additional USCDI* element has a choice of datatypes for its content, the datatypes the Certifying System **SHALL** support are labeled as *Must Support*.</t>
  </si>
  <si>
    <t>**MAY** to can</t>
  </si>
  <si>
    <t>**MAY** to may?</t>
  </si>
  <si>
    <t>changed to Client</t>
  </si>
  <si>
    <t>change "need" to "**MAY**?</t>
  </si>
  <si>
    <t>change "Implementations meeting US EHR certification requirements must" to "Certifying Systems **SHALL**"</t>
  </si>
  <si>
    <t>should to **SHOULD**</t>
  </si>
  <si>
    <r>
      <t>**SHOULD**</t>
    </r>
    <r>
      <rPr>
        <sz val="12"/>
        <color rgb="FF3B3B3B"/>
        <rFont val="Menlo"/>
        <family val="2"/>
      </rPr>
      <t xml:space="preserve"> not</t>
    </r>
    <r>
      <rPr>
        <b/>
        <sz val="12"/>
        <color rgb="FF000080"/>
        <rFont val="Menlo"/>
        <family val="2"/>
      </rPr>
      <t xml:space="preserve"> to **SHOULD NOT**</t>
    </r>
  </si>
  <si>
    <t>**SHOULD** not to **SHOULD NOT**</t>
  </si>
  <si>
    <t>MAY to **MAY**</t>
  </si>
  <si>
    <t>https://hl7.org/fhir/us/core/STU8/general-guidance.html#client-best-practices-for-search</t>
  </si>
  <si>
    <t>may to **MAY**</t>
  </si>
  <si>
    <t>"This guide requires systems to implement" to "Systems **SHALL** use the"</t>
  </si>
  <si>
    <t>will to **SHALL**</t>
  </si>
  <si>
    <t>Servers that support DiagnosticReport will include the clinical note narrative content in  `DiagnosticReport.presentedForm`</t>
  </si>
  <si>
    <t>can to **MAY**</t>
  </si>
  <si>
    <t>https://hl7.org/fhir/us/core/STU8/clinical-notes.html#using-expand</t>
  </si>
  <si>
    <t>conditionality</t>
  </si>
  <si>
    <t>are permitted  to can or **MAY**</t>
  </si>
  <si>
    <t>**MUST** to **SHALL** FHIR-54218</t>
  </si>
  <si>
    <t>An agent.type=”assembler”, agent.type=”transmitter”, or other agents from [Provenance Agent Type](https://hl7.org/fhir/us/core/STU8/ValueSet-us-core-provenance-participant-type.html) value set **MAY** also be included.</t>
  </si>
  <si>
    <t>https://hl7.org/fhir/us/core/STU8/basic-provenance.html#individual-level-provenance</t>
  </si>
  <si>
    <t>The author is communicated by the elements and the author's role by the referenced target resource (for example, Patient, Practitioner/PractitionerRole, RelatedPerson, Device). Details about the author's role are contained in the target resource's contents. Many of these elements are labeled Must Support or Additional USCDI Requirements. However,[even if they are not   labeled Must Support or Additional USCDI Requirements] all of these elements and target resources **SHOULD** be supported in the profiles if the system captures the data.</t>
  </si>
  <si>
    <t>implementers [of US Core's framework of Screening and Assessments] **SHOULD** consider more constrained, domain-specific profiles derived from the US Core Profiles to meet the needs of their respective use cases.</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</si>
  <si>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</si>
  <si>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must to **SHOULD**</t>
  </si>
  <si>
    <t>SHALL to DEPRECATED</t>
  </si>
  <si>
    <t>SHALL To DEPRECATED</t>
  </si>
  <si>
    <t>"A Server may support Version DSTU2 and Argonaut Data Query or FHIR R4 and US Core ver 3.1.1+ or both.  A Server may make explicit ...". To  "In practice, a server may support Argonaut Data Query in FHIR DSTU2, and one or more versions of US Core in FHIR R4. Sometimes, the Server explicitly names the version of Argo/US Core on its FHIR endpoint (e.g., a "DSTU2" or "R4" path component, or separate files based on version)."</t>
  </si>
  <si>
    <t>https://hl7.org/fhir/us/core/STU8/changes-between-versions.html#expectation-that-data-is-preserved-between-versions</t>
  </si>
  <si>
    <t>To allow Clients to use a single authorization token when accessing resources from multiple version-specific endpoints, Servers **SHOULD** use the same base authorization endpoint across versions.</t>
  </si>
  <si>
    <t>[C]lient application[s conforming to the US Core CareTeam profile] **SHALL** support [US Core Practitioner Profile]</t>
  </si>
  <si>
    <t>In addition to the capabilities defined in the Server’s CapabilityStatement, Servers **SHALL**document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</si>
  <si>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</si>
  <si>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 Servers **SHALL**allow users to select a subset of the requested scopes at the approval time.</t>
  </si>
  <si>
    <t>US Core requires ... additional metadata [to be available through the Server's [Well-Known Uniform Resource Identifier (URI)](https://hl7.org/fhir/smart-app-launch/STU2/conformance.html#using-well-known)]: ... [in] `introspection_endpoint` the URL to a Server’s introspection endpoint. ... Servers **SHALL**document this endpoint in the file</t>
  </si>
  <si>
    <t>Servers **SHALL**document in CapabilityStatement.rest.resource.searchParam.documentation the types of changes that can be detected using the _lastUpdated search parameter</t>
  </si>
  <si>
    <t>To enable consistent access to scanned DiagnosticReport clinical reports, the FHIR Server **SHALL**expose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</si>
  <si>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**SHALL**also be accessible through DocumentReference.content.attachment.url</t>
  </si>
  <si>
    <t>[Newly created Encounter Diagnosis records **SHALL**have a] Condition.code … [from the] [“current”](https://hl7.org/fhir/R5/terminologies.html#binding) … [value set] binding.</t>
  </si>
  <si>
    <t>Implantable medical devices with UDI information **SHALL**represent the UDI code in Device.udiCarrier.carrierHRF</t>
  </si>
  <si>
    <t>If there are multiple DocumentReference.content element repetitions, these **SHALL**all represent the same document in different formats or attachment metadata</t>
  </si>
  <si>
    <t>If the event facility/location differs from the Encounter.location, … systems **SHALL**use the location element for all resources where the element is available.</t>
  </si>
  <si>
    <t>Servers **SHALL**follow the guidance on the Medication List page and return all active medications as MedicationRequest.</t>
  </si>
  <si>
    <t>[Certifying systems](https://www.healthit.gov/topic/certification-ehrs/about-onc-health-it-certification-program) [, those that are participating in the ONC Health IT certification program,] **SHALL**...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</si>
  <si>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[When using the US Core Practioner Profile] Practitioner.address … **SHALL**[be supported] if … [the Server does] not support the US Core PractitionerRole Profile</t>
  </si>
  <si>
    <t>US Core Server **SHALL**… Implement the RESTful behavior according to the FHIR specification.</t>
  </si>
  <si>
    <t>US Core Server **SHALL**… return the following response class (Status 400) [for] invalid parameters</t>
  </si>
  <si>
    <t>US Core Server **SHALL**… return the following response class (Status 401/4xx) [for] unauthorized request</t>
  </si>
  <si>
    <t>US Core Server **SHALL**… return the following response class (Status 403) [for] insufficient scopes</t>
  </si>
  <si>
    <t>US Core Server **SHALL**… return the following response class (Status 404) [for] unknown resource</t>
  </si>
  <si>
    <t>US Core Server **SHALL**… support JSON source formats for all US Core interactions.</t>
  </si>
  <si>
    <t>A Server **SHALL**reject any unauthorized requests by returning an HTTP 401 "Unauthorized", HTTP 403 "Forbidden", or HTTP 404 "Not Found"</t>
  </si>
  <si>
    <t>Systems **SHALL**establish a risk analysis and management regime that conforms with HIPAA security regulatory requirements</t>
  </si>
  <si>
    <t>Systems **SHALL**reference a single time source to establish a common time base for security auditing and clinical data records among computing systems.</t>
  </si>
  <si>
    <t>Systems **SHALL**keep audit logs of the various transactions.</t>
  </si>
  <si>
    <t>Systems **SHALL**use TLS version 1.2 or higher for all transmissions not taking place over a secure network connection.</t>
  </si>
  <si>
    <t>Systems **SHALL**conform to [FHIR Communications Security](http://hl7.org/fhir/R4/security.html#http) requirements.</t>
  </si>
  <si>
    <t>Implementers **SHOULD** review the “Key Elements Tab” on the US Core profile pages.</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</si>
  <si>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</si>
  <si>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</si>
  <si>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For “Backend-Services”, System-level scopes (system) describe data that a Client system is directly authorized to access. Systems that support system-level (system) scopes **SHOULD** support the recommended US Core scopes</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</si>
  <si>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</si>
  <si>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Therefore, a [reference](http://hl7.org/fhir/R4/references.html) to a US Core resource **SHOULD** include a logical id (Reference.reference), not an identifier (Reference.identifier).</t>
  </si>
  <si>
    <t>For all references, US Core Responders **SHOULD** return resources that conform to a US Core profile if a US Core profile exists for the resource type.</t>
  </si>
  <si>
    <t>When responding to a query, Servers **SHOULD** not use inline [contained](http://hl7.org/fhir/R4/references.html#contained) resources to represent the returned data.</t>
  </si>
  <si>
    <t>[I]f referencing a contained resource in a US Core Profile, the contained resource **SHOULD** be a US Core Profile if a US Core Profile exists for the resource type.</t>
  </si>
  <si>
    <t>[M]asking data [where a specific piece of data is hidden for security and privacy reasons] **SHOULD** be handled based on implemented policies.</t>
  </si>
  <si>
    <t>[When masking data] elements with a minimum cardinality = 0 (including elements labeled Must Support) [for security and privacy reasons], the element **SHOULD** be omitted from the resource.</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</si>
  <si>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</si>
  <si>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[If a] US Core Profiles binds the Quantity.code element in the Quantity datatype to the [UCUM](http://unitsofmeasure.org/) code system, [when] UCUM code [is] provided [it **SHOULD** be indicated in the Quantity.unit and Quantity.code elements with Quantity.system = "http://unitsofmeasure.org"]</t>
  </si>
  <si>
    <t>A FHIR Server **SHOULD** not delete records.</t>
  </si>
  <si>
    <t>A FHIR Server **SHOULD** update the appropriate resource status to entered-in-error or inactive [when requested to delete records]</t>
  </si>
  <si>
    <t>If a system supports the deletion of records, they **SHOULD** refer to the [Deletion Safety Checks](http://hl7.org/fhir/R4/safety.html#conformance) in the FHIR specification.</t>
  </si>
  <si>
    <t>A FHIR Server **SHOULD** allow these resources [those entered in error] to be searchable by Client applications.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</si>
  <si>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</si>
  <si>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the data provider **SHOULD** do their best to translate (safely) to the requested language [when accessing records in a native or requested language]</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</si>
  <si>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</si>
  <si>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</si>
  <si>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 [use] the [Human Language](http://hl7.org/fhir/R4/extension-language.html) Extension when the language of a display, etc, is known to differ from the stated (or inferred) language.</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</si>
  <si>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</si>
  <si>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</si>
  <si>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Servers **SHOULD** support the [_lastUpdated](http://hl7.org/fhir/R4/search.html#lastUpdated) search parameter for US Core Profiles</t>
  </si>
  <si>
    <t>Servers ... **SHOULD** populate [Resource.meta.lastUpdated](http://hl7.org/fhir/R4/resource.html#Meta) for US Core Profiles as accurately as possible.</t>
  </si>
  <si>
    <t xml:space="preserve">The following **SHOULD** be exposed via DiagnosticReport: Imaging Narrative
</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</si>
  <si>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</si>
  <si>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</si>
  <si>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</si>
  <si>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FHIR Server claiming support to this guide **SHOULD** support the $expand operation [[operation link](http://hl7.org/fhir/R4/valueset-operation-expand.html) to provide information to Clients requesting information on the note and report types the Server supports]</t>
  </si>
  <si>
    <t>To provide a list of a patient’s medications, it may be necessary to “de-duplicate” them. The de-duplication activity ... **SHOULD** be provided by the Client.</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</si>
  <si>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</si>
  <si>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</si>
  <si>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</si>
  <si>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</si>
  <si>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</si>
  <si>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</si>
  <si>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</si>
  <si>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</si>
  <si>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</si>
  <si>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</si>
  <si>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</si>
  <si>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Servers **SHOULD** make available the same information in DSTU2 and R4 where the more recent standard allows.</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</si>
  <si>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</si>
  <si>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</si>
  <si>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Data **SHOULD** be maintained between [FHIR] versions (i.e., not be degraded).</t>
  </si>
  <si>
    <t>When updating between versions, Clients **SHOULD** consider the impact of any changes to data visualization on the usability for the end user and the maintenance of data integrity.</t>
  </si>
  <si>
    <t>Considerations for systems aligning with [HL7 Consolidated (C-CDA)](http://www.hl7.org/implement/standards/product_brief.cfm?product_id=492) Care Plan requirements: US Core Goal **SHOULD** be present in CarePlan.goal</t>
  </si>
  <si>
    <t>Considerations for systems aligning with [HL7 Consolidated (C-CDA)] (http://www.hl7.org/implement/standards/product_brief.cfm?product_id=492) Care Plan requirements: ... US Core Condition **SHOULD** be present in CarePlan.addresses</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</si>
  <si>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</si>
  <si>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For Problems and Health Concerns [records, systems **SHOULD**] use the [US Core Condition Problems and Health Concerns Profile](https://hl7.org/fhir/us/core/STU8/StructureDefinition-us-core-condition-problems-health-concerns.html).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</si>
  <si>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</si>
  <si>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[A US Core Condition Encounter Diagnosis] encounter **SHOULD** always be referenced in Condition.encounter.</t>
  </si>
  <si>
    <t>For Encounter Diagnosis [records, systems **SHOULD**] use the [US Core Condition Encounter Diagnosis Profile](https://hl7.org/fhir/us/core/STU8/StructureDefinition-us-core-condition-encounter-diagnosis.html).</t>
  </si>
  <si>
    <t>If the category is "problem-list-item", Condition.clinicalStatus **SHOULD** be present.</t>
  </si>
  <si>
    <t xml:space="preserve">Updates to .meta.lastUpdated **SHOULD** reflect: New problems and health concerns </t>
  </si>
  <si>
    <t>If UDI is not present and the manufacturer … is available, … [it] **SHOULD** be included to support historical reports of implantable medical devices [where] manufacturer [is sent in] Device.manufacturer</t>
  </si>
  <si>
    <t>If UDI is not present and the ... model number information is available, … [it] **SHOULD** be included to support historical reports of implantable medical devices [where] model [is sent in] Device.model</t>
  </si>
  <si>
    <t xml:space="preserve">Updates to .meta.lastUpdated **SHOULD** reflect New laboratory reports. </t>
  </si>
  <si>
    <t>Updates to .meta.lastUpdated **SHOULD** reflect changes in the status of laboratory reports, including events that trigger the same status (e.g., amended → amended).</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</si>
  <si>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</si>
  <si>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If Encounter.reasonReference references an Observation, it **SHOULD** conform to a US Core Observation [profile applicable to the observation being made]</t>
  </si>
  <si>
    <t>If the event facility/location differs from the Encounter.location, systems **SHOULD** reference it directly</t>
  </si>
  <si>
    <t>Updates to .meta.lastUpdated **SHOULD** reflect New encounters/visits</t>
  </si>
  <si>
    <t>Updates to .meta.lastUpdated **SHOULD** reflect changes in the status of encounters, including events that trigger the same status (e.g., in-progress → in-progress).</t>
  </si>
  <si>
    <t>[NDC vaccine codes](http://www2a.cdc.gov/vaccines/iis/iisstandards/ndc_crosswalk.asp) **SHOULD** be supported as an additional code [of [CVX Vaccine Codes](https://www2a.cdc.gov/vaccines/iis/iisstandards/ndc_crosswalk.asp)]</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</si>
  <si>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</si>
  <si>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</si>
  <si>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recording “self-prescribed” medication, requester **SHOULD** be used to indicate the Patient or RelatedPerson as the prescriber</t>
  </si>
  <si>
    <t>[For organizations participating in the ONC Health IT Certification program,] the referenced resources **SHOULD** be a US Core Profile as documented in [Referencing US Core Profiles](https://hl7.org/fhir/us/core/STU8/general-guidance.html#referencing-us-core-profiles).</t>
  </si>
  <si>
    <t>Source EHR identifiers **SHOULD** be included to support deduplication across MedicationRequest resources.</t>
  </si>
  <si>
    <t>[For an Observation a] code system value **SHOULD** be supplied for each additional code</t>
  </si>
  <si>
    <t>The context or precondition of a patient’s [care experience] preference **SHOULD** be supplied in the Observation.valueString or in an extension</t>
  </si>
  <si>
    <t>Servers **SHOULD** use the base FHIR [Observation Category Codes] (http://hl7.org/fhir/R4/valueset-observation-category.html) [in Observation.category]</t>
  </si>
  <si>
    <t>Systems **SHOULD** support Observation.effectivePeriod to accurately represent measurements over time</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</si>
  <si>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</si>
  <si>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</si>
  <si>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[For] multi-question surveys or assessments Observation.code is an overarching assessment or screening code, and the Observation.value element **SHOULD** be empty</t>
  </si>
  <si>
    <t>Observations formally part of an assessment tool or survey **SHOULD** use the [US Core Observation Screening Assessment Profile](https://hl7.org/fhir/us/core/STU8/StructureDefinition-us-core-observation-screening-assessment.html).</t>
  </si>
  <si>
    <t>An assertion or determination derived from screening and assessment tools **SHOULD** reference them using Observation.derivedFrom</t>
  </si>
  <si>
    <t>When using `Observation.derivedFrom’ to reference an Observation, the referenced Observation **SHOULD** be a US Core Observation</t>
  </si>
  <si>
    <t>[When using US Core Treatment Intervention Preference Profile] the context or precondition of a patient’s preference **SHOULD** be supplied in the Observation.valueString ... or an extension</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</si>
  <si>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</si>
  <si>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</si>
  <si>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Many pulse oximetry readings are taken while the patient is breathing room air. The concept of “room air” (unmodified, ambient air) **SHOULD** be represented as an inhaled oxygen flow rate of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</si>
  <si>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</si>
  <si>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</si>
  <si>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</si>
  <si>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</si>
  <si>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</si>
  <si>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</si>
  <si>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</si>
  <si>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[If using LOINC codes in procedure.code] only LOINC concepts that reflect actual procedures **SHOULD** be used</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</si>
  <si>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</si>
  <si>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Systems that need to know the activity has occurred **SHOULD** populate the activity [Provenance.activity]</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</si>
  <si>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</si>
  <si>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</si>
  <si>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</si>
  <si>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[Clients] **SHOULD** Support the Following Implementation Guide [SMART App Launch version 2.0.0 and later](http://hl7.org/fhir/smart-app-launch/history.html)</t>
  </si>
  <si>
    <t>[Servers] **SHOULD** Support the ...
[SMART App Launch version 2.0.0 and later](http://hl7.org/fhir/smart-app-launch/history.html)</t>
  </si>
  <si>
    <t>US Core Server **SHOULD** … support XML source formats for all US Core interactions.</t>
  </si>
  <si>
    <t>US Core Server **SHOULD** … identify the US Core profiles supported as part of the FHIR meta.profile attribute for each instance.</t>
  </si>
  <si>
    <t>[US Core Servers] **SHOULD** support [$expand](http://hl7.org/fhir/OperationDefinition/ValueSet-expand) operation</t>
  </si>
  <si>
    <t>If a Server supports DocumentReference for creating, using, and sharing clinical notes, it **SHOULD** also support the context and contextdirection parameters of the $expand operation</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</si>
  <si>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</si>
  <si>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</si>
  <si>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</si>
  <si>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The selected time service **SHOULD** be documented in the Business Associate Agreement when available.</t>
  </si>
  <si>
    <t>US Federal systems **SHOULD** conform with FIPS PUB 140-2.</t>
  </si>
  <si>
    <t>The Business Associate Agreements **SHOULD** document systems’ mutual consent requirements.</t>
  </si>
  <si>
    <t>Systems **SHOULD** provide Provenance statements using the [US Core Provenance Profile](https://hl7.org/fhir/us/core/STU8/StructureDefinition-us-core-provenance.html) resource and associated requirements.</t>
  </si>
  <si>
    <t>For the US Core ServiceRequest Profile, Servers **SHOULD** support all the [[listed](https://hl7.org/fhir/us/core/STU8/screening-and-assessments.html#category-codes)] category codes.</t>
  </si>
  <si>
    <t>[For US Core Laboratory Result Observation Profile, the] type of specimen [in `Observation.specimen`] **SHOULD** not conflict with the LOINC code [in `Observation.code`].</t>
  </si>
  <si>
    <t>[For the US Core Observation Screening Assessment Profile,] when using Observation.derivedFrom to reference an Observation, the referenced Observation **SHOULD** be a US Core Observation.</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</si>
  <si>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</si>
  <si>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</si>
  <si>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</si>
  <si>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</si>
  <si>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 xml:space="preserve"> **SHOULD  NOT** supply the unit field]</t>
  </si>
  <si>
    <t xml:space="preserve"> **SHOULD  NOT** require additional authorization to access.</t>
  </si>
  <si>
    <t xml:space="preserve"> **SHOULD  NOT** be used as a patient identifier in Patient.identifier.value</t>
  </si>
  <si>
    <t xml:space="preserve"> **SHOULD  NOT**** search the same data within the time stated in the `Cache-Control` header.</t>
  </si>
  <si>
    <t xml:space="preserve"> **SHALL NOT** restrict search results ( i.e., apply ‘hidden’ filters) when a Client includes status parameters in the query.</t>
  </si>
  <si>
    <t xml:space="preserve"> **SHALL NOT**** include the data elements in the resource instance returned as part of the query results.</t>
  </si>
  <si>
    <t xml:space="preserve"> **SHALL NOT**** be interpreted as search parameters for search. </t>
  </si>
  <si>
    <t>US Core requires ... additional metadata [to be available through the Server's [Well-Known Uniform Resource Identifier (URI)](https://hl7.org/fhir/smart-app-launch/STU2/conformance.html#using-well-known)]: ... [in] `scopes_supported` [the] array of scopes a Client may request. Servers **MAY**limit Clients’ scopes to those configured at registration time.</t>
  </si>
  <si>
    <t>[When using SNOMED codes in US Core Profiles I]mplementers **MAY**use the default system URI [of [SNOMED CT](http://snomed.info/sct)], which refers to an unspecified edition/version [of SNOMED]</t>
  </si>
  <si>
    <t>[When Clients request a resource in a specific language] Clients **MAY**request language/locale using the http [Accept-Language](https://www.ietf.org/rfc/rfc2616.txt) header.</t>
  </si>
  <si>
    <t>When referencing the Medication resource, the resource may be included in the returned bundle, as an external resource, or as a [contained](http://hl7.org/fhir/R4/references.html#contained) resource if it can’t stand alone. … The Server application **MAY**choose any combination of these methods</t>
  </si>
  <si>
    <t>Transformation of data from one format to another **MAY**change the authorship of the information, where the HIE is the author/author organization</t>
  </si>
  <si>
    <t>[Historical Encounter Diagnosis records **MAY**have a] Condition.code … [from the] base “preferred” … [value set] binding.</t>
  </si>
  <si>
    <t>Implementers **MAY**also adopt custom SearchParameters for searching by lot numbers</t>
  </si>
  <si>
    <t>Implementers **MAY**also adopt custom SearchParameters for searching by serial number</t>
  </si>
  <si>
    <t>Implementers **MAY**also adopt custom SearchParameters for searching by expiration date</t>
  </si>
  <si>
    <t>Implementers **MAY**also adopt custom SearchParameters for searching by manufacture date</t>
  </si>
  <si>
    <t>Implementers **MAY**also adopt custom SearchParameters for searching by distinct identifier</t>
  </si>
  <si>
    <t>If the event facility/location differs from the Encounter.location … systems **MAY**use the standard [Event Location Extension](http://hl7.org/fhir/StructureDefinition/event-location) for US Core DiagnosticReport Profile for Laboratory Results Reporting and US Core Observation Clinical Result Profile.</t>
  </si>
  <si>
    <t>The observations **MAY**have additional codes that translate or map to the Observation code or category codes [such as] … local system-specific codes [and] …more specific codes</t>
  </si>
  <si>
    <t>[For] an Observation without a value … [Systems **MAY**choose not to] include a reason why the data is absent … [if] there are component observations or … reporting panel observations using Observation.hasMember</t>
  </si>
  <si>
    <t>[US Core Vital Signs] observations **MAY**have [component](http://hl7.org/fhir/R4/observation.html#gr-comp) observations … [see] FHIR core specification [vital signs table](http://hl7.org/fhir/R4/observation-vitalsigns.html#vitals-table) for examples</t>
  </si>
  <si>
    <t>Communication.preferred **MAY**designate a preferred language when multiple languages are represented</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</si>
  <si>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**MAY**choose not to use use Project US@ Technical Specification for Patient Addresses Final Version 1.0 when sending historical records]</t>
  </si>
  <si>
    <t>communication.preferred **MAY**designate a preferred language when multiple languages are represented</t>
  </si>
  <si>
    <t>Systems **MAY**protect the confidentiality of data at rest via encryption and associated access controls.</t>
  </si>
  <si>
    <t>none to **SHOULD**</t>
  </si>
  <si>
    <t>Updates to .meta.lastUpdated **SHOULD** reflect:
Changes in the clinical status or verifications status of problems or health concerns.</t>
  </si>
  <si>
    <t>is-required to **SHALL**</t>
  </si>
  <si>
    <t>To provide a list of a patient’s medications, it may be necessary to “de-duplicate” them. The de-duplication activity **MAY** be  supplied by the Server</t>
  </si>
  <si>
    <t>Considerations for systems aligning with [HL7 Consolidated (C-CDA)] (http://www.hl7.org/implement/standards/product_brief.cfm?product_id=492) Care Plan requirements: Assessment and Plan **MAY** be  included as narrative in CarePlan.text</t>
  </si>
  <si>
    <t>A coverage.type of “81” (Self-pay) **MAY** be  used to imply that the patient has no coverage or that an individual or organization other than an insurer is taking responsibility for payment for a portion of the health care costs.</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</si>
  <si>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</si>
  <si>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</si>
  <si>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</si>
  <si>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</si>
  <si>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</si>
  <si>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</si>
  <si>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</si>
  <si>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</si>
  <si>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</si>
  <si>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</si>
  <si>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</si>
  <si>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</si>
  <si>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</si>
  <si>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</si>
  <si>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When using a code [to represent a medication][, the code **SHALL**follow the [extensible](http://hl7.org/fhir/R4/terminologies.html#extensible) binding rules to [Medication Clinical Drug (RxNorm)](https://vsac.nlm.nih.gov/valueset/2.16.840.1.113762.1.4.1010.4/expansion) - i.e., unless RxNorm does not cover the concept, the RxNorm code **SHALL** be  used.</t>
  </si>
  <si>
    <t>[The clinical status of the allergy] **SHALL** be  present if verification status is not “entered-in-error”</t>
  </si>
  <si>
    <t>UDI-PI elements present [in Device.udiCarrier.carrierHRF] **SHALL** be  represented in the corresponding US Core Implantable Device Profile elements</t>
  </si>
  <si>
    <t>The diagnostically relevant time (known as the “effective time” and typically the time of specimen collection) … **SHALL** be  present if status [of the diagnostic report] is ‘partial’, ‘preliminary’, ‘final’, ‘amended’, ‘corrected’, or ‘appended’.</t>
  </si>
  <si>
    <t>When the report was released … **SHALL** be  present if status [of the diagnostic report] is ‘partial’, ‘preliminary’, ‘final’, ‘amended’, ‘corrected’, or ‘appended’.</t>
  </si>
  <si>
    <t>The organization responsible for the DocumentReference **SHALL** be  present either in DocumentReference.custodian or accessible in the Provenance resource targeting the DocumentReference using Provenance.agent.who or Provenance.agent.onBehalfOf</t>
  </si>
  <si>
    <t>Because the blood pressure values are communicated in the mandatory systolic and diastolic components [when using the US Core Average Blood Pressure Profile,] the Observation.value[x] element **SHALL** be  omitted</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</si>
  <si>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</si>
  <si>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</si>
  <si>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</si>
  <si>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</si>
  <si>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</si>
  <si>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</si>
  <si>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</si>
  <si>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</si>
  <si>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</si>
  <si>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</si>
  <si>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</si>
  <si>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</si>
  <si>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</si>
  <si>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</si>
  <si>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</si>
  <si>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</si>
  <si>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</si>
  <si>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</si>
  <si>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</si>
  <si>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[The clinical status of the allergy] **SHALL NOT**  be present if verification Status is “entered-in-error”</t>
  </si>
  <si>
    <t>The [documentReference.content] element **SHALL NOT** contain different versions of the same content.</t>
  </si>
  <si>
    <t>[I]f any sub-element is marked as Must Support [for a complex element] and the parent element is not… [and] the parent element is represented in the structure, Servers **SHALL** support the sub-element(s) marked as Must Support.</t>
  </si>
  <si>
    <t>US Core Server[s] **SHALL** support token introspection defined by the SMART App Launch Guide. For more details and additional consideration, see SMART App Launch’s [Token Introspection](http://hl7.org/fhir/smart-app-launch/STU2/token-introspection.html#token-introspection).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</si>
  <si>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</si>
  <si>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“Backend-Services”, System-level scopes (system) describe data that a Client system is directly authorized to access. Systems that support system-level (system) scopes **SHALL** support the required US Core scopes</t>
  </si>
  <si>
    <t>Servers **SHALL** support, at minimum, these … "Common Clinical Notes":
[Consultation Note (11488-4)](https://loinc.org/11488-4.html)</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</si>
  <si>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</si>
  <si>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</si>
  <si>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</si>
  <si>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Servers **SHALL** support, at minimum, these … "Common Clinical Notes":
[Progress Note (11506-3)](https://loinc.org/11506-3.html)</t>
  </si>
  <si>
    <t>Servers **SHALL** support, at minimum, these … "Common Clinical Notes":
[Imaging Narrative (18748-4)](https://loinc.org/18748-4.html)</t>
  </si>
  <si>
    <t>Servers **SHALL** support, at minimum, these … "Common Clinical Notes":
[Laboratory Report Narrative (11502-2)](https://loinc.org/11502-2.html)</t>
  </si>
  <si>
    <t>Servers **SHALL** support, at minimum, these … "Common Clinical Notes":
[Pathology Report Narrative (11526-1)](https://loinc.org/11526-1.html)</t>
  </si>
  <si>
    <t>Servers **SHALL** support, at minimum, these … DiagnosticReport categories:
[Cardiology (LP29708-2)](https://loinc.org/LP29708-2)</t>
  </si>
  <si>
    <t>Servers **SHALL** support, at minimum, these … DiagnosticReport categories:
[Pathology (LP7839-6)](https://loinc.org/LP7839-6)</t>
  </si>
  <si>
    <t>Servers **SHALL** support, at minimum, these … DiagnosticReport categories:
[Radiology (LP29684-5)](https://loinc.org/LP29684-5)</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</si>
  <si>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</si>
  <si>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</si>
  <si>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</si>
  <si>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</si>
  <si>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</si>
  <si>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</si>
  <si>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</si>
  <si>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</si>
  <si>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if an external reference to Medication is used, the Server **SHALL** support the [_include](http://hl7.org/fhir/R4/search.html#include) parameter for searching this element</t>
  </si>
  <si>
    <t>Although both US Core Practitioner Profile and US Core PractitionerRole are Must Support, ... Server system[s conforming to the US Core CareTeam profile are] ... not required to support references to both, but **SHALL** support at least one of them</t>
  </si>
  <si>
    <t>[C]lient application[s conforming to the US Core CareTeam profile] **SHALL** support [US Core PractitionerRole Profile]</t>
  </si>
  <si>
    <t>[C]lient application[s conforming to the US Core CareTeam profile] **SHALL** support [US Core RelatedPerson Profile]</t>
  </si>
  <si>
    <t>A [US Core Condition Encounter Diagnosis] Server **SHALL** support Condition.recordedDate</t>
  </si>
  <si>
    <t>A Server **SHALL** support at least one of [assertedDate Extension](http://hl7.org/fhir/R4/extension-condition-asserteddate.html) and Condition.onsetDateTime.</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</si>
  <si>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</si>
  <si>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</si>
  <si>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</si>
  <si>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Although both [DocumentReference.attachment.url and DocumentReference.attachment.data] are marked as Must Support, the Server system is not required to support an address and inline base64 encoded data, but **SHALL** support at least one of these elements.</t>
  </si>
  <si>
    <t>The Client application **SHALL** support [DocumentReference.attachment.url]</t>
  </si>
  <si>
    <t>The Client application **SHALL** support [DocumentReference.attachment.data]</t>
  </si>
  <si>
    <t>Although ... marked as Must Support, Servers are not required to support both [an Encounter.reasonCode or a reference with Encounter.reasonReference], but they **SHALL** support at least one of these elements.</t>
  </si>
  <si>
    <t>The Client application **SHALL** support [ Encounter.reasonCode]</t>
  </si>
  <si>
    <t>The Client application **SHALL** support [Encounter.reasonReference]</t>
  </si>
  <si>
    <t>Although … marked as Must Support, Servers are not required to support both Encounter.location.location and Encounter.serviceProvider, but they **SHALL** support at least one of these elements.</t>
  </si>
  <si>
    <t>The Client application **SHALL** support [Encounter.location.location]</t>
  </si>
  <si>
    <t>The Client application **SHALL** support [Encounter.serviceProvider]</t>
  </si>
  <si>
    <t>Although both Goal.startDate and Goal.target.dueDate are marked as Must Support, the Server system is not required to support both, but **SHALL** support at least one of these elements.</t>
  </si>
  <si>
    <t>The Client application **SHALL** support ... Goal.startDate</t>
  </si>
  <si>
    <t>The Client application **SHALL** support ... Goal.target.dueDate</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</si>
  <si>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</si>
  <si>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</si>
  <si>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</si>
  <si>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</si>
  <si>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</si>
  <si>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</si>
  <si>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</si>
  <si>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The Client application **SHALL** support [medicationRequest.reporedtBoolean]</t>
  </si>
  <si>
    <t>The Client application **SHALL** support [MedicationRequest.reportedReference]</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</si>
  <si>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</si>
  <si>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</si>
  <si>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</si>
  <si>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and supporting MedicationRequest.reasonReference,] Servers **SHALL** support at least one target resource in MedicationRequest.reasonReference</t>
  </si>
  <si>
    <t>[For organizations participating in the ONC Health IT Certification program,] Clients **SHALL** support all target resources in MedicationRequest.reasonReference.</t>
  </si>
  <si>
    <t>the Server system ... **SHALL** support [either] Reference(US Core Observation Screening Assessment Profile) or Reference(US Core QuestionnaireResponse Profile) for Observation.derivedFrom</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</si>
  <si>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</si>
  <si>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</si>
  <si>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Systems **SHALL** support National Provider Identifier (NPI) for organizations</t>
  </si>
  <si>
    <t>Although Patient.deceased[x] is marked as additional USCDI, certifying systems are not required to support both [boolean and dateTime data types], but **SHALL** support [at] least Patient.deceasedDateTime</t>
  </si>
  <si>
    <t>The Client application **SHALL** support both [the PractionerRole profile and the Practioner.address element]</t>
  </si>
  <si>
    <t>[For organizations participating in the ONC Health IT Certification program] Servers … **SHALL** support ... US Core Procedure Profile for communicating the reason or justification for a referral as Additional USCDI Requirements</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</si>
  <si>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</si>
  <si>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</si>
  <si>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the ONC Health IT Certification program,] The certifying Client application **SHALL** support both [Procedure.reasonCode and Procedure.reasonReference]</t>
  </si>
  <si>
    <t>[For organizations participating in the ONC Health IT Certification program,] when using Procedure.reasonReference Servers **SHALL** support at least one target resource in Procedure.reasonReference</t>
  </si>
  <si>
    <t>[For organizations participating in the ONC Health IT Certification program,] when using Procedure.reasonReference … Clients **SHALL** support all target resources in Procedure.reasonReference</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</si>
  <si>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</si>
  <si>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</si>
  <si>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</si>
  <si>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[For organizations participating in the ONC Health IT Certification program,] The certifying Client application **SHALL** support both [ServiceRequest.reasonCode and ServiceRequest.reasonReference]</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</si>
  <si>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</si>
  <si>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</si>
  <si>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Although both Specimen.identifier and Specimen.accessionIdentifier are marked as Must Support, the Server system is not required to support both, but **SHALL** support at least one of these elements.</t>
  </si>
  <si>
    <t>The Client application **SHALL** support both [ Specimen.identifier and Specimen.accessionIdentifier]</t>
  </si>
  <si>
    <t>US Core Server **SHALL** support the US Core Patient resource profile</t>
  </si>
  <si>
    <t>US Core Server **SHALL** support … at least one additional resource profile [in addition to the US Core Patient resource profile] from the list of US Core Profiles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</si>
  <si>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</si>
  <si>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</si>
  <si>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Servers **SHALL** support, at minimum, these … "Common Clinical Notes":
[Surgical Operation Note (11504-8)](https://loinc.org/11504-8.html)</t>
  </si>
  <si>
    <t>Servers **SHALL** support, at minimum, these … "Common Clinical Notes":
[Emergency Department Note (34111-5)](https://loinc.org/34111-5.html)</t>
  </si>
  <si>
    <t>[For the US Core Observation Screening Assessment Profile,] the Client system ... **SHALL** support [both] Reference(US Core Observation Screening Assessment Profile) [and] Reference(US Core QuestionnaireResponse Profile) for Observation.derivedFrom</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</si>
  <si>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</si>
  <si>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</si>
  <si>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</si>
  <si>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Servers **MAY** support other scopes in addition to those listed below and in the Quick Start sections.</t>
  </si>
  <si>
    <t>[Clients] **MAY** support the transaction interaction</t>
  </si>
  <si>
    <t>[Clients] **MAY** support the batch interaction</t>
  </si>
  <si>
    <t>[Clients] **MAY** support the search-system interaction</t>
  </si>
  <si>
    <t>[Clients] **MAY** support the history-system interaction</t>
  </si>
  <si>
    <t>[Server] **MAY** support the transaction interaction</t>
  </si>
  <si>
    <t>[Server] **MAY** support the batch interaction</t>
  </si>
  <si>
    <t>[Server] **MAY** support the search-system interaction</t>
  </si>
  <si>
    <t>[Server] **MAY** support the history-system interaction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</si>
  <si>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</si>
  <si>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</si>
  <si>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</si>
  <si>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If a system receives a provider in Provenance.agent.who as free text, they must capture [the organization] who sent them the information [and upon] request ... **SHALL**  provide this organization as the source</t>
  </si>
  <si>
    <t>Implementations [US Core Responders] supporting Backend Services ... **SHALL**  include support for the Client-confidential-asymmetric capability.</t>
  </si>
  <si>
    <t>Implementations [US Core Responders] supporting Backend Services ... **SHALL**  include support for the ... system/scopes.</t>
  </si>
  <si>
    <t>Implementations [US Core Requestors] supporting Backend Services – for example, to meet US EHR certification requirements [of the ONC IT Health Certification program]- **SHALL**  include support for the Client-confidential-asymmetric capability and system/scopes.</t>
  </si>
  <si>
    <t>An Observation.component without a value, **SHALL**  include a reason why the data is absent</t>
  </si>
  <si>
    <t>An Observation without a value, **SHALL**  include a reason why the data is absent</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</si>
  <si>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</si>
  <si>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</si>
  <si>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</si>
  <si>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Systems **SHALL**  implement consent requirements per their state, local, and institutional policies.</t>
  </si>
  <si>
    <t xml:space="preserve">An `Observation.component` without a value, **SHALL**  include a reason why the data is absent. </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</si>
  <si>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</si>
  <si>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</si>
  <si>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If a system receives a provider in Provenance.agent.who as free text, … [upon request they] **MAY**  include the free text provider.</t>
  </si>
  <si>
    <t>Systems **MAY**  implement the [FHIR Digital Signatures](http://hl7.org/fhir/R4/security.html#digital%20signatures)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</si>
</sst>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
      <sz val="12"/>
      <color rgb="FF3B3B3B"/>
      <name val="Menlo"/>
      <family val="2"/>
    </font>
    <font>
      <b/>
      <sz val="12"/>
      <color rgb="FF00008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79">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3" fillId="0" borderId="0" xfId="1" applyAlignment="1">
      <alignment wrapText="1"/>
    </xf>
    <xf numFmtId="0" fontId="22" fillId="0" borderId="0" xfId="0" applyFont="1"/>
    <xf numFmtId="0" fontId="23"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73" tableType="queryTable" totalsRowShown="0" headerRowDxfId="29">
  <autoFilter ref="A1:AD673"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calculatedColumnFormula>SUBSTITUTE(SUBSTITUTE(PROPER(SUBSTITUTE(us_core_reqs[[#This Row],[Page]], "-", " "))&amp;": "&amp;PROPER(SUBSTITUTE(us_core_reqs[[#This Row],[Section]], "-", " ")),"Us ","US "), "Uscdi", "USCDI")</calculatedColumnFormula>
    </tableColumn>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hl7.org/fhir/us/core/STU8/must-support.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72" t="s">
        <v>1168</v>
      </c>
      <c r="B4" s="45"/>
      <c r="C4" s="27"/>
    </row>
    <row r="5" spans="1:3" ht="258" customHeight="1" x14ac:dyDescent="0.2">
      <c r="A5" s="73"/>
      <c r="B5" s="46"/>
      <c r="C5" s="26"/>
    </row>
    <row r="6" spans="1:3" ht="164" x14ac:dyDescent="0.2">
      <c r="A6" s="21" t="s">
        <v>4</v>
      </c>
      <c r="B6" s="47"/>
      <c r="C6" s="48"/>
    </row>
    <row r="7" spans="1:3" ht="98" customHeight="1" x14ac:dyDescent="0.2">
      <c r="A7" s="74" t="s">
        <v>5</v>
      </c>
      <c r="B7" s="75"/>
      <c r="C7" s="44"/>
    </row>
    <row r="8" spans="1:3" ht="126" customHeight="1" x14ac:dyDescent="0.2">
      <c r="A8" s="74"/>
      <c r="B8" s="76"/>
      <c r="C8" s="44"/>
    </row>
    <row r="9" spans="1:3" ht="68" customHeight="1" x14ac:dyDescent="0.2">
      <c r="A9" s="72"/>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73"/>
  <sheetViews>
    <sheetView tabSelected="1" topLeftCell="A461" zoomScale="140" zoomScaleNormal="140" workbookViewId="0">
      <selection activeCell="F461" sqref="F461"/>
    </sheetView>
  </sheetViews>
  <sheetFormatPr baseColWidth="10" defaultRowHeight="16" x14ac:dyDescent="0.2"/>
  <cols>
    <col min="1" max="1" width="11.1640625" bestFit="1" customWidth="1"/>
    <col min="3" max="3" width="11.1640625" bestFit="1" customWidth="1"/>
    <col min="4" max="4" width="54.5" style="11" customWidth="1"/>
    <col min="5" max="5" width="23.5" customWidth="1"/>
    <col min="6" max="6" width="58.1640625" style="11" customWidth="1"/>
    <col min="7" max="7" width="12.1640625" bestFit="1" customWidth="1"/>
    <col min="8" max="8" width="26" customWidth="1"/>
    <col min="9" max="9" width="14.5" customWidth="1"/>
    <col min="10" max="10" width="13.1640625" bestFit="1" customWidth="1"/>
    <col min="11" max="11" width="15.6640625"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1835</v>
      </c>
      <c r="D1" s="11" t="s">
        <v>8</v>
      </c>
      <c r="E1" t="s">
        <v>1840</v>
      </c>
      <c r="F1" s="11" t="s">
        <v>1836</v>
      </c>
      <c r="G1" t="s">
        <v>1837</v>
      </c>
      <c r="H1" t="s">
        <v>1844</v>
      </c>
      <c r="I1" t="s">
        <v>1838</v>
      </c>
      <c r="J1" t="s">
        <v>1839</v>
      </c>
      <c r="K1" t="s">
        <v>12</v>
      </c>
      <c r="L1" t="s">
        <v>1885</v>
      </c>
      <c r="M1" t="s">
        <v>14</v>
      </c>
      <c r="N1" t="s">
        <v>15</v>
      </c>
      <c r="O1" t="s">
        <v>16</v>
      </c>
      <c r="P1" t="s">
        <v>17</v>
      </c>
      <c r="Q1" t="s">
        <v>18</v>
      </c>
      <c r="R1" t="s">
        <v>19</v>
      </c>
      <c r="S1" t="s">
        <v>20</v>
      </c>
      <c r="T1" t="s">
        <v>1841</v>
      </c>
      <c r="U1" t="s">
        <v>21</v>
      </c>
      <c r="V1" t="s">
        <v>22</v>
      </c>
      <c r="W1" t="s">
        <v>23</v>
      </c>
      <c r="X1" t="s">
        <v>24</v>
      </c>
      <c r="Y1" t="s">
        <v>25</v>
      </c>
      <c r="Z1" t="s">
        <v>26</v>
      </c>
      <c r="AA1" t="s">
        <v>27</v>
      </c>
      <c r="AB1" t="s">
        <v>28</v>
      </c>
      <c r="AC1" t="s">
        <v>1139</v>
      </c>
      <c r="AD1" t="s">
        <v>1169</v>
      </c>
    </row>
    <row r="2" spans="1:30" ht="51" x14ac:dyDescent="0.2">
      <c r="A2" t="s">
        <v>1171</v>
      </c>
      <c r="B2" t="s">
        <v>1172</v>
      </c>
      <c r="C2" t="str">
        <f>"CONF-"&amp;TEXT(us_core_reqs[[#This Row],[ID*]], "0000")</f>
        <v>CONF-0001</v>
      </c>
      <c r="D2" s="11" t="s">
        <v>610</v>
      </c>
      <c r="E2" t="str">
        <f>SUBSTITUTE(us_core_reqs[[#This Row],[URL*]], "https://hl7.org/fhir/us/core/STU8/","")</f>
        <v>general-requirements.html#profile-only-support</v>
      </c>
      <c r="F2" s="11" t="s">
        <v>961</v>
      </c>
      <c r="G2" t="s">
        <v>29</v>
      </c>
      <c r="I2" t="s">
        <v>30</v>
      </c>
      <c r="J2" t="s">
        <v>1171</v>
      </c>
      <c r="K2" t="s">
        <v>1171</v>
      </c>
      <c r="L2" t="s">
        <v>1173</v>
      </c>
      <c r="M2" t="s">
        <v>1171</v>
      </c>
      <c r="N2" t="s">
        <v>1171</v>
      </c>
      <c r="O2" t="s">
        <v>1171</v>
      </c>
      <c r="P2" t="s">
        <v>1171</v>
      </c>
      <c r="Q2" t="s">
        <v>1171</v>
      </c>
      <c r="R2" t="str">
        <f>_xlfn.TEXTBEFORE(_xlfn.TEXTAFTER(us_core_reqs[[#This Row],[URL*]],"/",-1),".")</f>
        <v>general-requirements</v>
      </c>
      <c r="S2" t="str">
        <f>_xlfn.TEXTAFTER(us_core_reqs[[#This Row],[URL*]],"#",-1)</f>
        <v>profile-only-support</v>
      </c>
      <c r="T2" t="str">
        <f>SUBSTITUTE(SUBSTITUTE(PROPER(SUBSTITUTE(us_core_reqs[[#This Row],[Page]], "-", " "))&amp;": "&amp;PROPER(SUBSTITUTE(us_core_reqs[[#This Row],[Section]], "-", " ")),"Us ","US "), "Uscdi", "USCDI")</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1174</v>
      </c>
      <c r="C3" t="str">
        <f>"CONF-"&amp;TEXT(us_core_reqs[[#This Row],[ID*]], "0000")</f>
        <v>CONF-0002</v>
      </c>
      <c r="D3" s="11" t="s">
        <v>610</v>
      </c>
      <c r="E3" t="str">
        <f>SUBSTITUTE(us_core_reqs[[#This Row],[URL*]], "https://hl7.org/fhir/us/core/STU8/","")</f>
        <v>general-requirements.html#profile-only-support</v>
      </c>
      <c r="F3" s="11" t="s">
        <v>962</v>
      </c>
      <c r="G3" t="s">
        <v>32</v>
      </c>
      <c r="I3" t="s">
        <v>30</v>
      </c>
      <c r="J3" t="s">
        <v>1171</v>
      </c>
      <c r="K3" t="s">
        <v>1171</v>
      </c>
      <c r="L3" t="s">
        <v>1173</v>
      </c>
      <c r="M3" t="s">
        <v>1171</v>
      </c>
      <c r="N3" t="s">
        <v>1171</v>
      </c>
      <c r="O3" t="s">
        <v>1171</v>
      </c>
      <c r="P3" t="s">
        <v>1171</v>
      </c>
      <c r="Q3" t="s">
        <v>1171</v>
      </c>
      <c r="R3" t="str">
        <f>_xlfn.TEXTBEFORE(_xlfn.TEXTAFTER(us_core_reqs[[#This Row],[URL*]],"/",-1),".")</f>
        <v>general-requirements</v>
      </c>
      <c r="S3" t="str">
        <f>_xlfn.TEXTAFTER(us_core_reqs[[#This Row],[URL*]],"#",-1)</f>
        <v>profile-only-support</v>
      </c>
      <c r="T3" t="str">
        <f>SUBSTITUTE(SUBSTITUTE(PROPER(SUBSTITUTE(us_core_reqs[[#This Row],[Page]], "-", " "))&amp;": "&amp;PROPER(SUBSTITUTE(us_core_reqs[[#This Row],[Section]], "-", " ")),"Us ","US "), "Uscdi", "USCDI")</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1175</v>
      </c>
      <c r="C4" t="str">
        <f>"CONF-"&amp;TEXT(us_core_reqs[[#This Row],[ID*]], "0000")</f>
        <v>CONF-0003</v>
      </c>
      <c r="D4" s="11" t="s">
        <v>817</v>
      </c>
      <c r="E4" t="str">
        <f>SUBSTITUTE(us_core_reqs[[#This Row],[URL*]], "https://hl7.org/fhir/us/core/STU8/","")</f>
        <v>general-requirements.html#profile-support--interaction-support</v>
      </c>
      <c r="F4" s="11" t="s">
        <v>34</v>
      </c>
      <c r="G4" t="s">
        <v>35</v>
      </c>
      <c r="I4" t="s">
        <v>30</v>
      </c>
      <c r="J4" t="s">
        <v>1171</v>
      </c>
      <c r="K4" t="s">
        <v>1095</v>
      </c>
      <c r="L4" t="s">
        <v>1176</v>
      </c>
      <c r="M4" t="s">
        <v>36</v>
      </c>
      <c r="N4" t="s">
        <v>1171</v>
      </c>
      <c r="O4" t="s">
        <v>1171</v>
      </c>
      <c r="P4" t="s">
        <v>1171</v>
      </c>
      <c r="Q4" t="s">
        <v>1171</v>
      </c>
      <c r="R4" t="str">
        <f>_xlfn.TEXTBEFORE(_xlfn.TEXTAFTER(us_core_reqs[[#This Row],[URL*]],"/",-1),".")</f>
        <v>general-requirements</v>
      </c>
      <c r="S4" t="str">
        <f>_xlfn.TEXTAFTER(us_core_reqs[[#This Row],[URL*]],"#",-1)</f>
        <v>profile-support--interaction-support</v>
      </c>
      <c r="T4" t="str">
        <f>SUBSTITUTE(SUBSTITUTE(PROPER(SUBSTITUTE(us_core_reqs[[#This Row],[Page]], "-", " "))&amp;": "&amp;PROPER(SUBSTITUTE(us_core_reqs[[#This Row],[Section]], "-", " ")),"Us ","US "), "Uscdi", "USCDI")</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1177</v>
      </c>
      <c r="C5" t="str">
        <f>"CONF-"&amp;TEXT(us_core_reqs[[#This Row],[ID*]], "0000")</f>
        <v>CONF-0004</v>
      </c>
      <c r="D5" s="11" t="s">
        <v>817</v>
      </c>
      <c r="E5" t="str">
        <f>SUBSTITUTE(us_core_reqs[[#This Row],[URL*]], "https://hl7.org/fhir/us/core/STU8/","")</f>
        <v>general-requirements.html#profile-support--interaction-support</v>
      </c>
      <c r="F5" s="11" t="s">
        <v>37</v>
      </c>
      <c r="G5" t="s">
        <v>35</v>
      </c>
      <c r="I5" t="s">
        <v>30</v>
      </c>
      <c r="J5" t="s">
        <v>1171</v>
      </c>
      <c r="K5" t="s">
        <v>1171</v>
      </c>
      <c r="L5" t="s">
        <v>1176</v>
      </c>
      <c r="M5" t="s">
        <v>1171</v>
      </c>
      <c r="N5" t="s">
        <v>1171</v>
      </c>
      <c r="O5" t="s">
        <v>1171</v>
      </c>
      <c r="P5" t="s">
        <v>1171</v>
      </c>
      <c r="Q5" t="s">
        <v>1171</v>
      </c>
      <c r="R5" t="str">
        <f>_xlfn.TEXTBEFORE(_xlfn.TEXTAFTER(us_core_reqs[[#This Row],[URL*]],"/",-1),".")</f>
        <v>general-requirements</v>
      </c>
      <c r="S5" t="str">
        <f>_xlfn.TEXTAFTER(us_core_reqs[[#This Row],[URL*]],"#",-1)</f>
        <v>profile-support--interaction-support</v>
      </c>
      <c r="T5" t="str">
        <f>SUBSTITUTE(SUBSTITUTE(PROPER(SUBSTITUTE(us_core_reqs[[#This Row],[Page]], "-", " "))&amp;": "&amp;PROPER(SUBSTITUTE(us_core_reqs[[#This Row],[Section]], "-", " ")),"Us ","US "), "Uscdi", "USCDI")</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1178</v>
      </c>
      <c r="C6" t="str">
        <f>"CONF-"&amp;TEXT(us_core_reqs[[#This Row],[ID*]], "0000")</f>
        <v>CONF-0005</v>
      </c>
      <c r="D6" s="11" t="s">
        <v>817</v>
      </c>
      <c r="E6" t="str">
        <f>SUBSTITUTE(us_core_reqs[[#This Row],[URL*]], "https://hl7.org/fhir/us/core/STU8/","")</f>
        <v>general-requirements.html#profile-support--interaction-support</v>
      </c>
      <c r="F6" s="11" t="s">
        <v>38</v>
      </c>
      <c r="G6" t="s">
        <v>35</v>
      </c>
      <c r="I6" t="s">
        <v>30</v>
      </c>
      <c r="J6" t="s">
        <v>1171</v>
      </c>
      <c r="K6" t="s">
        <v>1171</v>
      </c>
      <c r="L6" t="s">
        <v>1176</v>
      </c>
      <c r="M6" t="s">
        <v>1171</v>
      </c>
      <c r="N6" t="s">
        <v>1171</v>
      </c>
      <c r="O6" t="s">
        <v>1171</v>
      </c>
      <c r="P6" t="s">
        <v>1171</v>
      </c>
      <c r="Q6" t="s">
        <v>1171</v>
      </c>
      <c r="R6" t="str">
        <f>_xlfn.TEXTBEFORE(_xlfn.TEXTAFTER(us_core_reqs[[#This Row],[URL*]],"/",-1),".")</f>
        <v>general-requirements</v>
      </c>
      <c r="S6" t="str">
        <f>_xlfn.TEXTAFTER(us_core_reqs[[#This Row],[URL*]],"#",-1)</f>
        <v>profile-support--interaction-support</v>
      </c>
      <c r="T6" t="str">
        <f>SUBSTITUTE(SUBSTITUTE(PROPER(SUBSTITUTE(us_core_reqs[[#This Row],[Page]], "-", " "))&amp;": "&amp;PROPER(SUBSTITUTE(us_core_reqs[[#This Row],[Section]], "-", " ")),"Us ","US "), "Uscdi", "USCDI")</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1179</v>
      </c>
      <c r="C7" t="str">
        <f>"CONF-"&amp;TEXT(us_core_reqs[[#This Row],[ID*]], "0000")</f>
        <v>CONF-0006</v>
      </c>
      <c r="D7" s="11" t="s">
        <v>817</v>
      </c>
      <c r="E7" t="str">
        <f>SUBSTITUTE(us_core_reqs[[#This Row],[URL*]], "https://hl7.org/fhir/us/core/STU8/","")</f>
        <v>general-requirements.html#profile-support--interaction-support</v>
      </c>
      <c r="F7" s="11" t="s">
        <v>39</v>
      </c>
      <c r="G7" t="s">
        <v>35</v>
      </c>
      <c r="I7" t="s">
        <v>30</v>
      </c>
      <c r="J7" t="s">
        <v>1171</v>
      </c>
      <c r="K7" t="s">
        <v>1171</v>
      </c>
      <c r="L7" t="s">
        <v>1176</v>
      </c>
      <c r="M7" t="s">
        <v>1171</v>
      </c>
      <c r="N7" t="s">
        <v>1171</v>
      </c>
      <c r="O7" t="s">
        <v>1171</v>
      </c>
      <c r="P7" t="s">
        <v>1171</v>
      </c>
      <c r="Q7" t="s">
        <v>1171</v>
      </c>
      <c r="R7" t="str">
        <f>_xlfn.TEXTBEFORE(_xlfn.TEXTAFTER(us_core_reqs[[#This Row],[URL*]],"/",-1),".")</f>
        <v>general-requirements</v>
      </c>
      <c r="S7" t="str">
        <f>_xlfn.TEXTAFTER(us_core_reqs[[#This Row],[URL*]],"#",-1)</f>
        <v>profile-support--interaction-support</v>
      </c>
      <c r="T7" t="str">
        <f>SUBSTITUTE(SUBSTITUTE(PROPER(SUBSTITUTE(us_core_reqs[[#This Row],[Page]], "-", " "))&amp;": "&amp;PROPER(SUBSTITUTE(us_core_reqs[[#This Row],[Section]], "-", " ")),"Us ","US "), "Uscdi", "USCDI")</f>
        <v>General Requirements: Profile Support  Interaction Support</v>
      </c>
      <c r="U7" t="s">
        <v>35</v>
      </c>
      <c r="V7" t="s">
        <v>30</v>
      </c>
      <c r="W7" t="s">
        <v>33</v>
      </c>
      <c r="X7" t="s">
        <v>1171</v>
      </c>
      <c r="Y7" t="s">
        <v>1171</v>
      </c>
      <c r="Z7" t="s">
        <v>1171</v>
      </c>
      <c r="AA7" t="s">
        <v>1171</v>
      </c>
      <c r="AB7" t="s">
        <v>1171</v>
      </c>
      <c r="AC7" t="s">
        <v>1171</v>
      </c>
      <c r="AD7" t="s">
        <v>1171</v>
      </c>
    </row>
    <row r="8" spans="1:30" ht="51" x14ac:dyDescent="0.2">
      <c r="A8" t="s">
        <v>1171</v>
      </c>
      <c r="B8" t="s">
        <v>1180</v>
      </c>
      <c r="C8" t="str">
        <f>"CONF-"&amp;TEXT(us_core_reqs[[#This Row],[ID*]], "0000")</f>
        <v>CONF-0007</v>
      </c>
      <c r="D8" s="11" t="s">
        <v>817</v>
      </c>
      <c r="E8" t="str">
        <f>SUBSTITUTE(us_core_reqs[[#This Row],[URL*]], "https://hl7.org/fhir/us/core/STU8/","")</f>
        <v>general-requirements.html#profile-support--interaction-support</v>
      </c>
      <c r="F8" s="11" t="s">
        <v>40</v>
      </c>
      <c r="G8" t="s">
        <v>35</v>
      </c>
      <c r="I8" t="s">
        <v>30</v>
      </c>
      <c r="J8" t="s">
        <v>1171</v>
      </c>
      <c r="K8" t="s">
        <v>1171</v>
      </c>
      <c r="L8" t="s">
        <v>1176</v>
      </c>
      <c r="M8" t="s">
        <v>1171</v>
      </c>
      <c r="N8" t="s">
        <v>1171</v>
      </c>
      <c r="O8" t="s">
        <v>1171</v>
      </c>
      <c r="P8" t="s">
        <v>1171</v>
      </c>
      <c r="Q8" t="s">
        <v>1171</v>
      </c>
      <c r="R8" t="str">
        <f>_xlfn.TEXTBEFORE(_xlfn.TEXTAFTER(us_core_reqs[[#This Row],[URL*]],"/",-1),".")</f>
        <v>general-requirements</v>
      </c>
      <c r="S8" t="str">
        <f>_xlfn.TEXTAFTER(us_core_reqs[[#This Row],[URL*]],"#",-1)</f>
        <v>profile-support--interaction-support</v>
      </c>
      <c r="T8" t="str">
        <f>SUBSTITUTE(SUBSTITUTE(PROPER(SUBSTITUTE(us_core_reqs[[#This Row],[Page]], "-", " "))&amp;": "&amp;PROPER(SUBSTITUTE(us_core_reqs[[#This Row],[Section]], "-", " ")),"Us ","US "), "Uscdi", "USCDI")</f>
        <v>General Requirements: Profile Support  Interaction Support</v>
      </c>
      <c r="U8" t="s">
        <v>35</v>
      </c>
      <c r="V8" t="s">
        <v>30</v>
      </c>
      <c r="W8" t="s">
        <v>33</v>
      </c>
      <c r="X8" t="s">
        <v>1171</v>
      </c>
      <c r="Y8" t="s">
        <v>1171</v>
      </c>
      <c r="Z8" t="s">
        <v>1171</v>
      </c>
      <c r="AA8" t="s">
        <v>1171</v>
      </c>
      <c r="AB8" t="s">
        <v>1171</v>
      </c>
      <c r="AC8" t="s">
        <v>1171</v>
      </c>
      <c r="AD8" t="s">
        <v>1171</v>
      </c>
    </row>
    <row r="9" spans="1:30" ht="51" x14ac:dyDescent="0.2">
      <c r="A9" t="s">
        <v>1171</v>
      </c>
      <c r="B9" t="s">
        <v>1181</v>
      </c>
      <c r="C9" t="str">
        <f>"CONF-"&amp;TEXT(us_core_reqs[[#This Row],[ID*]], "0000")</f>
        <v>CONF-0008</v>
      </c>
      <c r="D9" s="11" t="s">
        <v>817</v>
      </c>
      <c r="E9" t="str">
        <f>SUBSTITUTE(us_core_reqs[[#This Row],[URL*]], "https://hl7.org/fhir/us/core/STU8/","")</f>
        <v>general-requirements.html#profile-support--interaction-support</v>
      </c>
      <c r="F9" s="11" t="s">
        <v>41</v>
      </c>
      <c r="G9" t="s">
        <v>35</v>
      </c>
      <c r="I9" t="s">
        <v>30</v>
      </c>
      <c r="J9" t="s">
        <v>1171</v>
      </c>
      <c r="K9" t="s">
        <v>1171</v>
      </c>
      <c r="L9" t="s">
        <v>1176</v>
      </c>
      <c r="M9" t="s">
        <v>1171</v>
      </c>
      <c r="N9" t="s">
        <v>1171</v>
      </c>
      <c r="O9" t="s">
        <v>1171</v>
      </c>
      <c r="P9" t="s">
        <v>1171</v>
      </c>
      <c r="Q9" t="s">
        <v>1171</v>
      </c>
      <c r="R9" t="str">
        <f>_xlfn.TEXTBEFORE(_xlfn.TEXTAFTER(us_core_reqs[[#This Row],[URL*]],"/",-1),".")</f>
        <v>general-requirements</v>
      </c>
      <c r="S9" t="str">
        <f>_xlfn.TEXTAFTER(us_core_reqs[[#This Row],[URL*]],"#",-1)</f>
        <v>profile-support--interaction-support</v>
      </c>
      <c r="T9" t="str">
        <f>SUBSTITUTE(SUBSTITUTE(PROPER(SUBSTITUTE(us_core_reqs[[#This Row],[Page]], "-", " "))&amp;": "&amp;PROPER(SUBSTITUTE(us_core_reqs[[#This Row],[Section]], "-", " ")),"Us ","US "), "Uscdi", "USCDI")</f>
        <v>General Requirements: Profile Support  Interaction Support</v>
      </c>
      <c r="U9" t="s">
        <v>35</v>
      </c>
      <c r="V9" t="s">
        <v>30</v>
      </c>
      <c r="W9" t="s">
        <v>33</v>
      </c>
      <c r="X9" t="s">
        <v>1171</v>
      </c>
      <c r="Y9" t="s">
        <v>1171</v>
      </c>
      <c r="Z9" t="s">
        <v>1171</v>
      </c>
      <c r="AA9" t="s">
        <v>1171</v>
      </c>
      <c r="AB9" t="s">
        <v>1171</v>
      </c>
      <c r="AC9" t="s">
        <v>1171</v>
      </c>
      <c r="AD9" t="s">
        <v>1171</v>
      </c>
    </row>
    <row r="10" spans="1:30" ht="68" x14ac:dyDescent="0.2">
      <c r="A10" t="s">
        <v>1171</v>
      </c>
      <c r="B10" t="s">
        <v>1182</v>
      </c>
      <c r="C10" t="str">
        <f>"CONF-"&amp;TEXT(us_core_reqs[[#This Row],[ID*]], "0000")</f>
        <v>CONF-0009</v>
      </c>
      <c r="D10" s="11" t="s">
        <v>817</v>
      </c>
      <c r="E10" t="str">
        <f>SUBSTITUTE(us_core_reqs[[#This Row],[URL*]], "https://hl7.org/fhir/us/core/STU8/","")</f>
        <v>general-requirements.html#profile-support--interaction-support</v>
      </c>
      <c r="F10" s="11" t="s">
        <v>42</v>
      </c>
      <c r="G10" t="s">
        <v>35</v>
      </c>
      <c r="I10" t="s">
        <v>30</v>
      </c>
      <c r="J10" t="s">
        <v>1171</v>
      </c>
      <c r="K10" t="s">
        <v>1171</v>
      </c>
      <c r="L10" t="s">
        <v>1176</v>
      </c>
      <c r="M10" t="s">
        <v>1171</v>
      </c>
      <c r="N10" t="s">
        <v>1171</v>
      </c>
      <c r="O10" t="s">
        <v>1171</v>
      </c>
      <c r="P10" t="s">
        <v>1171</v>
      </c>
      <c r="Q10" t="s">
        <v>1171</v>
      </c>
      <c r="R10" t="str">
        <f>_xlfn.TEXTBEFORE(_xlfn.TEXTAFTER(us_core_reqs[[#This Row],[URL*]],"/",-1),".")</f>
        <v>general-requirements</v>
      </c>
      <c r="S10" t="str">
        <f>_xlfn.TEXTAFTER(us_core_reqs[[#This Row],[URL*]],"#",-1)</f>
        <v>profile-support--interaction-support</v>
      </c>
      <c r="T10" t="str">
        <f>SUBSTITUTE(SUBSTITUTE(PROPER(SUBSTITUTE(us_core_reqs[[#This Row],[Page]], "-", " "))&amp;": "&amp;PROPER(SUBSTITUTE(us_core_reqs[[#This Row],[Section]], "-", " ")),"Us ","US "), "Uscdi", "USCDI")</f>
        <v>General Requirements: Profile Support  Interaction Support</v>
      </c>
      <c r="U10" t="s">
        <v>1171</v>
      </c>
      <c r="V10" t="s">
        <v>30</v>
      </c>
      <c r="W10" t="s">
        <v>33</v>
      </c>
      <c r="X10" t="s">
        <v>1171</v>
      </c>
      <c r="Y10" t="s">
        <v>1171</v>
      </c>
      <c r="Z10" t="s">
        <v>1171</v>
      </c>
      <c r="AA10" t="s">
        <v>1171</v>
      </c>
      <c r="AB10" t="s">
        <v>1171</v>
      </c>
      <c r="AC10" t="s">
        <v>1171</v>
      </c>
      <c r="AD10" t="s">
        <v>1171</v>
      </c>
    </row>
    <row r="11" spans="1:30" ht="51" x14ac:dyDescent="0.2">
      <c r="A11" t="s">
        <v>1171</v>
      </c>
      <c r="B11" t="s">
        <v>1183</v>
      </c>
      <c r="C11" t="str">
        <f>"CONF-"&amp;TEXT(us_core_reqs[[#This Row],[ID*]], "0000")</f>
        <v>CONF-0010</v>
      </c>
      <c r="D11" s="11" t="s">
        <v>817</v>
      </c>
      <c r="E11" t="str">
        <f>SUBSTITUTE(us_core_reqs[[#This Row],[URL*]], "https://hl7.org/fhir/us/core/STU8/","")</f>
        <v>general-requirements.html#profile-support--interaction-support</v>
      </c>
      <c r="F11" s="11" t="s">
        <v>43</v>
      </c>
      <c r="G11" t="s">
        <v>35</v>
      </c>
      <c r="I11" t="s">
        <v>30</v>
      </c>
      <c r="J11" t="s">
        <v>1171</v>
      </c>
      <c r="K11" t="s">
        <v>1171</v>
      </c>
      <c r="L11" t="s">
        <v>1176</v>
      </c>
      <c r="M11" t="s">
        <v>1171</v>
      </c>
      <c r="N11" t="s">
        <v>1171</v>
      </c>
      <c r="O11" t="s">
        <v>1171</v>
      </c>
      <c r="P11" t="s">
        <v>1171</v>
      </c>
      <c r="Q11" t="s">
        <v>1171</v>
      </c>
      <c r="R11" t="str">
        <f>_xlfn.TEXTBEFORE(_xlfn.TEXTAFTER(us_core_reqs[[#This Row],[URL*]],"/",-1),".")</f>
        <v>general-requirements</v>
      </c>
      <c r="S11" t="str">
        <f>_xlfn.TEXTAFTER(us_core_reqs[[#This Row],[URL*]],"#",-1)</f>
        <v>profile-support--interaction-support</v>
      </c>
      <c r="T11" t="str">
        <f>SUBSTITUTE(SUBSTITUTE(PROPER(SUBSTITUTE(us_core_reqs[[#This Row],[Page]], "-", " "))&amp;": "&amp;PROPER(SUBSTITUTE(us_core_reqs[[#This Row],[Section]], "-", " ")),"Us ","US "), "Uscdi", "USCDI")</f>
        <v>General Requirements: Profile Support  Interaction Support</v>
      </c>
      <c r="U11" t="s">
        <v>1171</v>
      </c>
      <c r="V11" t="s">
        <v>30</v>
      </c>
      <c r="W11" t="s">
        <v>33</v>
      </c>
      <c r="X11" t="s">
        <v>1171</v>
      </c>
      <c r="Y11" t="s">
        <v>1171</v>
      </c>
      <c r="Z11" t="s">
        <v>1171</v>
      </c>
      <c r="AA11" t="s">
        <v>1171</v>
      </c>
      <c r="AB11" t="s">
        <v>1171</v>
      </c>
      <c r="AC11" t="s">
        <v>1171</v>
      </c>
      <c r="AD11" t="s">
        <v>1171</v>
      </c>
    </row>
    <row r="12" spans="1:30" ht="85" x14ac:dyDescent="0.2">
      <c r="A12" t="s">
        <v>1171</v>
      </c>
      <c r="B12" t="s">
        <v>1184</v>
      </c>
      <c r="C12" t="str">
        <f>"CONF-"&amp;TEXT(us_core_reqs[[#This Row],[ID*]], "0000")</f>
        <v>CONF-0011</v>
      </c>
      <c r="D12" s="11" t="s">
        <v>817</v>
      </c>
      <c r="E12" t="str">
        <f>SUBSTITUTE(us_core_reqs[[#This Row],[URL*]], "https://hl7.org/fhir/us/core/STU8/","")</f>
        <v>general-requirements.html#profile-support--interaction-support</v>
      </c>
      <c r="F12" s="11" t="s">
        <v>1842</v>
      </c>
      <c r="G12" t="s">
        <v>29</v>
      </c>
      <c r="H12" s="68" t="s">
        <v>1845</v>
      </c>
      <c r="I12" t="s">
        <v>30</v>
      </c>
      <c r="J12" t="s">
        <v>1176</v>
      </c>
      <c r="K12" t="s">
        <v>1171</v>
      </c>
      <c r="L12" t="b">
        <v>0</v>
      </c>
      <c r="M12" t="s">
        <v>1171</v>
      </c>
      <c r="N12" t="s">
        <v>44</v>
      </c>
      <c r="O12" t="s">
        <v>1171</v>
      </c>
      <c r="P12" t="s">
        <v>45</v>
      </c>
      <c r="Q12" t="s">
        <v>46</v>
      </c>
      <c r="R12" t="str">
        <f>_xlfn.TEXTBEFORE(_xlfn.TEXTAFTER(us_core_reqs[[#This Row],[URL*]],"/",-1),".")</f>
        <v>general-requirements</v>
      </c>
      <c r="S12" t="str">
        <f>_xlfn.TEXTAFTER(us_core_reqs[[#This Row],[URL*]],"#",-1)</f>
        <v>profile-support--interaction-support</v>
      </c>
      <c r="T12" t="str">
        <f>SUBSTITUTE(SUBSTITUTE(PROPER(SUBSTITUTE(us_core_reqs[[#This Row],[Page]], "-", " "))&amp;": "&amp;PROPER(SUBSTITUTE(us_core_reqs[[#This Row],[Section]], "-", " ")),"Us ","US "), "Uscdi", "USCDI")</f>
        <v>General Requirements: Profile Support  Interaction Support</v>
      </c>
      <c r="U12" t="s">
        <v>1171</v>
      </c>
      <c r="V12" t="s">
        <v>30</v>
      </c>
      <c r="W12" t="s">
        <v>33</v>
      </c>
      <c r="X12" t="s">
        <v>1171</v>
      </c>
      <c r="Y12" t="s">
        <v>1171</v>
      </c>
      <c r="Z12" t="s">
        <v>1171</v>
      </c>
      <c r="AA12" t="s">
        <v>1171</v>
      </c>
      <c r="AB12" t="s">
        <v>47</v>
      </c>
      <c r="AC12" t="s">
        <v>1141</v>
      </c>
      <c r="AD12" t="s">
        <v>1171</v>
      </c>
    </row>
    <row r="13" spans="1:30" ht="102" x14ac:dyDescent="0.2">
      <c r="A13" t="s">
        <v>1171</v>
      </c>
      <c r="B13" t="s">
        <v>1185</v>
      </c>
      <c r="C13" t="str">
        <f>"CONF-"&amp;TEXT(us_core_reqs[[#This Row],[ID*]], "0000")</f>
        <v>CONF-0012</v>
      </c>
      <c r="D13" s="11" t="s">
        <v>817</v>
      </c>
      <c r="E13" t="str">
        <f>SUBSTITUTE(us_core_reqs[[#This Row],[URL*]], "https://hl7.org/fhir/us/core/STU8/","")</f>
        <v>general-requirements.html#profile-support--interaction-support</v>
      </c>
      <c r="F13" s="11" t="s">
        <v>1843</v>
      </c>
      <c r="G13" t="s">
        <v>29</v>
      </c>
      <c r="H13" s="68" t="s">
        <v>1845</v>
      </c>
      <c r="I13" t="s">
        <v>30</v>
      </c>
      <c r="J13" t="s">
        <v>1176</v>
      </c>
      <c r="K13" t="s">
        <v>1171</v>
      </c>
      <c r="L13" t="b">
        <v>0</v>
      </c>
      <c r="M13" t="s">
        <v>1171</v>
      </c>
      <c r="N13" t="s">
        <v>44</v>
      </c>
      <c r="O13" t="s">
        <v>1171</v>
      </c>
      <c r="P13" t="s">
        <v>45</v>
      </c>
      <c r="Q13" t="s">
        <v>46</v>
      </c>
      <c r="R13" t="str">
        <f>_xlfn.TEXTBEFORE(_xlfn.TEXTAFTER(us_core_reqs[[#This Row],[URL*]],"/",-1),".")</f>
        <v>general-requirements</v>
      </c>
      <c r="S13" t="str">
        <f>_xlfn.TEXTAFTER(us_core_reqs[[#This Row],[URL*]],"#",-1)</f>
        <v>profile-support--interaction-support</v>
      </c>
      <c r="T13" t="str">
        <f>SUBSTITUTE(SUBSTITUTE(PROPER(SUBSTITUTE(us_core_reqs[[#This Row],[Page]], "-", " "))&amp;": "&amp;PROPER(SUBSTITUTE(us_core_reqs[[#This Row],[Section]], "-", " ")),"Us ","US "), "Uscdi", "USCDI")</f>
        <v>General Requirements: Profile Support  Interaction Support</v>
      </c>
      <c r="U13" t="s">
        <v>1171</v>
      </c>
      <c r="V13" t="s">
        <v>30</v>
      </c>
      <c r="W13" t="s">
        <v>33</v>
      </c>
      <c r="X13" t="s">
        <v>1171</v>
      </c>
      <c r="Y13" t="s">
        <v>1171</v>
      </c>
      <c r="Z13" t="s">
        <v>1171</v>
      </c>
      <c r="AA13" t="s">
        <v>1171</v>
      </c>
      <c r="AB13" t="s">
        <v>47</v>
      </c>
      <c r="AC13" t="s">
        <v>1141</v>
      </c>
      <c r="AD13" t="s">
        <v>1171</v>
      </c>
    </row>
    <row r="14" spans="1:30" ht="85" x14ac:dyDescent="0.2">
      <c r="A14" t="s">
        <v>1171</v>
      </c>
      <c r="B14" t="s">
        <v>1186</v>
      </c>
      <c r="C14" t="str">
        <f>"CONF-"&amp;TEXT(us_core_reqs[[#This Row],[ID*]], "0000")</f>
        <v>CONF-0013</v>
      </c>
      <c r="D14" s="11" t="s">
        <v>818</v>
      </c>
      <c r="E14" t="str">
        <f>SUBSTITUTE(us_core_reqs[[#This Row],[URL*]], "https://hl7.org/fhir/us/core/STU8/","")</f>
        <v>general-requirements.html#claiming-conformance-to-a-us-core-profile</v>
      </c>
      <c r="F14" s="11" t="s">
        <v>965</v>
      </c>
      <c r="G14" t="s">
        <v>29</v>
      </c>
      <c r="I14" t="s">
        <v>30</v>
      </c>
      <c r="J14" t="s">
        <v>1171</v>
      </c>
      <c r="K14" t="s">
        <v>1171</v>
      </c>
      <c r="L14" t="s">
        <v>1173</v>
      </c>
      <c r="M14" t="s">
        <v>1171</v>
      </c>
      <c r="N14" t="s">
        <v>1171</v>
      </c>
      <c r="O14" t="s">
        <v>1171</v>
      </c>
      <c r="P14" t="s">
        <v>1171</v>
      </c>
      <c r="Q14" t="s">
        <v>1171</v>
      </c>
      <c r="R14" t="str">
        <f>_xlfn.TEXTBEFORE(_xlfn.TEXTAFTER(us_core_reqs[[#This Row],[URL*]],"/",-1),".")</f>
        <v>general-requirements</v>
      </c>
      <c r="S14" t="str">
        <f>_xlfn.TEXTAFTER(us_core_reqs[[#This Row],[URL*]],"#",-1)</f>
        <v>claiming-conformance-to-a-us-core-profile</v>
      </c>
      <c r="T14" t="str">
        <f>SUBSTITUTE(SUBSTITUTE(PROPER(SUBSTITUTE(us_core_reqs[[#This Row],[Page]], "-", " "))&amp;": "&amp;PROPER(SUBSTITUTE(us_core_reqs[[#This Row],[Section]], "-", " ")),"Us ","US "), "Uscdi", "USCDI")</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36" x14ac:dyDescent="0.2">
      <c r="A15" t="s">
        <v>1171</v>
      </c>
      <c r="B15" t="s">
        <v>1187</v>
      </c>
      <c r="C15" t="str">
        <f>"CONF-"&amp;TEXT(us_core_reqs[[#This Row],[ID*]], "0000")</f>
        <v>CONF-0014</v>
      </c>
      <c r="D15" s="11" t="s">
        <v>818</v>
      </c>
      <c r="E15" t="str">
        <f>SUBSTITUTE(us_core_reqs[[#This Row],[URL*]], "https://hl7.org/fhir/us/core/STU8/","")</f>
        <v>general-requirements.html#claiming-conformance-to-a-us-core-profile</v>
      </c>
      <c r="F15" s="11" t="s">
        <v>966</v>
      </c>
      <c r="G15" t="s">
        <v>32</v>
      </c>
      <c r="I15" t="s">
        <v>30</v>
      </c>
      <c r="J15" t="s">
        <v>1171</v>
      </c>
      <c r="K15" t="s">
        <v>1171</v>
      </c>
      <c r="L15" t="s">
        <v>1173</v>
      </c>
      <c r="M15" t="s">
        <v>1171</v>
      </c>
      <c r="N15" t="s">
        <v>1171</v>
      </c>
      <c r="O15" t="s">
        <v>1171</v>
      </c>
      <c r="P15" t="s">
        <v>1171</v>
      </c>
      <c r="Q15" t="s">
        <v>1171</v>
      </c>
      <c r="R15" t="str">
        <f>_xlfn.TEXTBEFORE(_xlfn.TEXTAFTER(us_core_reqs[[#This Row],[URL*]],"/",-1),".")</f>
        <v>general-requirements</v>
      </c>
      <c r="S15" t="str">
        <f>_xlfn.TEXTAFTER(us_core_reqs[[#This Row],[URL*]],"#",-1)</f>
        <v>claiming-conformance-to-a-us-core-profile</v>
      </c>
      <c r="T15" t="str">
        <f>SUBSTITUTE(SUBSTITUTE(PROPER(SUBSTITUTE(us_core_reqs[[#This Row],[Page]], "-", " "))&amp;": "&amp;PROPER(SUBSTITUTE(us_core_reqs[[#This Row],[Section]], "-", " ")),"Us ","US "), "Uscdi", "USCDI")</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1188</v>
      </c>
      <c r="C16" t="str">
        <f>"CONF-"&amp;TEXT(us_core_reqs[[#This Row],[ID*]], "0000")</f>
        <v>CONF-0015</v>
      </c>
      <c r="D16" s="11" t="s">
        <v>818</v>
      </c>
      <c r="E16" t="str">
        <f>SUBSTITUTE(us_core_reqs[[#This Row],[URL*]], "https://hl7.org/fhir/us/core/STU8/","")</f>
        <v>general-requirements.html#claiming-conformance-to-a-us-core-profile</v>
      </c>
      <c r="F16" s="11" t="s">
        <v>967</v>
      </c>
      <c r="G16" t="s">
        <v>29</v>
      </c>
      <c r="I16" t="s">
        <v>30</v>
      </c>
      <c r="J16" t="s">
        <v>1171</v>
      </c>
      <c r="K16" t="s">
        <v>1096</v>
      </c>
      <c r="L16" t="s">
        <v>1173</v>
      </c>
      <c r="M16" t="s">
        <v>48</v>
      </c>
      <c r="N16" t="s">
        <v>1171</v>
      </c>
      <c r="O16" t="s">
        <v>1171</v>
      </c>
      <c r="P16" t="s">
        <v>1171</v>
      </c>
      <c r="Q16" t="s">
        <v>1171</v>
      </c>
      <c r="R16" t="str">
        <f>_xlfn.TEXTBEFORE(_xlfn.TEXTAFTER(us_core_reqs[[#This Row],[URL*]],"/",-1),".")</f>
        <v>general-requirements</v>
      </c>
      <c r="S16" t="str">
        <f>_xlfn.TEXTAFTER(us_core_reqs[[#This Row],[URL*]],"#",-1)</f>
        <v>claiming-conformance-to-a-us-core-profile</v>
      </c>
      <c r="T16" t="str">
        <f>SUBSTITUTE(SUBSTITUTE(PROPER(SUBSTITUTE(us_core_reqs[[#This Row],[Page]], "-", " "))&amp;": "&amp;PROPER(SUBSTITUTE(us_core_reqs[[#This Row],[Section]], "-", " ")),"Us ","US "), "Uscdi", "USCDI")</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85" x14ac:dyDescent="0.2">
      <c r="A17" t="s">
        <v>1171</v>
      </c>
      <c r="B17" t="s">
        <v>1189</v>
      </c>
      <c r="C17" t="str">
        <f>"CONF-"&amp;TEXT(us_core_reqs[[#This Row],[ID*]], "0000")</f>
        <v>CONF-0016</v>
      </c>
      <c r="D17" s="11" t="s">
        <v>818</v>
      </c>
      <c r="E17" t="str">
        <f>SUBSTITUTE(us_core_reqs[[#This Row],[URL*]], "https://hl7.org/fhir/us/core/STU8/","")</f>
        <v>general-requirements.html#claiming-conformance-to-a-us-core-profile</v>
      </c>
      <c r="F17" s="11" t="s">
        <v>968</v>
      </c>
      <c r="G17" t="s">
        <v>29</v>
      </c>
      <c r="I17" t="s">
        <v>30</v>
      </c>
      <c r="J17" t="s">
        <v>1171</v>
      </c>
      <c r="K17" t="s">
        <v>1171</v>
      </c>
      <c r="L17" t="s">
        <v>1173</v>
      </c>
      <c r="M17" t="s">
        <v>1171</v>
      </c>
      <c r="N17" t="s">
        <v>1171</v>
      </c>
      <c r="O17" t="s">
        <v>1171</v>
      </c>
      <c r="P17" t="s">
        <v>1171</v>
      </c>
      <c r="Q17" t="s">
        <v>1171</v>
      </c>
      <c r="R17" t="str">
        <f>_xlfn.TEXTBEFORE(_xlfn.TEXTAFTER(us_core_reqs[[#This Row],[URL*]],"/",-1),".")</f>
        <v>general-requirements</v>
      </c>
      <c r="S17" t="str">
        <f>_xlfn.TEXTAFTER(us_core_reqs[[#This Row],[URL*]],"#",-1)</f>
        <v>claiming-conformance-to-a-us-core-profile</v>
      </c>
      <c r="T17" t="str">
        <f>SUBSTITUTE(SUBSTITUTE(PROPER(SUBSTITUTE(us_core_reqs[[#This Row],[Page]], "-", " "))&amp;": "&amp;PROPER(SUBSTITUTE(us_core_reqs[[#This Row],[Section]], "-", " ")),"Us ","US "), "Uscdi", "USCDI")</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68" x14ac:dyDescent="0.2">
      <c r="A18" t="s">
        <v>1171</v>
      </c>
      <c r="B18" t="s">
        <v>1190</v>
      </c>
      <c r="C18" t="str">
        <f>"CONF-"&amp;TEXT(us_core_reqs[[#This Row],[ID*]], "0000")</f>
        <v>CONF-0017</v>
      </c>
      <c r="D18" s="11" t="s">
        <v>818</v>
      </c>
      <c r="E18" t="str">
        <f>SUBSTITUTE(us_core_reqs[[#This Row],[URL*]], "https://hl7.org/fhir/us/core/STU8/","")</f>
        <v>general-requirements.html#claiming-conformance-to-a-us-core-profile</v>
      </c>
      <c r="F18" s="11" t="s">
        <v>969</v>
      </c>
      <c r="G18" t="s">
        <v>29</v>
      </c>
      <c r="I18" t="s">
        <v>30</v>
      </c>
      <c r="J18" t="s">
        <v>1171</v>
      </c>
      <c r="K18" t="s">
        <v>1171</v>
      </c>
      <c r="L18" t="s">
        <v>1173</v>
      </c>
      <c r="M18" t="s">
        <v>1171</v>
      </c>
      <c r="N18" t="s">
        <v>1171</v>
      </c>
      <c r="O18" t="s">
        <v>1171</v>
      </c>
      <c r="P18" t="s">
        <v>1171</v>
      </c>
      <c r="Q18" t="s">
        <v>1171</v>
      </c>
      <c r="R18" t="str">
        <f>_xlfn.TEXTBEFORE(_xlfn.TEXTAFTER(us_core_reqs[[#This Row],[URL*]],"/",-1),".")</f>
        <v>general-requirements</v>
      </c>
      <c r="S18" t="str">
        <f>_xlfn.TEXTAFTER(us_core_reqs[[#This Row],[URL*]],"#",-1)</f>
        <v>claiming-conformance-to-a-us-core-profile</v>
      </c>
      <c r="T18" t="str">
        <f>SUBSTITUTE(SUBSTITUTE(PROPER(SUBSTITUTE(us_core_reqs[[#This Row],[Page]], "-", " "))&amp;": "&amp;PROPER(SUBSTITUTE(us_core_reqs[[#This Row],[Section]], "-", " ")),"Us ","US "), "Uscdi", "USCDI")</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68" x14ac:dyDescent="0.2">
      <c r="A19" t="s">
        <v>1171</v>
      </c>
      <c r="B19" t="s">
        <v>1191</v>
      </c>
      <c r="C19" t="str">
        <f>"CONF-"&amp;TEXT(us_core_reqs[[#This Row],[ID*]], "0000")</f>
        <v>CONF-0018</v>
      </c>
      <c r="D19" s="11" t="s">
        <v>819</v>
      </c>
      <c r="E19" t="str">
        <f>SUBSTITUTE(us_core_reqs[[#This Row],[URL*]], "https://hl7.org/fhir/us/core/STU8/","")</f>
        <v>general-requirements.html#required-bindings-for-coded-elements</v>
      </c>
      <c r="F19" s="11" t="s">
        <v>49</v>
      </c>
      <c r="G19" t="s">
        <v>29</v>
      </c>
      <c r="I19" t="s">
        <v>30</v>
      </c>
      <c r="J19" t="s">
        <v>1171</v>
      </c>
      <c r="K19" t="s">
        <v>1097</v>
      </c>
      <c r="L19" t="s">
        <v>1173</v>
      </c>
      <c r="M19" t="s">
        <v>50</v>
      </c>
      <c r="N19" t="s">
        <v>1171</v>
      </c>
      <c r="O19" t="s">
        <v>1171</v>
      </c>
      <c r="P19" t="s">
        <v>1171</v>
      </c>
      <c r="Q19" t="s">
        <v>1171</v>
      </c>
      <c r="R19" t="str">
        <f>_xlfn.TEXTBEFORE(_xlfn.TEXTAFTER(us_core_reqs[[#This Row],[URL*]],"/",-1),".")</f>
        <v>general-requirements</v>
      </c>
      <c r="S19" t="str">
        <f>_xlfn.TEXTAFTER(us_core_reqs[[#This Row],[URL*]],"#",-1)</f>
        <v>required-bindings-for-coded-elements</v>
      </c>
      <c r="T19" t="str">
        <f>SUBSTITUTE(SUBSTITUTE(PROPER(SUBSTITUTE(us_core_reqs[[#This Row],[Page]], "-", " "))&amp;": "&amp;PROPER(SUBSTITUTE(us_core_reqs[[#This Row],[Section]], "-", " ")),"Us ","US "), "Uscdi", "USCDI")</f>
        <v>General Requirements: Required Bindings For Coded Elements</v>
      </c>
      <c r="U19" t="s">
        <v>29</v>
      </c>
      <c r="V19" t="s">
        <v>1171</v>
      </c>
      <c r="W19" t="s">
        <v>51</v>
      </c>
      <c r="X19" t="s">
        <v>1171</v>
      </c>
      <c r="Y19" t="s">
        <v>1171</v>
      </c>
      <c r="Z19" t="s">
        <v>1171</v>
      </c>
      <c r="AA19" t="s">
        <v>1171</v>
      </c>
      <c r="AB19" t="s">
        <v>1171</v>
      </c>
      <c r="AC19" t="s">
        <v>1140</v>
      </c>
      <c r="AD19" t="s">
        <v>1171</v>
      </c>
    </row>
    <row r="20" spans="1:30" ht="68" x14ac:dyDescent="0.2">
      <c r="A20" t="s">
        <v>1171</v>
      </c>
      <c r="B20" t="s">
        <v>1192</v>
      </c>
      <c r="C20" t="str">
        <f>"CONF-"&amp;TEXT(us_core_reqs[[#This Row],[ID*]], "0000")</f>
        <v>CONF-0019</v>
      </c>
      <c r="D20" s="11" t="s">
        <v>819</v>
      </c>
      <c r="E20" t="str">
        <f>SUBSTITUTE(us_core_reqs[[#This Row],[URL*]], "https://hl7.org/fhir/us/core/STU8/","")</f>
        <v>general-requirements.html#required-bindings-for-coded-elements</v>
      </c>
      <c r="F20" s="11" t="s">
        <v>52</v>
      </c>
      <c r="G20" t="s">
        <v>29</v>
      </c>
      <c r="I20" t="s">
        <v>30</v>
      </c>
      <c r="J20" t="s">
        <v>1171</v>
      </c>
      <c r="K20" t="s">
        <v>1098</v>
      </c>
      <c r="L20" t="s">
        <v>1176</v>
      </c>
      <c r="M20" t="s">
        <v>1171</v>
      </c>
      <c r="N20" t="s">
        <v>1171</v>
      </c>
      <c r="O20" t="s">
        <v>1171</v>
      </c>
      <c r="P20" t="s">
        <v>1171</v>
      </c>
      <c r="Q20" t="s">
        <v>1171</v>
      </c>
      <c r="R20" t="str">
        <f>_xlfn.TEXTBEFORE(_xlfn.TEXTAFTER(us_core_reqs[[#This Row],[URL*]],"/",-1),".")</f>
        <v>general-requirements</v>
      </c>
      <c r="S20" t="str">
        <f>_xlfn.TEXTAFTER(us_core_reqs[[#This Row],[URL*]],"#",-1)</f>
        <v>required-bindings-for-coded-elements</v>
      </c>
      <c r="T20" t="str">
        <f>SUBSTITUTE(SUBSTITUTE(PROPER(SUBSTITUTE(us_core_reqs[[#This Row],[Page]], "-", " "))&amp;": "&amp;PROPER(SUBSTITUTE(us_core_reqs[[#This Row],[Section]], "-", " ")),"Us ","US "), "Uscdi", "USCDI")</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68" x14ac:dyDescent="0.2">
      <c r="A21" t="s">
        <v>1171</v>
      </c>
      <c r="B21" t="s">
        <v>1193</v>
      </c>
      <c r="C21" t="str">
        <f>"CONF-"&amp;TEXT(us_core_reqs[[#This Row],[ID*]], "0000")</f>
        <v>CONF-0020</v>
      </c>
      <c r="D21" s="11" t="s">
        <v>819</v>
      </c>
      <c r="E21" t="str">
        <f>SUBSTITUTE(us_core_reqs[[#This Row],[URL*]], "https://hl7.org/fhir/us/core/STU8/","")</f>
        <v>general-requirements.html#required-bindings-for-coded-elements</v>
      </c>
      <c r="F21" s="11" t="s">
        <v>53</v>
      </c>
      <c r="G21" t="s">
        <v>1833</v>
      </c>
      <c r="I21" t="s">
        <v>30</v>
      </c>
      <c r="J21" t="s">
        <v>1171</v>
      </c>
      <c r="K21" t="s">
        <v>1098</v>
      </c>
      <c r="L21" t="s">
        <v>1173</v>
      </c>
      <c r="M21" t="s">
        <v>1171</v>
      </c>
      <c r="N21" t="s">
        <v>1171</v>
      </c>
      <c r="O21" t="s">
        <v>1171</v>
      </c>
      <c r="P21" t="s">
        <v>1171</v>
      </c>
      <c r="Q21" t="s">
        <v>1171</v>
      </c>
      <c r="R21" t="str">
        <f>_xlfn.TEXTBEFORE(_xlfn.TEXTAFTER(us_core_reqs[[#This Row],[URL*]],"/",-1),".")</f>
        <v>general-requirements</v>
      </c>
      <c r="S21" t="str">
        <f>_xlfn.TEXTAFTER(us_core_reqs[[#This Row],[URL*]],"#",-1)</f>
        <v>required-bindings-for-coded-elements</v>
      </c>
      <c r="T21" t="str">
        <f>SUBSTITUTE(SUBSTITUTE(PROPER(SUBSTITUTE(us_core_reqs[[#This Row],[Page]], "-", " "))&amp;": "&amp;PROPER(SUBSTITUTE(us_core_reqs[[#This Row],[Section]], "-", " ")),"Us ","US "), "Uscdi", "USCDI")</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68" x14ac:dyDescent="0.2">
      <c r="A22" t="s">
        <v>1171</v>
      </c>
      <c r="B22" t="s">
        <v>1194</v>
      </c>
      <c r="C22" t="str">
        <f>"CONF-"&amp;TEXT(us_core_reqs[[#This Row],[ID*]], "0000")</f>
        <v>CONF-0021</v>
      </c>
      <c r="D22" s="11" t="s">
        <v>819</v>
      </c>
      <c r="E22" t="str">
        <f>SUBSTITUTE(us_core_reqs[[#This Row],[URL*]], "https://hl7.org/fhir/us/core/STU8/","")</f>
        <v>general-requirements.html#required-bindings-for-coded-elements</v>
      </c>
      <c r="F22" s="11" t="s">
        <v>55</v>
      </c>
      <c r="G22" t="s">
        <v>29</v>
      </c>
      <c r="I22" t="s">
        <v>30</v>
      </c>
      <c r="J22" t="s">
        <v>1171</v>
      </c>
      <c r="K22" t="s">
        <v>1171</v>
      </c>
      <c r="L22" t="s">
        <v>1173</v>
      </c>
      <c r="M22" t="s">
        <v>56</v>
      </c>
      <c r="N22" t="s">
        <v>1171</v>
      </c>
      <c r="O22" t="s">
        <v>1171</v>
      </c>
      <c r="P22" t="s">
        <v>1171</v>
      </c>
      <c r="Q22" t="s">
        <v>1171</v>
      </c>
      <c r="R22" t="str">
        <f>_xlfn.TEXTBEFORE(_xlfn.TEXTAFTER(us_core_reqs[[#This Row],[URL*]],"/",-1),".")</f>
        <v>general-requirements</v>
      </c>
      <c r="S22" t="str">
        <f>_xlfn.TEXTAFTER(us_core_reqs[[#This Row],[URL*]],"#",-1)</f>
        <v>required-bindings-for-coded-elements</v>
      </c>
      <c r="T22" t="str">
        <f>SUBSTITUTE(SUBSTITUTE(PROPER(SUBSTITUTE(us_core_reqs[[#This Row],[Page]], "-", " "))&amp;": "&amp;PROPER(SUBSTITUTE(us_core_reqs[[#This Row],[Section]], "-", " ")),"Us ","US "), "Uscdi", "USCDI")</f>
        <v>General Requirements: Required Bindings For Coded Elements</v>
      </c>
      <c r="U22" t="s">
        <v>29</v>
      </c>
      <c r="V22" t="s">
        <v>30</v>
      </c>
      <c r="W22" t="s">
        <v>1171</v>
      </c>
      <c r="X22" t="s">
        <v>1171</v>
      </c>
      <c r="Y22" t="s">
        <v>1171</v>
      </c>
      <c r="Z22" t="s">
        <v>1171</v>
      </c>
      <c r="AA22" t="s">
        <v>1171</v>
      </c>
      <c r="AB22" t="s">
        <v>1171</v>
      </c>
      <c r="AC22" t="s">
        <v>1140</v>
      </c>
      <c r="AD22" t="s">
        <v>1171</v>
      </c>
    </row>
    <row r="23" spans="1:30" ht="68" x14ac:dyDescent="0.2">
      <c r="A23" t="s">
        <v>1171</v>
      </c>
      <c r="B23" t="s">
        <v>1195</v>
      </c>
      <c r="C23" t="str">
        <f>"CONF-"&amp;TEXT(us_core_reqs[[#This Row],[ID*]], "0000")</f>
        <v>CONF-0022</v>
      </c>
      <c r="D23" s="11" t="s">
        <v>819</v>
      </c>
      <c r="E23" t="str">
        <f>SUBSTITUTE(us_core_reqs[[#This Row],[URL*]], "https://hl7.org/fhir/us/core/STU8/","")</f>
        <v>general-requirements.html#required-bindings-for-coded-elements</v>
      </c>
      <c r="F23" s="11" t="s">
        <v>57</v>
      </c>
      <c r="G23" t="s">
        <v>29</v>
      </c>
      <c r="I23" t="s">
        <v>58</v>
      </c>
      <c r="J23" t="s">
        <v>1171</v>
      </c>
      <c r="K23" t="s">
        <v>1171</v>
      </c>
      <c r="L23" t="s">
        <v>1173</v>
      </c>
      <c r="M23" t="s">
        <v>56</v>
      </c>
      <c r="N23" t="s">
        <v>1171</v>
      </c>
      <c r="O23" t="s">
        <v>1171</v>
      </c>
      <c r="P23" t="s">
        <v>1171</v>
      </c>
      <c r="Q23" t="s">
        <v>1171</v>
      </c>
      <c r="R23" t="str">
        <f>_xlfn.TEXTBEFORE(_xlfn.TEXTAFTER(us_core_reqs[[#This Row],[URL*]],"/",-1),".")</f>
        <v>general-requirements</v>
      </c>
      <c r="S23" t="str">
        <f>_xlfn.TEXTAFTER(us_core_reqs[[#This Row],[URL*]],"#",-1)</f>
        <v>required-bindings-for-coded-elements</v>
      </c>
      <c r="T23" t="str">
        <f>SUBSTITUTE(SUBSTITUTE(PROPER(SUBSTITUTE(us_core_reqs[[#This Row],[Page]], "-", " "))&amp;": "&amp;PROPER(SUBSTITUTE(us_core_reqs[[#This Row],[Section]], "-", " ")),"Us ","US "), "Uscdi", "USCDI")</f>
        <v>General Requirements: Required Bindings For Coded Elements</v>
      </c>
      <c r="U23" t="s">
        <v>29</v>
      </c>
      <c r="V23" t="s">
        <v>58</v>
      </c>
      <c r="W23" t="s">
        <v>1171</v>
      </c>
      <c r="X23" t="s">
        <v>1171</v>
      </c>
      <c r="Y23" t="s">
        <v>1171</v>
      </c>
      <c r="Z23" t="s">
        <v>1171</v>
      </c>
      <c r="AA23" t="s">
        <v>1171</v>
      </c>
      <c r="AB23" t="s">
        <v>1171</v>
      </c>
      <c r="AC23" t="s">
        <v>1171</v>
      </c>
      <c r="AD23" t="s">
        <v>1171</v>
      </c>
    </row>
    <row r="24" spans="1:30" ht="68" x14ac:dyDescent="0.2">
      <c r="A24" t="s">
        <v>1171</v>
      </c>
      <c r="B24" t="s">
        <v>1196</v>
      </c>
      <c r="C24" t="str">
        <f>"CONF-"&amp;TEXT(us_core_reqs[[#This Row],[ID*]], "0000")</f>
        <v>CONF-0023</v>
      </c>
      <c r="D24" s="11" t="s">
        <v>1085</v>
      </c>
      <c r="E24" t="str">
        <f>SUBSTITUTE(us_core_reqs[[#This Row],[URL*]], "https://hl7.org/fhir/us/core/STU8/","")</f>
        <v>https://www.hl7.org/fhir/us/core/STU8/general-requirements.html#extensible-binding-for-coded-elements</v>
      </c>
      <c r="F24" s="11" t="s">
        <v>59</v>
      </c>
      <c r="G24" t="s">
        <v>29</v>
      </c>
      <c r="I24" t="s">
        <v>30</v>
      </c>
      <c r="J24" t="s">
        <v>1171</v>
      </c>
      <c r="K24" t="s">
        <v>1171</v>
      </c>
      <c r="L24" t="s">
        <v>1176</v>
      </c>
      <c r="M24" t="s">
        <v>60</v>
      </c>
      <c r="N24" t="s">
        <v>1171</v>
      </c>
      <c r="O24" t="s">
        <v>1171</v>
      </c>
      <c r="P24" t="s">
        <v>1171</v>
      </c>
      <c r="Q24" t="s">
        <v>1171</v>
      </c>
      <c r="R24" t="str">
        <f>_xlfn.TEXTBEFORE(_xlfn.TEXTAFTER(us_core_reqs[[#This Row],[URL*]],"/",-1),".")</f>
        <v>general-requirements</v>
      </c>
      <c r="S24" t="str">
        <f>_xlfn.TEXTAFTER(us_core_reqs[[#This Row],[URL*]],"#",-1)</f>
        <v>extensible-binding-for-coded-elements</v>
      </c>
      <c r="T24" t="str">
        <f>SUBSTITUTE(SUBSTITUTE(PROPER(SUBSTITUTE(us_core_reqs[[#This Row],[Page]], "-", " "))&amp;": "&amp;PROPER(SUBSTITUTE(us_core_reqs[[#This Row],[Section]], "-", " ")),"Us ","US "), "Uscdi", "USCDI")</f>
        <v>General Requirements: Extensible Binding For Coded Elements</v>
      </c>
      <c r="U24" t="s">
        <v>29</v>
      </c>
      <c r="V24" t="s">
        <v>1171</v>
      </c>
      <c r="W24" t="s">
        <v>61</v>
      </c>
      <c r="X24" t="s">
        <v>1171</v>
      </c>
      <c r="Y24" t="s">
        <v>1171</v>
      </c>
      <c r="Z24" t="s">
        <v>1171</v>
      </c>
      <c r="AA24" t="s">
        <v>1171</v>
      </c>
      <c r="AB24" t="s">
        <v>1171</v>
      </c>
      <c r="AC24" t="s">
        <v>1140</v>
      </c>
      <c r="AD24" t="s">
        <v>1171</v>
      </c>
    </row>
    <row r="25" spans="1:30" ht="68" x14ac:dyDescent="0.2">
      <c r="A25" t="s">
        <v>1171</v>
      </c>
      <c r="B25" t="s">
        <v>1197</v>
      </c>
      <c r="C25" t="str">
        <f>"CONF-"&amp;TEXT(us_core_reqs[[#This Row],[ID*]], "0000")</f>
        <v>CONF-0024</v>
      </c>
      <c r="D25" s="11" t="s">
        <v>820</v>
      </c>
      <c r="E25" t="str">
        <f>SUBSTITUTE(us_core_reqs[[#This Row],[URL*]], "https://hl7.org/fhir/us/core/STU8/","")</f>
        <v>general-requirements.html#extensible-binding-for-coded-elements</v>
      </c>
      <c r="F25" s="11" t="s">
        <v>62</v>
      </c>
      <c r="G25" t="s">
        <v>35</v>
      </c>
      <c r="I25" t="s">
        <v>30</v>
      </c>
      <c r="J25" t="s">
        <v>1171</v>
      </c>
      <c r="K25" t="s">
        <v>1171</v>
      </c>
      <c r="L25" t="s">
        <v>1176</v>
      </c>
      <c r="M25" t="s">
        <v>60</v>
      </c>
      <c r="N25" t="s">
        <v>1171</v>
      </c>
      <c r="O25" t="s">
        <v>1171</v>
      </c>
      <c r="P25" t="s">
        <v>1171</v>
      </c>
      <c r="Q25" t="s">
        <v>1171</v>
      </c>
      <c r="R25" t="str">
        <f>_xlfn.TEXTBEFORE(_xlfn.TEXTAFTER(us_core_reqs[[#This Row],[URL*]],"/",-1),".")</f>
        <v>general-requirements</v>
      </c>
      <c r="S25" t="str">
        <f>_xlfn.TEXTAFTER(us_core_reqs[[#This Row],[URL*]],"#",-1)</f>
        <v>extensible-binding-for-coded-elements</v>
      </c>
      <c r="T25" t="str">
        <f>SUBSTITUTE(SUBSTITUTE(PROPER(SUBSTITUTE(us_core_reqs[[#This Row],[Page]], "-", " "))&amp;": "&amp;PROPER(SUBSTITUTE(us_core_reqs[[#This Row],[Section]], "-", " ")),"Us ","US "), "Uscdi", "USCDI")</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68" x14ac:dyDescent="0.2">
      <c r="A26" t="s">
        <v>1171</v>
      </c>
      <c r="B26" t="s">
        <v>1198</v>
      </c>
      <c r="C26" t="str">
        <f>"CONF-"&amp;TEXT(us_core_reqs[[#This Row],[ID*]], "0000")</f>
        <v>CONF-0025</v>
      </c>
      <c r="D26" s="11" t="s">
        <v>820</v>
      </c>
      <c r="E26" t="str">
        <f>SUBSTITUTE(us_core_reqs[[#This Row],[URL*]], "https://hl7.org/fhir/us/core/STU8/","")</f>
        <v>general-requirements.html#extensible-binding-for-coded-elements</v>
      </c>
      <c r="F26" s="11" t="s">
        <v>63</v>
      </c>
      <c r="G26" t="s">
        <v>64</v>
      </c>
      <c r="I26" t="s">
        <v>30</v>
      </c>
      <c r="J26" t="s">
        <v>1171</v>
      </c>
      <c r="K26" t="s">
        <v>1171</v>
      </c>
      <c r="L26" t="s">
        <v>1176</v>
      </c>
      <c r="M26" t="s">
        <v>60</v>
      </c>
      <c r="N26" t="s">
        <v>1171</v>
      </c>
      <c r="O26" t="s">
        <v>1171</v>
      </c>
      <c r="P26" t="s">
        <v>1171</v>
      </c>
      <c r="Q26" t="s">
        <v>1171</v>
      </c>
      <c r="R26" t="str">
        <f>_xlfn.TEXTBEFORE(_xlfn.TEXTAFTER(us_core_reqs[[#This Row],[URL*]],"/",-1),".")</f>
        <v>general-requirements</v>
      </c>
      <c r="S26" t="str">
        <f>_xlfn.TEXTAFTER(us_core_reqs[[#This Row],[URL*]],"#",-1)</f>
        <v>extensible-binding-for-coded-elements</v>
      </c>
      <c r="T26" t="str">
        <f>SUBSTITUTE(SUBSTITUTE(PROPER(SUBSTITUTE(us_core_reqs[[#This Row],[Page]], "-", " "))&amp;": "&amp;PROPER(SUBSTITUTE(us_core_reqs[[#This Row],[Section]], "-", " ")),"Us ","US "), "Uscdi", "USCDI")</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68" x14ac:dyDescent="0.2">
      <c r="A27" t="s">
        <v>1171</v>
      </c>
      <c r="B27" t="s">
        <v>1199</v>
      </c>
      <c r="C27" t="str">
        <f>"CONF-"&amp;TEXT(us_core_reqs[[#This Row],[ID*]], "0000")</f>
        <v>CONF-0026</v>
      </c>
      <c r="D27" s="11" t="s">
        <v>820</v>
      </c>
      <c r="E27" t="str">
        <f>SUBSTITUTE(us_core_reqs[[#This Row],[URL*]], "https://hl7.org/fhir/us/core/STU8/","")</f>
        <v>general-requirements.html#extensible-binding-for-coded-elements</v>
      </c>
      <c r="F27" s="11" t="s">
        <v>66</v>
      </c>
      <c r="G27" t="s">
        <v>35</v>
      </c>
      <c r="I27" t="s">
        <v>30</v>
      </c>
      <c r="J27" t="s">
        <v>1171</v>
      </c>
      <c r="K27" t="s">
        <v>1099</v>
      </c>
      <c r="L27" t="s">
        <v>1176</v>
      </c>
      <c r="M27" t="s">
        <v>60</v>
      </c>
      <c r="N27" t="s">
        <v>1171</v>
      </c>
      <c r="O27" t="s">
        <v>1171</v>
      </c>
      <c r="P27" t="s">
        <v>1171</v>
      </c>
      <c r="Q27" t="s">
        <v>1171</v>
      </c>
      <c r="R27" t="str">
        <f>_xlfn.TEXTBEFORE(_xlfn.TEXTAFTER(us_core_reqs[[#This Row],[URL*]],"/",-1),".")</f>
        <v>general-requirements</v>
      </c>
      <c r="S27" t="str">
        <f>_xlfn.TEXTAFTER(us_core_reqs[[#This Row],[URL*]],"#",-1)</f>
        <v>extensible-binding-for-coded-elements</v>
      </c>
      <c r="T27" t="str">
        <f>SUBSTITUTE(SUBSTITUTE(PROPER(SUBSTITUTE(us_core_reqs[[#This Row],[Page]], "-", " "))&amp;": "&amp;PROPER(SUBSTITUTE(us_core_reqs[[#This Row],[Section]], "-", " ")),"Us ","US "), "Uscdi", "USCDI")</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53" x14ac:dyDescent="0.2">
      <c r="A28" t="s">
        <v>1171</v>
      </c>
      <c r="B28" t="s">
        <v>1200</v>
      </c>
      <c r="C28" t="str">
        <f>"CONF-"&amp;TEXT(us_core_reqs[[#This Row],[ID*]], "0000")</f>
        <v>CONF-0027</v>
      </c>
      <c r="D28" s="11" t="s">
        <v>820</v>
      </c>
      <c r="E28" t="str">
        <f>SUBSTITUTE(us_core_reqs[[#This Row],[URL*]], "https://hl7.org/fhir/us/core/STU8/","")</f>
        <v>general-requirements.html#extensible-binding-for-coded-elements</v>
      </c>
      <c r="F28" s="11" t="s">
        <v>67</v>
      </c>
      <c r="G28" t="s">
        <v>29</v>
      </c>
      <c r="I28" t="s">
        <v>30</v>
      </c>
      <c r="J28" t="s">
        <v>1171</v>
      </c>
      <c r="K28" t="s">
        <v>1171</v>
      </c>
      <c r="L28" t="s">
        <v>1176</v>
      </c>
      <c r="M28" t="s">
        <v>68</v>
      </c>
      <c r="N28" t="s">
        <v>1171</v>
      </c>
      <c r="O28" t="s">
        <v>1171</v>
      </c>
      <c r="P28" t="s">
        <v>1171</v>
      </c>
      <c r="Q28" t="s">
        <v>1171</v>
      </c>
      <c r="R28" t="str">
        <f>_xlfn.TEXTBEFORE(_xlfn.TEXTAFTER(us_core_reqs[[#This Row],[URL*]],"/",-1),".")</f>
        <v>general-requirements</v>
      </c>
      <c r="S28" t="str">
        <f>_xlfn.TEXTAFTER(us_core_reqs[[#This Row],[URL*]],"#",-1)</f>
        <v>extensible-binding-for-coded-elements</v>
      </c>
      <c r="T28" t="str">
        <f>SUBSTITUTE(SUBSTITUTE(PROPER(SUBSTITUTE(us_core_reqs[[#This Row],[Page]], "-", " "))&amp;": "&amp;PROPER(SUBSTITUTE(us_core_reqs[[#This Row],[Section]], "-", " ")),"Us ","US "), "Uscdi", "USCDI")</f>
        <v>General Requirements: Extensible Binding For Coded Elements</v>
      </c>
      <c r="U28" t="s">
        <v>29</v>
      </c>
      <c r="V28" t="s">
        <v>30</v>
      </c>
      <c r="W28" t="s">
        <v>1171</v>
      </c>
      <c r="X28" t="s">
        <v>1171</v>
      </c>
      <c r="Y28" t="s">
        <v>1171</v>
      </c>
      <c r="Z28" t="s">
        <v>1171</v>
      </c>
      <c r="AA28" t="s">
        <v>1171</v>
      </c>
      <c r="AB28" t="s">
        <v>1171</v>
      </c>
      <c r="AC28" t="s">
        <v>1140</v>
      </c>
      <c r="AD28" t="s">
        <v>1171</v>
      </c>
    </row>
    <row r="29" spans="1:30" ht="51" x14ac:dyDescent="0.2">
      <c r="A29" t="s">
        <v>1171</v>
      </c>
      <c r="B29" t="s">
        <v>1201</v>
      </c>
      <c r="C29" t="str">
        <f>"CONF-"&amp;TEXT(us_core_reqs[[#This Row],[ID*]], "0000")</f>
        <v>CONF-0028</v>
      </c>
      <c r="D29" s="11" t="s">
        <v>820</v>
      </c>
      <c r="E29" t="str">
        <f>SUBSTITUTE(us_core_reqs[[#This Row],[URL*]], "https://hl7.org/fhir/us/core/STU8/","")</f>
        <v>general-requirements.html#extensible-binding-for-coded-elements</v>
      </c>
      <c r="F29" s="11" t="s">
        <v>2081</v>
      </c>
      <c r="G29" t="s">
        <v>29</v>
      </c>
      <c r="I29" t="s">
        <v>58</v>
      </c>
      <c r="J29" t="s">
        <v>1171</v>
      </c>
      <c r="K29" t="s">
        <v>1171</v>
      </c>
      <c r="L29" t="s">
        <v>1176</v>
      </c>
      <c r="M29" t="s">
        <v>1171</v>
      </c>
      <c r="N29" t="s">
        <v>1171</v>
      </c>
      <c r="O29" t="s">
        <v>1171</v>
      </c>
      <c r="P29" t="s">
        <v>1171</v>
      </c>
      <c r="Q29" t="s">
        <v>1171</v>
      </c>
      <c r="R29" t="str">
        <f>_xlfn.TEXTBEFORE(_xlfn.TEXTAFTER(us_core_reqs[[#This Row],[URL*]],"/",-1),".")</f>
        <v>general-requirements</v>
      </c>
      <c r="S29" t="str">
        <f>_xlfn.TEXTAFTER(us_core_reqs[[#This Row],[URL*]],"#",-1)</f>
        <v>extensible-binding-for-coded-elements</v>
      </c>
      <c r="T29" t="str">
        <f>SUBSTITUTE(SUBSTITUTE(PROPER(SUBSTITUTE(us_core_reqs[[#This Row],[Page]], "-", " "))&amp;": "&amp;PROPER(SUBSTITUTE(us_core_reqs[[#This Row],[Section]], "-", " ")),"Us ","US "), "Uscdi", "USCDI")</f>
        <v>General Requirements: Extensible Binding For Coded Elements</v>
      </c>
      <c r="U29" t="s">
        <v>29</v>
      </c>
      <c r="V29" t="s">
        <v>58</v>
      </c>
      <c r="W29" t="s">
        <v>1171</v>
      </c>
      <c r="X29" t="s">
        <v>1171</v>
      </c>
      <c r="Y29" t="s">
        <v>1171</v>
      </c>
      <c r="Z29" t="s">
        <v>1171</v>
      </c>
      <c r="AA29" t="s">
        <v>1171</v>
      </c>
      <c r="AB29" t="s">
        <v>1171</v>
      </c>
      <c r="AC29" t="s">
        <v>1171</v>
      </c>
      <c r="AD29" t="s">
        <v>1171</v>
      </c>
    </row>
    <row r="30" spans="1:30" ht="51" x14ac:dyDescent="0.2">
      <c r="A30" t="s">
        <v>1171</v>
      </c>
      <c r="B30" t="s">
        <v>1202</v>
      </c>
      <c r="C30" t="str">
        <f>"CONF-"&amp;TEXT(us_core_reqs[[#This Row],[ID*]], "0000")</f>
        <v>CONF-0029</v>
      </c>
      <c r="D30" s="11" t="s">
        <v>611</v>
      </c>
      <c r="E30" t="str">
        <f>SUBSTITUTE(us_core_reqs[[#This Row],[URL*]], "https://hl7.org/fhir/us/core/STU8/","")</f>
        <v>general-requirements.html#translations</v>
      </c>
      <c r="F30" s="11" t="s">
        <v>644</v>
      </c>
      <c r="G30" t="s">
        <v>35</v>
      </c>
      <c r="I30" t="s">
        <v>30</v>
      </c>
      <c r="J30" t="s">
        <v>1171</v>
      </c>
      <c r="K30" t="s">
        <v>1171</v>
      </c>
      <c r="L30" t="s">
        <v>1173</v>
      </c>
      <c r="M30" t="s">
        <v>1171</v>
      </c>
      <c r="N30" t="s">
        <v>1171</v>
      </c>
      <c r="O30" t="s">
        <v>1171</v>
      </c>
      <c r="P30" t="s">
        <v>1171</v>
      </c>
      <c r="Q30" t="s">
        <v>1171</v>
      </c>
      <c r="R30" t="str">
        <f>_xlfn.TEXTBEFORE(_xlfn.TEXTAFTER(us_core_reqs[[#This Row],[URL*]],"/",-1),".")</f>
        <v>general-requirements</v>
      </c>
      <c r="S30" t="str">
        <f>_xlfn.TEXTAFTER(us_core_reqs[[#This Row],[URL*]],"#",-1)</f>
        <v>translations</v>
      </c>
      <c r="T30" t="str">
        <f>SUBSTITUTE(SUBSTITUTE(PROPER(SUBSTITUTE(us_core_reqs[[#This Row],[Page]], "-", " "))&amp;": "&amp;PROPER(SUBSTITUTE(us_core_reqs[[#This Row],[Section]], "-", " ")),"Us ","US "), "Uscdi", "USCDI")</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1203</v>
      </c>
      <c r="C31" t="str">
        <f>"CONF-"&amp;TEXT(us_core_reqs[[#This Row],[ID*]], "0000")</f>
        <v>CONF-0030</v>
      </c>
      <c r="D31" s="11" t="s">
        <v>611</v>
      </c>
      <c r="E31" t="str">
        <f>SUBSTITUTE(us_core_reqs[[#This Row],[URL*]], "https://hl7.org/fhir/us/core/STU8/","")</f>
        <v>general-requirements.html#translations</v>
      </c>
      <c r="F31" s="11" t="s">
        <v>645</v>
      </c>
      <c r="G31" t="s">
        <v>35</v>
      </c>
      <c r="I31" t="s">
        <v>30</v>
      </c>
      <c r="J31" t="s">
        <v>1171</v>
      </c>
      <c r="K31" t="s">
        <v>1171</v>
      </c>
      <c r="L31" t="s">
        <v>1173</v>
      </c>
      <c r="M31" t="s">
        <v>1171</v>
      </c>
      <c r="N31" t="s">
        <v>1171</v>
      </c>
      <c r="O31" t="s">
        <v>1171</v>
      </c>
      <c r="P31" t="s">
        <v>1171</v>
      </c>
      <c r="Q31" t="s">
        <v>1171</v>
      </c>
      <c r="R31" t="str">
        <f>_xlfn.TEXTBEFORE(_xlfn.TEXTAFTER(us_core_reqs[[#This Row],[URL*]],"/",-1),".")</f>
        <v>general-requirements</v>
      </c>
      <c r="S31" t="str">
        <f>_xlfn.TEXTAFTER(us_core_reqs[[#This Row],[URL*]],"#",-1)</f>
        <v>translations</v>
      </c>
      <c r="T31" t="str">
        <f>SUBSTITUTE(SUBSTITUTE(PROPER(SUBSTITUTE(us_core_reqs[[#This Row],[Page]], "-", " "))&amp;": "&amp;PROPER(SUBSTITUTE(us_core_reqs[[#This Row],[Section]], "-", " ")),"Us ","US "), "Uscdi", "USCDI")</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1204</v>
      </c>
      <c r="C32" t="str">
        <f>"CONF-"&amp;TEXT(us_core_reqs[[#This Row],[ID*]], "0000")</f>
        <v>CONF-0031</v>
      </c>
      <c r="D32" s="11" t="s">
        <v>821</v>
      </c>
      <c r="E32" t="str">
        <f>SUBSTITUTE(us_core_reqs[[#This Row],[URL*]], "https://hl7.org/fhir/us/core/STU8/","")</f>
        <v>general-requirements.html#modifier-elements</v>
      </c>
      <c r="F32" s="11" t="s">
        <v>2082</v>
      </c>
      <c r="G32" t="s">
        <v>64</v>
      </c>
      <c r="I32" t="s">
        <v>30</v>
      </c>
      <c r="J32" t="s">
        <v>1171</v>
      </c>
      <c r="K32" t="s">
        <v>1171</v>
      </c>
      <c r="L32" t="s">
        <v>1176</v>
      </c>
      <c r="M32" t="s">
        <v>1171</v>
      </c>
      <c r="N32" t="s">
        <v>1171</v>
      </c>
      <c r="O32" t="s">
        <v>1171</v>
      </c>
      <c r="P32" t="s">
        <v>1171</v>
      </c>
      <c r="Q32" t="s">
        <v>1171</v>
      </c>
      <c r="R32" t="str">
        <f>_xlfn.TEXTBEFORE(_xlfn.TEXTAFTER(us_core_reqs[[#This Row],[URL*]],"/",-1),".")</f>
        <v>general-requirements</v>
      </c>
      <c r="S32" t="str">
        <f>_xlfn.TEXTAFTER(us_core_reqs[[#This Row],[URL*]],"#",-1)</f>
        <v>modifier-elements</v>
      </c>
      <c r="T32" t="str">
        <f>SUBSTITUTE(SUBSTITUTE(PROPER(SUBSTITUTE(us_core_reqs[[#This Row],[Page]], "-", " "))&amp;": "&amp;PROPER(SUBSTITUTE(us_core_reqs[[#This Row],[Section]], "-", " ")),"Us ","US "), "Uscdi", "USCDI")</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1205</v>
      </c>
      <c r="C33" t="str">
        <f>"CONF-"&amp;TEXT(us_core_reqs[[#This Row],[ID*]], "0000")</f>
        <v>CONF-0032</v>
      </c>
      <c r="D33" s="11" t="s">
        <v>821</v>
      </c>
      <c r="E33" t="str">
        <f>SUBSTITUTE(us_core_reqs[[#This Row],[URL*]], "https://hl7.org/fhir/us/core/STU8/","")</f>
        <v>general-requirements.html#modifier-elements</v>
      </c>
      <c r="F33" s="11" t="s">
        <v>2083</v>
      </c>
      <c r="G33" t="s">
        <v>29</v>
      </c>
      <c r="I33" t="s">
        <v>58</v>
      </c>
      <c r="J33" t="s">
        <v>1171</v>
      </c>
      <c r="K33" t="s">
        <v>1171</v>
      </c>
      <c r="L33" t="s">
        <v>1176</v>
      </c>
      <c r="M33" t="s">
        <v>1171</v>
      </c>
      <c r="N33" t="s">
        <v>1171</v>
      </c>
      <c r="O33" t="s">
        <v>1171</v>
      </c>
      <c r="P33" t="s">
        <v>1171</v>
      </c>
      <c r="Q33" t="s">
        <v>1171</v>
      </c>
      <c r="R33" t="str">
        <f>_xlfn.TEXTBEFORE(_xlfn.TEXTAFTER(us_core_reqs[[#This Row],[URL*]],"/",-1),".")</f>
        <v>general-requirements</v>
      </c>
      <c r="S33" t="str">
        <f>_xlfn.TEXTAFTER(us_core_reqs[[#This Row],[URL*]],"#",-1)</f>
        <v>modifier-elements</v>
      </c>
      <c r="T33" t="str">
        <f>SUBSTITUTE(SUBSTITUTE(PROPER(SUBSTITUTE(us_core_reqs[[#This Row],[Page]], "-", " "))&amp;": "&amp;PROPER(SUBSTITUTE(us_core_reqs[[#This Row],[Section]], "-", " ")),"Us ","US "), "Uscdi", "USCDI")</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1206</v>
      </c>
      <c r="C34" t="str">
        <f>"CONF-"&amp;TEXT(us_core_reqs[[#This Row],[ID*]], "0000")</f>
        <v>CONF-0033</v>
      </c>
      <c r="D34" s="11" t="s">
        <v>821</v>
      </c>
      <c r="E34" t="str">
        <f>SUBSTITUTE(us_core_reqs[[#This Row],[URL*]], "https://hl7.org/fhir/us/core/STU8/","")</f>
        <v>general-requirements.html#modifier-elements</v>
      </c>
      <c r="F34" s="11" t="s">
        <v>72</v>
      </c>
      <c r="G34" t="s">
        <v>35</v>
      </c>
      <c r="I34" t="s">
        <v>30</v>
      </c>
      <c r="J34" t="s">
        <v>1171</v>
      </c>
      <c r="K34" t="s">
        <v>1171</v>
      </c>
      <c r="L34" t="s">
        <v>1173</v>
      </c>
      <c r="M34" t="s">
        <v>1171</v>
      </c>
      <c r="N34" t="s">
        <v>1171</v>
      </c>
      <c r="O34" t="s">
        <v>1171</v>
      </c>
      <c r="P34" t="s">
        <v>1171</v>
      </c>
      <c r="Q34" t="s">
        <v>1171</v>
      </c>
      <c r="R34" t="str">
        <f>_xlfn.TEXTBEFORE(_xlfn.TEXTAFTER(us_core_reqs[[#This Row],[URL*]],"/",-1),".")</f>
        <v>general-requirements</v>
      </c>
      <c r="S34" t="str">
        <f>_xlfn.TEXTAFTER(us_core_reqs[[#This Row],[URL*]],"#",-1)</f>
        <v>modifier-elements</v>
      </c>
      <c r="T34" t="str">
        <f>SUBSTITUTE(SUBSTITUTE(PROPER(SUBSTITUTE(us_core_reqs[[#This Row],[Page]], "-", " "))&amp;": "&amp;PROPER(SUBSTITUTE(us_core_reqs[[#This Row],[Section]], "-", " ")),"Us ","US "), "Uscdi", "USCDI")</f>
        <v>General Requirements: Modifier Elements</v>
      </c>
      <c r="U34" t="s">
        <v>1171</v>
      </c>
      <c r="V34" t="s">
        <v>1171</v>
      </c>
      <c r="W34" t="s">
        <v>1171</v>
      </c>
      <c r="X34" t="s">
        <v>1171</v>
      </c>
      <c r="Y34" t="s">
        <v>1171</v>
      </c>
      <c r="Z34" t="s">
        <v>1171</v>
      </c>
      <c r="AA34" t="s">
        <v>1171</v>
      </c>
      <c r="AB34" t="s">
        <v>1171</v>
      </c>
      <c r="AC34" t="s">
        <v>1171</v>
      </c>
      <c r="AD34" t="s">
        <v>1171</v>
      </c>
    </row>
    <row r="35" spans="1:30" ht="51" x14ac:dyDescent="0.2">
      <c r="A35" t="s">
        <v>1171</v>
      </c>
      <c r="B35" t="s">
        <v>1207</v>
      </c>
      <c r="C35" t="str">
        <f>"CONF-"&amp;TEXT(us_core_reqs[[#This Row],[ID*]], "0000")</f>
        <v>CONF-0034</v>
      </c>
      <c r="D35" s="11" t="s">
        <v>821</v>
      </c>
      <c r="E35" t="str">
        <f>SUBSTITUTE(us_core_reqs[[#This Row],[URL*]], "https://hl7.org/fhir/us/core/STU8/","")</f>
        <v>general-requirements.html#modifier-elements</v>
      </c>
      <c r="F35" s="11" t="s">
        <v>73</v>
      </c>
      <c r="G35" t="s">
        <v>35</v>
      </c>
      <c r="H35" t="s">
        <v>1846</v>
      </c>
      <c r="I35" t="s">
        <v>30</v>
      </c>
      <c r="J35" t="s">
        <v>1171</v>
      </c>
      <c r="K35" t="s">
        <v>1171</v>
      </c>
      <c r="L35" t="s">
        <v>1173</v>
      </c>
      <c r="M35" t="s">
        <v>1171</v>
      </c>
      <c r="N35" t="s">
        <v>1171</v>
      </c>
      <c r="O35" t="s">
        <v>1171</v>
      </c>
      <c r="P35" t="s">
        <v>1171</v>
      </c>
      <c r="Q35" t="s">
        <v>1171</v>
      </c>
      <c r="R35" t="str">
        <f>_xlfn.TEXTBEFORE(_xlfn.TEXTAFTER(us_core_reqs[[#This Row],[URL*]],"/",-1),".")</f>
        <v>general-requirements</v>
      </c>
      <c r="S35" t="str">
        <f>_xlfn.TEXTAFTER(us_core_reqs[[#This Row],[URL*]],"#",-1)</f>
        <v>modifier-elements</v>
      </c>
      <c r="T35" t="str">
        <f>SUBSTITUTE(SUBSTITUTE(PROPER(SUBSTITUTE(us_core_reqs[[#This Row],[Page]], "-", " "))&amp;": "&amp;PROPER(SUBSTITUTE(us_core_reqs[[#This Row],[Section]], "-", " ")),"Us ","US "), "Uscdi", "USCDI")</f>
        <v>General Requirements: Modifier Elements</v>
      </c>
      <c r="U35" t="s">
        <v>35</v>
      </c>
      <c r="V35" t="s">
        <v>30</v>
      </c>
      <c r="W35" t="s">
        <v>1171</v>
      </c>
      <c r="X35" t="s">
        <v>1171</v>
      </c>
      <c r="Y35" t="s">
        <v>1171</v>
      </c>
      <c r="Z35" t="s">
        <v>1171</v>
      </c>
      <c r="AA35" t="s">
        <v>1171</v>
      </c>
      <c r="AB35" t="s">
        <v>1171</v>
      </c>
      <c r="AC35" t="s">
        <v>1171</v>
      </c>
      <c r="AD35" t="s">
        <v>1171</v>
      </c>
    </row>
    <row r="36" spans="1:30" ht="51" x14ac:dyDescent="0.2">
      <c r="A36" t="s">
        <v>1171</v>
      </c>
      <c r="B36" t="s">
        <v>1208</v>
      </c>
      <c r="C36" t="str">
        <f>"CONF-"&amp;TEXT(us_core_reqs[[#This Row],[ID*]], "0000")</f>
        <v>CONF-0035</v>
      </c>
      <c r="D36" s="11" t="s">
        <v>821</v>
      </c>
      <c r="E36" t="str">
        <f>SUBSTITUTE(us_core_reqs[[#This Row],[URL*]], "https://hl7.org/fhir/us/core/STU8/","")</f>
        <v>general-requirements.html#modifier-elements</v>
      </c>
      <c r="F36" s="11" t="s">
        <v>74</v>
      </c>
      <c r="G36" t="s">
        <v>32</v>
      </c>
      <c r="I36" t="s">
        <v>58</v>
      </c>
      <c r="J36" t="s">
        <v>1171</v>
      </c>
      <c r="K36" t="s">
        <v>1171</v>
      </c>
      <c r="L36" t="s">
        <v>1176</v>
      </c>
      <c r="M36" t="s">
        <v>1171</v>
      </c>
      <c r="N36" t="s">
        <v>1171</v>
      </c>
      <c r="O36" t="s">
        <v>1171</v>
      </c>
      <c r="P36" t="s">
        <v>1171</v>
      </c>
      <c r="Q36" t="s">
        <v>1171</v>
      </c>
      <c r="R36" t="str">
        <f>_xlfn.TEXTBEFORE(_xlfn.TEXTAFTER(us_core_reqs[[#This Row],[URL*]],"/",-1),".")</f>
        <v>general-requirements</v>
      </c>
      <c r="S36" t="str">
        <f>_xlfn.TEXTAFTER(us_core_reqs[[#This Row],[URL*]],"#",-1)</f>
        <v>modifier-elements</v>
      </c>
      <c r="T36" t="str">
        <f>SUBSTITUTE(SUBSTITUTE(PROPER(SUBSTITUTE(us_core_reqs[[#This Row],[Page]], "-", " "))&amp;": "&amp;PROPER(SUBSTITUTE(us_core_reqs[[#This Row],[Section]], "-", " ")),"Us ","US "), "Uscdi", "USCDI")</f>
        <v>General Requirements: Modifier Elements</v>
      </c>
      <c r="U36" t="s">
        <v>32</v>
      </c>
      <c r="V36" t="s">
        <v>1171</v>
      </c>
      <c r="W36" t="s">
        <v>1171</v>
      </c>
      <c r="X36" t="s">
        <v>1171</v>
      </c>
      <c r="Y36" t="s">
        <v>1171</v>
      </c>
      <c r="Z36" t="s">
        <v>1171</v>
      </c>
      <c r="AA36" t="s">
        <v>1171</v>
      </c>
      <c r="AB36" t="s">
        <v>1171</v>
      </c>
      <c r="AC36" t="s">
        <v>1171</v>
      </c>
      <c r="AD36" t="s">
        <v>1171</v>
      </c>
    </row>
    <row r="37" spans="1:30" ht="68" x14ac:dyDescent="0.2">
      <c r="A37" t="s">
        <v>1171</v>
      </c>
      <c r="B37" t="s">
        <v>1209</v>
      </c>
      <c r="C37" t="str">
        <f>"CONF-"&amp;TEXT(us_core_reqs[[#This Row],[ID*]], "0000")</f>
        <v>CONF-0036</v>
      </c>
      <c r="D37" s="11" t="s">
        <v>821</v>
      </c>
      <c r="E37" t="str">
        <f>SUBSTITUTE(us_core_reqs[[#This Row],[URL*]], "https://hl7.org/fhir/us/core/STU8/","")</f>
        <v>general-requirements.html#modifier-elements</v>
      </c>
      <c r="F37" s="11" t="s">
        <v>75</v>
      </c>
      <c r="G37" t="s">
        <v>1834</v>
      </c>
      <c r="I37" t="s">
        <v>58</v>
      </c>
      <c r="J37" t="s">
        <v>1171</v>
      </c>
      <c r="K37" t="s">
        <v>1171</v>
      </c>
      <c r="L37" t="s">
        <v>1176</v>
      </c>
      <c r="M37" t="s">
        <v>1171</v>
      </c>
      <c r="N37" t="s">
        <v>1171</v>
      </c>
      <c r="O37" t="s">
        <v>1171</v>
      </c>
      <c r="P37" t="s">
        <v>1171</v>
      </c>
      <c r="Q37" t="s">
        <v>1171</v>
      </c>
      <c r="R37" t="str">
        <f>_xlfn.TEXTBEFORE(_xlfn.TEXTAFTER(us_core_reqs[[#This Row],[URL*]],"/",-1),".")</f>
        <v>general-requirements</v>
      </c>
      <c r="S37" t="str">
        <f>_xlfn.TEXTAFTER(us_core_reqs[[#This Row],[URL*]],"#",-1)</f>
        <v>modifier-elements</v>
      </c>
      <c r="T37" t="str">
        <f>SUBSTITUTE(SUBSTITUTE(PROPER(SUBSTITUTE(us_core_reqs[[#This Row],[Page]], "-", " "))&amp;": "&amp;PROPER(SUBSTITUTE(us_core_reqs[[#This Row],[Section]], "-", " ")),"Us ","US "), "Uscdi", "USCDI")</f>
        <v>General Requirements: Modifier Elements</v>
      </c>
      <c r="U37" t="s">
        <v>32</v>
      </c>
      <c r="V37" t="s">
        <v>1171</v>
      </c>
      <c r="W37" t="s">
        <v>1171</v>
      </c>
      <c r="X37" t="s">
        <v>1171</v>
      </c>
      <c r="Y37" t="s">
        <v>1171</v>
      </c>
      <c r="Z37" t="s">
        <v>1171</v>
      </c>
      <c r="AA37" t="s">
        <v>1171</v>
      </c>
      <c r="AB37" t="s">
        <v>1171</v>
      </c>
      <c r="AC37" t="s">
        <v>1171</v>
      </c>
      <c r="AD37" t="s">
        <v>1171</v>
      </c>
    </row>
    <row r="38" spans="1:30" ht="51" x14ac:dyDescent="0.2">
      <c r="A38" t="s">
        <v>1171</v>
      </c>
      <c r="B38" t="s">
        <v>1210</v>
      </c>
      <c r="C38" t="str">
        <f>"CONF-"&amp;TEXT(us_core_reqs[[#This Row],[ID*]], "0000")</f>
        <v>CONF-0037</v>
      </c>
      <c r="D38" s="11" t="s">
        <v>821</v>
      </c>
      <c r="E38" t="str">
        <f>SUBSTITUTE(us_core_reqs[[#This Row],[URL*]], "https://hl7.org/fhir/us/core/STU8/","")</f>
        <v>general-requirements.html#modifier-elements</v>
      </c>
      <c r="F38" s="11" t="s">
        <v>906</v>
      </c>
      <c r="G38" t="s">
        <v>32</v>
      </c>
      <c r="I38" t="s">
        <v>58</v>
      </c>
      <c r="J38" t="s">
        <v>1171</v>
      </c>
      <c r="K38" t="s">
        <v>1171</v>
      </c>
      <c r="L38" t="s">
        <v>1173</v>
      </c>
      <c r="M38" t="s">
        <v>1171</v>
      </c>
      <c r="N38" t="s">
        <v>1171</v>
      </c>
      <c r="O38" t="s">
        <v>1171</v>
      </c>
      <c r="P38" t="s">
        <v>1171</v>
      </c>
      <c r="Q38" t="s">
        <v>1171</v>
      </c>
      <c r="R38" t="str">
        <f>_xlfn.TEXTBEFORE(_xlfn.TEXTAFTER(us_core_reqs[[#This Row],[URL*]],"/",-1),".")</f>
        <v>general-requirements</v>
      </c>
      <c r="S38" t="str">
        <f>_xlfn.TEXTAFTER(us_core_reqs[[#This Row],[URL*]],"#",-1)</f>
        <v>modifier-elements</v>
      </c>
      <c r="T38" t="str">
        <f>SUBSTITUTE(SUBSTITUTE(PROPER(SUBSTITUTE(us_core_reqs[[#This Row],[Page]], "-", " "))&amp;": "&amp;PROPER(SUBSTITUTE(us_core_reqs[[#This Row],[Section]], "-", " ")),"Us ","US "), "Uscdi", "USCDI")</f>
        <v>General Requirements: Modifier Elements</v>
      </c>
      <c r="U38" t="s">
        <v>1171</v>
      </c>
      <c r="V38" t="s">
        <v>58</v>
      </c>
      <c r="W38" t="s">
        <v>1171</v>
      </c>
      <c r="X38" t="s">
        <v>1171</v>
      </c>
      <c r="Y38" t="s">
        <v>1171</v>
      </c>
      <c r="Z38" t="s">
        <v>1171</v>
      </c>
      <c r="AA38" t="s">
        <v>1171</v>
      </c>
      <c r="AB38" t="s">
        <v>1171</v>
      </c>
      <c r="AC38" t="s">
        <v>1171</v>
      </c>
      <c r="AD38" t="s">
        <v>1171</v>
      </c>
    </row>
    <row r="39" spans="1:30" ht="34" x14ac:dyDescent="0.2">
      <c r="A39" t="s">
        <v>1171</v>
      </c>
      <c r="B39" t="s">
        <v>1211</v>
      </c>
      <c r="C39" t="str">
        <f>"CONF-"&amp;TEXT(us_core_reqs[[#This Row],[ID*]], "0000")</f>
        <v>CONF-0038</v>
      </c>
      <c r="D39" s="11" t="s">
        <v>821</v>
      </c>
      <c r="E39" t="str">
        <f>SUBSTITUTE(us_core_reqs[[#This Row],[URL*]], "https://hl7.org/fhir/us/core/STU8/","")</f>
        <v>general-requirements.html#modifier-elements</v>
      </c>
      <c r="F39" s="11" t="s">
        <v>1926</v>
      </c>
      <c r="G39" t="s">
        <v>64</v>
      </c>
      <c r="H39" t="s">
        <v>1847</v>
      </c>
      <c r="I39" t="s">
        <v>1171</v>
      </c>
      <c r="J39" t="s">
        <v>1171</v>
      </c>
      <c r="K39" t="s">
        <v>1171</v>
      </c>
      <c r="L39" t="s">
        <v>1173</v>
      </c>
      <c r="M39" t="s">
        <v>1171</v>
      </c>
      <c r="N39" t="s">
        <v>1171</v>
      </c>
      <c r="O39" t="s">
        <v>1171</v>
      </c>
      <c r="P39" t="s">
        <v>1171</v>
      </c>
      <c r="Q39" t="s">
        <v>1171</v>
      </c>
      <c r="R39" t="str">
        <f>_xlfn.TEXTBEFORE(_xlfn.TEXTAFTER(us_core_reqs[[#This Row],[URL*]],"/",-1),".")</f>
        <v>general-requirements</v>
      </c>
      <c r="S39" t="str">
        <f>_xlfn.TEXTAFTER(us_core_reqs[[#This Row],[URL*]],"#",-1)</f>
        <v>modifier-elements</v>
      </c>
      <c r="T39" t="str">
        <f>SUBSTITUTE(SUBSTITUTE(PROPER(SUBSTITUTE(us_core_reqs[[#This Row],[Page]], "-", " "))&amp;": "&amp;PROPER(SUBSTITUTE(us_core_reqs[[#This Row],[Section]], "-", " ")),"Us ","US "), "Uscdi", "USCDI")</f>
        <v>General Requirements: Modifier Elements</v>
      </c>
      <c r="U39" t="s">
        <v>32</v>
      </c>
      <c r="V39" t="s">
        <v>1171</v>
      </c>
      <c r="W39" t="s">
        <v>1171</v>
      </c>
      <c r="X39" t="s">
        <v>1171</v>
      </c>
      <c r="Y39" t="s">
        <v>1171</v>
      </c>
      <c r="Z39" t="s">
        <v>1171</v>
      </c>
      <c r="AA39" t="s">
        <v>1171</v>
      </c>
      <c r="AB39" t="s">
        <v>78</v>
      </c>
      <c r="AC39" t="s">
        <v>1171</v>
      </c>
      <c r="AD39" t="s">
        <v>1171</v>
      </c>
    </row>
    <row r="40" spans="1:30" ht="51" x14ac:dyDescent="0.2">
      <c r="A40" t="s">
        <v>1171</v>
      </c>
      <c r="B40" t="s">
        <v>1212</v>
      </c>
      <c r="C40" t="str">
        <f>"CONF-"&amp;TEXT(us_core_reqs[[#This Row],[ID*]], "0000")</f>
        <v>CONF-0039</v>
      </c>
      <c r="D40" s="11" t="s">
        <v>822</v>
      </c>
      <c r="E40" t="str">
        <f>SUBSTITUTE(us_core_reqs[[#This Row],[URL*]], "https://hl7.org/fhir/us/core/STU8/","")</f>
        <v>general-requirements.html#missing-data</v>
      </c>
      <c r="F40" s="11" t="s">
        <v>79</v>
      </c>
      <c r="G40" t="s">
        <v>29</v>
      </c>
      <c r="I40" t="s">
        <v>30</v>
      </c>
      <c r="J40" t="s">
        <v>1171</v>
      </c>
      <c r="K40" t="s">
        <v>1171</v>
      </c>
      <c r="L40" t="s">
        <v>1176</v>
      </c>
      <c r="M40" t="s">
        <v>80</v>
      </c>
      <c r="N40" t="s">
        <v>1171</v>
      </c>
      <c r="O40" t="s">
        <v>1171</v>
      </c>
      <c r="P40" t="s">
        <v>1171</v>
      </c>
      <c r="Q40" t="s">
        <v>1171</v>
      </c>
      <c r="R40" t="str">
        <f>_xlfn.TEXTBEFORE(_xlfn.TEXTAFTER(us_core_reqs[[#This Row],[URL*]],"/",-1),".")</f>
        <v>general-requirements</v>
      </c>
      <c r="S40" t="str">
        <f>_xlfn.TEXTAFTER(us_core_reqs[[#This Row],[URL*]],"#",-1)</f>
        <v>missing-data</v>
      </c>
      <c r="T40" t="str">
        <f>SUBSTITUTE(SUBSTITUTE(PROPER(SUBSTITUTE(us_core_reqs[[#This Row],[Page]], "-", " "))&amp;": "&amp;PROPER(SUBSTITUTE(us_core_reqs[[#This Row],[Section]], "-", " ")),"Us ","US "), "Uscdi", "USCDI")</f>
        <v>General Requirements: Missing Data</v>
      </c>
      <c r="U40" t="s">
        <v>29</v>
      </c>
      <c r="V40" t="s">
        <v>1171</v>
      </c>
      <c r="W40" t="s">
        <v>81</v>
      </c>
      <c r="X40" t="s">
        <v>1171</v>
      </c>
      <c r="Y40" t="s">
        <v>1171</v>
      </c>
      <c r="Z40" t="s">
        <v>1171</v>
      </c>
      <c r="AA40" t="s">
        <v>1171</v>
      </c>
      <c r="AB40" t="s">
        <v>1171</v>
      </c>
      <c r="AC40" t="s">
        <v>1140</v>
      </c>
      <c r="AD40" t="s">
        <v>1171</v>
      </c>
    </row>
    <row r="41" spans="1:30" ht="51" x14ac:dyDescent="0.2">
      <c r="A41" t="s">
        <v>1171</v>
      </c>
      <c r="B41" t="s">
        <v>1213</v>
      </c>
      <c r="C41" t="str">
        <f>"CONF-"&amp;TEXT(us_core_reqs[[#This Row],[ID*]], "0000")</f>
        <v>CONF-0040</v>
      </c>
      <c r="D41" s="11" t="s">
        <v>822</v>
      </c>
      <c r="E41" t="str">
        <f>SUBSTITUTE(us_core_reqs[[#This Row],[URL*]], "https://hl7.org/fhir/us/core/STU8/","")</f>
        <v>general-requirements.html#missing-data</v>
      </c>
      <c r="F41" s="11" t="s">
        <v>82</v>
      </c>
      <c r="G41" t="s">
        <v>29</v>
      </c>
      <c r="I41" t="s">
        <v>30</v>
      </c>
      <c r="J41" t="s">
        <v>1171</v>
      </c>
      <c r="K41" t="s">
        <v>1171</v>
      </c>
      <c r="L41" t="s">
        <v>1176</v>
      </c>
      <c r="M41" t="s">
        <v>83</v>
      </c>
      <c r="N41" t="s">
        <v>1171</v>
      </c>
      <c r="O41" t="s">
        <v>1171</v>
      </c>
      <c r="P41" t="s">
        <v>1171</v>
      </c>
      <c r="Q41" t="s">
        <v>1171</v>
      </c>
      <c r="R41" t="str">
        <f>_xlfn.TEXTBEFORE(_xlfn.TEXTAFTER(us_core_reqs[[#This Row],[URL*]],"/",-1),".")</f>
        <v>general-requirements</v>
      </c>
      <c r="S41" t="str">
        <f>_xlfn.TEXTAFTER(us_core_reqs[[#This Row],[URL*]],"#",-1)</f>
        <v>missing-data</v>
      </c>
      <c r="T41" t="str">
        <f>SUBSTITUTE(SUBSTITUTE(PROPER(SUBSTITUTE(us_core_reqs[[#This Row],[Page]], "-", " "))&amp;": "&amp;PROPER(SUBSTITUTE(us_core_reqs[[#This Row],[Section]], "-", " ")),"Us ","US "), "Uscdi", "USCDI")</f>
        <v>General Requirements: Missing Data</v>
      </c>
      <c r="U41" t="s">
        <v>29</v>
      </c>
      <c r="V41" t="s">
        <v>1171</v>
      </c>
      <c r="W41" t="s">
        <v>1171</v>
      </c>
      <c r="X41" t="s">
        <v>1171</v>
      </c>
      <c r="Y41" t="s">
        <v>1171</v>
      </c>
      <c r="Z41" t="s">
        <v>1171</v>
      </c>
      <c r="AA41" t="s">
        <v>1171</v>
      </c>
      <c r="AB41" t="s">
        <v>1171</v>
      </c>
      <c r="AC41" t="s">
        <v>1140</v>
      </c>
      <c r="AD41" t="s">
        <v>1171</v>
      </c>
    </row>
    <row r="42" spans="1:30" ht="85" x14ac:dyDescent="0.2">
      <c r="A42" t="s">
        <v>1171</v>
      </c>
      <c r="B42" t="s">
        <v>1214</v>
      </c>
      <c r="C42" t="str">
        <f>"CONF-"&amp;TEXT(us_core_reqs[[#This Row],[ID*]], "0000")</f>
        <v>CONF-0041</v>
      </c>
      <c r="D42" s="11" t="s">
        <v>822</v>
      </c>
      <c r="E42" t="str">
        <f>SUBSTITUTE(us_core_reqs[[#This Row],[URL*]], "https://hl7.org/fhir/us/core/STU8/","")</f>
        <v>general-requirements.html#missing-data</v>
      </c>
      <c r="F42" s="11" t="s">
        <v>84</v>
      </c>
      <c r="G42" t="s">
        <v>29</v>
      </c>
      <c r="I42" t="s">
        <v>30</v>
      </c>
      <c r="J42" t="s">
        <v>1171</v>
      </c>
      <c r="K42" t="s">
        <v>1171</v>
      </c>
      <c r="L42" t="s">
        <v>1176</v>
      </c>
      <c r="M42" t="s">
        <v>85</v>
      </c>
      <c r="N42" t="s">
        <v>1171</v>
      </c>
      <c r="O42" t="s">
        <v>1171</v>
      </c>
      <c r="P42" t="s">
        <v>1171</v>
      </c>
      <c r="Q42" t="s">
        <v>1171</v>
      </c>
      <c r="R42" t="str">
        <f>_xlfn.TEXTBEFORE(_xlfn.TEXTAFTER(us_core_reqs[[#This Row],[URL*]],"/",-1),".")</f>
        <v>general-requirements</v>
      </c>
      <c r="S42" t="str">
        <f>_xlfn.TEXTAFTER(us_core_reqs[[#This Row],[URL*]],"#",-1)</f>
        <v>missing-data</v>
      </c>
      <c r="T42" t="str">
        <f>SUBSTITUTE(SUBSTITUTE(PROPER(SUBSTITUTE(us_core_reqs[[#This Row],[Page]], "-", " "))&amp;": "&amp;PROPER(SUBSTITUTE(us_core_reqs[[#This Row],[Section]], "-", " ")),"Us ","US "), "Uscdi", "USCDI")</f>
        <v>General Requirements: Missing Data</v>
      </c>
      <c r="U42" t="s">
        <v>1171</v>
      </c>
      <c r="V42" t="s">
        <v>1171</v>
      </c>
      <c r="W42" t="s">
        <v>1171</v>
      </c>
      <c r="X42" t="s">
        <v>1171</v>
      </c>
      <c r="Y42" t="s">
        <v>1171</v>
      </c>
      <c r="Z42" t="s">
        <v>1171</v>
      </c>
      <c r="AA42" t="s">
        <v>1171</v>
      </c>
      <c r="AB42" t="s">
        <v>1171</v>
      </c>
      <c r="AC42" t="s">
        <v>1140</v>
      </c>
      <c r="AD42" t="s">
        <v>1171</v>
      </c>
    </row>
    <row r="43" spans="1:30" ht="68" x14ac:dyDescent="0.2">
      <c r="A43" t="s">
        <v>1171</v>
      </c>
      <c r="B43" t="s">
        <v>1215</v>
      </c>
      <c r="C43" t="str">
        <f>"CONF-"&amp;TEXT(us_core_reqs[[#This Row],[ID*]], "0000")</f>
        <v>CONF-0042</v>
      </c>
      <c r="D43" s="11" t="s">
        <v>822</v>
      </c>
      <c r="E43" t="str">
        <f>SUBSTITUTE(us_core_reqs[[#This Row],[URL*]], "https://hl7.org/fhir/us/core/STU8/","")</f>
        <v>general-requirements.html#missing-data</v>
      </c>
      <c r="F43" s="11" t="s">
        <v>86</v>
      </c>
      <c r="G43" t="s">
        <v>29</v>
      </c>
      <c r="I43" t="s">
        <v>30</v>
      </c>
      <c r="J43" t="s">
        <v>1171</v>
      </c>
      <c r="K43" t="s">
        <v>1171</v>
      </c>
      <c r="L43" t="s">
        <v>1176</v>
      </c>
      <c r="M43" t="s">
        <v>85</v>
      </c>
      <c r="N43" t="s">
        <v>1171</v>
      </c>
      <c r="O43" t="s">
        <v>1171</v>
      </c>
      <c r="P43" t="s">
        <v>1171</v>
      </c>
      <c r="Q43" t="s">
        <v>1171</v>
      </c>
      <c r="R43" t="str">
        <f>_xlfn.TEXTBEFORE(_xlfn.TEXTAFTER(us_core_reqs[[#This Row],[URL*]],"/",-1),".")</f>
        <v>general-requirements</v>
      </c>
      <c r="S43" t="str">
        <f>_xlfn.TEXTAFTER(us_core_reqs[[#This Row],[URL*]],"#",-1)</f>
        <v>missing-data</v>
      </c>
      <c r="T43" t="str">
        <f>SUBSTITUTE(SUBSTITUTE(PROPER(SUBSTITUTE(us_core_reqs[[#This Row],[Page]], "-", " "))&amp;": "&amp;PROPER(SUBSTITUTE(us_core_reqs[[#This Row],[Section]], "-", " ")),"Us ","US "), "Uscdi", "USCDI")</f>
        <v>General Requirements: Missing Data</v>
      </c>
      <c r="U43" t="s">
        <v>1171</v>
      </c>
      <c r="V43" t="s">
        <v>1171</v>
      </c>
      <c r="W43" t="s">
        <v>1171</v>
      </c>
      <c r="X43" t="s">
        <v>1171</v>
      </c>
      <c r="Y43" t="s">
        <v>1171</v>
      </c>
      <c r="Z43" t="s">
        <v>1171</v>
      </c>
      <c r="AA43" t="s">
        <v>1171</v>
      </c>
      <c r="AB43" t="s">
        <v>1171</v>
      </c>
      <c r="AC43" t="s">
        <v>1140</v>
      </c>
      <c r="AD43" t="s">
        <v>1171</v>
      </c>
    </row>
    <row r="44" spans="1:30" ht="85" x14ac:dyDescent="0.2">
      <c r="A44" t="s">
        <v>1171</v>
      </c>
      <c r="B44" t="s">
        <v>1216</v>
      </c>
      <c r="C44" t="str">
        <f>"CONF-"&amp;TEXT(us_core_reqs[[#This Row],[ID*]], "0000")</f>
        <v>CONF-0043</v>
      </c>
      <c r="D44" s="11" t="s">
        <v>822</v>
      </c>
      <c r="E44" t="str">
        <f>SUBSTITUTE(us_core_reqs[[#This Row],[URL*]], "https://hl7.org/fhir/us/core/STU8/","")</f>
        <v>general-requirements.html#missing-data</v>
      </c>
      <c r="F44" s="11" t="s">
        <v>87</v>
      </c>
      <c r="G44" t="s">
        <v>29</v>
      </c>
      <c r="I44" t="s">
        <v>30</v>
      </c>
      <c r="J44" t="s">
        <v>1171</v>
      </c>
      <c r="K44" t="s">
        <v>1100</v>
      </c>
      <c r="L44" t="s">
        <v>1176</v>
      </c>
      <c r="M44" t="s">
        <v>88</v>
      </c>
      <c r="N44" t="s">
        <v>1171</v>
      </c>
      <c r="O44" t="s">
        <v>1171</v>
      </c>
      <c r="P44" t="s">
        <v>1171</v>
      </c>
      <c r="Q44" t="s">
        <v>1171</v>
      </c>
      <c r="R44" t="str">
        <f>_xlfn.TEXTBEFORE(_xlfn.TEXTAFTER(us_core_reqs[[#This Row],[URL*]],"/",-1),".")</f>
        <v>general-requirements</v>
      </c>
      <c r="S44" t="str">
        <f>_xlfn.TEXTAFTER(us_core_reqs[[#This Row],[URL*]],"#",-1)</f>
        <v>missing-data</v>
      </c>
      <c r="T44" t="str">
        <f>SUBSTITUTE(SUBSTITUTE(PROPER(SUBSTITUTE(us_core_reqs[[#This Row],[Page]], "-", " "))&amp;": "&amp;PROPER(SUBSTITUTE(us_core_reqs[[#This Row],[Section]], "-", " ")),"Us ","US "), "Uscdi", "USCDI")</f>
        <v>General Requirements: Missing Data</v>
      </c>
      <c r="U44" t="s">
        <v>1171</v>
      </c>
      <c r="V44" t="s">
        <v>1171</v>
      </c>
      <c r="W44" t="s">
        <v>1171</v>
      </c>
      <c r="X44" t="s">
        <v>1171</v>
      </c>
      <c r="Y44" t="s">
        <v>1171</v>
      </c>
      <c r="Z44" t="s">
        <v>1171</v>
      </c>
      <c r="AA44" t="s">
        <v>1171</v>
      </c>
      <c r="AB44" t="s">
        <v>1171</v>
      </c>
      <c r="AC44" t="s">
        <v>1140</v>
      </c>
      <c r="AD44" t="s">
        <v>1171</v>
      </c>
    </row>
    <row r="45" spans="1:30" ht="85" x14ac:dyDescent="0.2">
      <c r="A45" t="s">
        <v>1171</v>
      </c>
      <c r="B45" t="s">
        <v>1217</v>
      </c>
      <c r="C45" t="str">
        <f>"CONF-"&amp;TEXT(us_core_reqs[[#This Row],[ID*]], "0000")</f>
        <v>CONF-0044</v>
      </c>
      <c r="D45" s="11" t="s">
        <v>822</v>
      </c>
      <c r="E45" t="str">
        <f>SUBSTITUTE(us_core_reqs[[#This Row],[URL*]], "https://hl7.org/fhir/us/core/STU8/","")</f>
        <v>general-requirements.html#missing-data</v>
      </c>
      <c r="F45" s="11" t="s">
        <v>89</v>
      </c>
      <c r="G45" t="s">
        <v>29</v>
      </c>
      <c r="I45" t="s">
        <v>30</v>
      </c>
      <c r="J45" t="s">
        <v>1171</v>
      </c>
      <c r="K45" t="s">
        <v>1171</v>
      </c>
      <c r="L45" t="s">
        <v>1176</v>
      </c>
      <c r="M45" t="s">
        <v>85</v>
      </c>
      <c r="N45" t="s">
        <v>1171</v>
      </c>
      <c r="O45" t="s">
        <v>1171</v>
      </c>
      <c r="P45" t="s">
        <v>1171</v>
      </c>
      <c r="Q45" t="s">
        <v>1171</v>
      </c>
      <c r="R45" t="str">
        <f>_xlfn.TEXTBEFORE(_xlfn.TEXTAFTER(us_core_reqs[[#This Row],[URL*]],"/",-1),".")</f>
        <v>general-requirements</v>
      </c>
      <c r="S45" t="str">
        <f>_xlfn.TEXTAFTER(us_core_reqs[[#This Row],[URL*]],"#",-1)</f>
        <v>missing-data</v>
      </c>
      <c r="T45" t="str">
        <f>SUBSTITUTE(SUBSTITUTE(PROPER(SUBSTITUTE(us_core_reqs[[#This Row],[Page]], "-", " "))&amp;": "&amp;PROPER(SUBSTITUTE(us_core_reqs[[#This Row],[Section]], "-", " ")),"Us ","US "), "Uscdi", "USCDI")</f>
        <v>General Requirements: Missing Data</v>
      </c>
      <c r="U45" t="s">
        <v>1171</v>
      </c>
      <c r="V45" t="s">
        <v>1171</v>
      </c>
      <c r="W45" t="s">
        <v>1171</v>
      </c>
      <c r="X45" t="s">
        <v>1171</v>
      </c>
      <c r="Y45" t="s">
        <v>1171</v>
      </c>
      <c r="Z45" t="s">
        <v>1171</v>
      </c>
      <c r="AA45" t="s">
        <v>1171</v>
      </c>
      <c r="AB45" t="s">
        <v>1171</v>
      </c>
      <c r="AC45" t="s">
        <v>1140</v>
      </c>
      <c r="AD45" t="s">
        <v>1171</v>
      </c>
    </row>
    <row r="46" spans="1:30" ht="119" x14ac:dyDescent="0.2">
      <c r="A46" t="s">
        <v>1171</v>
      </c>
      <c r="B46" t="s">
        <v>1218</v>
      </c>
      <c r="C46" t="str">
        <f>"CONF-"&amp;TEXT(us_core_reqs[[#This Row],[ID*]], "0000")</f>
        <v>CONF-0045</v>
      </c>
      <c r="D46" s="11" t="s">
        <v>822</v>
      </c>
      <c r="E46" t="str">
        <f>SUBSTITUTE(us_core_reqs[[#This Row],[URL*]], "https://hl7.org/fhir/us/core/STU8/","")</f>
        <v>general-requirements.html#missing-data</v>
      </c>
      <c r="F46" s="11" t="s">
        <v>90</v>
      </c>
      <c r="G46" t="s">
        <v>29</v>
      </c>
      <c r="I46" t="s">
        <v>30</v>
      </c>
      <c r="J46" t="s">
        <v>1171</v>
      </c>
      <c r="K46" t="s">
        <v>1171</v>
      </c>
      <c r="L46" t="s">
        <v>1176</v>
      </c>
      <c r="M46" t="s">
        <v>85</v>
      </c>
      <c r="N46" t="s">
        <v>1171</v>
      </c>
      <c r="O46" t="s">
        <v>1171</v>
      </c>
      <c r="P46" t="s">
        <v>1171</v>
      </c>
      <c r="Q46" t="s">
        <v>1171</v>
      </c>
      <c r="R46" t="str">
        <f>_xlfn.TEXTBEFORE(_xlfn.TEXTAFTER(us_core_reqs[[#This Row],[URL*]],"/",-1),".")</f>
        <v>general-requirements</v>
      </c>
      <c r="S46" t="str">
        <f>_xlfn.TEXTAFTER(us_core_reqs[[#This Row],[URL*]],"#",-1)</f>
        <v>missing-data</v>
      </c>
      <c r="T46" t="str">
        <f>SUBSTITUTE(SUBSTITUTE(PROPER(SUBSTITUTE(us_core_reqs[[#This Row],[Page]], "-", " "))&amp;": "&amp;PROPER(SUBSTITUTE(us_core_reqs[[#This Row],[Section]], "-", " ")),"Us ","US "), "Uscdi", "USCDI")</f>
        <v>General Requirements: Missing Data</v>
      </c>
      <c r="U46" t="s">
        <v>1171</v>
      </c>
      <c r="V46" t="s">
        <v>1171</v>
      </c>
      <c r="W46" t="s">
        <v>1171</v>
      </c>
      <c r="X46" t="s">
        <v>1171</v>
      </c>
      <c r="Y46" t="s">
        <v>1171</v>
      </c>
      <c r="Z46" t="s">
        <v>1171</v>
      </c>
      <c r="AA46" t="s">
        <v>1171</v>
      </c>
      <c r="AB46" t="s">
        <v>1171</v>
      </c>
      <c r="AC46" t="s">
        <v>1140</v>
      </c>
      <c r="AD46" t="s">
        <v>1171</v>
      </c>
    </row>
    <row r="47" spans="1:30" ht="68" x14ac:dyDescent="0.2">
      <c r="A47" t="s">
        <v>1171</v>
      </c>
      <c r="B47" t="s">
        <v>1219</v>
      </c>
      <c r="C47" t="str">
        <f>"CONF-"&amp;TEXT(us_core_reqs[[#This Row],[ID*]], "0000")</f>
        <v>CONF-0046</v>
      </c>
      <c r="D47" s="11" t="s">
        <v>822</v>
      </c>
      <c r="E47" t="str">
        <f>SUBSTITUTE(us_core_reqs[[#This Row],[URL*]], "https://hl7.org/fhir/us/core/STU8/","")</f>
        <v>general-requirements.html#missing-data</v>
      </c>
      <c r="F47" s="11" t="s">
        <v>91</v>
      </c>
      <c r="G47" t="s">
        <v>29</v>
      </c>
      <c r="I47" t="s">
        <v>30</v>
      </c>
      <c r="J47" t="s">
        <v>1171</v>
      </c>
      <c r="K47" t="s">
        <v>1171</v>
      </c>
      <c r="L47" t="s">
        <v>1176</v>
      </c>
      <c r="M47" t="s">
        <v>85</v>
      </c>
      <c r="N47" t="s">
        <v>1171</v>
      </c>
      <c r="O47" t="s">
        <v>1171</v>
      </c>
      <c r="P47" t="s">
        <v>1171</v>
      </c>
      <c r="Q47" t="s">
        <v>1171</v>
      </c>
      <c r="R47" t="str">
        <f>_xlfn.TEXTBEFORE(_xlfn.TEXTAFTER(us_core_reqs[[#This Row],[URL*]],"/",-1),".")</f>
        <v>general-requirements</v>
      </c>
      <c r="S47" t="str">
        <f>_xlfn.TEXTAFTER(us_core_reqs[[#This Row],[URL*]],"#",-1)</f>
        <v>missing-data</v>
      </c>
      <c r="T47" t="str">
        <f>SUBSTITUTE(SUBSTITUTE(PROPER(SUBSTITUTE(us_core_reqs[[#This Row],[Page]], "-", " "))&amp;": "&amp;PROPER(SUBSTITUTE(us_core_reqs[[#This Row],[Section]], "-", " ")),"Us ","US "), "Uscdi", "USCDI")</f>
        <v>General Requirements: Missing Data</v>
      </c>
      <c r="U47" t="s">
        <v>1171</v>
      </c>
      <c r="V47" t="s">
        <v>1171</v>
      </c>
      <c r="W47" t="s">
        <v>1171</v>
      </c>
      <c r="X47" t="s">
        <v>1171</v>
      </c>
      <c r="Y47" t="s">
        <v>1171</v>
      </c>
      <c r="Z47" t="s">
        <v>1171</v>
      </c>
      <c r="AA47" t="s">
        <v>1171</v>
      </c>
      <c r="AB47" t="s">
        <v>1171</v>
      </c>
      <c r="AC47" t="s">
        <v>1140</v>
      </c>
      <c r="AD47" t="s">
        <v>1171</v>
      </c>
    </row>
    <row r="48" spans="1:30" ht="85" x14ac:dyDescent="0.2">
      <c r="A48" t="s">
        <v>1171</v>
      </c>
      <c r="B48" t="s">
        <v>1220</v>
      </c>
      <c r="C48" t="str">
        <f>"CONF-"&amp;TEXT(us_core_reqs[[#This Row],[ID*]], "0000")</f>
        <v>CONF-0047</v>
      </c>
      <c r="D48" s="11" t="s">
        <v>822</v>
      </c>
      <c r="E48" t="str">
        <f>SUBSTITUTE(us_core_reqs[[#This Row],[URL*]], "https://hl7.org/fhir/us/core/STU8/","")</f>
        <v>general-requirements.html#missing-data</v>
      </c>
      <c r="F48" s="11" t="s">
        <v>92</v>
      </c>
      <c r="G48" t="s">
        <v>29</v>
      </c>
      <c r="I48" t="s">
        <v>30</v>
      </c>
      <c r="J48" t="s">
        <v>1171</v>
      </c>
      <c r="K48" t="s">
        <v>1171</v>
      </c>
      <c r="L48" t="s">
        <v>1176</v>
      </c>
      <c r="M48" t="s">
        <v>93</v>
      </c>
      <c r="N48" t="s">
        <v>1171</v>
      </c>
      <c r="O48" t="s">
        <v>1171</v>
      </c>
      <c r="P48" t="s">
        <v>1171</v>
      </c>
      <c r="Q48" t="s">
        <v>1171</v>
      </c>
      <c r="R48" t="str">
        <f>_xlfn.TEXTBEFORE(_xlfn.TEXTAFTER(us_core_reqs[[#This Row],[URL*]],"/",-1),".")</f>
        <v>general-requirements</v>
      </c>
      <c r="S48" t="str">
        <f>_xlfn.TEXTAFTER(us_core_reqs[[#This Row],[URL*]],"#",-1)</f>
        <v>missing-data</v>
      </c>
      <c r="T48" t="str">
        <f>SUBSTITUTE(SUBSTITUTE(PROPER(SUBSTITUTE(us_core_reqs[[#This Row],[Page]], "-", " "))&amp;": "&amp;PROPER(SUBSTITUTE(us_core_reqs[[#This Row],[Section]], "-", " ")),"Us ","US "), "Uscdi", "USCDI")</f>
        <v>General Requirements: Missing Data</v>
      </c>
      <c r="U48" t="s">
        <v>1171</v>
      </c>
      <c r="V48" t="s">
        <v>1171</v>
      </c>
      <c r="W48" t="s">
        <v>1171</v>
      </c>
      <c r="X48" t="s">
        <v>1171</v>
      </c>
      <c r="Y48" t="s">
        <v>1171</v>
      </c>
      <c r="Z48" t="s">
        <v>1171</v>
      </c>
      <c r="AA48" t="s">
        <v>1171</v>
      </c>
      <c r="AB48" t="s">
        <v>1171</v>
      </c>
      <c r="AC48" t="s">
        <v>1140</v>
      </c>
      <c r="AD48" t="s">
        <v>1171</v>
      </c>
    </row>
    <row r="49" spans="1:30" ht="102" x14ac:dyDescent="0.2">
      <c r="A49" t="s">
        <v>1171</v>
      </c>
      <c r="B49" t="s">
        <v>1221</v>
      </c>
      <c r="C49" t="str">
        <f>"CONF-"&amp;TEXT(us_core_reqs[[#This Row],[ID*]], "0000")</f>
        <v>CONF-0048</v>
      </c>
      <c r="D49" s="11" t="s">
        <v>822</v>
      </c>
      <c r="E49" t="str">
        <f>SUBSTITUTE(us_core_reqs[[#This Row],[URL*]], "https://hl7.org/fhir/us/core/STU8/","")</f>
        <v>general-requirements.html#missing-data</v>
      </c>
      <c r="F49" s="11" t="s">
        <v>94</v>
      </c>
      <c r="G49" t="s">
        <v>29</v>
      </c>
      <c r="I49" t="s">
        <v>30</v>
      </c>
      <c r="J49" t="s">
        <v>1171</v>
      </c>
      <c r="K49" t="s">
        <v>1171</v>
      </c>
      <c r="L49" t="s">
        <v>1176</v>
      </c>
      <c r="M49" t="s">
        <v>95</v>
      </c>
      <c r="N49" t="s">
        <v>1171</v>
      </c>
      <c r="O49" t="s">
        <v>1171</v>
      </c>
      <c r="P49" t="s">
        <v>1171</v>
      </c>
      <c r="Q49" t="s">
        <v>1171</v>
      </c>
      <c r="R49" t="str">
        <f>_xlfn.TEXTBEFORE(_xlfn.TEXTAFTER(us_core_reqs[[#This Row],[URL*]],"/",-1),".")</f>
        <v>general-requirements</v>
      </c>
      <c r="S49" t="str">
        <f>_xlfn.TEXTAFTER(us_core_reqs[[#This Row],[URL*]],"#",-1)</f>
        <v>missing-data</v>
      </c>
      <c r="T49" t="str">
        <f>SUBSTITUTE(SUBSTITUTE(PROPER(SUBSTITUTE(us_core_reqs[[#This Row],[Page]], "-", " "))&amp;": "&amp;PROPER(SUBSTITUTE(us_core_reqs[[#This Row],[Section]], "-", " ")),"Us ","US "), "Uscdi", "USCDI")</f>
        <v>General Requirements: Missing Data</v>
      </c>
      <c r="U49" t="s">
        <v>29</v>
      </c>
      <c r="V49" t="s">
        <v>1171</v>
      </c>
      <c r="W49" t="s">
        <v>1171</v>
      </c>
      <c r="X49" t="s">
        <v>1171</v>
      </c>
      <c r="Y49" t="s">
        <v>1171</v>
      </c>
      <c r="Z49" t="s">
        <v>1171</v>
      </c>
      <c r="AA49" t="s">
        <v>1171</v>
      </c>
      <c r="AB49" t="s">
        <v>1171</v>
      </c>
      <c r="AC49" t="s">
        <v>1141</v>
      </c>
      <c r="AD49" t="s">
        <v>1171</v>
      </c>
    </row>
    <row r="50" spans="1:30" ht="85" x14ac:dyDescent="0.2">
      <c r="A50" t="s">
        <v>1171</v>
      </c>
      <c r="B50" t="s">
        <v>1222</v>
      </c>
      <c r="C50" t="str">
        <f>"CONF-"&amp;TEXT(us_core_reqs[[#This Row],[ID*]], "0000")</f>
        <v>CONF-0049</v>
      </c>
      <c r="D50" s="11" t="s">
        <v>822</v>
      </c>
      <c r="E50" t="str">
        <f>SUBSTITUTE(us_core_reqs[[#This Row],[URL*]], "https://hl7.org/fhir/us/core/STU8/","")</f>
        <v>general-requirements.html#missing-data</v>
      </c>
      <c r="F50" s="11" t="s">
        <v>96</v>
      </c>
      <c r="G50" t="s">
        <v>29</v>
      </c>
      <c r="I50" t="s">
        <v>30</v>
      </c>
      <c r="J50" t="s">
        <v>1171</v>
      </c>
      <c r="K50" t="s">
        <v>1171</v>
      </c>
      <c r="L50" t="s">
        <v>1176</v>
      </c>
      <c r="M50" t="s">
        <v>95</v>
      </c>
      <c r="N50" t="s">
        <v>1171</v>
      </c>
      <c r="O50" t="s">
        <v>1171</v>
      </c>
      <c r="P50" t="s">
        <v>1171</v>
      </c>
      <c r="Q50" t="s">
        <v>1171</v>
      </c>
      <c r="R50" t="str">
        <f>_xlfn.TEXTBEFORE(_xlfn.TEXTAFTER(us_core_reqs[[#This Row],[URL*]],"/",-1),".")</f>
        <v>general-requirements</v>
      </c>
      <c r="S50" t="str">
        <f>_xlfn.TEXTAFTER(us_core_reqs[[#This Row],[URL*]],"#",-1)</f>
        <v>missing-data</v>
      </c>
      <c r="T50" t="str">
        <f>SUBSTITUTE(SUBSTITUTE(PROPER(SUBSTITUTE(us_core_reqs[[#This Row],[Page]], "-", " "))&amp;": "&amp;PROPER(SUBSTITUTE(us_core_reqs[[#This Row],[Section]], "-", " ")),"Us ","US "), "Uscdi", "USCDI")</f>
        <v>General Requirements: Missing Data</v>
      </c>
      <c r="U50" t="s">
        <v>29</v>
      </c>
      <c r="V50" t="s">
        <v>1171</v>
      </c>
      <c r="W50" t="s">
        <v>1171</v>
      </c>
      <c r="X50" t="s">
        <v>1171</v>
      </c>
      <c r="Y50" t="s">
        <v>1171</v>
      </c>
      <c r="Z50" t="s">
        <v>1171</v>
      </c>
      <c r="AA50" t="s">
        <v>1171</v>
      </c>
      <c r="AB50" t="s">
        <v>1171</v>
      </c>
      <c r="AC50" t="s">
        <v>1141</v>
      </c>
      <c r="AD50" t="s">
        <v>1171</v>
      </c>
    </row>
    <row r="51" spans="1:30" ht="119" x14ac:dyDescent="0.2">
      <c r="A51" t="s">
        <v>1171</v>
      </c>
      <c r="B51" t="s">
        <v>1223</v>
      </c>
      <c r="C51" t="str">
        <f>"CONF-"&amp;TEXT(us_core_reqs[[#This Row],[ID*]], "0000")</f>
        <v>CONF-0050</v>
      </c>
      <c r="D51" s="11" t="s">
        <v>822</v>
      </c>
      <c r="E51" t="str">
        <f>SUBSTITUTE(us_core_reqs[[#This Row],[URL*]], "https://hl7.org/fhir/us/core/STU8/","")</f>
        <v>general-requirements.html#missing-data</v>
      </c>
      <c r="F51" s="11" t="s">
        <v>97</v>
      </c>
      <c r="G51" t="s">
        <v>32</v>
      </c>
      <c r="I51" t="s">
        <v>30</v>
      </c>
      <c r="J51" t="s">
        <v>1171</v>
      </c>
      <c r="K51" t="s">
        <v>1171</v>
      </c>
      <c r="L51" t="s">
        <v>1176</v>
      </c>
      <c r="M51" t="s">
        <v>95</v>
      </c>
      <c r="N51" t="s">
        <v>1171</v>
      </c>
      <c r="O51" t="s">
        <v>1171</v>
      </c>
      <c r="P51" t="s">
        <v>1171</v>
      </c>
      <c r="Q51" t="s">
        <v>1171</v>
      </c>
      <c r="R51" t="str">
        <f>_xlfn.TEXTBEFORE(_xlfn.TEXTAFTER(us_core_reqs[[#This Row],[URL*]],"/",-1),".")</f>
        <v>general-requirements</v>
      </c>
      <c r="S51" t="str">
        <f>_xlfn.TEXTAFTER(us_core_reqs[[#This Row],[URL*]],"#",-1)</f>
        <v>missing-data</v>
      </c>
      <c r="T51" t="str">
        <f>SUBSTITUTE(SUBSTITUTE(PROPER(SUBSTITUTE(us_core_reqs[[#This Row],[Page]], "-", " "))&amp;": "&amp;PROPER(SUBSTITUTE(us_core_reqs[[#This Row],[Section]], "-", " ")),"Us ","US "), "Uscdi", "USCDI")</f>
        <v>General Requirements: Missing Data</v>
      </c>
      <c r="U51" t="s">
        <v>32</v>
      </c>
      <c r="V51" t="s">
        <v>1171</v>
      </c>
      <c r="W51" t="s">
        <v>1171</v>
      </c>
      <c r="X51" t="s">
        <v>1171</v>
      </c>
      <c r="Y51" t="s">
        <v>1171</v>
      </c>
      <c r="Z51" t="s">
        <v>1171</v>
      </c>
      <c r="AA51" t="s">
        <v>1171</v>
      </c>
      <c r="AB51" t="s">
        <v>1171</v>
      </c>
      <c r="AC51" t="s">
        <v>1171</v>
      </c>
      <c r="AD51" t="s">
        <v>1171</v>
      </c>
    </row>
    <row r="52" spans="1:30" ht="68" x14ac:dyDescent="0.2">
      <c r="A52" t="s">
        <v>1171</v>
      </c>
      <c r="B52" t="s">
        <v>1224</v>
      </c>
      <c r="C52" t="str">
        <f>"CONF-"&amp;TEXT(us_core_reqs[[#This Row],[ID*]], "0000")</f>
        <v>CONF-0051</v>
      </c>
      <c r="D52" s="11" t="s">
        <v>823</v>
      </c>
      <c r="E52" t="str">
        <f>SUBSTITUTE(us_core_reqs[[#This Row],[URL*]], "https://hl7.org/fhir/us/core/STU8/","")</f>
        <v>general-requirements.html#fhir-restful-search-api-requirements</v>
      </c>
      <c r="F52" s="11" t="s">
        <v>970</v>
      </c>
      <c r="G52" t="s">
        <v>29</v>
      </c>
      <c r="I52" t="s">
        <v>30</v>
      </c>
      <c r="J52" t="s">
        <v>1171</v>
      </c>
      <c r="K52" t="s">
        <v>1171</v>
      </c>
      <c r="L52" t="s">
        <v>1173</v>
      </c>
      <c r="M52" t="s">
        <v>1171</v>
      </c>
      <c r="N52" t="s">
        <v>1171</v>
      </c>
      <c r="O52" t="s">
        <v>1171</v>
      </c>
      <c r="P52" t="s">
        <v>1171</v>
      </c>
      <c r="Q52" t="s">
        <v>1171</v>
      </c>
      <c r="R52" t="str">
        <f>_xlfn.TEXTBEFORE(_xlfn.TEXTAFTER(us_core_reqs[[#This Row],[URL*]],"/",-1),".")</f>
        <v>general-requirements</v>
      </c>
      <c r="S52" t="str">
        <f>_xlfn.TEXTAFTER(us_core_reqs[[#This Row],[URL*]],"#",-1)</f>
        <v>fhir-restful-search-api-requirements</v>
      </c>
      <c r="T52" t="str">
        <f>SUBSTITUTE(SUBSTITUTE(PROPER(SUBSTITUTE(us_core_reqs[[#This Row],[Page]], "-", " "))&amp;": "&amp;PROPER(SUBSTITUTE(us_core_reqs[[#This Row],[Section]], "-", " ")),"Us ","US "), "Uscdi", "USCDI")</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1225</v>
      </c>
      <c r="C53" t="str">
        <f>"CONF-"&amp;TEXT(us_core_reqs[[#This Row],[ID*]], "0000")</f>
        <v>CONF-0052</v>
      </c>
      <c r="D53" s="11" t="s">
        <v>823</v>
      </c>
      <c r="E53" t="str">
        <f>SUBSTITUTE(us_core_reqs[[#This Row],[URL*]], "https://hl7.org/fhir/us/core/STU8/","")</f>
        <v>general-requirements.html#fhir-restful-search-api-requirements</v>
      </c>
      <c r="F53" s="11" t="s">
        <v>971</v>
      </c>
      <c r="G53" t="s">
        <v>29</v>
      </c>
      <c r="I53" t="s">
        <v>30</v>
      </c>
      <c r="J53" t="s">
        <v>1171</v>
      </c>
      <c r="K53" t="s">
        <v>1171</v>
      </c>
      <c r="L53" t="s">
        <v>1173</v>
      </c>
      <c r="M53" t="s">
        <v>1171</v>
      </c>
      <c r="N53" t="s">
        <v>1171</v>
      </c>
      <c r="O53" t="s">
        <v>1171</v>
      </c>
      <c r="P53" t="s">
        <v>1171</v>
      </c>
      <c r="Q53" t="s">
        <v>1171</v>
      </c>
      <c r="R53" t="str">
        <f>_xlfn.TEXTBEFORE(_xlfn.TEXTAFTER(us_core_reqs[[#This Row],[URL*]],"/",-1),".")</f>
        <v>general-requirements</v>
      </c>
      <c r="S53" t="str">
        <f>_xlfn.TEXTAFTER(us_core_reqs[[#This Row],[URL*]],"#",-1)</f>
        <v>fhir-restful-search-api-requirements</v>
      </c>
      <c r="T53" t="str">
        <f>SUBSTITUTE(SUBSTITUTE(PROPER(SUBSTITUTE(us_core_reqs[[#This Row],[Page]], "-", " "))&amp;": "&amp;PROPER(SUBSTITUTE(us_core_reqs[[#This Row],[Section]], "-", " ")),"Us ","US "), "Uscdi", "USCDI")</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1226</v>
      </c>
      <c r="C54" t="str">
        <f>"CONF-"&amp;TEXT(us_core_reqs[[#This Row],[ID*]], "0000")</f>
        <v>CONF-0053</v>
      </c>
      <c r="D54" s="11" t="s">
        <v>823</v>
      </c>
      <c r="E54" t="str">
        <f>SUBSTITUTE(us_core_reqs[[#This Row],[URL*]], "https://hl7.org/fhir/us/core/STU8/","")</f>
        <v>general-requirements.html#fhir-restful-search-api-requirements</v>
      </c>
      <c r="F54" s="11" t="s">
        <v>907</v>
      </c>
      <c r="G54" t="s">
        <v>29</v>
      </c>
      <c r="I54" t="s">
        <v>58</v>
      </c>
      <c r="J54" t="s">
        <v>1171</v>
      </c>
      <c r="K54" t="s">
        <v>1171</v>
      </c>
      <c r="L54" t="s">
        <v>1173</v>
      </c>
      <c r="M54" t="s">
        <v>1171</v>
      </c>
      <c r="N54" t="s">
        <v>1171</v>
      </c>
      <c r="O54" t="s">
        <v>1171</v>
      </c>
      <c r="P54" t="s">
        <v>1171</v>
      </c>
      <c r="Q54" t="s">
        <v>1171</v>
      </c>
      <c r="R54" t="str">
        <f>_xlfn.TEXTBEFORE(_xlfn.TEXTAFTER(us_core_reqs[[#This Row],[URL*]],"/",-1),".")</f>
        <v>general-requirements</v>
      </c>
      <c r="S54" t="str">
        <f>_xlfn.TEXTAFTER(us_core_reqs[[#This Row],[URL*]],"#",-1)</f>
        <v>fhir-restful-search-api-requirements</v>
      </c>
      <c r="T54" t="str">
        <f>SUBSTITUTE(SUBSTITUTE(PROPER(SUBSTITUTE(us_core_reqs[[#This Row],[Page]], "-", " "))&amp;": "&amp;PROPER(SUBSTITUTE(us_core_reqs[[#This Row],[Section]], "-", " ")),"Us ","US "), "Uscdi", "USCDI")</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1227</v>
      </c>
      <c r="C55" t="str">
        <f>"CONF-"&amp;TEXT(us_core_reqs[[#This Row],[ID*]], "0000")</f>
        <v>CONF-0054</v>
      </c>
      <c r="D55" s="11" t="s">
        <v>823</v>
      </c>
      <c r="E55" t="str">
        <f>SUBSTITUTE(us_core_reqs[[#This Row],[URL*]], "https://hl7.org/fhir/us/core/STU8/","")</f>
        <v>general-requirements.html#fhir-restful-search-api-requirements</v>
      </c>
      <c r="F55" s="11" t="s">
        <v>908</v>
      </c>
      <c r="G55" t="s">
        <v>35</v>
      </c>
      <c r="I55" t="s">
        <v>58</v>
      </c>
      <c r="J55" t="s">
        <v>1171</v>
      </c>
      <c r="K55" t="s">
        <v>1171</v>
      </c>
      <c r="L55" t="s">
        <v>1173</v>
      </c>
      <c r="M55" t="s">
        <v>1171</v>
      </c>
      <c r="N55" t="s">
        <v>1171</v>
      </c>
      <c r="O55" t="s">
        <v>1171</v>
      </c>
      <c r="P55" t="s">
        <v>1171</v>
      </c>
      <c r="Q55" t="s">
        <v>1171</v>
      </c>
      <c r="R55" t="str">
        <f>_xlfn.TEXTBEFORE(_xlfn.TEXTAFTER(us_core_reqs[[#This Row],[URL*]],"/",-1),".")</f>
        <v>general-requirements</v>
      </c>
      <c r="S55" t="str">
        <f>_xlfn.TEXTAFTER(us_core_reqs[[#This Row],[URL*]],"#",-1)</f>
        <v>fhir-restful-search-api-requirements</v>
      </c>
      <c r="T55" t="str">
        <f>SUBSTITUTE(SUBSTITUTE(PROPER(SUBSTITUTE(us_core_reqs[[#This Row],[Page]], "-", " "))&amp;": "&amp;PROPER(SUBSTITUTE(us_core_reqs[[#This Row],[Section]], "-", " ")),"Us ","US "), "Uscdi", "USCDI")</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1228</v>
      </c>
      <c r="C56" t="str">
        <f>"CONF-"&amp;TEXT(us_core_reqs[[#This Row],[ID*]], "0000")</f>
        <v>CONF-0055</v>
      </c>
      <c r="D56" s="11" t="s">
        <v>823</v>
      </c>
      <c r="E56" t="str">
        <f>SUBSTITUTE(us_core_reqs[[#This Row],[URL*]], "https://hl7.org/fhir/us/core/STU8/","")</f>
        <v>general-requirements.html#fhir-restful-search-api-requirements</v>
      </c>
      <c r="F56" s="11" t="s">
        <v>972</v>
      </c>
      <c r="G56" t="s">
        <v>29</v>
      </c>
      <c r="I56" t="s">
        <v>30</v>
      </c>
      <c r="J56" t="s">
        <v>1171</v>
      </c>
      <c r="K56" t="s">
        <v>1171</v>
      </c>
      <c r="L56" t="s">
        <v>1173</v>
      </c>
      <c r="M56" t="s">
        <v>1171</v>
      </c>
      <c r="N56" t="s">
        <v>1171</v>
      </c>
      <c r="O56" t="s">
        <v>1171</v>
      </c>
      <c r="P56" t="s">
        <v>1171</v>
      </c>
      <c r="Q56" t="s">
        <v>1171</v>
      </c>
      <c r="R56" t="str">
        <f>_xlfn.TEXTBEFORE(_xlfn.TEXTAFTER(us_core_reqs[[#This Row],[URL*]],"/",-1),".")</f>
        <v>general-requirements</v>
      </c>
      <c r="S56" t="str">
        <f>_xlfn.TEXTAFTER(us_core_reqs[[#This Row],[URL*]],"#",-1)</f>
        <v>fhir-restful-search-api-requirements</v>
      </c>
      <c r="T56" t="str">
        <f>SUBSTITUTE(SUBSTITUTE(PROPER(SUBSTITUTE(us_core_reqs[[#This Row],[Page]], "-", " "))&amp;": "&amp;PROPER(SUBSTITUTE(us_core_reqs[[#This Row],[Section]], "-", " ")),"Us ","US "), "Uscdi", "USCDI")</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1229</v>
      </c>
      <c r="C57" t="str">
        <f>"CONF-"&amp;TEXT(us_core_reqs[[#This Row],[ID*]], "0000")</f>
        <v>CONF-0056</v>
      </c>
      <c r="D57" s="11" t="s">
        <v>823</v>
      </c>
      <c r="E57" t="str">
        <f>SUBSTITUTE(us_core_reqs[[#This Row],[URL*]], "https://hl7.org/fhir/us/core/STU8/","")</f>
        <v>general-requirements.html#fhir-restful-search-api-requirements</v>
      </c>
      <c r="F57" s="11" t="s">
        <v>909</v>
      </c>
      <c r="G57" t="s">
        <v>29</v>
      </c>
      <c r="I57" t="s">
        <v>58</v>
      </c>
      <c r="J57" t="s">
        <v>1171</v>
      </c>
      <c r="K57" t="s">
        <v>1171</v>
      </c>
      <c r="L57" t="s">
        <v>1173</v>
      </c>
      <c r="M57" t="s">
        <v>1171</v>
      </c>
      <c r="N57" t="s">
        <v>1171</v>
      </c>
      <c r="O57" t="s">
        <v>1171</v>
      </c>
      <c r="P57" t="s">
        <v>1171</v>
      </c>
      <c r="Q57" t="s">
        <v>1171</v>
      </c>
      <c r="R57" t="str">
        <f>_xlfn.TEXTBEFORE(_xlfn.TEXTAFTER(us_core_reqs[[#This Row],[URL*]],"/",-1),".")</f>
        <v>general-requirements</v>
      </c>
      <c r="S57" t="str">
        <f>_xlfn.TEXTAFTER(us_core_reqs[[#This Row],[URL*]],"#",-1)</f>
        <v>fhir-restful-search-api-requirements</v>
      </c>
      <c r="T57" t="str">
        <f>SUBSTITUTE(SUBSTITUTE(PROPER(SUBSTITUTE(us_core_reqs[[#This Row],[Page]], "-", " "))&amp;": "&amp;PROPER(SUBSTITUTE(us_core_reqs[[#This Row],[Section]], "-", " ")),"Us ","US "), "Uscdi", "USCDI")</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1230</v>
      </c>
      <c r="C58" t="str">
        <f>"CONF-"&amp;TEXT(us_core_reqs[[#This Row],[ID*]], "0000")</f>
        <v>CONF-0057</v>
      </c>
      <c r="D58" s="11" t="s">
        <v>823</v>
      </c>
      <c r="E58" t="str">
        <f>SUBSTITUTE(us_core_reqs[[#This Row],[URL*]], "https://hl7.org/fhir/us/core/STU8/","")</f>
        <v>general-requirements.html#fhir-restful-search-api-requirements</v>
      </c>
      <c r="F58" s="11" t="s">
        <v>910</v>
      </c>
      <c r="G58" t="s">
        <v>35</v>
      </c>
      <c r="I58" t="s">
        <v>58</v>
      </c>
      <c r="J58" t="s">
        <v>1171</v>
      </c>
      <c r="K58" t="s">
        <v>1171</v>
      </c>
      <c r="L58" t="s">
        <v>1173</v>
      </c>
      <c r="M58" t="s">
        <v>1171</v>
      </c>
      <c r="N58" t="s">
        <v>1171</v>
      </c>
      <c r="O58" t="s">
        <v>1171</v>
      </c>
      <c r="P58" t="s">
        <v>1171</v>
      </c>
      <c r="Q58" t="s">
        <v>1171</v>
      </c>
      <c r="R58" t="str">
        <f>_xlfn.TEXTBEFORE(_xlfn.TEXTAFTER(us_core_reqs[[#This Row],[URL*]],"/",-1),".")</f>
        <v>general-requirements</v>
      </c>
      <c r="S58" t="str">
        <f>_xlfn.TEXTAFTER(us_core_reqs[[#This Row],[URL*]],"#",-1)</f>
        <v>fhir-restful-search-api-requirements</v>
      </c>
      <c r="T58" t="str">
        <f>SUBSTITUTE(SUBSTITUTE(PROPER(SUBSTITUTE(us_core_reqs[[#This Row],[Page]], "-", " "))&amp;": "&amp;PROPER(SUBSTITUTE(us_core_reqs[[#This Row],[Section]], "-", " ")),"Us ","US "), "Uscdi", "USCDI")</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1231</v>
      </c>
      <c r="C59" t="str">
        <f>"CONF-"&amp;TEXT(us_core_reqs[[#This Row],[ID*]], "0000")</f>
        <v>CONF-0058</v>
      </c>
      <c r="D59" s="11" t="s">
        <v>823</v>
      </c>
      <c r="E59" t="str">
        <f>SUBSTITUTE(us_core_reqs[[#This Row],[URL*]], "https://hl7.org/fhir/us/core/STU8/","")</f>
        <v>general-requirements.html#fhir-restful-search-api-requirements</v>
      </c>
      <c r="F59" s="11" t="s">
        <v>973</v>
      </c>
      <c r="G59" t="s">
        <v>29</v>
      </c>
      <c r="I59" t="s">
        <v>30</v>
      </c>
      <c r="J59" t="s">
        <v>1171</v>
      </c>
      <c r="K59" t="s">
        <v>1171</v>
      </c>
      <c r="L59" t="s">
        <v>1173</v>
      </c>
      <c r="M59" t="s">
        <v>1171</v>
      </c>
      <c r="N59" t="s">
        <v>1171</v>
      </c>
      <c r="O59" t="s">
        <v>1171</v>
      </c>
      <c r="P59" t="s">
        <v>1171</v>
      </c>
      <c r="Q59" t="s">
        <v>1171</v>
      </c>
      <c r="R59" t="str">
        <f>_xlfn.TEXTBEFORE(_xlfn.TEXTAFTER(us_core_reqs[[#This Row],[URL*]],"/",-1),".")</f>
        <v>general-requirements</v>
      </c>
      <c r="S59" t="str">
        <f>_xlfn.TEXTAFTER(us_core_reqs[[#This Row],[URL*]],"#",-1)</f>
        <v>fhir-restful-search-api-requirements</v>
      </c>
      <c r="T59" t="str">
        <f>SUBSTITUTE(SUBSTITUTE(PROPER(SUBSTITUTE(us_core_reqs[[#This Row],[Page]], "-", " "))&amp;": "&amp;PROPER(SUBSTITUTE(us_core_reqs[[#This Row],[Section]], "-", " ")),"Us ","US "), "Uscdi", "USCDI")</f>
        <v>General Requirements: Fhir Restful Search Api Requirements</v>
      </c>
      <c r="U59" t="s">
        <v>29</v>
      </c>
      <c r="V59" t="s">
        <v>30</v>
      </c>
      <c r="W59" t="s">
        <v>1171</v>
      </c>
      <c r="X59" t="s">
        <v>1171</v>
      </c>
      <c r="Y59" t="s">
        <v>1171</v>
      </c>
      <c r="Z59" t="s">
        <v>1171</v>
      </c>
      <c r="AA59" t="s">
        <v>1171</v>
      </c>
      <c r="AB59" t="s">
        <v>1171</v>
      </c>
      <c r="AC59" t="s">
        <v>1140</v>
      </c>
      <c r="AD59" t="s">
        <v>1171</v>
      </c>
    </row>
    <row r="60" spans="1:30" ht="68" x14ac:dyDescent="0.2">
      <c r="A60" t="s">
        <v>1171</v>
      </c>
      <c r="B60" t="s">
        <v>1232</v>
      </c>
      <c r="C60" t="str">
        <f>"CONF-"&amp;TEXT(us_core_reqs[[#This Row],[ID*]], "0000")</f>
        <v>CONF-0059</v>
      </c>
      <c r="D60" s="11" t="s">
        <v>823</v>
      </c>
      <c r="E60" t="str">
        <f>SUBSTITUTE(us_core_reqs[[#This Row],[URL*]], "https://hl7.org/fhir/us/core/STU8/","")</f>
        <v>general-requirements.html#fhir-restful-search-api-requirements</v>
      </c>
      <c r="F60" s="11" t="s">
        <v>911</v>
      </c>
      <c r="G60" t="s">
        <v>29</v>
      </c>
      <c r="I60" t="s">
        <v>58</v>
      </c>
      <c r="J60" t="s">
        <v>1171</v>
      </c>
      <c r="K60" t="s">
        <v>1171</v>
      </c>
      <c r="L60" t="s">
        <v>1173</v>
      </c>
      <c r="M60" t="s">
        <v>1171</v>
      </c>
      <c r="N60" t="s">
        <v>1171</v>
      </c>
      <c r="O60" t="s">
        <v>1171</v>
      </c>
      <c r="P60" t="s">
        <v>1171</v>
      </c>
      <c r="Q60" t="s">
        <v>1171</v>
      </c>
      <c r="R60" t="str">
        <f>_xlfn.TEXTBEFORE(_xlfn.TEXTAFTER(us_core_reqs[[#This Row],[URL*]],"/",-1),".")</f>
        <v>general-requirements</v>
      </c>
      <c r="S60" t="str">
        <f>_xlfn.TEXTAFTER(us_core_reqs[[#This Row],[URL*]],"#",-1)</f>
        <v>fhir-restful-search-api-requirements</v>
      </c>
      <c r="T60" t="str">
        <f>SUBSTITUTE(SUBSTITUTE(PROPER(SUBSTITUTE(us_core_reqs[[#This Row],[Page]], "-", " "))&amp;": "&amp;PROPER(SUBSTITUTE(us_core_reqs[[#This Row],[Section]], "-", " ")),"Us ","US "), "Uscdi", "USCDI")</f>
        <v>General Requirements: Fhir Restful Search Api Requirements</v>
      </c>
      <c r="U60" t="s">
        <v>29</v>
      </c>
      <c r="V60" t="s">
        <v>58</v>
      </c>
      <c r="W60" t="s">
        <v>1171</v>
      </c>
      <c r="X60" t="s">
        <v>1171</v>
      </c>
      <c r="Y60" t="s">
        <v>1171</v>
      </c>
      <c r="Z60" t="s">
        <v>1171</v>
      </c>
      <c r="AA60" t="s">
        <v>1171</v>
      </c>
      <c r="AB60" t="s">
        <v>1171</v>
      </c>
      <c r="AC60" t="s">
        <v>1171</v>
      </c>
      <c r="AD60" t="s">
        <v>1171</v>
      </c>
    </row>
    <row r="61" spans="1:30" ht="68" x14ac:dyDescent="0.2">
      <c r="A61" t="s">
        <v>1171</v>
      </c>
      <c r="B61" t="s">
        <v>1233</v>
      </c>
      <c r="C61" t="str">
        <f>"CONF-"&amp;TEXT(us_core_reqs[[#This Row],[ID*]], "0000")</f>
        <v>CONF-0060</v>
      </c>
      <c r="D61" s="11" t="s">
        <v>823</v>
      </c>
      <c r="E61" t="str">
        <f>SUBSTITUTE(us_core_reqs[[#This Row],[URL*]], "https://hl7.org/fhir/us/core/STU8/","")</f>
        <v>general-requirements.html#fhir-restful-search-api-requirements</v>
      </c>
      <c r="F61" s="11" t="s">
        <v>912</v>
      </c>
      <c r="G61" t="s">
        <v>29</v>
      </c>
      <c r="I61" t="s">
        <v>58</v>
      </c>
      <c r="J61" t="s">
        <v>1171</v>
      </c>
      <c r="K61" t="s">
        <v>1171</v>
      </c>
      <c r="L61" t="s">
        <v>1173</v>
      </c>
      <c r="M61" t="s">
        <v>1171</v>
      </c>
      <c r="N61" t="s">
        <v>1171</v>
      </c>
      <c r="O61" t="s">
        <v>1171</v>
      </c>
      <c r="P61" t="s">
        <v>1171</v>
      </c>
      <c r="Q61" t="s">
        <v>1171</v>
      </c>
      <c r="R61" t="str">
        <f>_xlfn.TEXTBEFORE(_xlfn.TEXTAFTER(us_core_reqs[[#This Row],[URL*]],"/",-1),".")</f>
        <v>general-requirements</v>
      </c>
      <c r="S61" t="str">
        <f>_xlfn.TEXTAFTER(us_core_reqs[[#This Row],[URL*]],"#",-1)</f>
        <v>fhir-restful-search-api-requirements</v>
      </c>
      <c r="T61" t="str">
        <f>SUBSTITUTE(SUBSTITUTE(PROPER(SUBSTITUTE(us_core_reqs[[#This Row],[Page]], "-", " "))&amp;": "&amp;PROPER(SUBSTITUTE(us_core_reqs[[#This Row],[Section]], "-", " ")),"Us ","US "), "Uscdi", "USCDI")</f>
        <v>General Requirements: Fhir Restful Search Api Requirements</v>
      </c>
      <c r="U61" t="s">
        <v>29</v>
      </c>
      <c r="V61" t="s">
        <v>58</v>
      </c>
      <c r="W61" t="s">
        <v>1171</v>
      </c>
      <c r="X61" t="s">
        <v>1171</v>
      </c>
      <c r="Y61" t="s">
        <v>1171</v>
      </c>
      <c r="Z61" t="s">
        <v>1171</v>
      </c>
      <c r="AA61" t="s">
        <v>1171</v>
      </c>
      <c r="AB61" t="s">
        <v>1171</v>
      </c>
      <c r="AC61" t="s">
        <v>1171</v>
      </c>
      <c r="AD61" t="s">
        <v>1171</v>
      </c>
    </row>
    <row r="62" spans="1:30" ht="68" x14ac:dyDescent="0.2">
      <c r="A62" t="s">
        <v>1171</v>
      </c>
      <c r="B62" t="s">
        <v>1234</v>
      </c>
      <c r="C62" t="str">
        <f>"CONF-"&amp;TEXT(us_core_reqs[[#This Row],[ID*]], "0000")</f>
        <v>CONF-0061</v>
      </c>
      <c r="D62" s="11" t="s">
        <v>823</v>
      </c>
      <c r="E62" t="str">
        <f>SUBSTITUTE(us_core_reqs[[#This Row],[URL*]], "https://hl7.org/fhir/us/core/STU8/","")</f>
        <v>general-requirements.html#fhir-restful-search-api-requirements</v>
      </c>
      <c r="F62" s="11" t="s">
        <v>974</v>
      </c>
      <c r="G62" t="s">
        <v>29</v>
      </c>
      <c r="I62" t="s">
        <v>30</v>
      </c>
      <c r="J62" t="s">
        <v>1171</v>
      </c>
      <c r="K62" t="s">
        <v>1171</v>
      </c>
      <c r="L62" t="s">
        <v>1173</v>
      </c>
      <c r="M62" t="s">
        <v>1171</v>
      </c>
      <c r="N62" t="s">
        <v>1171</v>
      </c>
      <c r="O62" t="s">
        <v>1171</v>
      </c>
      <c r="P62" t="s">
        <v>1171</v>
      </c>
      <c r="Q62" t="s">
        <v>1171</v>
      </c>
      <c r="R62" t="str">
        <f>_xlfn.TEXTBEFORE(_xlfn.TEXTAFTER(us_core_reqs[[#This Row],[URL*]],"/",-1),".")</f>
        <v>general-requirements</v>
      </c>
      <c r="S62" t="str">
        <f>_xlfn.TEXTAFTER(us_core_reqs[[#This Row],[URL*]],"#",-1)</f>
        <v>fhir-restful-search-api-requirements</v>
      </c>
      <c r="T62" t="str">
        <f>SUBSTITUTE(SUBSTITUTE(PROPER(SUBSTITUTE(us_core_reqs[[#This Row],[Page]], "-", " "))&amp;": "&amp;PROPER(SUBSTITUTE(us_core_reqs[[#This Row],[Section]], "-", " ")),"Us ","US "), "Uscdi", "USCDI")</f>
        <v>General Requirements: Fhir Restful Search Api Requirements</v>
      </c>
      <c r="U62" t="s">
        <v>29</v>
      </c>
      <c r="V62" t="s">
        <v>30</v>
      </c>
      <c r="W62" t="s">
        <v>1171</v>
      </c>
      <c r="X62" t="s">
        <v>1171</v>
      </c>
      <c r="Y62" t="s">
        <v>1171</v>
      </c>
      <c r="Z62" t="s">
        <v>1171</v>
      </c>
      <c r="AA62" t="s">
        <v>1171</v>
      </c>
      <c r="AB62" t="s">
        <v>1171</v>
      </c>
      <c r="AC62" t="s">
        <v>1140</v>
      </c>
      <c r="AD62" t="s">
        <v>1171</v>
      </c>
    </row>
    <row r="63" spans="1:30" ht="68" x14ac:dyDescent="0.2">
      <c r="A63" t="s">
        <v>1171</v>
      </c>
      <c r="B63" t="s">
        <v>1235</v>
      </c>
      <c r="C63" t="str">
        <f>"CONF-"&amp;TEXT(us_core_reqs[[#This Row],[ID*]], "0000")</f>
        <v>CONF-0062</v>
      </c>
      <c r="D63" s="11" t="s">
        <v>823</v>
      </c>
      <c r="E63" t="str">
        <f>SUBSTITUTE(us_core_reqs[[#This Row],[URL*]], "https://hl7.org/fhir/us/core/STU8/","")</f>
        <v>general-requirements.html#fhir-restful-search-api-requirements</v>
      </c>
      <c r="F63" s="11" t="s">
        <v>975</v>
      </c>
      <c r="G63" t="s">
        <v>29</v>
      </c>
      <c r="I63" t="s">
        <v>30</v>
      </c>
      <c r="J63" t="s">
        <v>1171</v>
      </c>
      <c r="K63" t="s">
        <v>1171</v>
      </c>
      <c r="L63" t="s">
        <v>1173</v>
      </c>
      <c r="M63" t="s">
        <v>1171</v>
      </c>
      <c r="N63" t="s">
        <v>1171</v>
      </c>
      <c r="O63" t="s">
        <v>1171</v>
      </c>
      <c r="P63" t="s">
        <v>1171</v>
      </c>
      <c r="Q63" t="s">
        <v>1171</v>
      </c>
      <c r="R63" t="str">
        <f>_xlfn.TEXTBEFORE(_xlfn.TEXTAFTER(us_core_reqs[[#This Row],[URL*]],"/",-1),".")</f>
        <v>general-requirements</v>
      </c>
      <c r="S63" t="str">
        <f>_xlfn.TEXTAFTER(us_core_reqs[[#This Row],[URL*]],"#",-1)</f>
        <v>fhir-restful-search-api-requirements</v>
      </c>
      <c r="T63" t="str">
        <f>SUBSTITUTE(SUBSTITUTE(PROPER(SUBSTITUTE(us_core_reqs[[#This Row],[Page]], "-", " "))&amp;": "&amp;PROPER(SUBSTITUTE(us_core_reqs[[#This Row],[Section]], "-", " ")),"Us ","US "), "Uscdi", "USCDI")</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1236</v>
      </c>
      <c r="C64" t="str">
        <f>"CONF-"&amp;TEXT(us_core_reqs[[#This Row],[ID*]], "0000")</f>
        <v>CONF-0063</v>
      </c>
      <c r="D64" s="11" t="s">
        <v>976</v>
      </c>
      <c r="E64" t="str">
        <f>SUBSTITUTE(us_core_reqs[[#This Row],[URL*]], "https://hl7.org/fhir/us/core/STU8/","")</f>
        <v>general-requirements.html#search-for-Servers-requiring-status</v>
      </c>
      <c r="F64" s="11" t="s">
        <v>98</v>
      </c>
      <c r="G64" t="s">
        <v>32</v>
      </c>
      <c r="H64" t="s">
        <v>1848</v>
      </c>
      <c r="I64" t="s">
        <v>30</v>
      </c>
      <c r="J64" t="s">
        <v>1171</v>
      </c>
      <c r="K64" t="s">
        <v>1171</v>
      </c>
      <c r="L64" t="s">
        <v>1173</v>
      </c>
      <c r="M64" t="s">
        <v>1171</v>
      </c>
      <c r="N64" t="s">
        <v>1171</v>
      </c>
      <c r="O64" t="s">
        <v>1171</v>
      </c>
      <c r="P64" t="s">
        <v>1171</v>
      </c>
      <c r="Q64" t="s">
        <v>1171</v>
      </c>
      <c r="R64" t="str">
        <f>_xlfn.TEXTBEFORE(_xlfn.TEXTAFTER(us_core_reqs[[#This Row],[URL*]],"/",-1),".")</f>
        <v>general-requirements</v>
      </c>
      <c r="S64" t="str">
        <f>_xlfn.TEXTAFTER(us_core_reqs[[#This Row],[URL*]],"#",-1)</f>
        <v>search-for-Servers-requiring-status</v>
      </c>
      <c r="T64" t="str">
        <f>SUBSTITUTE(SUBSTITUTE(PROPER(SUBSTITUTE(us_core_reqs[[#This Row],[Page]], "-", " "))&amp;": "&amp;PROPER(SUBSTITUTE(us_core_reqs[[#This Row],[Section]], "-", " ")),"Us ","US "), "Uscdi", "USCDI")</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1237</v>
      </c>
      <c r="C65" t="str">
        <f>"CONF-"&amp;TEXT(us_core_reqs[[#This Row],[ID*]], "0000")</f>
        <v>CONF-0064</v>
      </c>
      <c r="D65" s="11" t="s">
        <v>976</v>
      </c>
      <c r="E65" t="str">
        <f>SUBSTITUTE(us_core_reqs[[#This Row],[URL*]], "https://hl7.org/fhir/us/core/STU8/","")</f>
        <v>general-requirements.html#search-for-Servers-requiring-status</v>
      </c>
      <c r="F65" s="11" t="s">
        <v>99</v>
      </c>
      <c r="G65" t="s">
        <v>29</v>
      </c>
      <c r="I65" t="s">
        <v>30</v>
      </c>
      <c r="J65" t="s">
        <v>1171</v>
      </c>
      <c r="K65" t="s">
        <v>1101</v>
      </c>
      <c r="L65" t="s">
        <v>1176</v>
      </c>
      <c r="M65" t="s">
        <v>100</v>
      </c>
      <c r="N65" t="s">
        <v>1171</v>
      </c>
      <c r="O65" t="s">
        <v>1171</v>
      </c>
      <c r="P65" t="s">
        <v>1171</v>
      </c>
      <c r="Q65" t="s">
        <v>1171</v>
      </c>
      <c r="R65" t="str">
        <f>_xlfn.TEXTBEFORE(_xlfn.TEXTAFTER(us_core_reqs[[#This Row],[URL*]],"/",-1),".")</f>
        <v>general-requirements</v>
      </c>
      <c r="S65" t="str">
        <f>_xlfn.TEXTAFTER(us_core_reqs[[#This Row],[URL*]],"#",-1)</f>
        <v>search-for-Servers-requiring-status</v>
      </c>
      <c r="T65" t="str">
        <f>SUBSTITUTE(SUBSTITUTE(PROPER(SUBSTITUTE(us_core_reqs[[#This Row],[Page]], "-", " "))&amp;": "&amp;PROPER(SUBSTITUTE(us_core_reqs[[#This Row],[Section]], "-", " ")),"Us ","US "), "Uscdi", "USCDI")</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1238</v>
      </c>
      <c r="C66" t="str">
        <f>"CONF-"&amp;TEXT(us_core_reqs[[#This Row],[ID*]], "0000")</f>
        <v>CONF-0065</v>
      </c>
      <c r="D66" s="11" t="s">
        <v>976</v>
      </c>
      <c r="E66" t="str">
        <f>SUBSTITUTE(us_core_reqs[[#This Row],[URL*]], "https://hl7.org/fhir/us/core/STU8/","")</f>
        <v>general-requirements.html#search-for-Servers-requiring-status</v>
      </c>
      <c r="F66" s="11" t="s">
        <v>913</v>
      </c>
      <c r="G66" t="s">
        <v>35</v>
      </c>
      <c r="I66" t="s">
        <v>30</v>
      </c>
      <c r="J66" t="s">
        <v>1171</v>
      </c>
      <c r="K66" t="s">
        <v>1171</v>
      </c>
      <c r="L66" t="s">
        <v>1173</v>
      </c>
      <c r="M66" t="s">
        <v>1171</v>
      </c>
      <c r="N66" t="s">
        <v>1171</v>
      </c>
      <c r="O66" t="s">
        <v>1171</v>
      </c>
      <c r="P66" t="s">
        <v>1171</v>
      </c>
      <c r="Q66" t="s">
        <v>1171</v>
      </c>
      <c r="R66" t="str">
        <f>_xlfn.TEXTBEFORE(_xlfn.TEXTAFTER(us_core_reqs[[#This Row],[URL*]],"/",-1),".")</f>
        <v>general-requirements</v>
      </c>
      <c r="S66" t="str">
        <f>_xlfn.TEXTAFTER(us_core_reqs[[#This Row],[URL*]],"#",-1)</f>
        <v>search-for-Servers-requiring-status</v>
      </c>
      <c r="T66" t="str">
        <f>SUBSTITUTE(SUBSTITUTE(PROPER(SUBSTITUTE(us_core_reqs[[#This Row],[Page]], "-", " "))&amp;": "&amp;PROPER(SUBSTITUTE(us_core_reqs[[#This Row],[Section]], "-", " ")),"Us ","US "), "Uscdi", "USCDI")</f>
        <v>General Requirements: Search For Servers Requiring Status</v>
      </c>
      <c r="U66" t="s">
        <v>35</v>
      </c>
      <c r="V66" t="s">
        <v>58</v>
      </c>
      <c r="W66" t="s">
        <v>1171</v>
      </c>
      <c r="X66" t="s">
        <v>1171</v>
      </c>
      <c r="Y66" t="s">
        <v>1171</v>
      </c>
      <c r="Z66" t="s">
        <v>1171</v>
      </c>
      <c r="AA66" t="s">
        <v>1171</v>
      </c>
      <c r="AB66" t="s">
        <v>1171</v>
      </c>
      <c r="AC66" t="s">
        <v>1171</v>
      </c>
      <c r="AD66" t="s">
        <v>1171</v>
      </c>
    </row>
    <row r="67" spans="1:30" ht="85" x14ac:dyDescent="0.2">
      <c r="A67" t="s">
        <v>1171</v>
      </c>
      <c r="B67" t="s">
        <v>1239</v>
      </c>
      <c r="C67" t="str">
        <f>"CONF-"&amp;TEXT(us_core_reqs[[#This Row],[ID*]], "0000")</f>
        <v>CONF-0066</v>
      </c>
      <c r="D67" s="11" t="s">
        <v>976</v>
      </c>
      <c r="E67" t="str">
        <f>SUBSTITUTE(us_core_reqs[[#This Row],[URL*]], "https://hl7.org/fhir/us/core/STU8/","")</f>
        <v>general-requirements.html#search-for-Servers-requiring-status</v>
      </c>
      <c r="F67" s="11" t="s">
        <v>914</v>
      </c>
      <c r="G67" t="s">
        <v>29</v>
      </c>
      <c r="I67" t="s">
        <v>30</v>
      </c>
      <c r="J67" t="s">
        <v>1171</v>
      </c>
      <c r="K67" t="s">
        <v>1171</v>
      </c>
      <c r="L67" t="s">
        <v>1173</v>
      </c>
      <c r="M67" t="s">
        <v>1171</v>
      </c>
      <c r="N67" t="s">
        <v>1171</v>
      </c>
      <c r="O67" t="s">
        <v>1171</v>
      </c>
      <c r="P67" t="s">
        <v>1171</v>
      </c>
      <c r="Q67" t="s">
        <v>1171</v>
      </c>
      <c r="R67" t="str">
        <f>_xlfn.TEXTBEFORE(_xlfn.TEXTAFTER(us_core_reqs[[#This Row],[URL*]],"/",-1),".")</f>
        <v>general-requirements</v>
      </c>
      <c r="S67" t="str">
        <f>_xlfn.TEXTAFTER(us_core_reqs[[#This Row],[URL*]],"#",-1)</f>
        <v>search-for-Servers-requiring-status</v>
      </c>
      <c r="T67" t="str">
        <f>SUBSTITUTE(SUBSTITUTE(PROPER(SUBSTITUTE(us_core_reqs[[#This Row],[Page]], "-", " "))&amp;": "&amp;PROPER(SUBSTITUTE(us_core_reqs[[#This Row],[Section]], "-", " ")),"Us ","US "), "Uscdi", "USCDI")</f>
        <v>General Requirements: Search For Servers Requiring Status</v>
      </c>
      <c r="U67" t="s">
        <v>29</v>
      </c>
      <c r="V67" t="s">
        <v>58</v>
      </c>
      <c r="W67" t="s">
        <v>1171</v>
      </c>
      <c r="X67" t="s">
        <v>1171</v>
      </c>
      <c r="Y67" t="s">
        <v>1171</v>
      </c>
      <c r="Z67" t="s">
        <v>1171</v>
      </c>
      <c r="AA67" t="s">
        <v>1171</v>
      </c>
      <c r="AB67" t="s">
        <v>1171</v>
      </c>
      <c r="AC67" t="s">
        <v>1140</v>
      </c>
      <c r="AD67" t="s">
        <v>1171</v>
      </c>
    </row>
    <row r="68" spans="1:30" ht="119" x14ac:dyDescent="0.2">
      <c r="A68" t="s">
        <v>1171</v>
      </c>
      <c r="B68" t="s">
        <v>1240</v>
      </c>
      <c r="C68" t="str">
        <f>"CONF-"&amp;TEXT(us_core_reqs[[#This Row],[ID*]], "0000")</f>
        <v>CONF-0067</v>
      </c>
      <c r="D68" s="11" t="s">
        <v>976</v>
      </c>
      <c r="E68" t="str">
        <f>SUBSTITUTE(us_core_reqs[[#This Row],[URL*]], "https://hl7.org/fhir/us/core/STU8/","")</f>
        <v>general-requirements.html#search-for-Servers-requiring-status</v>
      </c>
      <c r="F68" s="11" t="s">
        <v>915</v>
      </c>
      <c r="G68" t="s">
        <v>29</v>
      </c>
      <c r="I68" t="s">
        <v>30</v>
      </c>
      <c r="J68" t="s">
        <v>1171</v>
      </c>
      <c r="K68" t="s">
        <v>1171</v>
      </c>
      <c r="L68" t="s">
        <v>1173</v>
      </c>
      <c r="M68" t="s">
        <v>1171</v>
      </c>
      <c r="N68" t="s">
        <v>1171</v>
      </c>
      <c r="O68" t="s">
        <v>1171</v>
      </c>
      <c r="P68" t="s">
        <v>1171</v>
      </c>
      <c r="Q68" t="s">
        <v>1171</v>
      </c>
      <c r="R68" t="str">
        <f>_xlfn.TEXTBEFORE(_xlfn.TEXTAFTER(us_core_reqs[[#This Row],[URL*]],"/",-1),".")</f>
        <v>general-requirements</v>
      </c>
      <c r="S68" t="str">
        <f>_xlfn.TEXTAFTER(us_core_reqs[[#This Row],[URL*]],"#",-1)</f>
        <v>search-for-Servers-requiring-status</v>
      </c>
      <c r="T68" t="str">
        <f>SUBSTITUTE(SUBSTITUTE(PROPER(SUBSTITUTE(us_core_reqs[[#This Row],[Page]], "-", " "))&amp;": "&amp;PROPER(SUBSTITUTE(us_core_reqs[[#This Row],[Section]], "-", " ")),"Us ","US "), "Uscdi", "USCDI")</f>
        <v>General Requirements: Search For Servers Requiring Status</v>
      </c>
      <c r="U68" t="s">
        <v>29</v>
      </c>
      <c r="V68" t="s">
        <v>58</v>
      </c>
      <c r="W68" t="s">
        <v>1171</v>
      </c>
      <c r="X68" t="s">
        <v>1171</v>
      </c>
      <c r="Y68" t="s">
        <v>1171</v>
      </c>
      <c r="Z68" t="s">
        <v>1171</v>
      </c>
      <c r="AA68" t="s">
        <v>1171</v>
      </c>
      <c r="AB68" t="s">
        <v>1171</v>
      </c>
      <c r="AC68" t="s">
        <v>1140</v>
      </c>
      <c r="AD68" t="s">
        <v>1171</v>
      </c>
    </row>
    <row r="69" spans="1:30" ht="85" x14ac:dyDescent="0.2">
      <c r="A69" t="s">
        <v>1171</v>
      </c>
      <c r="B69" t="s">
        <v>1241</v>
      </c>
      <c r="C69" t="str">
        <f>"CONF-"&amp;TEXT(us_core_reqs[[#This Row],[ID*]], "0000")</f>
        <v>CONF-0068</v>
      </c>
      <c r="D69" s="11" t="s">
        <v>976</v>
      </c>
      <c r="E69" t="str">
        <f>SUBSTITUTE(us_core_reqs[[#This Row],[URL*]], "https://hl7.org/fhir/us/core/STU8/","")</f>
        <v>general-requirements.html#search-for-Servers-requiring-status</v>
      </c>
      <c r="F69" s="11" t="s">
        <v>916</v>
      </c>
      <c r="G69" t="s">
        <v>29</v>
      </c>
      <c r="I69" t="s">
        <v>30</v>
      </c>
      <c r="J69" t="s">
        <v>1171</v>
      </c>
      <c r="K69" t="s">
        <v>1171</v>
      </c>
      <c r="L69" t="s">
        <v>1173</v>
      </c>
      <c r="M69" t="s">
        <v>1171</v>
      </c>
      <c r="N69" t="s">
        <v>1171</v>
      </c>
      <c r="O69" t="s">
        <v>1171</v>
      </c>
      <c r="P69" t="s">
        <v>1171</v>
      </c>
      <c r="Q69" t="s">
        <v>1171</v>
      </c>
      <c r="R69" t="str">
        <f>_xlfn.TEXTBEFORE(_xlfn.TEXTAFTER(us_core_reqs[[#This Row],[URL*]],"/",-1),".")</f>
        <v>general-requirements</v>
      </c>
      <c r="S69" t="str">
        <f>_xlfn.TEXTAFTER(us_core_reqs[[#This Row],[URL*]],"#",-1)</f>
        <v>search-for-Servers-requiring-status</v>
      </c>
      <c r="T69" t="str">
        <f>SUBSTITUTE(SUBSTITUTE(PROPER(SUBSTITUTE(us_core_reqs[[#This Row],[Page]], "-", " "))&amp;": "&amp;PROPER(SUBSTITUTE(us_core_reqs[[#This Row],[Section]], "-", " ")),"Us ","US "), "Uscdi", "USCDI")</f>
        <v>General Requirements: Search For Servers Requiring Status</v>
      </c>
      <c r="U69" t="s">
        <v>29</v>
      </c>
      <c r="V69" t="s">
        <v>58</v>
      </c>
      <c r="W69" t="s">
        <v>1171</v>
      </c>
      <c r="X69" t="s">
        <v>1171</v>
      </c>
      <c r="Y69" t="s">
        <v>1171</v>
      </c>
      <c r="Z69" t="s">
        <v>1171</v>
      </c>
      <c r="AA69" t="s">
        <v>1171</v>
      </c>
      <c r="AB69" t="s">
        <v>1171</v>
      </c>
      <c r="AC69" t="s">
        <v>1140</v>
      </c>
      <c r="AD69" t="s">
        <v>1171</v>
      </c>
    </row>
    <row r="70" spans="1:30" ht="34" x14ac:dyDescent="0.2">
      <c r="A70" t="s">
        <v>1171</v>
      </c>
      <c r="B70" t="s">
        <v>1242</v>
      </c>
      <c r="C70" t="str">
        <f>"CONF-"&amp;TEXT(us_core_reqs[[#This Row],[ID*]], "0000")</f>
        <v>CONF-0069</v>
      </c>
      <c r="D70" s="11" t="s">
        <v>976</v>
      </c>
      <c r="E70" t="str">
        <f>SUBSTITUTE(us_core_reqs[[#This Row],[URL*]], "https://hl7.org/fhir/us/core/STU8/","")</f>
        <v>general-requirements.html#search-for-Servers-requiring-status</v>
      </c>
      <c r="F70" s="11" t="s">
        <v>2049</v>
      </c>
      <c r="G70" t="s">
        <v>1833</v>
      </c>
      <c r="I70" t="s">
        <v>30</v>
      </c>
      <c r="J70" t="s">
        <v>1171</v>
      </c>
      <c r="K70" t="s">
        <v>1171</v>
      </c>
      <c r="L70" t="s">
        <v>1173</v>
      </c>
      <c r="M70" t="s">
        <v>1171</v>
      </c>
      <c r="N70" t="s">
        <v>1171</v>
      </c>
      <c r="O70" t="s">
        <v>1171</v>
      </c>
      <c r="P70" t="s">
        <v>1171</v>
      </c>
      <c r="Q70" t="s">
        <v>1171</v>
      </c>
      <c r="R70" t="str">
        <f>_xlfn.TEXTBEFORE(_xlfn.TEXTAFTER(us_core_reqs[[#This Row],[URL*]],"/",-1),".")</f>
        <v>general-requirements</v>
      </c>
      <c r="S70" t="str">
        <f>_xlfn.TEXTAFTER(us_core_reqs[[#This Row],[URL*]],"#",-1)</f>
        <v>search-for-Servers-requiring-status</v>
      </c>
      <c r="T70" t="str">
        <f>SUBSTITUTE(SUBSTITUTE(PROPER(SUBSTITUTE(us_core_reqs[[#This Row],[Page]], "-", " "))&amp;": "&amp;PROPER(SUBSTITUTE(us_core_reqs[[#This Row],[Section]], "-", " ")),"Us ","US "), "Uscdi", "USCDI")</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1243</v>
      </c>
      <c r="C71" t="str">
        <f>"CONF-"&amp;TEXT(us_core_reqs[[#This Row],[ID*]], "0000")</f>
        <v>CONF-0070</v>
      </c>
      <c r="D71" s="11" t="s">
        <v>976</v>
      </c>
      <c r="E71" t="str">
        <f>SUBSTITUTE(us_core_reqs[[#This Row],[URL*]], "https://hl7.org/fhir/us/core/STU8/","")</f>
        <v>general-requirements.html#search-for-Servers-requiring-status</v>
      </c>
      <c r="F71" s="11" t="s">
        <v>101</v>
      </c>
      <c r="G71" t="s">
        <v>32</v>
      </c>
      <c r="I71" t="s">
        <v>30</v>
      </c>
      <c r="J71" t="s">
        <v>1171</v>
      </c>
      <c r="K71" t="s">
        <v>1171</v>
      </c>
      <c r="L71" t="s">
        <v>1176</v>
      </c>
      <c r="M71" t="s">
        <v>102</v>
      </c>
      <c r="N71" t="s">
        <v>1171</v>
      </c>
      <c r="O71" t="s">
        <v>1171</v>
      </c>
      <c r="P71" t="s">
        <v>1171</v>
      </c>
      <c r="Q71" t="s">
        <v>1171</v>
      </c>
      <c r="R71" t="str">
        <f>_xlfn.TEXTBEFORE(_xlfn.TEXTAFTER(us_core_reqs[[#This Row],[URL*]],"/",-1),".")</f>
        <v>general-requirements</v>
      </c>
      <c r="S71" t="str">
        <f>_xlfn.TEXTAFTER(us_core_reqs[[#This Row],[URL*]],"#",-1)</f>
        <v>search-for-Servers-requiring-status</v>
      </c>
      <c r="T71" t="str">
        <f>SUBSTITUTE(SUBSTITUTE(PROPER(SUBSTITUTE(us_core_reqs[[#This Row],[Page]], "-", " "))&amp;": "&amp;PROPER(SUBSTITUTE(us_core_reqs[[#This Row],[Section]], "-", " ")),"Us ","US "), "Uscdi", "USCDI")</f>
        <v>General Requirements: Search For Servers Requiring Status</v>
      </c>
      <c r="U71" t="s">
        <v>32</v>
      </c>
      <c r="V71" t="s">
        <v>1171</v>
      </c>
      <c r="W71" t="s">
        <v>1171</v>
      </c>
      <c r="X71" t="s">
        <v>1171</v>
      </c>
      <c r="Y71" t="s">
        <v>1171</v>
      </c>
      <c r="Z71" t="s">
        <v>1171</v>
      </c>
      <c r="AA71" t="s">
        <v>1171</v>
      </c>
      <c r="AB71" t="s">
        <v>1171</v>
      </c>
      <c r="AC71" t="s">
        <v>1171</v>
      </c>
      <c r="AD71" t="s">
        <v>1171</v>
      </c>
    </row>
    <row r="72" spans="1:30" ht="68" x14ac:dyDescent="0.2">
      <c r="A72" t="s">
        <v>1171</v>
      </c>
      <c r="B72" t="s">
        <v>1244</v>
      </c>
      <c r="C72" t="str">
        <f>"CONF-"&amp;TEXT(us_core_reqs[[#This Row],[ID*]], "0000")</f>
        <v>CONF-0071</v>
      </c>
      <c r="D72" s="11" t="s">
        <v>976</v>
      </c>
      <c r="E72" t="str">
        <f>SUBSTITUTE(us_core_reqs[[#This Row],[URL*]], "https://hl7.org/fhir/us/core/STU8/","")</f>
        <v>general-requirements.html#search-for-Servers-requiring-status</v>
      </c>
      <c r="F72" s="11" t="s">
        <v>103</v>
      </c>
      <c r="G72" t="s">
        <v>32</v>
      </c>
      <c r="I72" t="s">
        <v>30</v>
      </c>
      <c r="J72" t="s">
        <v>1171</v>
      </c>
      <c r="K72" t="s">
        <v>1171</v>
      </c>
      <c r="L72" t="s">
        <v>1176</v>
      </c>
      <c r="M72" t="s">
        <v>104</v>
      </c>
      <c r="N72" t="s">
        <v>1171</v>
      </c>
      <c r="O72" t="s">
        <v>1171</v>
      </c>
      <c r="P72" t="s">
        <v>1171</v>
      </c>
      <c r="Q72" t="s">
        <v>1171</v>
      </c>
      <c r="R72" t="str">
        <f>_xlfn.TEXTBEFORE(_xlfn.TEXTAFTER(us_core_reqs[[#This Row],[URL*]],"/",-1),".")</f>
        <v>general-requirements</v>
      </c>
      <c r="S72" t="str">
        <f>_xlfn.TEXTAFTER(us_core_reqs[[#This Row],[URL*]],"#",-1)</f>
        <v>search-for-Servers-requiring-status</v>
      </c>
      <c r="T72" t="str">
        <f>SUBSTITUTE(SUBSTITUTE(PROPER(SUBSTITUTE(us_core_reqs[[#This Row],[Page]], "-", " "))&amp;": "&amp;PROPER(SUBSTITUTE(us_core_reqs[[#This Row],[Section]], "-", " ")),"Us ","US "), "Uscdi", "USCDI")</f>
        <v>General Requirements: Search For Servers Requiring Status</v>
      </c>
      <c r="U72" t="s">
        <v>32</v>
      </c>
      <c r="V72" t="s">
        <v>1171</v>
      </c>
      <c r="W72" t="s">
        <v>1171</v>
      </c>
      <c r="X72" t="s">
        <v>1171</v>
      </c>
      <c r="Y72" t="s">
        <v>1171</v>
      </c>
      <c r="Z72" t="s">
        <v>1171</v>
      </c>
      <c r="AA72" t="s">
        <v>1171</v>
      </c>
      <c r="AB72" t="s">
        <v>1171</v>
      </c>
      <c r="AC72" t="s">
        <v>1171</v>
      </c>
      <c r="AD72" t="s">
        <v>1171</v>
      </c>
    </row>
    <row r="73" spans="1:30" ht="85" x14ac:dyDescent="0.2">
      <c r="A73" t="s">
        <v>1171</v>
      </c>
      <c r="B73" t="s">
        <v>1245</v>
      </c>
      <c r="C73" t="str">
        <f>"CONF-"&amp;TEXT(us_core_reqs[[#This Row],[ID*]], "0000")</f>
        <v>CONF-0072</v>
      </c>
      <c r="D73" s="11" t="s">
        <v>976</v>
      </c>
      <c r="E73" t="str">
        <f>SUBSTITUTE(us_core_reqs[[#This Row],[URL*]], "https://hl7.org/fhir/us/core/STU8/","")</f>
        <v>general-requirements.html#search-for-Servers-requiring-status</v>
      </c>
      <c r="F73" s="11" t="s">
        <v>918</v>
      </c>
      <c r="G73" t="s">
        <v>32</v>
      </c>
      <c r="I73" t="s">
        <v>30</v>
      </c>
      <c r="J73" t="s">
        <v>1171</v>
      </c>
      <c r="K73" t="s">
        <v>1171</v>
      </c>
      <c r="L73" t="s">
        <v>1176</v>
      </c>
      <c r="M73" t="s">
        <v>104</v>
      </c>
      <c r="N73" t="s">
        <v>1171</v>
      </c>
      <c r="O73" t="s">
        <v>1171</v>
      </c>
      <c r="P73" t="s">
        <v>1171</v>
      </c>
      <c r="Q73" t="s">
        <v>1171</v>
      </c>
      <c r="R73" t="str">
        <f>_xlfn.TEXTBEFORE(_xlfn.TEXTAFTER(us_core_reqs[[#This Row],[URL*]],"/",-1),".")</f>
        <v>general-requirements</v>
      </c>
      <c r="S73" t="str">
        <f>_xlfn.TEXTAFTER(us_core_reqs[[#This Row],[URL*]],"#",-1)</f>
        <v>search-for-Servers-requiring-status</v>
      </c>
      <c r="T73" t="str">
        <f>SUBSTITUTE(SUBSTITUTE(PROPER(SUBSTITUTE(us_core_reqs[[#This Row],[Page]], "-", " "))&amp;": "&amp;PROPER(SUBSTITUTE(us_core_reqs[[#This Row],[Section]], "-", " ")),"Us ","US "), "Uscdi", "USCDI")</f>
        <v>General Requirements: Search For Servers Requiring Status</v>
      </c>
      <c r="U73" t="s">
        <v>32</v>
      </c>
      <c r="V73" t="s">
        <v>58</v>
      </c>
      <c r="W73" t="s">
        <v>1171</v>
      </c>
      <c r="X73" t="s">
        <v>1171</v>
      </c>
      <c r="Y73" t="s">
        <v>1171</v>
      </c>
      <c r="Z73" t="s">
        <v>1171</v>
      </c>
      <c r="AA73" t="s">
        <v>1171</v>
      </c>
      <c r="AB73" t="s">
        <v>1171</v>
      </c>
      <c r="AC73" t="s">
        <v>1171</v>
      </c>
      <c r="AD73" t="s">
        <v>1171</v>
      </c>
    </row>
    <row r="74" spans="1:30" ht="119" x14ac:dyDescent="0.2">
      <c r="A74" t="s">
        <v>1171</v>
      </c>
      <c r="B74" t="s">
        <v>1246</v>
      </c>
      <c r="C74" t="str">
        <f>"CONF-"&amp;TEXT(us_core_reqs[[#This Row],[ID*]], "0000")</f>
        <v>CONF-0073</v>
      </c>
      <c r="D74" s="11" t="s">
        <v>976</v>
      </c>
      <c r="E74" t="str">
        <f>SUBSTITUTE(us_core_reqs[[#This Row],[URL*]], "https://hl7.org/fhir/us/core/STU8/","")</f>
        <v>general-requirements.html#search-for-Servers-requiring-status</v>
      </c>
      <c r="F74" s="11" t="s">
        <v>919</v>
      </c>
      <c r="G74" t="s">
        <v>29</v>
      </c>
      <c r="I74" t="s">
        <v>30</v>
      </c>
      <c r="J74" t="s">
        <v>1171</v>
      </c>
      <c r="K74" t="s">
        <v>1171</v>
      </c>
      <c r="L74" t="s">
        <v>1173</v>
      </c>
      <c r="M74" t="s">
        <v>1171</v>
      </c>
      <c r="N74" t="s">
        <v>1171</v>
      </c>
      <c r="O74" t="s">
        <v>1171</v>
      </c>
      <c r="P74" t="s">
        <v>1171</v>
      </c>
      <c r="Q74" t="s">
        <v>1171</v>
      </c>
      <c r="R74" t="str">
        <f>_xlfn.TEXTBEFORE(_xlfn.TEXTAFTER(us_core_reqs[[#This Row],[URL*]],"/",-1),".")</f>
        <v>general-requirements</v>
      </c>
      <c r="S74" t="str">
        <f>_xlfn.TEXTAFTER(us_core_reqs[[#This Row],[URL*]],"#",-1)</f>
        <v>search-for-Servers-requiring-status</v>
      </c>
      <c r="T74" t="str">
        <f>SUBSTITUTE(SUBSTITUTE(PROPER(SUBSTITUTE(us_core_reqs[[#This Row],[Page]], "-", " "))&amp;": "&amp;PROPER(SUBSTITUTE(us_core_reqs[[#This Row],[Section]], "-", " ")),"Us ","US "), "Uscdi", "USCDI")</f>
        <v>General Requirements: Search For Servers Requiring Status</v>
      </c>
      <c r="U74" t="s">
        <v>29</v>
      </c>
      <c r="V74" t="s">
        <v>58</v>
      </c>
      <c r="W74" t="s">
        <v>1171</v>
      </c>
      <c r="X74" t="s">
        <v>1171</v>
      </c>
      <c r="Y74" t="s">
        <v>1171</v>
      </c>
      <c r="Z74" t="s">
        <v>1171</v>
      </c>
      <c r="AA74" t="s">
        <v>1171</v>
      </c>
      <c r="AB74" t="s">
        <v>1171</v>
      </c>
      <c r="AC74" t="s">
        <v>1141</v>
      </c>
      <c r="AD74" t="s">
        <v>1171</v>
      </c>
    </row>
    <row r="75" spans="1:30" ht="34" x14ac:dyDescent="0.2">
      <c r="A75" t="s">
        <v>1171</v>
      </c>
      <c r="B75" t="s">
        <v>1247</v>
      </c>
      <c r="C75" t="str">
        <f>"CONF-"&amp;TEXT(us_core_reqs[[#This Row],[ID*]], "0000")</f>
        <v>CONF-0074</v>
      </c>
      <c r="D75" s="11" t="s">
        <v>612</v>
      </c>
      <c r="E75" t="str">
        <f>SUBSTITUTE(us_core_reqs[[#This Row],[URL*]], "https://hl7.org/fhir/us/core/STU8/","")</f>
        <v>must-support.html#must-support-elements</v>
      </c>
      <c r="F75" s="11" t="s">
        <v>105</v>
      </c>
      <c r="G75" t="s">
        <v>29</v>
      </c>
      <c r="H75" t="s">
        <v>1849</v>
      </c>
      <c r="I75" t="s">
        <v>30</v>
      </c>
      <c r="J75" t="s">
        <v>1171</v>
      </c>
      <c r="K75" t="s">
        <v>1171</v>
      </c>
      <c r="L75" t="s">
        <v>1173</v>
      </c>
      <c r="M75" t="s">
        <v>1171</v>
      </c>
      <c r="N75" t="s">
        <v>1171</v>
      </c>
      <c r="O75" t="s">
        <v>1171</v>
      </c>
      <c r="P75" t="s">
        <v>1171</v>
      </c>
      <c r="Q75" t="s">
        <v>1171</v>
      </c>
      <c r="R75" t="str">
        <f>_xlfn.TEXTBEFORE(_xlfn.TEXTAFTER(us_core_reqs[[#This Row],[URL*]],"/",-1),".")</f>
        <v>must-support</v>
      </c>
      <c r="S75" t="str">
        <f>_xlfn.TEXTAFTER(us_core_reqs[[#This Row],[URL*]],"#",-1)</f>
        <v>must-support-elements</v>
      </c>
      <c r="T75" t="str">
        <f>SUBSTITUTE(SUBSTITUTE(PROPER(SUBSTITUTE(us_core_reqs[[#This Row],[Page]], "-", " "))&amp;": "&amp;PROPER(SUBSTITUTE(us_core_reqs[[#This Row],[Section]], "-", " ")),"Us ","US "), "Uscdi", "USCDI")</f>
        <v>Must Support: Must Support Elements</v>
      </c>
      <c r="U75" t="s">
        <v>1171</v>
      </c>
      <c r="V75" t="s">
        <v>1171</v>
      </c>
      <c r="W75" t="s">
        <v>1171</v>
      </c>
      <c r="X75" t="s">
        <v>1171</v>
      </c>
      <c r="Y75" t="s">
        <v>1171</v>
      </c>
      <c r="Z75" t="s">
        <v>1171</v>
      </c>
      <c r="AA75" t="s">
        <v>1171</v>
      </c>
      <c r="AB75" t="s">
        <v>1171</v>
      </c>
      <c r="AC75" t="s">
        <v>1140</v>
      </c>
      <c r="AD75" t="s">
        <v>1171</v>
      </c>
    </row>
    <row r="76" spans="1:30" ht="136" x14ac:dyDescent="0.2">
      <c r="A76" t="s">
        <v>1171</v>
      </c>
      <c r="B76" t="s">
        <v>1248</v>
      </c>
      <c r="C76" t="str">
        <f>"CONF-"&amp;TEXT(us_core_reqs[[#This Row],[ID*]], "0000")</f>
        <v>CONF-0075</v>
      </c>
      <c r="D76" s="11" t="s">
        <v>612</v>
      </c>
      <c r="E76" t="str">
        <f>SUBSTITUTE(us_core_reqs[[#This Row],[URL*]], "https://hl7.org/fhir/us/core/STU8/","")</f>
        <v>must-support.html#must-support-elements</v>
      </c>
      <c r="F76" s="11" t="s">
        <v>977</v>
      </c>
      <c r="G76" t="s">
        <v>29</v>
      </c>
      <c r="I76" t="s">
        <v>30</v>
      </c>
      <c r="J76" t="s">
        <v>1171</v>
      </c>
      <c r="K76" t="s">
        <v>1171</v>
      </c>
      <c r="L76" t="s">
        <v>1176</v>
      </c>
      <c r="M76" t="s">
        <v>1171</v>
      </c>
      <c r="N76" t="s">
        <v>1171</v>
      </c>
      <c r="O76" t="s">
        <v>1171</v>
      </c>
      <c r="P76" t="s">
        <v>1171</v>
      </c>
      <c r="Q76" t="s">
        <v>1171</v>
      </c>
      <c r="R76" t="str">
        <f>_xlfn.TEXTBEFORE(_xlfn.TEXTAFTER(us_core_reqs[[#This Row],[URL*]],"/",-1),".")</f>
        <v>must-support</v>
      </c>
      <c r="S76" t="str">
        <f>_xlfn.TEXTAFTER(us_core_reqs[[#This Row],[URL*]],"#",-1)</f>
        <v>must-support-elements</v>
      </c>
      <c r="T76" t="str">
        <f>SUBSTITUTE(SUBSTITUTE(PROPER(SUBSTITUTE(us_core_reqs[[#This Row],[Page]], "-", " "))&amp;": "&amp;PROPER(SUBSTITUTE(us_core_reqs[[#This Row],[Section]], "-", " ")),"Us ","US "), "Uscdi", "USCDI")</f>
        <v>Must Support: Must Support Elements</v>
      </c>
      <c r="U76" t="s">
        <v>29</v>
      </c>
      <c r="V76" t="s">
        <v>30</v>
      </c>
      <c r="W76" t="s">
        <v>106</v>
      </c>
      <c r="X76" t="s">
        <v>1171</v>
      </c>
      <c r="Y76" t="s">
        <v>1171</v>
      </c>
      <c r="Z76" t="s">
        <v>1171</v>
      </c>
      <c r="AA76" t="s">
        <v>1171</v>
      </c>
      <c r="AB76" t="s">
        <v>107</v>
      </c>
      <c r="AC76" t="s">
        <v>1140</v>
      </c>
      <c r="AD76" t="s">
        <v>1171</v>
      </c>
    </row>
    <row r="77" spans="1:30" ht="102" x14ac:dyDescent="0.2">
      <c r="A77" t="s">
        <v>1171</v>
      </c>
      <c r="B77" t="s">
        <v>1249</v>
      </c>
      <c r="C77" t="str">
        <f>"CONF-"&amp;TEXT(us_core_reqs[[#This Row],[ID*]], "0000")</f>
        <v>CONF-0076</v>
      </c>
      <c r="D77" s="11" t="s">
        <v>612</v>
      </c>
      <c r="E77" t="str">
        <f>SUBSTITUTE(us_core_reqs[[#This Row],[URL*]], "https://hl7.org/fhir/us/core/STU8/","")</f>
        <v>must-support.html#must-support-elements</v>
      </c>
      <c r="F77" s="11" t="s">
        <v>108</v>
      </c>
      <c r="G77" t="s">
        <v>29</v>
      </c>
      <c r="I77" t="s">
        <v>58</v>
      </c>
      <c r="J77" t="s">
        <v>1171</v>
      </c>
      <c r="K77" t="s">
        <v>1171</v>
      </c>
      <c r="L77" t="s">
        <v>1173</v>
      </c>
      <c r="M77" t="s">
        <v>1171</v>
      </c>
      <c r="N77" t="s">
        <v>1171</v>
      </c>
      <c r="O77" t="s">
        <v>1171</v>
      </c>
      <c r="P77" t="s">
        <v>1171</v>
      </c>
      <c r="Q77" t="s">
        <v>1171</v>
      </c>
      <c r="R77" t="str">
        <f>_xlfn.TEXTBEFORE(_xlfn.TEXTAFTER(us_core_reqs[[#This Row],[URL*]],"/",-1),".")</f>
        <v>must-support</v>
      </c>
      <c r="S77" t="str">
        <f>_xlfn.TEXTAFTER(us_core_reqs[[#This Row],[URL*]],"#",-1)</f>
        <v>must-support-elements</v>
      </c>
      <c r="T77" t="str">
        <f>SUBSTITUTE(SUBSTITUTE(PROPER(SUBSTITUTE(us_core_reqs[[#This Row],[Page]], "-", " "))&amp;": "&amp;PROPER(SUBSTITUTE(us_core_reqs[[#This Row],[Section]], "-", " ")),"Us ","US "), "Uscdi", "USCDI")</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1250</v>
      </c>
      <c r="C78" t="str">
        <f>"CONF-"&amp;TEXT(us_core_reqs[[#This Row],[ID*]], "0000")</f>
        <v>CONF-0077</v>
      </c>
      <c r="D78" s="11" t="s">
        <v>612</v>
      </c>
      <c r="E78" t="str">
        <f>SUBSTITUTE(us_core_reqs[[#This Row],[URL*]], "https://hl7.org/fhir/us/core/STU8/","")</f>
        <v>must-support.html#must-support-elements</v>
      </c>
      <c r="F78" s="11" t="s">
        <v>109</v>
      </c>
      <c r="G78" t="s">
        <v>64</v>
      </c>
      <c r="I78" t="s">
        <v>58</v>
      </c>
      <c r="J78" t="s">
        <v>1171</v>
      </c>
      <c r="K78" t="s">
        <v>1171</v>
      </c>
      <c r="L78" t="s">
        <v>1173</v>
      </c>
      <c r="M78" t="s">
        <v>1171</v>
      </c>
      <c r="N78" t="s">
        <v>1171</v>
      </c>
      <c r="O78" t="s">
        <v>1171</v>
      </c>
      <c r="P78" t="s">
        <v>1171</v>
      </c>
      <c r="Q78" t="s">
        <v>1171</v>
      </c>
      <c r="R78" t="str">
        <f>_xlfn.TEXTBEFORE(_xlfn.TEXTAFTER(us_core_reqs[[#This Row],[URL*]],"/",-1),".")</f>
        <v>must-support</v>
      </c>
      <c r="S78" t="str">
        <f>_xlfn.TEXTAFTER(us_core_reqs[[#This Row],[URL*]],"#",-1)</f>
        <v>must-support-elements</v>
      </c>
      <c r="T78" t="str">
        <f>SUBSTITUTE(SUBSTITUTE(PROPER(SUBSTITUTE(us_core_reqs[[#This Row],[Page]], "-", " "))&amp;": "&amp;PROPER(SUBSTITUTE(us_core_reqs[[#This Row],[Section]], "-", " ")),"Us ","US "), "Uscdi", "USCDI")</f>
        <v>Must Support: Must Support Elements</v>
      </c>
      <c r="U78" t="s">
        <v>32</v>
      </c>
      <c r="V78" t="s">
        <v>58</v>
      </c>
      <c r="W78" t="s">
        <v>1171</v>
      </c>
      <c r="X78" t="s">
        <v>1171</v>
      </c>
      <c r="Y78" t="s">
        <v>1171</v>
      </c>
      <c r="Z78" t="s">
        <v>1171</v>
      </c>
      <c r="AA78" t="s">
        <v>1171</v>
      </c>
      <c r="AB78" t="s">
        <v>646</v>
      </c>
      <c r="AC78" t="s">
        <v>1171</v>
      </c>
      <c r="AD78" t="s">
        <v>1171</v>
      </c>
    </row>
    <row r="79" spans="1:30" ht="119" x14ac:dyDescent="0.2">
      <c r="A79" t="s">
        <v>1171</v>
      </c>
      <c r="B79" t="s">
        <v>1251</v>
      </c>
      <c r="C79" t="str">
        <f>"CONF-"&amp;TEXT(us_core_reqs[[#This Row],[ID*]], "0000")</f>
        <v>CONF-0078</v>
      </c>
      <c r="D79" s="11" t="s">
        <v>612</v>
      </c>
      <c r="E79" t="str">
        <f>SUBSTITUTE(us_core_reqs[[#This Row],[URL*]], "https://hl7.org/fhir/us/core/STU8/","")</f>
        <v>must-support.html#must-support-elements</v>
      </c>
      <c r="F79" s="11" t="s">
        <v>2050</v>
      </c>
      <c r="G79" t="s">
        <v>1833</v>
      </c>
      <c r="I79" t="s">
        <v>30</v>
      </c>
      <c r="J79" t="s">
        <v>1171</v>
      </c>
      <c r="K79" t="s">
        <v>1171</v>
      </c>
      <c r="L79" t="s">
        <v>1176</v>
      </c>
      <c r="M79" t="s">
        <v>111</v>
      </c>
      <c r="N79" t="s">
        <v>1171</v>
      </c>
      <c r="O79" t="s">
        <v>1171</v>
      </c>
      <c r="P79" t="s">
        <v>1171</v>
      </c>
      <c r="Q79" t="s">
        <v>1171</v>
      </c>
      <c r="R79" t="str">
        <f>_xlfn.TEXTBEFORE(_xlfn.TEXTAFTER(us_core_reqs[[#This Row],[URL*]],"/",-1),".")</f>
        <v>must-support</v>
      </c>
      <c r="S79" t="str">
        <f>_xlfn.TEXTAFTER(us_core_reqs[[#This Row],[URL*]],"#",-1)</f>
        <v>must-support-elements</v>
      </c>
      <c r="T79" t="str">
        <f>SUBSTITUTE(SUBSTITUTE(PROPER(SUBSTITUTE(us_core_reqs[[#This Row],[Page]], "-", " "))&amp;": "&amp;PROPER(SUBSTITUTE(us_core_reqs[[#This Row],[Section]], "-", " ")),"Us ","US "), "Uscdi", "USCDI")</f>
        <v>Must Support: Must Support Elements</v>
      </c>
      <c r="U79" t="s">
        <v>29</v>
      </c>
      <c r="V79" t="s">
        <v>30</v>
      </c>
      <c r="W79" t="s">
        <v>1171</v>
      </c>
      <c r="X79" t="s">
        <v>1171</v>
      </c>
      <c r="Y79" t="s">
        <v>1171</v>
      </c>
      <c r="Z79" t="s">
        <v>1171</v>
      </c>
      <c r="AA79" t="s">
        <v>1171</v>
      </c>
      <c r="AB79" t="s">
        <v>1171</v>
      </c>
      <c r="AC79" t="s">
        <v>1141</v>
      </c>
      <c r="AD79" t="s">
        <v>1171</v>
      </c>
    </row>
    <row r="80" spans="1:30" ht="102" x14ac:dyDescent="0.2">
      <c r="A80" t="s">
        <v>1171</v>
      </c>
      <c r="B80" t="s">
        <v>1252</v>
      </c>
      <c r="C80" t="str">
        <f>"CONF-"&amp;TEXT(us_core_reqs[[#This Row],[ID*]], "0000")</f>
        <v>CONF-0079</v>
      </c>
      <c r="D80" s="11" t="s">
        <v>612</v>
      </c>
      <c r="E80" t="str">
        <f>SUBSTITUTE(us_core_reqs[[#This Row],[URL*]], "https://hl7.org/fhir/us/core/STU8/","")</f>
        <v>must-support.html#must-support-elements</v>
      </c>
      <c r="F80" s="11" t="s">
        <v>112</v>
      </c>
      <c r="G80" t="s">
        <v>29</v>
      </c>
      <c r="I80" t="s">
        <v>58</v>
      </c>
      <c r="J80" t="s">
        <v>1171</v>
      </c>
      <c r="K80" t="s">
        <v>1171</v>
      </c>
      <c r="L80" t="s">
        <v>1173</v>
      </c>
      <c r="M80" t="s">
        <v>1171</v>
      </c>
      <c r="N80" t="s">
        <v>1171</v>
      </c>
      <c r="O80" t="s">
        <v>1171</v>
      </c>
      <c r="P80" t="s">
        <v>1171</v>
      </c>
      <c r="Q80" t="s">
        <v>1171</v>
      </c>
      <c r="R80" t="str">
        <f>_xlfn.TEXTBEFORE(_xlfn.TEXTAFTER(us_core_reqs[[#This Row],[URL*]],"/",-1),".")</f>
        <v>must-support</v>
      </c>
      <c r="S80" t="str">
        <f>_xlfn.TEXTAFTER(us_core_reqs[[#This Row],[URL*]],"#",-1)</f>
        <v>must-support-elements</v>
      </c>
      <c r="T80" t="str">
        <f>SUBSTITUTE(SUBSTITUTE(PROPER(SUBSTITUTE(us_core_reqs[[#This Row],[Page]], "-", " "))&amp;": "&amp;PROPER(SUBSTITUTE(us_core_reqs[[#This Row],[Section]], "-", " ")),"Us ","US "), "Uscdi", "USCDI")</f>
        <v>Must Support: Must Support Elements</v>
      </c>
      <c r="U80" t="s">
        <v>29</v>
      </c>
      <c r="V80" t="s">
        <v>30</v>
      </c>
      <c r="W80" t="s">
        <v>1171</v>
      </c>
      <c r="X80" t="s">
        <v>1171</v>
      </c>
      <c r="Y80" t="s">
        <v>1171</v>
      </c>
      <c r="Z80" t="s">
        <v>1171</v>
      </c>
      <c r="AA80" t="s">
        <v>1171</v>
      </c>
      <c r="AB80" t="s">
        <v>1171</v>
      </c>
      <c r="AC80" t="s">
        <v>1171</v>
      </c>
      <c r="AD80" t="s">
        <v>1171</v>
      </c>
    </row>
    <row r="81" spans="1:30" ht="119" x14ac:dyDescent="0.2">
      <c r="A81" t="s">
        <v>1171</v>
      </c>
      <c r="B81" t="s">
        <v>1253</v>
      </c>
      <c r="C81" t="str">
        <f>"CONF-"&amp;TEXT(us_core_reqs[[#This Row],[ID*]], "0000")</f>
        <v>CONF-0080</v>
      </c>
      <c r="D81" s="69" t="s">
        <v>1850</v>
      </c>
      <c r="E81" t="str">
        <f>SUBSTITUTE(us_core_reqs[[#This Row],[URL*]], "https://hl7.org/fhir/us/core/STU8/","")</f>
        <v>must-support.html#must-support-el+D647ements</v>
      </c>
      <c r="F81" s="11" t="s">
        <v>113</v>
      </c>
      <c r="G81" t="s">
        <v>32</v>
      </c>
      <c r="I81" t="s">
        <v>30</v>
      </c>
      <c r="J81" t="s">
        <v>1171</v>
      </c>
      <c r="K81" t="s">
        <v>1171</v>
      </c>
      <c r="L81" t="s">
        <v>1176</v>
      </c>
      <c r="M81" t="s">
        <v>114</v>
      </c>
      <c r="N81" t="s">
        <v>1171</v>
      </c>
      <c r="O81" t="s">
        <v>1171</v>
      </c>
      <c r="P81" t="s">
        <v>1171</v>
      </c>
      <c r="Q81" t="s">
        <v>1171</v>
      </c>
      <c r="R81" t="str">
        <f>_xlfn.TEXTBEFORE(_xlfn.TEXTAFTER(us_core_reqs[[#This Row],[URL*]],"/",-1),".")</f>
        <v>must-support</v>
      </c>
      <c r="S81" t="str">
        <f>_xlfn.TEXTAFTER(us_core_reqs[[#This Row],[URL*]],"#",-1)</f>
        <v>must-support-el+D647ements</v>
      </c>
      <c r="T81" t="str">
        <f>SUBSTITUTE(SUBSTITUTE(PROPER(SUBSTITUTE(us_core_reqs[[#This Row],[Page]], "-", " "))&amp;": "&amp;PROPER(SUBSTITUTE(us_core_reqs[[#This Row],[Section]], "-", " ")),"Us ","US "), "Uscdi", "USCDI")</f>
        <v>Must Support: Must Support El+D647Ements</v>
      </c>
      <c r="U81" t="s">
        <v>32</v>
      </c>
      <c r="V81" t="s">
        <v>30</v>
      </c>
      <c r="W81" t="s">
        <v>1171</v>
      </c>
      <c r="X81" t="s">
        <v>1171</v>
      </c>
      <c r="Y81" t="s">
        <v>1171</v>
      </c>
      <c r="Z81" t="s">
        <v>1171</v>
      </c>
      <c r="AA81" t="s">
        <v>1171</v>
      </c>
      <c r="AB81" t="s">
        <v>1171</v>
      </c>
      <c r="AC81" t="s">
        <v>1171</v>
      </c>
      <c r="AD81" t="s">
        <v>1171</v>
      </c>
    </row>
    <row r="82" spans="1:30" ht="85" x14ac:dyDescent="0.2">
      <c r="A82" t="s">
        <v>1171</v>
      </c>
      <c r="B82" t="s">
        <v>1254</v>
      </c>
      <c r="C82" t="str">
        <f>"CONF-"&amp;TEXT(us_core_reqs[[#This Row],[ID*]], "0000")</f>
        <v>CONF-0081</v>
      </c>
      <c r="D82" s="11" t="s">
        <v>612</v>
      </c>
      <c r="E82" t="str">
        <f>SUBSTITUTE(us_core_reqs[[#This Row],[URL*]], "https://hl7.org/fhir/us/core/STU8/","")</f>
        <v>must-support.html#must-support-elements</v>
      </c>
      <c r="F82" s="11" t="s">
        <v>824</v>
      </c>
      <c r="G82" t="s">
        <v>32</v>
      </c>
      <c r="I82" t="s">
        <v>30</v>
      </c>
      <c r="J82" t="s">
        <v>1171</v>
      </c>
      <c r="K82" t="s">
        <v>1102</v>
      </c>
      <c r="L82" t="s">
        <v>1176</v>
      </c>
      <c r="M82" t="s">
        <v>115</v>
      </c>
      <c r="N82" t="s">
        <v>1171</v>
      </c>
      <c r="O82" t="s">
        <v>1171</v>
      </c>
      <c r="P82" t="s">
        <v>1171</v>
      </c>
      <c r="Q82" t="s">
        <v>1171</v>
      </c>
      <c r="R82" t="str">
        <f>_xlfn.TEXTBEFORE(_xlfn.TEXTAFTER(us_core_reqs[[#This Row],[URL*]],"/",-1),".")</f>
        <v>must-support</v>
      </c>
      <c r="S82" t="str">
        <f>_xlfn.TEXTAFTER(us_core_reqs[[#This Row],[URL*]],"#",-1)</f>
        <v>must-support-elements</v>
      </c>
      <c r="T82" t="str">
        <f>SUBSTITUTE(SUBSTITUTE(PROPER(SUBSTITUTE(us_core_reqs[[#This Row],[Page]], "-", " "))&amp;": "&amp;PROPER(SUBSTITUTE(us_core_reqs[[#This Row],[Section]], "-", " ")),"Us ","US "), "Uscdi", "USCDI")</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1255</v>
      </c>
      <c r="C83" t="str">
        <f>"CONF-"&amp;TEXT(us_core_reqs[[#This Row],[ID*]], "0000")</f>
        <v>CONF-0082</v>
      </c>
      <c r="D83" s="11" t="s">
        <v>612</v>
      </c>
      <c r="E83" t="str">
        <f>SUBSTITUTE(us_core_reqs[[#This Row],[URL*]], "https://hl7.org/fhir/us/core/STU8/","")</f>
        <v>must-support.html#must-support-elements</v>
      </c>
      <c r="F83" s="11" t="s">
        <v>116</v>
      </c>
      <c r="G83" t="s">
        <v>29</v>
      </c>
      <c r="I83" t="s">
        <v>58</v>
      </c>
      <c r="J83" t="s">
        <v>1171</v>
      </c>
      <c r="K83" t="s">
        <v>1171</v>
      </c>
      <c r="L83" t="s">
        <v>1173</v>
      </c>
      <c r="M83" t="s">
        <v>1171</v>
      </c>
      <c r="N83" t="s">
        <v>1171</v>
      </c>
      <c r="O83" t="s">
        <v>1171</v>
      </c>
      <c r="P83" t="s">
        <v>1171</v>
      </c>
      <c r="Q83" t="s">
        <v>1171</v>
      </c>
      <c r="R83" t="str">
        <f>_xlfn.TEXTBEFORE(_xlfn.TEXTAFTER(us_core_reqs[[#This Row],[URL*]],"/",-1),".")</f>
        <v>must-support</v>
      </c>
      <c r="S83" t="str">
        <f>_xlfn.TEXTAFTER(us_core_reqs[[#This Row],[URL*]],"#",-1)</f>
        <v>must-support-elements</v>
      </c>
      <c r="T83" t="str">
        <f>SUBSTITUTE(SUBSTITUTE(PROPER(SUBSTITUTE(us_core_reqs[[#This Row],[Page]], "-", " "))&amp;": "&amp;PROPER(SUBSTITUTE(us_core_reqs[[#This Row],[Section]], "-", " ")),"Us ","US "), "Uscdi", "USCDI")</f>
        <v>Must Support: Must Support Elements</v>
      </c>
      <c r="U83" t="s">
        <v>29</v>
      </c>
      <c r="V83" t="s">
        <v>58</v>
      </c>
      <c r="W83" t="s">
        <v>1171</v>
      </c>
      <c r="X83" t="s">
        <v>1171</v>
      </c>
      <c r="Y83" t="s">
        <v>1171</v>
      </c>
      <c r="Z83" t="s">
        <v>1171</v>
      </c>
      <c r="AA83" t="s">
        <v>1171</v>
      </c>
      <c r="AB83" t="s">
        <v>1171</v>
      </c>
      <c r="AC83" t="s">
        <v>1171</v>
      </c>
      <c r="AD83" t="s">
        <v>1171</v>
      </c>
    </row>
    <row r="84" spans="1:30" ht="68" x14ac:dyDescent="0.2">
      <c r="A84" t="s">
        <v>1171</v>
      </c>
      <c r="B84" t="s">
        <v>1256</v>
      </c>
      <c r="C84" t="str">
        <f>"CONF-"&amp;TEXT(us_core_reqs[[#This Row],[ID*]], "0000")</f>
        <v>CONF-0083</v>
      </c>
      <c r="D84" s="11" t="s">
        <v>613</v>
      </c>
      <c r="E84" t="str">
        <f>SUBSTITUTE(us_core_reqs[[#This Row],[URL*]], "https://hl7.org/fhir/us/core/STU8/","")</f>
        <v>must-support.html#additional-uscdi-requirements</v>
      </c>
      <c r="F84" s="11" t="s">
        <v>648</v>
      </c>
      <c r="G84" t="s">
        <v>29</v>
      </c>
      <c r="I84" t="s">
        <v>58</v>
      </c>
      <c r="J84" t="b">
        <v>1</v>
      </c>
      <c r="K84" t="s">
        <v>1171</v>
      </c>
      <c r="L84" t="s">
        <v>1176</v>
      </c>
      <c r="M84" t="s">
        <v>117</v>
      </c>
      <c r="N84" t="s">
        <v>1171</v>
      </c>
      <c r="O84" t="s">
        <v>1171</v>
      </c>
      <c r="P84" t="s">
        <v>1171</v>
      </c>
      <c r="Q84" t="s">
        <v>1171</v>
      </c>
      <c r="R84" t="str">
        <f>_xlfn.TEXTBEFORE(_xlfn.TEXTAFTER(us_core_reqs[[#This Row],[URL*]],"/",-1),".")</f>
        <v>must-support</v>
      </c>
      <c r="S84" t="str">
        <f>_xlfn.TEXTAFTER(us_core_reqs[[#This Row],[URL*]],"#",-1)</f>
        <v>additional-uscdi-requirements</v>
      </c>
      <c r="T84" t="str">
        <f>SUBSTITUTE(SUBSTITUTE(PROPER(SUBSTITUTE(us_core_reqs[[#This Row],[Page]], "-", " "))&amp;": "&amp;PROPER(SUBSTITUTE(us_core_reqs[[#This Row],[Section]], "-", " ")),"Us ","US "), "Uscdi", "USCDI")</f>
        <v>Must Support: Additional USCDI Requirements</v>
      </c>
      <c r="U84" t="s">
        <v>29</v>
      </c>
      <c r="V84" t="s">
        <v>58</v>
      </c>
      <c r="W84" t="s">
        <v>118</v>
      </c>
      <c r="X84" t="s">
        <v>1171</v>
      </c>
      <c r="Y84" t="s">
        <v>1171</v>
      </c>
      <c r="Z84" t="s">
        <v>1171</v>
      </c>
      <c r="AA84" t="s">
        <v>1171</v>
      </c>
      <c r="AB84" t="s">
        <v>651</v>
      </c>
      <c r="AC84" t="s">
        <v>1171</v>
      </c>
      <c r="AD84" t="s">
        <v>1171</v>
      </c>
    </row>
    <row r="85" spans="1:30" ht="68" x14ac:dyDescent="0.2">
      <c r="A85" t="s">
        <v>1171</v>
      </c>
      <c r="B85" t="s">
        <v>1257</v>
      </c>
      <c r="C85" t="str">
        <f>"CONF-"&amp;TEXT(us_core_reqs[[#This Row],[ID*]], "0000")</f>
        <v>CONF-0084</v>
      </c>
      <c r="D85" s="11" t="s">
        <v>613</v>
      </c>
      <c r="E85" t="str">
        <f>SUBSTITUTE(us_core_reqs[[#This Row],[URL*]], "https://hl7.org/fhir/us/core/STU8/","")</f>
        <v>must-support.html#additional-uscdi-requirements</v>
      </c>
      <c r="F85" s="11" t="s">
        <v>649</v>
      </c>
      <c r="G85" t="s">
        <v>29</v>
      </c>
      <c r="I85" t="s">
        <v>30</v>
      </c>
      <c r="J85">
        <v>77</v>
      </c>
      <c r="K85" t="s">
        <v>1171</v>
      </c>
      <c r="L85" t="s">
        <v>1176</v>
      </c>
      <c r="M85" t="s">
        <v>119</v>
      </c>
      <c r="N85" t="s">
        <v>44</v>
      </c>
      <c r="O85" t="s">
        <v>1171</v>
      </c>
      <c r="P85" t="s">
        <v>45</v>
      </c>
      <c r="Q85" t="s">
        <v>120</v>
      </c>
      <c r="R85" t="str">
        <f>_xlfn.TEXTBEFORE(_xlfn.TEXTAFTER(us_core_reqs[[#This Row],[URL*]],"/",-1),".")</f>
        <v>must-support</v>
      </c>
      <c r="S85" t="str">
        <f>_xlfn.TEXTAFTER(us_core_reqs[[#This Row],[URL*]],"#",-1)</f>
        <v>additional-uscdi-requirements</v>
      </c>
      <c r="T85" t="str">
        <f>SUBSTITUTE(SUBSTITUTE(PROPER(SUBSTITUTE(us_core_reqs[[#This Row],[Page]], "-", " "))&amp;": "&amp;PROPER(SUBSTITUTE(us_core_reqs[[#This Row],[Section]], "-", " ")),"Us ","US "), "Uscdi", "USCDI")</f>
        <v>Must Support: Additional USCDI Requirements</v>
      </c>
      <c r="U85" t="s">
        <v>29</v>
      </c>
      <c r="V85" t="s">
        <v>30</v>
      </c>
      <c r="W85" t="s">
        <v>118</v>
      </c>
      <c r="X85" t="s">
        <v>1171</v>
      </c>
      <c r="Y85" t="s">
        <v>1171</v>
      </c>
      <c r="Z85" t="s">
        <v>1171</v>
      </c>
      <c r="AA85" t="s">
        <v>1171</v>
      </c>
      <c r="AB85" t="s">
        <v>650</v>
      </c>
      <c r="AC85" t="s">
        <v>1140</v>
      </c>
      <c r="AD85" t="s">
        <v>1171</v>
      </c>
    </row>
    <row r="86" spans="1:30" ht="51" x14ac:dyDescent="0.2">
      <c r="A86" t="s">
        <v>1171</v>
      </c>
      <c r="B86" t="s">
        <v>1258</v>
      </c>
      <c r="C86" t="str">
        <f>"CONF-"&amp;TEXT(us_core_reqs[[#This Row],[ID*]], "0000")</f>
        <v>CONF-0085</v>
      </c>
      <c r="D86" s="11" t="s">
        <v>613</v>
      </c>
      <c r="E86" t="str">
        <f>SUBSTITUTE(us_core_reqs[[#This Row],[URL*]], "https://hl7.org/fhir/us/core/STU8/","")</f>
        <v>must-support.html#additional-uscdi-requirements</v>
      </c>
      <c r="F86" s="11" t="s">
        <v>121</v>
      </c>
      <c r="G86" t="s">
        <v>29</v>
      </c>
      <c r="I86" t="s">
        <v>58</v>
      </c>
      <c r="J86" t="s">
        <v>1171</v>
      </c>
      <c r="K86" t="s">
        <v>1171</v>
      </c>
      <c r="L86" t="s">
        <v>1176</v>
      </c>
      <c r="M86" t="s">
        <v>122</v>
      </c>
      <c r="N86" t="s">
        <v>1171</v>
      </c>
      <c r="O86" t="s">
        <v>1171</v>
      </c>
      <c r="P86" t="s">
        <v>1171</v>
      </c>
      <c r="Q86" t="s">
        <v>1171</v>
      </c>
      <c r="R86" t="str">
        <f>_xlfn.TEXTBEFORE(_xlfn.TEXTAFTER(us_core_reqs[[#This Row],[URL*]],"/",-1),".")</f>
        <v>must-support</v>
      </c>
      <c r="S86" t="str">
        <f>_xlfn.TEXTAFTER(us_core_reqs[[#This Row],[URL*]],"#",-1)</f>
        <v>additional-uscdi-requirements</v>
      </c>
      <c r="T86" t="str">
        <f>SUBSTITUTE(SUBSTITUTE(PROPER(SUBSTITUTE(us_core_reqs[[#This Row],[Page]], "-", " "))&amp;": "&amp;PROPER(SUBSTITUTE(us_core_reqs[[#This Row],[Section]], "-", " ")),"Us ","US "), "Uscdi", "USCDI")</f>
        <v>Must Support: Additional USCDI Requirements</v>
      </c>
      <c r="U86" t="s">
        <v>29</v>
      </c>
      <c r="V86" t="s">
        <v>58</v>
      </c>
      <c r="W86" t="s">
        <v>1171</v>
      </c>
      <c r="X86" t="s">
        <v>1171</v>
      </c>
      <c r="Y86" t="s">
        <v>1171</v>
      </c>
      <c r="Z86" t="s">
        <v>1171</v>
      </c>
      <c r="AA86" t="s">
        <v>1171</v>
      </c>
      <c r="AB86" t="s">
        <v>1171</v>
      </c>
      <c r="AC86" t="s">
        <v>1171</v>
      </c>
      <c r="AD86" t="s">
        <v>1171</v>
      </c>
    </row>
    <row r="87" spans="1:30" ht="51" x14ac:dyDescent="0.2">
      <c r="A87" t="s">
        <v>1171</v>
      </c>
      <c r="B87" t="s">
        <v>1259</v>
      </c>
      <c r="C87" t="str">
        <f>"CONF-"&amp;TEXT(us_core_reqs[[#This Row],[ID*]], "0000")</f>
        <v>CONF-0086</v>
      </c>
      <c r="D87" s="11" t="s">
        <v>613</v>
      </c>
      <c r="E87" t="str">
        <f>SUBSTITUTE(us_core_reqs[[#This Row],[URL*]], "https://hl7.org/fhir/us/core/STU8/","")</f>
        <v>must-support.html#additional-uscdi-requirements</v>
      </c>
      <c r="F87" s="11" t="s">
        <v>123</v>
      </c>
      <c r="G87" t="s">
        <v>29</v>
      </c>
      <c r="I87" t="s">
        <v>30</v>
      </c>
      <c r="J87" t="s">
        <v>1171</v>
      </c>
      <c r="K87" t="s">
        <v>1171</v>
      </c>
      <c r="L87" t="s">
        <v>1176</v>
      </c>
      <c r="M87" t="s">
        <v>124</v>
      </c>
      <c r="N87" t="s">
        <v>1171</v>
      </c>
      <c r="O87" t="s">
        <v>1171</v>
      </c>
      <c r="P87" t="s">
        <v>1171</v>
      </c>
      <c r="Q87" t="s">
        <v>1171</v>
      </c>
      <c r="R87" t="str">
        <f>_xlfn.TEXTBEFORE(_xlfn.TEXTAFTER(us_core_reqs[[#This Row],[URL*]],"/",-1),".")</f>
        <v>must-support</v>
      </c>
      <c r="S87" t="str">
        <f>_xlfn.TEXTAFTER(us_core_reqs[[#This Row],[URL*]],"#",-1)</f>
        <v>additional-uscdi-requirements</v>
      </c>
      <c r="T87" t="str">
        <f>SUBSTITUTE(SUBSTITUTE(PROPER(SUBSTITUTE(us_core_reqs[[#This Row],[Page]], "-", " "))&amp;": "&amp;PROPER(SUBSTITUTE(us_core_reqs[[#This Row],[Section]], "-", " ")),"Us ","US "), "Uscdi", "USCDI")</f>
        <v>Must Support: Additional USCDI Requirements</v>
      </c>
      <c r="U87" t="s">
        <v>29</v>
      </c>
      <c r="V87" t="s">
        <v>30</v>
      </c>
      <c r="W87" t="s">
        <v>1171</v>
      </c>
      <c r="X87" t="s">
        <v>1171</v>
      </c>
      <c r="Y87" t="s">
        <v>1171</v>
      </c>
      <c r="Z87" t="s">
        <v>1171</v>
      </c>
      <c r="AA87" t="s">
        <v>1171</v>
      </c>
      <c r="AB87" t="s">
        <v>1171</v>
      </c>
      <c r="AC87" t="s">
        <v>1141</v>
      </c>
      <c r="AD87" t="s">
        <v>1171</v>
      </c>
    </row>
    <row r="88" spans="1:30" ht="102" x14ac:dyDescent="0.2">
      <c r="A88" t="s">
        <v>1171</v>
      </c>
      <c r="B88" t="s">
        <v>1260</v>
      </c>
      <c r="C88" t="str">
        <f>"CONF-"&amp;TEXT(us_core_reqs[[#This Row],[ID*]], "0000")</f>
        <v>CONF-0087</v>
      </c>
      <c r="D88" s="11" t="s">
        <v>614</v>
      </c>
      <c r="E88" t="str">
        <f>SUBSTITUTE(us_core_reqs[[#This Row],[URL*]], "https://hl7.org/fhir/us/core/STU8/","")</f>
        <v>must-support.html#defined-pattern-elements</v>
      </c>
      <c r="F88" s="11" t="s">
        <v>978</v>
      </c>
      <c r="G88" t="s">
        <v>29</v>
      </c>
      <c r="I88" t="s">
        <v>30</v>
      </c>
      <c r="J88" t="s">
        <v>1171</v>
      </c>
      <c r="K88" t="s">
        <v>1171</v>
      </c>
      <c r="L88" t="s">
        <v>1173</v>
      </c>
      <c r="M88" t="s">
        <v>1171</v>
      </c>
      <c r="N88" t="s">
        <v>1171</v>
      </c>
      <c r="O88" t="s">
        <v>1171</v>
      </c>
      <c r="P88" t="s">
        <v>1171</v>
      </c>
      <c r="Q88" t="s">
        <v>1171</v>
      </c>
      <c r="R88" t="str">
        <f>_xlfn.TEXTBEFORE(_xlfn.TEXTAFTER(us_core_reqs[[#This Row],[URL*]],"/",-1),".")</f>
        <v>must-support</v>
      </c>
      <c r="S88" t="str">
        <f>_xlfn.TEXTAFTER(us_core_reqs[[#This Row],[URL*]],"#",-1)</f>
        <v>defined-pattern-elements</v>
      </c>
      <c r="T88" t="str">
        <f>SUBSTITUTE(SUBSTITUTE(PROPER(SUBSTITUTE(us_core_reqs[[#This Row],[Page]], "-", " "))&amp;": "&amp;PROPER(SUBSTITUTE(us_core_reqs[[#This Row],[Section]], "-", " ")),"Us ","US "), "Uscdi", "USCDI")</f>
        <v>Must Support: Defined Pattern Elements</v>
      </c>
      <c r="U88" t="s">
        <v>29</v>
      </c>
      <c r="V88" t="s">
        <v>30</v>
      </c>
      <c r="W88" t="s">
        <v>125</v>
      </c>
      <c r="X88" t="s">
        <v>1171</v>
      </c>
      <c r="Y88" t="s">
        <v>1171</v>
      </c>
      <c r="Z88" t="s">
        <v>1171</v>
      </c>
      <c r="AA88" t="s">
        <v>1171</v>
      </c>
      <c r="AB88" t="s">
        <v>1171</v>
      </c>
      <c r="AC88" t="s">
        <v>1140</v>
      </c>
      <c r="AD88" t="s">
        <v>1171</v>
      </c>
    </row>
    <row r="89" spans="1:30" ht="119" x14ac:dyDescent="0.2">
      <c r="A89" t="s">
        <v>1171</v>
      </c>
      <c r="B89" t="s">
        <v>1261</v>
      </c>
      <c r="C89" t="str">
        <f>"CONF-"&amp;TEXT(us_core_reqs[[#This Row],[ID*]], "0000")</f>
        <v>CONF-0088</v>
      </c>
      <c r="D89" s="11" t="s">
        <v>614</v>
      </c>
      <c r="E89" t="str">
        <f>SUBSTITUTE(us_core_reqs[[#This Row],[URL*]], "https://hl7.org/fhir/us/core/STU8/","")</f>
        <v>must-support.html#defined-pattern-elements</v>
      </c>
      <c r="F89" s="11" t="s">
        <v>126</v>
      </c>
      <c r="G89" t="s">
        <v>64</v>
      </c>
      <c r="I89" t="s">
        <v>30</v>
      </c>
      <c r="J89" t="s">
        <v>1171</v>
      </c>
      <c r="K89" t="s">
        <v>1171</v>
      </c>
      <c r="L89" t="s">
        <v>1176</v>
      </c>
      <c r="M89" t="s">
        <v>127</v>
      </c>
      <c r="N89" t="s">
        <v>1171</v>
      </c>
      <c r="O89" t="s">
        <v>1171</v>
      </c>
      <c r="P89" t="s">
        <v>1171</v>
      </c>
      <c r="Q89" t="s">
        <v>1171</v>
      </c>
      <c r="R89" t="str">
        <f>_xlfn.TEXTBEFORE(_xlfn.TEXTAFTER(us_core_reqs[[#This Row],[URL*]],"/",-1),".")</f>
        <v>must-support</v>
      </c>
      <c r="S89" t="str">
        <f>_xlfn.TEXTAFTER(us_core_reqs[[#This Row],[URL*]],"#",-1)</f>
        <v>defined-pattern-elements</v>
      </c>
      <c r="T89" t="str">
        <f>SUBSTITUTE(SUBSTITUTE(PROPER(SUBSTITUTE(us_core_reqs[[#This Row],[Page]], "-", " "))&amp;": "&amp;PROPER(SUBSTITUTE(us_core_reqs[[#This Row],[Section]], "-", " ")),"Us ","US "), "Uscdi", "USCDI")</f>
        <v>Must Support: Defined Pattern Elements</v>
      </c>
      <c r="U89" t="s">
        <v>29</v>
      </c>
      <c r="V89" t="s">
        <v>30</v>
      </c>
      <c r="W89" t="s">
        <v>1171</v>
      </c>
      <c r="X89" t="s">
        <v>1171</v>
      </c>
      <c r="Y89" t="s">
        <v>1171</v>
      </c>
      <c r="Z89" t="s">
        <v>1171</v>
      </c>
      <c r="AA89" t="s">
        <v>1171</v>
      </c>
      <c r="AB89" t="s">
        <v>652</v>
      </c>
      <c r="AC89" t="s">
        <v>1140</v>
      </c>
      <c r="AD89" t="s">
        <v>1171</v>
      </c>
    </row>
    <row r="90" spans="1:30" ht="119" x14ac:dyDescent="0.2">
      <c r="A90" t="s">
        <v>1171</v>
      </c>
      <c r="B90" t="s">
        <v>1262</v>
      </c>
      <c r="C90" t="str">
        <f>"CONF-"&amp;TEXT(us_core_reqs[[#This Row],[ID*]], "0000")</f>
        <v>CONF-0089</v>
      </c>
      <c r="D90" s="11" t="s">
        <v>614</v>
      </c>
      <c r="E90" t="str">
        <f>SUBSTITUTE(us_core_reqs[[#This Row],[URL*]], "https://hl7.org/fhir/us/core/STU8/","")</f>
        <v>must-support.html#defined-pattern-elements</v>
      </c>
      <c r="F90" s="11" t="s">
        <v>128</v>
      </c>
      <c r="G90" t="s">
        <v>64</v>
      </c>
      <c r="I90" t="s">
        <v>58</v>
      </c>
      <c r="J90" t="s">
        <v>1171</v>
      </c>
      <c r="K90" t="s">
        <v>1171</v>
      </c>
      <c r="L90" t="s">
        <v>1176</v>
      </c>
      <c r="M90" t="s">
        <v>127</v>
      </c>
      <c r="N90" t="s">
        <v>1171</v>
      </c>
      <c r="O90" t="s">
        <v>1171</v>
      </c>
      <c r="P90" t="s">
        <v>1171</v>
      </c>
      <c r="Q90" t="s">
        <v>1171</v>
      </c>
      <c r="R90" t="str">
        <f>_xlfn.TEXTBEFORE(_xlfn.TEXTAFTER(us_core_reqs[[#This Row],[URL*]],"/",-1),".")</f>
        <v>must-support</v>
      </c>
      <c r="S90" t="str">
        <f>_xlfn.TEXTAFTER(us_core_reqs[[#This Row],[URL*]],"#",-1)</f>
        <v>defined-pattern-elements</v>
      </c>
      <c r="T90" t="str">
        <f>SUBSTITUTE(SUBSTITUTE(PROPER(SUBSTITUTE(us_core_reqs[[#This Row],[Page]], "-", " "))&amp;": "&amp;PROPER(SUBSTITUTE(us_core_reqs[[#This Row],[Section]], "-", " ")),"Us ","US "), "Uscdi", "USCDI")</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1263</v>
      </c>
      <c r="C91" t="str">
        <f>"CONF-"&amp;TEXT(us_core_reqs[[#This Row],[ID*]], "0000")</f>
        <v>CONF-0090</v>
      </c>
      <c r="D91" s="11" t="s">
        <v>1851</v>
      </c>
      <c r="E91" t="str">
        <f>SUBSTITUTE(us_core_reqs[[#This Row],[URL*]], "https://hl7.org/fhir/us/core/STU8/","")</f>
        <v>must-support.html#must-support---primitive-elements</v>
      </c>
      <c r="F91" s="11" t="s">
        <v>979</v>
      </c>
      <c r="G91" t="s">
        <v>29</v>
      </c>
      <c r="I91" t="s">
        <v>30</v>
      </c>
      <c r="J91" t="s">
        <v>1171</v>
      </c>
      <c r="K91" t="s">
        <v>1171</v>
      </c>
      <c r="L91" t="s">
        <v>1173</v>
      </c>
      <c r="M91" t="s">
        <v>1171</v>
      </c>
      <c r="N91" t="s">
        <v>1171</v>
      </c>
      <c r="O91" t="s">
        <v>1171</v>
      </c>
      <c r="P91" t="s">
        <v>1171</v>
      </c>
      <c r="Q91" t="s">
        <v>1171</v>
      </c>
      <c r="R91" t="str">
        <f>_xlfn.TEXTBEFORE(_xlfn.TEXTAFTER(us_core_reqs[[#This Row],[URL*]],"/",-1),".")</f>
        <v>must-support</v>
      </c>
      <c r="S91" t="str">
        <f>_xlfn.TEXTAFTER(us_core_reqs[[#This Row],[URL*]],"#",-1)</f>
        <v>must-support---primitive-elements</v>
      </c>
      <c r="T91" t="str">
        <f>SUBSTITUTE(SUBSTITUTE(PROPER(SUBSTITUTE(us_core_reqs[[#This Row],[Page]], "-", " "))&amp;": "&amp;PROPER(SUBSTITUTE(us_core_reqs[[#This Row],[Section]], "-", " ")),"Us ","US "), "Uscdi", "USCDI")</f>
        <v>Must Support: Must Support   Primitive Elements</v>
      </c>
      <c r="U91" t="s">
        <v>29</v>
      </c>
      <c r="V91" t="s">
        <v>30</v>
      </c>
      <c r="W91" t="s">
        <v>129</v>
      </c>
      <c r="X91" t="s">
        <v>1171</v>
      </c>
      <c r="Y91" t="s">
        <v>1171</v>
      </c>
      <c r="Z91" t="s">
        <v>1171</v>
      </c>
      <c r="AA91" t="s">
        <v>1171</v>
      </c>
      <c r="AB91" t="s">
        <v>1171</v>
      </c>
      <c r="AC91" t="s">
        <v>1140</v>
      </c>
      <c r="AD91" t="s">
        <v>1171</v>
      </c>
    </row>
    <row r="92" spans="1:30" ht="51" x14ac:dyDescent="0.2">
      <c r="A92" t="s">
        <v>1171</v>
      </c>
      <c r="B92" t="s">
        <v>1264</v>
      </c>
      <c r="C92" t="str">
        <f>"CONF-"&amp;TEXT(us_core_reqs[[#This Row],[ID*]], "0000")</f>
        <v>CONF-0091</v>
      </c>
      <c r="D92" s="11" t="s">
        <v>1851</v>
      </c>
      <c r="E92" t="str">
        <f>SUBSTITUTE(us_core_reqs[[#This Row],[URL*]], "https://hl7.org/fhir/us/core/STU8/","")</f>
        <v>must-support.html#must-support---primitive-elements</v>
      </c>
      <c r="F92" s="11" t="s">
        <v>2084</v>
      </c>
      <c r="G92" t="s">
        <v>29</v>
      </c>
      <c r="I92" t="s">
        <v>30</v>
      </c>
      <c r="J92" t="s">
        <v>1171</v>
      </c>
      <c r="K92" t="s">
        <v>1171</v>
      </c>
      <c r="L92" t="s">
        <v>1173</v>
      </c>
      <c r="M92" t="s">
        <v>1171</v>
      </c>
      <c r="N92" t="s">
        <v>1171</v>
      </c>
      <c r="O92" t="s">
        <v>1171</v>
      </c>
      <c r="P92" t="s">
        <v>1171</v>
      </c>
      <c r="Q92" t="s">
        <v>1171</v>
      </c>
      <c r="R92" t="str">
        <f>_xlfn.TEXTBEFORE(_xlfn.TEXTAFTER(us_core_reqs[[#This Row],[URL*]],"/",-1),".")</f>
        <v>must-support</v>
      </c>
      <c r="S92" t="str">
        <f>_xlfn.TEXTAFTER(us_core_reqs[[#This Row],[URL*]],"#",-1)</f>
        <v>must-support---primitive-elements</v>
      </c>
      <c r="T92" t="str">
        <f>SUBSTITUTE(SUBSTITUTE(PROPER(SUBSTITUTE(us_core_reqs[[#This Row],[Page]], "-", " "))&amp;": "&amp;PROPER(SUBSTITUTE(us_core_reqs[[#This Row],[Section]], "-", " ")),"Us ","US "), "Uscdi", "USCDI")</f>
        <v>Must Support: Must Support   Primitive Elements</v>
      </c>
      <c r="U92" t="s">
        <v>29</v>
      </c>
      <c r="V92" t="s">
        <v>30</v>
      </c>
      <c r="W92" t="s">
        <v>1171</v>
      </c>
      <c r="X92" t="s">
        <v>1171</v>
      </c>
      <c r="Y92" t="s">
        <v>1171</v>
      </c>
      <c r="Z92" t="s">
        <v>1171</v>
      </c>
      <c r="AA92" t="s">
        <v>1171</v>
      </c>
      <c r="AB92" t="s">
        <v>1171</v>
      </c>
      <c r="AC92" t="s">
        <v>1140</v>
      </c>
      <c r="AD92" t="s">
        <v>1171</v>
      </c>
    </row>
    <row r="93" spans="1:30" ht="51" x14ac:dyDescent="0.2">
      <c r="A93" t="s">
        <v>1171</v>
      </c>
      <c r="B93" t="s">
        <v>1265</v>
      </c>
      <c r="C93" t="str">
        <f>"CONF-"&amp;TEXT(us_core_reqs[[#This Row],[ID*]], "0000")</f>
        <v>CONF-0092</v>
      </c>
      <c r="D93" s="11" t="s">
        <v>1851</v>
      </c>
      <c r="E93" t="str">
        <f>SUBSTITUTE(us_core_reqs[[#This Row],[URL*]], "https://hl7.org/fhir/us/core/STU8/","")</f>
        <v>must-support.html#must-support---primitive-elements</v>
      </c>
      <c r="F93" s="11" t="s">
        <v>2085</v>
      </c>
      <c r="G93" t="s">
        <v>29</v>
      </c>
      <c r="I93" t="s">
        <v>58</v>
      </c>
      <c r="J93" t="s">
        <v>1171</v>
      </c>
      <c r="K93" t="s">
        <v>1171</v>
      </c>
      <c r="L93" t="s">
        <v>1173</v>
      </c>
      <c r="M93" t="s">
        <v>1171</v>
      </c>
      <c r="N93" t="s">
        <v>1171</v>
      </c>
      <c r="O93" t="s">
        <v>1171</v>
      </c>
      <c r="P93" t="s">
        <v>1171</v>
      </c>
      <c r="Q93" t="s">
        <v>1171</v>
      </c>
      <c r="R93" t="str">
        <f>_xlfn.TEXTBEFORE(_xlfn.TEXTAFTER(us_core_reqs[[#This Row],[URL*]],"/",-1),".")</f>
        <v>must-support</v>
      </c>
      <c r="S93" t="str">
        <f>_xlfn.TEXTAFTER(us_core_reqs[[#This Row],[URL*]],"#",-1)</f>
        <v>must-support---primitive-elements</v>
      </c>
      <c r="T93" t="str">
        <f>SUBSTITUTE(SUBSTITUTE(PROPER(SUBSTITUTE(us_core_reqs[[#This Row],[Page]], "-", " "))&amp;": "&amp;PROPER(SUBSTITUTE(us_core_reqs[[#This Row],[Section]], "-", " ")),"Us ","US "), "Uscdi", "USCDI")</f>
        <v>Must Support: Must Support   Primitive Elements</v>
      </c>
      <c r="U93" t="s">
        <v>29</v>
      </c>
      <c r="V93" t="s">
        <v>58</v>
      </c>
      <c r="W93" t="s">
        <v>1171</v>
      </c>
      <c r="X93" t="s">
        <v>1171</v>
      </c>
      <c r="Y93" t="s">
        <v>1171</v>
      </c>
      <c r="Z93" t="s">
        <v>1171</v>
      </c>
      <c r="AA93" t="s">
        <v>1171</v>
      </c>
      <c r="AB93" t="s">
        <v>1171</v>
      </c>
      <c r="AC93" t="s">
        <v>1171</v>
      </c>
      <c r="AD93" t="s">
        <v>1171</v>
      </c>
    </row>
    <row r="94" spans="1:30" ht="51" x14ac:dyDescent="0.2">
      <c r="A94" t="s">
        <v>1171</v>
      </c>
      <c r="B94" t="s">
        <v>1266</v>
      </c>
      <c r="C94" t="str">
        <f>"CONF-"&amp;TEXT(us_core_reqs[[#This Row],[ID*]], "0000")</f>
        <v>CONF-0093</v>
      </c>
      <c r="D94" s="11" t="s">
        <v>616</v>
      </c>
      <c r="E94" t="str">
        <f>SUBSTITUTE(us_core_reqs[[#This Row],[URL*]], "https://hl7.org/fhir/us/core/STU8/","")</f>
        <v>must-support.html#must-support---complex-elements</v>
      </c>
      <c r="F94" s="11" t="s">
        <v>980</v>
      </c>
      <c r="G94" t="s">
        <v>29</v>
      </c>
      <c r="I94" t="s">
        <v>30</v>
      </c>
      <c r="J94" t="s">
        <v>1171</v>
      </c>
      <c r="K94" t="s">
        <v>1171</v>
      </c>
      <c r="L94" t="s">
        <v>1173</v>
      </c>
      <c r="M94" t="s">
        <v>1171</v>
      </c>
      <c r="N94" t="s">
        <v>1171</v>
      </c>
      <c r="O94" t="s">
        <v>1171</v>
      </c>
      <c r="P94" t="s">
        <v>1171</v>
      </c>
      <c r="Q94" t="s">
        <v>1171</v>
      </c>
      <c r="R94" t="str">
        <f>_xlfn.TEXTBEFORE(_xlfn.TEXTAFTER(us_core_reqs[[#This Row],[URL*]],"/",-1),".")</f>
        <v>must-support</v>
      </c>
      <c r="S94" t="str">
        <f>_xlfn.TEXTAFTER(us_core_reqs[[#This Row],[URL*]],"#",-1)</f>
        <v>must-support---complex-elements</v>
      </c>
      <c r="T94" t="str">
        <f>SUBSTITUTE(SUBSTITUTE(PROPER(SUBSTITUTE(us_core_reqs[[#This Row],[Page]], "-", " "))&amp;": "&amp;PROPER(SUBSTITUTE(us_core_reqs[[#This Row],[Section]], "-", " ")),"Us ","US "), "Uscdi", "USCDI")</f>
        <v>Must Support: Must Support   Complex Elements</v>
      </c>
      <c r="U94" t="s">
        <v>29</v>
      </c>
      <c r="V94" t="s">
        <v>30</v>
      </c>
      <c r="W94" t="s">
        <v>132</v>
      </c>
      <c r="X94" t="s">
        <v>1171</v>
      </c>
      <c r="Y94" t="s">
        <v>1171</v>
      </c>
      <c r="Z94" t="s">
        <v>1171</v>
      </c>
      <c r="AA94" t="s">
        <v>1171</v>
      </c>
      <c r="AB94" t="s">
        <v>1171</v>
      </c>
      <c r="AC94" t="s">
        <v>1140</v>
      </c>
      <c r="AD94" t="s">
        <v>1171</v>
      </c>
    </row>
    <row r="95" spans="1:30" ht="51" x14ac:dyDescent="0.2">
      <c r="A95" t="s">
        <v>1171</v>
      </c>
      <c r="B95" t="s">
        <v>1267</v>
      </c>
      <c r="C95" t="str">
        <f>"CONF-"&amp;TEXT(us_core_reqs[[#This Row],[ID*]], "0000")</f>
        <v>CONF-0094</v>
      </c>
      <c r="D95" s="11" t="s">
        <v>616</v>
      </c>
      <c r="E95" t="str">
        <f>SUBSTITUTE(us_core_reqs[[#This Row],[URL*]], "https://hl7.org/fhir/us/core/STU8/","")</f>
        <v>must-support.html#must-support---complex-elements</v>
      </c>
      <c r="F95" s="11" t="s">
        <v>133</v>
      </c>
      <c r="G95" t="s">
        <v>29</v>
      </c>
      <c r="H95" t="s">
        <v>1845</v>
      </c>
      <c r="I95" t="s">
        <v>30</v>
      </c>
      <c r="J95" t="s">
        <v>1171</v>
      </c>
      <c r="K95" t="s">
        <v>1171</v>
      </c>
      <c r="L95" t="s">
        <v>1173</v>
      </c>
      <c r="M95" t="s">
        <v>1171</v>
      </c>
      <c r="N95" t="s">
        <v>1171</v>
      </c>
      <c r="O95" t="s">
        <v>1171</v>
      </c>
      <c r="P95" t="s">
        <v>1171</v>
      </c>
      <c r="Q95" t="s">
        <v>1171</v>
      </c>
      <c r="R95" t="str">
        <f>_xlfn.TEXTBEFORE(_xlfn.TEXTAFTER(us_core_reqs[[#This Row],[URL*]],"/",-1),".")</f>
        <v>must-support</v>
      </c>
      <c r="S95" t="str">
        <f>_xlfn.TEXTAFTER(us_core_reqs[[#This Row],[URL*]],"#",-1)</f>
        <v>must-support---complex-elements</v>
      </c>
      <c r="T95" t="str">
        <f>SUBSTITUTE(SUBSTITUTE(PROPER(SUBSTITUTE(us_core_reqs[[#This Row],[Page]], "-", " "))&amp;": "&amp;PROPER(SUBSTITUTE(us_core_reqs[[#This Row],[Section]], "-", " ")),"Us ","US "), "Uscdi", "USCDI")</f>
        <v>Must Support: Must Support   Complex Elements</v>
      </c>
      <c r="U95" t="s">
        <v>1171</v>
      </c>
      <c r="V95" t="s">
        <v>1171</v>
      </c>
      <c r="W95" t="s">
        <v>132</v>
      </c>
      <c r="X95" t="s">
        <v>1171</v>
      </c>
      <c r="Y95" t="s">
        <v>1171</v>
      </c>
      <c r="Z95" t="s">
        <v>1171</v>
      </c>
      <c r="AA95" t="s">
        <v>1171</v>
      </c>
      <c r="AB95" t="s">
        <v>1171</v>
      </c>
      <c r="AC95" t="s">
        <v>1140</v>
      </c>
      <c r="AD95" t="s">
        <v>1171</v>
      </c>
    </row>
    <row r="96" spans="1:30" ht="51" x14ac:dyDescent="0.2">
      <c r="A96" t="s">
        <v>1171</v>
      </c>
      <c r="B96" t="s">
        <v>1268</v>
      </c>
      <c r="C96" t="str">
        <f>"CONF-"&amp;TEXT(us_core_reqs[[#This Row],[ID*]], "0000")</f>
        <v>CONF-0095</v>
      </c>
      <c r="D96" s="11" t="s">
        <v>616</v>
      </c>
      <c r="E96" t="str">
        <f>SUBSTITUTE(us_core_reqs[[#This Row],[URL*]], "https://hl7.org/fhir/us/core/STU8/","")</f>
        <v>must-support.html#must-support---complex-elements</v>
      </c>
      <c r="F96" s="11" t="s">
        <v>657</v>
      </c>
      <c r="G96" t="s">
        <v>35</v>
      </c>
      <c r="I96" t="s">
        <v>30</v>
      </c>
      <c r="J96" t="s">
        <v>1171</v>
      </c>
      <c r="K96" t="s">
        <v>1171</v>
      </c>
      <c r="L96" t="s">
        <v>1173</v>
      </c>
      <c r="M96" t="s">
        <v>1171</v>
      </c>
      <c r="N96" t="s">
        <v>1171</v>
      </c>
      <c r="O96" t="s">
        <v>1171</v>
      </c>
      <c r="P96" t="s">
        <v>1171</v>
      </c>
      <c r="Q96" t="s">
        <v>1171</v>
      </c>
      <c r="R96" t="str">
        <f>_xlfn.TEXTBEFORE(_xlfn.TEXTAFTER(us_core_reqs[[#This Row],[URL*]],"/",-1),".")</f>
        <v>must-support</v>
      </c>
      <c r="S96" t="str">
        <f>_xlfn.TEXTAFTER(us_core_reqs[[#This Row],[URL*]],"#",-1)</f>
        <v>must-support---complex-elements</v>
      </c>
      <c r="T96" t="str">
        <f>SUBSTITUTE(SUBSTITUTE(PROPER(SUBSTITUTE(us_core_reqs[[#This Row],[Page]], "-", " "))&amp;": "&amp;PROPER(SUBSTITUTE(us_core_reqs[[#This Row],[Section]], "-", " ")),"Us ","US "), "Uscdi", "USCDI")</f>
        <v>Must Support: Must Support   Complex Elements</v>
      </c>
      <c r="U96" t="s">
        <v>1171</v>
      </c>
      <c r="V96" t="s">
        <v>1171</v>
      </c>
      <c r="W96" t="s">
        <v>1171</v>
      </c>
      <c r="X96" t="s">
        <v>1171</v>
      </c>
      <c r="Y96" t="s">
        <v>1171</v>
      </c>
      <c r="Z96" t="s">
        <v>1171</v>
      </c>
      <c r="AA96" t="s">
        <v>1171</v>
      </c>
      <c r="AB96" t="s">
        <v>659</v>
      </c>
      <c r="AC96" t="s">
        <v>1171</v>
      </c>
      <c r="AD96" t="s">
        <v>1171</v>
      </c>
    </row>
    <row r="97" spans="1:30" ht="68" x14ac:dyDescent="0.2">
      <c r="A97" t="s">
        <v>1171</v>
      </c>
      <c r="B97" t="s">
        <v>1269</v>
      </c>
      <c r="C97" t="str">
        <f>"CONF-"&amp;TEXT(us_core_reqs[[#This Row],[ID*]], "0000")</f>
        <v>CONF-0096</v>
      </c>
      <c r="D97" s="11" t="s">
        <v>616</v>
      </c>
      <c r="E97" t="str">
        <f>SUBSTITUTE(us_core_reqs[[#This Row],[URL*]], "https://hl7.org/fhir/us/core/STU8/","")</f>
        <v>must-support.html#must-support---complex-elements</v>
      </c>
      <c r="F97" s="11" t="s">
        <v>2119</v>
      </c>
      <c r="G97" t="s">
        <v>29</v>
      </c>
      <c r="H97" s="70" t="s">
        <v>1853</v>
      </c>
      <c r="I97" t="s">
        <v>30</v>
      </c>
      <c r="J97" t="s">
        <v>1171</v>
      </c>
      <c r="K97" t="s">
        <v>1171</v>
      </c>
      <c r="L97" t="s">
        <v>1173</v>
      </c>
      <c r="M97" t="s">
        <v>1171</v>
      </c>
      <c r="N97" t="s">
        <v>1171</v>
      </c>
      <c r="O97" t="s">
        <v>1171</v>
      </c>
      <c r="P97" t="s">
        <v>1171</v>
      </c>
      <c r="Q97" t="s">
        <v>1171</v>
      </c>
      <c r="R97" t="str">
        <f>_xlfn.TEXTBEFORE(_xlfn.TEXTAFTER(us_core_reqs[[#This Row],[URL*]],"/",-1),".")</f>
        <v>must-support</v>
      </c>
      <c r="S97" t="str">
        <f>_xlfn.TEXTAFTER(us_core_reqs[[#This Row],[URL*]],"#",-1)</f>
        <v>must-support---complex-elements</v>
      </c>
      <c r="T97" t="str">
        <f>SUBSTITUTE(SUBSTITUTE(PROPER(SUBSTITUTE(us_core_reqs[[#This Row],[Page]], "-", " "))&amp;": "&amp;PROPER(SUBSTITUTE(us_core_reqs[[#This Row],[Section]], "-", " ")),"Us ","US "), "Uscdi", "USCDI")</f>
        <v>Must Support: Must Support   Complex Elements</v>
      </c>
      <c r="U97" t="s">
        <v>29</v>
      </c>
      <c r="V97" t="s">
        <v>30</v>
      </c>
      <c r="W97" t="s">
        <v>1171</v>
      </c>
      <c r="X97" t="s">
        <v>1171</v>
      </c>
      <c r="Y97" t="s">
        <v>1171</v>
      </c>
      <c r="Z97" t="s">
        <v>1171</v>
      </c>
      <c r="AA97" t="s">
        <v>1171</v>
      </c>
      <c r="AB97" t="s">
        <v>661</v>
      </c>
      <c r="AC97" t="s">
        <v>1140</v>
      </c>
      <c r="AD97" t="s">
        <v>1171</v>
      </c>
    </row>
    <row r="98" spans="1:30" ht="51" x14ac:dyDescent="0.2">
      <c r="A98" t="s">
        <v>1171</v>
      </c>
      <c r="B98" t="s">
        <v>1270</v>
      </c>
      <c r="C98" t="str">
        <f>"CONF-"&amp;TEXT(us_core_reqs[[#This Row],[ID*]], "0000")</f>
        <v>CONF-0097</v>
      </c>
      <c r="D98" s="11" t="s">
        <v>616</v>
      </c>
      <c r="E98" t="str">
        <f>SUBSTITUTE(us_core_reqs[[#This Row],[URL*]], "https://hl7.org/fhir/us/core/STU8/","")</f>
        <v>must-support.html#must-support---complex-elements</v>
      </c>
      <c r="F98" s="11" t="s">
        <v>2086</v>
      </c>
      <c r="G98" t="s">
        <v>29</v>
      </c>
      <c r="I98" t="s">
        <v>30</v>
      </c>
      <c r="J98" t="s">
        <v>1171</v>
      </c>
      <c r="K98" t="s">
        <v>1171</v>
      </c>
      <c r="L98" t="s">
        <v>1173</v>
      </c>
      <c r="M98" t="s">
        <v>1171</v>
      </c>
      <c r="N98" t="s">
        <v>1171</v>
      </c>
      <c r="O98" t="s">
        <v>1171</v>
      </c>
      <c r="P98" t="s">
        <v>1171</v>
      </c>
      <c r="Q98" t="s">
        <v>1171</v>
      </c>
      <c r="R98" t="str">
        <f>_xlfn.TEXTBEFORE(_xlfn.TEXTAFTER(us_core_reqs[[#This Row],[URL*]],"/",-1),".")</f>
        <v>must-support</v>
      </c>
      <c r="S98" t="str">
        <f>_xlfn.TEXTAFTER(us_core_reqs[[#This Row],[URL*]],"#",-1)</f>
        <v>must-support---complex-elements</v>
      </c>
      <c r="T98" t="str">
        <f>SUBSTITUTE(SUBSTITUTE(PROPER(SUBSTITUTE(us_core_reqs[[#This Row],[Page]], "-", " "))&amp;": "&amp;PROPER(SUBSTITUTE(us_core_reqs[[#This Row],[Section]], "-", " ")),"Us ","US "), "Uscdi", "USCDI")</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1271</v>
      </c>
      <c r="C99" t="str">
        <f>"CONF-"&amp;TEXT(us_core_reqs[[#This Row],[ID*]], "0000")</f>
        <v>CONF-0098</v>
      </c>
      <c r="D99" s="11" t="s">
        <v>616</v>
      </c>
      <c r="E99" t="str">
        <f>SUBSTITUTE(us_core_reqs[[#This Row],[URL*]], "https://hl7.org/fhir/us/core/STU8/","")</f>
        <v>must-support.html#must-support---complex-elements</v>
      </c>
      <c r="F99" s="11" t="s">
        <v>2087</v>
      </c>
      <c r="G99" t="s">
        <v>29</v>
      </c>
      <c r="I99" t="s">
        <v>58</v>
      </c>
      <c r="J99" t="s">
        <v>1171</v>
      </c>
      <c r="K99" t="s">
        <v>1171</v>
      </c>
      <c r="L99" t="s">
        <v>1173</v>
      </c>
      <c r="M99" t="s">
        <v>1171</v>
      </c>
      <c r="N99" t="s">
        <v>1171</v>
      </c>
      <c r="O99" t="s">
        <v>1171</v>
      </c>
      <c r="P99" t="s">
        <v>1171</v>
      </c>
      <c r="Q99" t="s">
        <v>1171</v>
      </c>
      <c r="R99" t="str">
        <f>_xlfn.TEXTBEFORE(_xlfn.TEXTAFTER(us_core_reqs[[#This Row],[URL*]],"/",-1),".")</f>
        <v>must-support</v>
      </c>
      <c r="S99" t="str">
        <f>_xlfn.TEXTAFTER(us_core_reqs[[#This Row],[URL*]],"#",-1)</f>
        <v>must-support---complex-elements</v>
      </c>
      <c r="T99" t="str">
        <f>SUBSTITUTE(SUBSTITUTE(PROPER(SUBSTITUTE(us_core_reqs[[#This Row],[Page]], "-", " "))&amp;": "&amp;PROPER(SUBSTITUTE(us_core_reqs[[#This Row],[Section]], "-", " ")),"Us ","US "), "Uscdi", "USCDI")</f>
        <v>Must Support: Must Support   Complex Elements</v>
      </c>
      <c r="U99" t="s">
        <v>29</v>
      </c>
      <c r="V99" t="s">
        <v>58</v>
      </c>
      <c r="W99" t="s">
        <v>1171</v>
      </c>
      <c r="X99" t="s">
        <v>1171</v>
      </c>
      <c r="Y99" t="s">
        <v>1171</v>
      </c>
      <c r="Z99" t="s">
        <v>1171</v>
      </c>
      <c r="AA99" t="s">
        <v>1171</v>
      </c>
      <c r="AB99" t="s">
        <v>1171</v>
      </c>
      <c r="AC99" t="s">
        <v>1171</v>
      </c>
      <c r="AD99" t="s">
        <v>1171</v>
      </c>
    </row>
    <row r="100" spans="1:30" ht="68" x14ac:dyDescent="0.2">
      <c r="A100" t="s">
        <v>1171</v>
      </c>
      <c r="B100" t="s">
        <v>1272</v>
      </c>
      <c r="C100" t="str">
        <f>"CONF-"&amp;TEXT(us_core_reqs[[#This Row],[ID*]], "0000")</f>
        <v>CONF-0099</v>
      </c>
      <c r="D100" s="11" t="s">
        <v>616</v>
      </c>
      <c r="E100" t="str">
        <f>SUBSTITUTE(us_core_reqs[[#This Row],[URL*]], "https://hl7.org/fhir/us/core/STU8/","")</f>
        <v>must-support.html#must-support---complex-elements</v>
      </c>
      <c r="F100" s="11" t="s">
        <v>2088</v>
      </c>
      <c r="G100" t="s">
        <v>29</v>
      </c>
      <c r="I100" t="s">
        <v>30</v>
      </c>
      <c r="J100" t="s">
        <v>1171</v>
      </c>
      <c r="K100" t="s">
        <v>1171</v>
      </c>
      <c r="L100" t="s">
        <v>1173</v>
      </c>
      <c r="M100" t="s">
        <v>1171</v>
      </c>
      <c r="N100" t="s">
        <v>1171</v>
      </c>
      <c r="O100" t="s">
        <v>1171</v>
      </c>
      <c r="P100" t="s">
        <v>1171</v>
      </c>
      <c r="Q100" t="s">
        <v>1171</v>
      </c>
      <c r="R100" t="str">
        <f>_xlfn.TEXTBEFORE(_xlfn.TEXTAFTER(us_core_reqs[[#This Row],[URL*]],"/",-1),".")</f>
        <v>must-support</v>
      </c>
      <c r="S100" t="str">
        <f>_xlfn.TEXTAFTER(us_core_reqs[[#This Row],[URL*]],"#",-1)</f>
        <v>must-support---complex-elements</v>
      </c>
      <c r="T100" t="str">
        <f>SUBSTITUTE(SUBSTITUTE(PROPER(SUBSTITUTE(us_core_reqs[[#This Row],[Page]], "-", " "))&amp;": "&amp;PROPER(SUBSTITUTE(us_core_reqs[[#This Row],[Section]], "-", " ")),"Us ","US "), "Uscdi", "USCDI")</f>
        <v>Must Support: Must Support   Complex Elements</v>
      </c>
      <c r="U100" t="s">
        <v>29</v>
      </c>
      <c r="V100" t="s">
        <v>30</v>
      </c>
      <c r="W100" t="s">
        <v>1171</v>
      </c>
      <c r="X100" t="s">
        <v>1171</v>
      </c>
      <c r="Y100" t="s">
        <v>1171</v>
      </c>
      <c r="Z100" t="s">
        <v>1171</v>
      </c>
      <c r="AA100" t="s">
        <v>1171</v>
      </c>
      <c r="AB100" t="s">
        <v>1171</v>
      </c>
      <c r="AC100" t="s">
        <v>1140</v>
      </c>
      <c r="AD100" t="s">
        <v>1171</v>
      </c>
    </row>
    <row r="101" spans="1:30" ht="68" x14ac:dyDescent="0.2">
      <c r="A101" t="s">
        <v>1171</v>
      </c>
      <c r="B101" t="s">
        <v>1273</v>
      </c>
      <c r="C101" t="str">
        <f>"CONF-"&amp;TEXT(us_core_reqs[[#This Row],[ID*]], "0000")</f>
        <v>CONF-0100</v>
      </c>
      <c r="D101" s="11" t="s">
        <v>616</v>
      </c>
      <c r="E101" t="str">
        <f>SUBSTITUTE(us_core_reqs[[#This Row],[URL*]], "https://hl7.org/fhir/us/core/STU8/","")</f>
        <v>must-support.html#must-support---complex-elements</v>
      </c>
      <c r="F101" s="11" t="s">
        <v>2089</v>
      </c>
      <c r="G101" t="s">
        <v>29</v>
      </c>
      <c r="I101" t="s">
        <v>58</v>
      </c>
      <c r="J101" t="s">
        <v>1171</v>
      </c>
      <c r="K101" t="s">
        <v>1171</v>
      </c>
      <c r="L101" t="s">
        <v>1173</v>
      </c>
      <c r="M101" t="s">
        <v>1171</v>
      </c>
      <c r="N101" t="s">
        <v>1171</v>
      </c>
      <c r="O101" t="s">
        <v>1171</v>
      </c>
      <c r="P101" t="s">
        <v>1171</v>
      </c>
      <c r="Q101" t="s">
        <v>1171</v>
      </c>
      <c r="R101" t="str">
        <f>_xlfn.TEXTBEFORE(_xlfn.TEXTAFTER(us_core_reqs[[#This Row],[URL*]],"/",-1),".")</f>
        <v>must-support</v>
      </c>
      <c r="S101" t="str">
        <f>_xlfn.TEXTAFTER(us_core_reqs[[#This Row],[URL*]],"#",-1)</f>
        <v>must-support---complex-elements</v>
      </c>
      <c r="T101" t="str">
        <f>SUBSTITUTE(SUBSTITUTE(PROPER(SUBSTITUTE(us_core_reqs[[#This Row],[Page]], "-", " "))&amp;": "&amp;PROPER(SUBSTITUTE(us_core_reqs[[#This Row],[Section]], "-", " ")),"Us ","US "), "Uscdi", "USCDI")</f>
        <v>Must Support: Must Support   Complex Elements</v>
      </c>
      <c r="U101" t="s">
        <v>29</v>
      </c>
      <c r="V101" t="s">
        <v>58</v>
      </c>
      <c r="W101" t="s">
        <v>1171</v>
      </c>
      <c r="X101" t="s">
        <v>1171</v>
      </c>
      <c r="Y101" t="s">
        <v>1171</v>
      </c>
      <c r="Z101" t="s">
        <v>1171</v>
      </c>
      <c r="AA101" t="s">
        <v>1171</v>
      </c>
      <c r="AB101" t="s">
        <v>1171</v>
      </c>
      <c r="AC101" t="s">
        <v>1171</v>
      </c>
      <c r="AD101" t="s">
        <v>1171</v>
      </c>
    </row>
    <row r="102" spans="1:30" ht="51" x14ac:dyDescent="0.2">
      <c r="A102" t="s">
        <v>1171</v>
      </c>
      <c r="B102" t="s">
        <v>1274</v>
      </c>
      <c r="C102" t="str">
        <f>"CONF-"&amp;TEXT(us_core_reqs[[#This Row],[ID*]], "0000")</f>
        <v>CONF-0101</v>
      </c>
      <c r="D102" s="11" t="s">
        <v>616</v>
      </c>
      <c r="E102" t="str">
        <f>SUBSTITUTE(us_core_reqs[[#This Row],[URL*]], "https://hl7.org/fhir/us/core/STU8/","")</f>
        <v>must-support.html#must-support---complex-elements</v>
      </c>
      <c r="F102" s="11" t="s">
        <v>138</v>
      </c>
      <c r="G102" t="s">
        <v>35</v>
      </c>
      <c r="I102" t="s">
        <v>30</v>
      </c>
      <c r="J102" t="s">
        <v>1171</v>
      </c>
      <c r="K102" t="s">
        <v>1171</v>
      </c>
      <c r="L102" t="s">
        <v>1173</v>
      </c>
      <c r="M102" t="s">
        <v>1171</v>
      </c>
      <c r="N102" t="s">
        <v>1171</v>
      </c>
      <c r="O102" t="s">
        <v>1171</v>
      </c>
      <c r="P102" t="s">
        <v>1171</v>
      </c>
      <c r="Q102" t="s">
        <v>1171</v>
      </c>
      <c r="R102" t="str">
        <f>_xlfn.TEXTBEFORE(_xlfn.TEXTAFTER(us_core_reqs[[#This Row],[URL*]],"/",-1),".")</f>
        <v>must-support</v>
      </c>
      <c r="S102" t="str">
        <f>_xlfn.TEXTAFTER(us_core_reqs[[#This Row],[URL*]],"#",-1)</f>
        <v>must-support---complex-elements</v>
      </c>
      <c r="T102" t="str">
        <f>SUBSTITUTE(SUBSTITUTE(PROPER(SUBSTITUTE(us_core_reqs[[#This Row],[Page]], "-", " "))&amp;": "&amp;PROPER(SUBSTITUTE(us_core_reqs[[#This Row],[Section]], "-", " ")),"Us ","US "), "Uscdi", "USCDI")</f>
        <v>Must Support: Must Support   Complex Elements</v>
      </c>
      <c r="U102" t="s">
        <v>1171</v>
      </c>
      <c r="V102" t="s">
        <v>30</v>
      </c>
      <c r="W102" t="s">
        <v>1171</v>
      </c>
      <c r="X102" t="s">
        <v>1171</v>
      </c>
      <c r="Y102" t="s">
        <v>1171</v>
      </c>
      <c r="Z102" t="s">
        <v>1171</v>
      </c>
      <c r="AA102" t="s">
        <v>1171</v>
      </c>
      <c r="AB102" t="s">
        <v>1171</v>
      </c>
      <c r="AC102" t="s">
        <v>1171</v>
      </c>
      <c r="AD102" t="s">
        <v>1171</v>
      </c>
    </row>
    <row r="103" spans="1:30" ht="51" x14ac:dyDescent="0.2">
      <c r="A103" t="s">
        <v>1171</v>
      </c>
      <c r="B103" t="s">
        <v>1275</v>
      </c>
      <c r="C103" t="str">
        <f>"CONF-"&amp;TEXT(us_core_reqs[[#This Row],[ID*]], "0000")</f>
        <v>CONF-0102</v>
      </c>
      <c r="D103" s="11" t="s">
        <v>616</v>
      </c>
      <c r="E103" t="str">
        <f>SUBSTITUTE(us_core_reqs[[#This Row],[URL*]], "https://hl7.org/fhir/us/core/STU8/","")</f>
        <v>must-support.html#must-support---complex-elements</v>
      </c>
      <c r="F103" s="11" t="s">
        <v>139</v>
      </c>
      <c r="G103" t="s">
        <v>35</v>
      </c>
      <c r="I103" t="s">
        <v>58</v>
      </c>
      <c r="J103" t="s">
        <v>1171</v>
      </c>
      <c r="K103" t="s">
        <v>1171</v>
      </c>
      <c r="L103" t="s">
        <v>1173</v>
      </c>
      <c r="M103" t="s">
        <v>1171</v>
      </c>
      <c r="N103" t="s">
        <v>1171</v>
      </c>
      <c r="O103" t="s">
        <v>1171</v>
      </c>
      <c r="P103" t="s">
        <v>1171</v>
      </c>
      <c r="Q103" t="s">
        <v>1171</v>
      </c>
      <c r="R103" t="str">
        <f>_xlfn.TEXTBEFORE(_xlfn.TEXTAFTER(us_core_reqs[[#This Row],[URL*]],"/",-1),".")</f>
        <v>must-support</v>
      </c>
      <c r="S103" t="str">
        <f>_xlfn.TEXTAFTER(us_core_reqs[[#This Row],[URL*]],"#",-1)</f>
        <v>must-support---complex-elements</v>
      </c>
      <c r="T103" t="str">
        <f>SUBSTITUTE(SUBSTITUTE(PROPER(SUBSTITUTE(us_core_reqs[[#This Row],[Page]], "-", " "))&amp;": "&amp;PROPER(SUBSTITUTE(us_core_reqs[[#This Row],[Section]], "-", " ")),"Us ","US "), "Uscdi", "USCDI")</f>
        <v>Must Support: Must Support   Complex Elements</v>
      </c>
      <c r="U103" t="s">
        <v>1171</v>
      </c>
      <c r="V103" t="s">
        <v>58</v>
      </c>
      <c r="W103" t="s">
        <v>1171</v>
      </c>
      <c r="X103" t="s">
        <v>1171</v>
      </c>
      <c r="Y103" t="s">
        <v>1171</v>
      </c>
      <c r="Z103" t="s">
        <v>1171</v>
      </c>
      <c r="AA103" t="s">
        <v>1171</v>
      </c>
      <c r="AB103" t="s">
        <v>1171</v>
      </c>
      <c r="AC103" t="s">
        <v>1171</v>
      </c>
      <c r="AD103" t="s">
        <v>1171</v>
      </c>
    </row>
    <row r="104" spans="1:30" ht="68" x14ac:dyDescent="0.2">
      <c r="A104" t="s">
        <v>1171</v>
      </c>
      <c r="B104" t="s">
        <v>1276</v>
      </c>
      <c r="C104" t="str">
        <f>"CONF-"&amp;TEXT(us_core_reqs[[#This Row],[ID*]], "0000")</f>
        <v>CONF-0103</v>
      </c>
      <c r="D104" s="11" t="s">
        <v>616</v>
      </c>
      <c r="E104" t="str">
        <f>SUBSTITUTE(us_core_reqs[[#This Row],[URL*]], "https://hl7.org/fhir/us/core/STU8/","")</f>
        <v>must-support.html#must-support---complex-elements</v>
      </c>
      <c r="F104" s="11" t="s">
        <v>140</v>
      </c>
      <c r="G104" t="s">
        <v>35</v>
      </c>
      <c r="H104" t="s">
        <v>1856</v>
      </c>
      <c r="I104" t="s">
        <v>30</v>
      </c>
      <c r="J104" t="s">
        <v>1171</v>
      </c>
      <c r="K104" t="s">
        <v>1171</v>
      </c>
      <c r="L104" t="s">
        <v>1173</v>
      </c>
      <c r="M104" t="s">
        <v>1171</v>
      </c>
      <c r="N104" t="s">
        <v>1171</v>
      </c>
      <c r="O104" t="s">
        <v>1171</v>
      </c>
      <c r="P104" t="s">
        <v>1171</v>
      </c>
      <c r="Q104" t="s">
        <v>1171</v>
      </c>
      <c r="R104" t="str">
        <f>_xlfn.TEXTBEFORE(_xlfn.TEXTAFTER(us_core_reqs[[#This Row],[URL*]],"/",-1),".")</f>
        <v>must-support</v>
      </c>
      <c r="S104" t="str">
        <f>_xlfn.TEXTAFTER(us_core_reqs[[#This Row],[URL*]],"#",-1)</f>
        <v>must-support---complex-elements</v>
      </c>
      <c r="T104" t="str">
        <f>SUBSTITUTE(SUBSTITUTE(PROPER(SUBSTITUTE(us_core_reqs[[#This Row],[Page]], "-", " "))&amp;": "&amp;PROPER(SUBSTITUTE(us_core_reqs[[#This Row],[Section]], "-", " ")),"Us ","US "), "Uscdi", "USCDI")</f>
        <v>Must Support: Must Support   Complex Elements</v>
      </c>
      <c r="U104" t="s">
        <v>35</v>
      </c>
      <c r="V104" t="s">
        <v>30</v>
      </c>
      <c r="W104" t="s">
        <v>1171</v>
      </c>
      <c r="X104" t="s">
        <v>1171</v>
      </c>
      <c r="Y104" t="s">
        <v>1171</v>
      </c>
      <c r="Z104" t="s">
        <v>1171</v>
      </c>
      <c r="AA104" t="s">
        <v>1171</v>
      </c>
      <c r="AB104" t="s">
        <v>1171</v>
      </c>
      <c r="AC104" t="s">
        <v>1171</v>
      </c>
      <c r="AD104" t="s">
        <v>1171</v>
      </c>
    </row>
    <row r="105" spans="1:30" ht="68" x14ac:dyDescent="0.2">
      <c r="A105" t="s">
        <v>1171</v>
      </c>
      <c r="B105" t="s">
        <v>1277</v>
      </c>
      <c r="C105" t="str">
        <f>"CONF-"&amp;TEXT(us_core_reqs[[#This Row],[ID*]], "0000")</f>
        <v>CONF-0104</v>
      </c>
      <c r="D105" s="11" t="s">
        <v>616</v>
      </c>
      <c r="E105" t="str">
        <f>SUBSTITUTE(us_core_reqs[[#This Row],[URL*]], "https://hl7.org/fhir/us/core/STU8/","")</f>
        <v>must-support.html#must-support---complex-elements</v>
      </c>
      <c r="F105" s="11" t="s">
        <v>141</v>
      </c>
      <c r="G105" t="s">
        <v>35</v>
      </c>
      <c r="I105" t="s">
        <v>58</v>
      </c>
      <c r="J105" t="s">
        <v>1171</v>
      </c>
      <c r="K105" t="s">
        <v>1171</v>
      </c>
      <c r="L105" t="s">
        <v>1173</v>
      </c>
      <c r="M105" t="s">
        <v>1171</v>
      </c>
      <c r="N105" t="s">
        <v>1171</v>
      </c>
      <c r="O105" t="s">
        <v>1171</v>
      </c>
      <c r="P105" t="s">
        <v>1171</v>
      </c>
      <c r="Q105" t="s">
        <v>1171</v>
      </c>
      <c r="R105" t="str">
        <f>_xlfn.TEXTBEFORE(_xlfn.TEXTAFTER(us_core_reqs[[#This Row],[URL*]],"/",-1),".")</f>
        <v>must-support</v>
      </c>
      <c r="S105" t="str">
        <f>_xlfn.TEXTAFTER(us_core_reqs[[#This Row],[URL*]],"#",-1)</f>
        <v>must-support---complex-elements</v>
      </c>
      <c r="T105" t="str">
        <f>SUBSTITUTE(SUBSTITUTE(PROPER(SUBSTITUTE(us_core_reqs[[#This Row],[Page]], "-", " "))&amp;": "&amp;PROPER(SUBSTITUTE(us_core_reqs[[#This Row],[Section]], "-", " ")),"Us ","US "), "Uscdi", "USCDI")</f>
        <v>Must Support: Must Support   Complex Elements</v>
      </c>
      <c r="U105" t="s">
        <v>35</v>
      </c>
      <c r="V105" t="s">
        <v>58</v>
      </c>
      <c r="W105" t="s">
        <v>1171</v>
      </c>
      <c r="X105" t="s">
        <v>1171</v>
      </c>
      <c r="Y105" t="s">
        <v>1171</v>
      </c>
      <c r="Z105" t="s">
        <v>1171</v>
      </c>
      <c r="AA105" t="s">
        <v>1171</v>
      </c>
      <c r="AB105" t="s">
        <v>1171</v>
      </c>
      <c r="AC105" t="s">
        <v>1171</v>
      </c>
      <c r="AD105" t="s">
        <v>1171</v>
      </c>
    </row>
    <row r="106" spans="1:30" ht="119" x14ac:dyDescent="0.2">
      <c r="A106" t="s">
        <v>1171</v>
      </c>
      <c r="B106" t="s">
        <v>1278</v>
      </c>
      <c r="C106" t="str">
        <f>"CONF-"&amp;TEXT(us_core_reqs[[#This Row],[ID*]], "0000")</f>
        <v>CONF-0105</v>
      </c>
      <c r="D106" s="11" t="s">
        <v>617</v>
      </c>
      <c r="E106" t="str">
        <f>SUBSTITUTE(us_core_reqs[[#This Row],[URL*]], "https://hl7.org/fhir/us/core/STU8/","")</f>
        <v>must-support.html#must-support---resource-references</v>
      </c>
      <c r="F106" s="11" t="s">
        <v>142</v>
      </c>
      <c r="G106" t="s">
        <v>29</v>
      </c>
      <c r="H106" t="s">
        <v>1862</v>
      </c>
      <c r="I106" t="s">
        <v>30</v>
      </c>
      <c r="J106" t="s">
        <v>1171</v>
      </c>
      <c r="K106" t="s">
        <v>1171</v>
      </c>
      <c r="L106" t="s">
        <v>1173</v>
      </c>
      <c r="M106" t="s">
        <v>1171</v>
      </c>
      <c r="N106" t="s">
        <v>1171</v>
      </c>
      <c r="O106" t="s">
        <v>1171</v>
      </c>
      <c r="P106" t="s">
        <v>1171</v>
      </c>
      <c r="Q106" t="s">
        <v>1171</v>
      </c>
      <c r="R106" t="str">
        <f>_xlfn.TEXTBEFORE(_xlfn.TEXTAFTER(us_core_reqs[[#This Row],[URL*]],"/",-1),".")</f>
        <v>must-support</v>
      </c>
      <c r="S106" t="str">
        <f>_xlfn.TEXTAFTER(us_core_reqs[[#This Row],[URL*]],"#",-1)</f>
        <v>must-support---resource-references</v>
      </c>
      <c r="T106" t="str">
        <f>SUBSTITUTE(SUBSTITUTE(PROPER(SUBSTITUTE(us_core_reqs[[#This Row],[Page]], "-", " "))&amp;": "&amp;PROPER(SUBSTITUTE(us_core_reqs[[#This Row],[Section]], "-", " ")),"Us ","US "), "Uscdi", "USCDI")</f>
        <v>Must Support: Must Support   Resource References</v>
      </c>
      <c r="U106" t="s">
        <v>29</v>
      </c>
      <c r="V106" t="s">
        <v>30</v>
      </c>
      <c r="W106" t="s">
        <v>143</v>
      </c>
      <c r="X106" t="s">
        <v>1171</v>
      </c>
      <c r="Y106" t="s">
        <v>1171</v>
      </c>
      <c r="Z106" t="s">
        <v>1171</v>
      </c>
      <c r="AA106" t="s">
        <v>1171</v>
      </c>
      <c r="AB106" t="s">
        <v>1171</v>
      </c>
      <c r="AC106" t="s">
        <v>1140</v>
      </c>
      <c r="AD106" t="s">
        <v>1171</v>
      </c>
    </row>
    <row r="107" spans="1:30" ht="119" x14ac:dyDescent="0.2">
      <c r="A107" t="s">
        <v>1171</v>
      </c>
      <c r="B107" t="s">
        <v>1279</v>
      </c>
      <c r="C107" t="str">
        <f>"CONF-"&amp;TEXT(us_core_reqs[[#This Row],[ID*]], "0000")</f>
        <v>CONF-0106</v>
      </c>
      <c r="D107" s="11" t="s">
        <v>617</v>
      </c>
      <c r="E107" t="str">
        <f>SUBSTITUTE(us_core_reqs[[#This Row],[URL*]], "https://hl7.org/fhir/us/core/STU8/","")</f>
        <v>must-support.html#must-support---resource-references</v>
      </c>
      <c r="F107" s="11" t="s">
        <v>144</v>
      </c>
      <c r="G107" t="s">
        <v>29</v>
      </c>
      <c r="H107" t="s">
        <v>1862</v>
      </c>
      <c r="I107" t="s">
        <v>58</v>
      </c>
      <c r="J107" t="s">
        <v>1171</v>
      </c>
      <c r="K107" t="s">
        <v>1171</v>
      </c>
      <c r="L107" t="s">
        <v>1173</v>
      </c>
      <c r="M107" t="s">
        <v>1171</v>
      </c>
      <c r="N107" t="s">
        <v>1171</v>
      </c>
      <c r="O107" t="s">
        <v>1171</v>
      </c>
      <c r="P107" t="s">
        <v>1171</v>
      </c>
      <c r="Q107" t="s">
        <v>1171</v>
      </c>
      <c r="R107" t="str">
        <f>_xlfn.TEXTBEFORE(_xlfn.TEXTAFTER(us_core_reqs[[#This Row],[URL*]],"/",-1),".")</f>
        <v>must-support</v>
      </c>
      <c r="S107" t="str">
        <f>_xlfn.TEXTAFTER(us_core_reqs[[#This Row],[URL*]],"#",-1)</f>
        <v>must-support---resource-references</v>
      </c>
      <c r="T107" t="str">
        <f>SUBSTITUTE(SUBSTITUTE(PROPER(SUBSTITUTE(us_core_reqs[[#This Row],[Page]], "-", " "))&amp;": "&amp;PROPER(SUBSTITUTE(us_core_reqs[[#This Row],[Section]], "-", " ")),"Us ","US "), "Uscdi", "USCDI")</f>
        <v>Must Support: Must Support   Resource References</v>
      </c>
      <c r="U107" t="s">
        <v>29</v>
      </c>
      <c r="V107" t="s">
        <v>58</v>
      </c>
      <c r="W107" t="s">
        <v>143</v>
      </c>
      <c r="X107" t="s">
        <v>1171</v>
      </c>
      <c r="Y107" t="s">
        <v>1171</v>
      </c>
      <c r="Z107" t="s">
        <v>1171</v>
      </c>
      <c r="AA107" t="s">
        <v>1171</v>
      </c>
      <c r="AB107" t="s">
        <v>1171</v>
      </c>
      <c r="AC107" t="s">
        <v>1171</v>
      </c>
      <c r="AD107" t="s">
        <v>1171</v>
      </c>
    </row>
    <row r="108" spans="1:30" ht="51" x14ac:dyDescent="0.2">
      <c r="A108" t="s">
        <v>1171</v>
      </c>
      <c r="B108" t="s">
        <v>1280</v>
      </c>
      <c r="C108" t="str">
        <f>"CONF-"&amp;TEXT(us_core_reqs[[#This Row],[ID*]], "0000")</f>
        <v>CONF-0107</v>
      </c>
      <c r="D108" s="11" t="s">
        <v>617</v>
      </c>
      <c r="E108" t="str">
        <f>SUBSTITUTE(us_core_reqs[[#This Row],[URL*]], "https://hl7.org/fhir/us/core/STU8/","")</f>
        <v>must-support.html#must-support---resource-references</v>
      </c>
      <c r="F108" s="11" t="s">
        <v>145</v>
      </c>
      <c r="G108" t="s">
        <v>35</v>
      </c>
      <c r="I108" t="s">
        <v>30</v>
      </c>
      <c r="J108" t="s">
        <v>1171</v>
      </c>
      <c r="K108" t="s">
        <v>1171</v>
      </c>
      <c r="L108" t="s">
        <v>1171</v>
      </c>
      <c r="M108" t="s">
        <v>1171</v>
      </c>
      <c r="N108" t="s">
        <v>1171</v>
      </c>
      <c r="O108" t="s">
        <v>1171</v>
      </c>
      <c r="P108" t="s">
        <v>1171</v>
      </c>
      <c r="Q108" t="s">
        <v>1171</v>
      </c>
      <c r="R108" t="str">
        <f>_xlfn.TEXTBEFORE(_xlfn.TEXTAFTER(us_core_reqs[[#This Row],[URL*]],"/",-1),".")</f>
        <v>must-support</v>
      </c>
      <c r="S108" t="str">
        <f>_xlfn.TEXTAFTER(us_core_reqs[[#This Row],[URL*]],"#",-1)</f>
        <v>must-support---resource-references</v>
      </c>
      <c r="T108" t="str">
        <f>SUBSTITUTE(SUBSTITUTE(PROPER(SUBSTITUTE(us_core_reqs[[#This Row],[Page]], "-", " "))&amp;": "&amp;PROPER(SUBSTITUTE(us_core_reqs[[#This Row],[Section]], "-", " ")),"Us ","US "), "Uscdi", "USCDI")</f>
        <v>Must Support: Must Support   Resource References</v>
      </c>
      <c r="U108" t="s">
        <v>1171</v>
      </c>
      <c r="V108" t="s">
        <v>30</v>
      </c>
      <c r="W108" t="s">
        <v>1171</v>
      </c>
      <c r="X108" t="s">
        <v>1171</v>
      </c>
      <c r="Y108" t="s">
        <v>1171</v>
      </c>
      <c r="Z108" t="s">
        <v>1171</v>
      </c>
      <c r="AA108" t="s">
        <v>1171</v>
      </c>
      <c r="AB108" t="s">
        <v>1171</v>
      </c>
      <c r="AC108" t="s">
        <v>1171</v>
      </c>
      <c r="AD108" t="s">
        <v>1171</v>
      </c>
    </row>
    <row r="109" spans="1:30" ht="51" x14ac:dyDescent="0.2">
      <c r="A109" t="s">
        <v>1171</v>
      </c>
      <c r="B109" t="s">
        <v>1281</v>
      </c>
      <c r="C109" t="str">
        <f>"CONF-"&amp;TEXT(us_core_reqs[[#This Row],[ID*]], "0000")</f>
        <v>CONF-0108</v>
      </c>
      <c r="D109" s="11" t="s">
        <v>617</v>
      </c>
      <c r="E109" t="str">
        <f>SUBSTITUTE(us_core_reqs[[#This Row],[URL*]], "https://hl7.org/fhir/us/core/STU8/","")</f>
        <v>must-support.html#must-support---resource-references</v>
      </c>
      <c r="F109" s="11" t="s">
        <v>146</v>
      </c>
      <c r="G109" t="s">
        <v>35</v>
      </c>
      <c r="I109" t="s">
        <v>58</v>
      </c>
      <c r="J109" t="s">
        <v>1171</v>
      </c>
      <c r="K109" t="s">
        <v>1171</v>
      </c>
      <c r="L109" t="s">
        <v>1171</v>
      </c>
      <c r="M109" t="s">
        <v>1171</v>
      </c>
      <c r="N109" t="s">
        <v>1171</v>
      </c>
      <c r="O109" t="s">
        <v>1171</v>
      </c>
      <c r="P109" t="s">
        <v>1171</v>
      </c>
      <c r="Q109" t="s">
        <v>1171</v>
      </c>
      <c r="R109" t="str">
        <f>_xlfn.TEXTBEFORE(_xlfn.TEXTAFTER(us_core_reqs[[#This Row],[URL*]],"/",-1),".")</f>
        <v>must-support</v>
      </c>
      <c r="S109" t="str">
        <f>_xlfn.TEXTAFTER(us_core_reqs[[#This Row],[URL*]],"#",-1)</f>
        <v>must-support---resource-references</v>
      </c>
      <c r="T109" t="str">
        <f>SUBSTITUTE(SUBSTITUTE(PROPER(SUBSTITUTE(us_core_reqs[[#This Row],[Page]], "-", " "))&amp;": "&amp;PROPER(SUBSTITUTE(us_core_reqs[[#This Row],[Section]], "-", " ")),"Us ","US "), "Uscdi", "USCDI")</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1282</v>
      </c>
      <c r="C110" t="str">
        <f>"CONF-"&amp;TEXT(us_core_reqs[[#This Row],[ID*]], "0000")</f>
        <v>CONF-0109</v>
      </c>
      <c r="D110" s="11" t="s">
        <v>617</v>
      </c>
      <c r="E110" t="str">
        <f>SUBSTITUTE(us_core_reqs[[#This Row],[URL*]], "https://hl7.org/fhir/us/core/STU8/","")</f>
        <v>must-support.html#must-support---resource-references</v>
      </c>
      <c r="F110" s="11" t="s">
        <v>147</v>
      </c>
      <c r="G110" t="s">
        <v>29</v>
      </c>
      <c r="H110" t="s">
        <v>1857</v>
      </c>
      <c r="I110" t="s">
        <v>30</v>
      </c>
      <c r="J110" t="s">
        <v>1171</v>
      </c>
      <c r="K110" t="s">
        <v>1171</v>
      </c>
      <c r="L110" t="s">
        <v>1173</v>
      </c>
      <c r="M110" t="s">
        <v>1171</v>
      </c>
      <c r="N110" t="s">
        <v>1171</v>
      </c>
      <c r="O110" t="s">
        <v>1171</v>
      </c>
      <c r="P110" t="s">
        <v>1171</v>
      </c>
      <c r="Q110" t="s">
        <v>1171</v>
      </c>
      <c r="R110" t="str">
        <f>_xlfn.TEXTBEFORE(_xlfn.TEXTAFTER(us_core_reqs[[#This Row],[URL*]],"/",-1),".")</f>
        <v>must-support</v>
      </c>
      <c r="S110" t="str">
        <f>_xlfn.TEXTAFTER(us_core_reqs[[#This Row],[URL*]],"#",-1)</f>
        <v>must-support---resource-references</v>
      </c>
      <c r="T110" t="str">
        <f>SUBSTITUTE(SUBSTITUTE(PROPER(SUBSTITUTE(us_core_reqs[[#This Row],[Page]], "-", " "))&amp;": "&amp;PROPER(SUBSTITUTE(us_core_reqs[[#This Row],[Section]], "-", " ")),"Us ","US "), "Uscdi", "USCDI")</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1283</v>
      </c>
      <c r="C111" t="str">
        <f>"CONF-"&amp;TEXT(us_core_reqs[[#This Row],[ID*]], "0000")</f>
        <v>CONF-0110</v>
      </c>
      <c r="D111" s="11" t="s">
        <v>617</v>
      </c>
      <c r="E111" t="str">
        <f>SUBSTITUTE(us_core_reqs[[#This Row],[URL*]], "https://hl7.org/fhir/us/core/STU8/","")</f>
        <v>must-support.html#must-support---resource-references</v>
      </c>
      <c r="F111" s="11" t="s">
        <v>148</v>
      </c>
      <c r="G111" t="s">
        <v>29</v>
      </c>
      <c r="H111" t="s">
        <v>1857</v>
      </c>
      <c r="I111" t="s">
        <v>58</v>
      </c>
      <c r="J111" t="s">
        <v>1171</v>
      </c>
      <c r="K111" t="s">
        <v>1171</v>
      </c>
      <c r="L111" t="s">
        <v>1173</v>
      </c>
      <c r="M111" t="s">
        <v>1171</v>
      </c>
      <c r="N111" t="s">
        <v>1171</v>
      </c>
      <c r="O111" t="s">
        <v>1171</v>
      </c>
      <c r="P111" t="s">
        <v>1171</v>
      </c>
      <c r="Q111" t="s">
        <v>1171</v>
      </c>
      <c r="R111" t="str">
        <f>_xlfn.TEXTBEFORE(_xlfn.TEXTAFTER(us_core_reqs[[#This Row],[URL*]],"/",-1),".")</f>
        <v>must-support</v>
      </c>
      <c r="S111" t="str">
        <f>_xlfn.TEXTAFTER(us_core_reqs[[#This Row],[URL*]],"#",-1)</f>
        <v>must-support---resource-references</v>
      </c>
      <c r="T111" t="str">
        <f>SUBSTITUTE(SUBSTITUTE(PROPER(SUBSTITUTE(us_core_reqs[[#This Row],[Page]], "-", " "))&amp;": "&amp;PROPER(SUBSTITUTE(us_core_reqs[[#This Row],[Section]], "-", " ")),"Us ","US "), "Uscdi", "USCDI")</f>
        <v>Must Support: Must Support   Resource References</v>
      </c>
      <c r="U111" t="s">
        <v>29</v>
      </c>
      <c r="V111" t="s">
        <v>58</v>
      </c>
      <c r="W111" t="s">
        <v>143</v>
      </c>
      <c r="X111" t="s">
        <v>1171</v>
      </c>
      <c r="Y111" t="s">
        <v>1171</v>
      </c>
      <c r="Z111" t="s">
        <v>1171</v>
      </c>
      <c r="AA111" t="s">
        <v>1171</v>
      </c>
      <c r="AB111" t="s">
        <v>1171</v>
      </c>
      <c r="AC111" t="s">
        <v>1171</v>
      </c>
      <c r="AD111" t="s">
        <v>1171</v>
      </c>
    </row>
    <row r="112" spans="1:30" ht="119" x14ac:dyDescent="0.2">
      <c r="A112" t="s">
        <v>1171</v>
      </c>
      <c r="B112" t="s">
        <v>1284</v>
      </c>
      <c r="C112" t="str">
        <f>"CONF-"&amp;TEXT(us_core_reqs[[#This Row],[ID*]], "0000")</f>
        <v>CONF-0111</v>
      </c>
      <c r="D112" s="11" t="s">
        <v>619</v>
      </c>
      <c r="E112" t="str">
        <f>SUBSTITUTE(us_core_reqs[[#This Row],[URL*]], "https://hl7.org/fhir/us/core/STU8/","")</f>
        <v>must-support.html#must-support---choice-of-data-types</v>
      </c>
      <c r="F112" s="11" t="s">
        <v>1866</v>
      </c>
      <c r="G112" t="s">
        <v>29</v>
      </c>
      <c r="I112" t="s">
        <v>30</v>
      </c>
      <c r="J112" t="s">
        <v>1171</v>
      </c>
      <c r="K112" t="s">
        <v>1171</v>
      </c>
      <c r="L112" t="s">
        <v>1173</v>
      </c>
      <c r="M112" t="s">
        <v>1171</v>
      </c>
      <c r="N112" t="s">
        <v>1171</v>
      </c>
      <c r="O112" t="s">
        <v>1171</v>
      </c>
      <c r="P112" t="s">
        <v>1171</v>
      </c>
      <c r="Q112" t="s">
        <v>1171</v>
      </c>
      <c r="R112" t="str">
        <f>_xlfn.TEXTBEFORE(_xlfn.TEXTAFTER(us_core_reqs[[#This Row],[URL*]],"/",-1),".")</f>
        <v>must-support</v>
      </c>
      <c r="S112" t="str">
        <f>_xlfn.TEXTAFTER(us_core_reqs[[#This Row],[URL*]],"#",-1)</f>
        <v>must-support---choice-of-data-types</v>
      </c>
      <c r="T112" t="str">
        <f>SUBSTITUTE(SUBSTITUTE(PROPER(SUBSTITUTE(us_core_reqs[[#This Row],[Page]], "-", " "))&amp;": "&amp;PROPER(SUBSTITUTE(us_core_reqs[[#This Row],[Section]], "-", " ")),"Us ","US "), "Uscdi", "USCDI")</f>
        <v>Must Support: Must Support   Choice Of Data Types</v>
      </c>
      <c r="U112" t="s">
        <v>29</v>
      </c>
      <c r="V112" t="s">
        <v>30</v>
      </c>
      <c r="W112" t="s">
        <v>149</v>
      </c>
      <c r="X112" t="s">
        <v>1171</v>
      </c>
      <c r="Y112" t="s">
        <v>1171</v>
      </c>
      <c r="Z112" t="s">
        <v>1171</v>
      </c>
      <c r="AA112" t="s">
        <v>1171</v>
      </c>
      <c r="AB112" t="s">
        <v>662</v>
      </c>
      <c r="AC112" t="s">
        <v>1140</v>
      </c>
      <c r="AD112" t="s">
        <v>1171</v>
      </c>
    </row>
    <row r="113" spans="1:30" ht="119" x14ac:dyDescent="0.2">
      <c r="A113" t="s">
        <v>1171</v>
      </c>
      <c r="B113" t="s">
        <v>1285</v>
      </c>
      <c r="C113" t="str">
        <f>"CONF-"&amp;TEXT(us_core_reqs[[#This Row],[ID*]], "0000")</f>
        <v>CONF-0112</v>
      </c>
      <c r="D113" s="11" t="s">
        <v>619</v>
      </c>
      <c r="E113" t="str">
        <f>SUBSTITUTE(us_core_reqs[[#This Row],[URL*]], "https://hl7.org/fhir/us/core/STU8/","")</f>
        <v>must-support.html#must-support---choice-of-data-types</v>
      </c>
      <c r="F113" s="11" t="s">
        <v>1867</v>
      </c>
      <c r="G113" t="s">
        <v>29</v>
      </c>
      <c r="I113" t="s">
        <v>58</v>
      </c>
      <c r="J113" t="s">
        <v>1171</v>
      </c>
      <c r="K113" t="s">
        <v>1171</v>
      </c>
      <c r="L113" t="s">
        <v>1173</v>
      </c>
      <c r="M113" t="s">
        <v>1171</v>
      </c>
      <c r="N113" t="s">
        <v>1171</v>
      </c>
      <c r="O113" t="s">
        <v>1171</v>
      </c>
      <c r="P113" t="s">
        <v>1171</v>
      </c>
      <c r="Q113" t="s">
        <v>1171</v>
      </c>
      <c r="R113" t="str">
        <f>_xlfn.TEXTBEFORE(_xlfn.TEXTAFTER(us_core_reqs[[#This Row],[URL*]],"/",-1),".")</f>
        <v>must-support</v>
      </c>
      <c r="S113" t="str">
        <f>_xlfn.TEXTAFTER(us_core_reqs[[#This Row],[URL*]],"#",-1)</f>
        <v>must-support---choice-of-data-types</v>
      </c>
      <c r="T113" t="str">
        <f>SUBSTITUTE(SUBSTITUTE(PROPER(SUBSTITUTE(us_core_reqs[[#This Row],[Page]], "-", " "))&amp;": "&amp;PROPER(SUBSTITUTE(us_core_reqs[[#This Row],[Section]], "-", " ")),"Us ","US "), "Uscdi", "USCDI")</f>
        <v>Must Support: Must Support   Choice Of Data Types</v>
      </c>
      <c r="U113" t="s">
        <v>29</v>
      </c>
      <c r="V113" t="s">
        <v>58</v>
      </c>
      <c r="W113" t="s">
        <v>149</v>
      </c>
      <c r="X113" t="s">
        <v>1171</v>
      </c>
      <c r="Y113" t="s">
        <v>1171</v>
      </c>
      <c r="Z113" t="s">
        <v>1171</v>
      </c>
      <c r="AA113" t="s">
        <v>1171</v>
      </c>
      <c r="AB113" t="s">
        <v>662</v>
      </c>
      <c r="AC113" t="s">
        <v>1171</v>
      </c>
      <c r="AD113" t="s">
        <v>1171</v>
      </c>
    </row>
    <row r="114" spans="1:30" ht="187" x14ac:dyDescent="0.2">
      <c r="A114" t="s">
        <v>1171</v>
      </c>
      <c r="B114" t="s">
        <v>1286</v>
      </c>
      <c r="C114" t="str">
        <f>"CONF-"&amp;TEXT(us_core_reqs[[#This Row],[ID*]], "0000")</f>
        <v>CONF-0113</v>
      </c>
      <c r="D114" s="11" t="s">
        <v>619</v>
      </c>
      <c r="E114" t="str">
        <f>SUBSTITUTE(us_core_reqs[[#This Row],[URL*]], "https://hl7.org/fhir/us/core/STU8/","")</f>
        <v>must-support.html#must-support---choice-of-data-types</v>
      </c>
      <c r="F114" s="11" t="s">
        <v>664</v>
      </c>
      <c r="G114" t="s">
        <v>35</v>
      </c>
      <c r="H114" t="s">
        <v>1869</v>
      </c>
      <c r="I114" t="s">
        <v>58</v>
      </c>
      <c r="J114" t="s">
        <v>1171</v>
      </c>
      <c r="K114" t="s">
        <v>1171</v>
      </c>
      <c r="L114" t="s">
        <v>1173</v>
      </c>
      <c r="M114" t="s">
        <v>1171</v>
      </c>
      <c r="N114" t="s">
        <v>1171</v>
      </c>
      <c r="O114" t="s">
        <v>1171</v>
      </c>
      <c r="P114" t="s">
        <v>1171</v>
      </c>
      <c r="Q114" t="s">
        <v>1171</v>
      </c>
      <c r="R114" t="str">
        <f>_xlfn.TEXTBEFORE(_xlfn.TEXTAFTER(us_core_reqs[[#This Row],[URL*]],"/",-1),".")</f>
        <v>must-support</v>
      </c>
      <c r="S114" t="str">
        <f>_xlfn.TEXTAFTER(us_core_reqs[[#This Row],[URL*]],"#",-1)</f>
        <v>must-support---choice-of-data-types</v>
      </c>
      <c r="T114" t="str">
        <f>SUBSTITUTE(SUBSTITUTE(PROPER(SUBSTITUTE(us_core_reqs[[#This Row],[Page]], "-", " "))&amp;": "&amp;PROPER(SUBSTITUTE(us_core_reqs[[#This Row],[Section]], "-", " ")),"Us ","US "), "Uscdi", "USCDI")</f>
        <v>Must Support: Must Support   Choice Of Data Types</v>
      </c>
      <c r="U114" t="s">
        <v>35</v>
      </c>
      <c r="V114" t="s">
        <v>58</v>
      </c>
      <c r="W114" t="s">
        <v>149</v>
      </c>
      <c r="X114" t="s">
        <v>1171</v>
      </c>
      <c r="Y114" t="s">
        <v>1171</v>
      </c>
      <c r="Z114" t="s">
        <v>1171</v>
      </c>
      <c r="AA114" t="s">
        <v>1171</v>
      </c>
      <c r="AB114" t="s">
        <v>662</v>
      </c>
      <c r="AC114" t="s">
        <v>1171</v>
      </c>
      <c r="AD114" t="s">
        <v>1171</v>
      </c>
    </row>
    <row r="115" spans="1:30" ht="187" x14ac:dyDescent="0.2">
      <c r="A115" t="s">
        <v>1171</v>
      </c>
      <c r="B115" t="s">
        <v>1287</v>
      </c>
      <c r="C115" t="str">
        <f>"CONF-"&amp;TEXT(us_core_reqs[[#This Row],[ID*]], "0000")</f>
        <v>CONF-0114</v>
      </c>
      <c r="D115" s="11" t="s">
        <v>619</v>
      </c>
      <c r="E115" t="str">
        <f>SUBSTITUTE(us_core_reqs[[#This Row],[URL*]], "https://hl7.org/fhir/us/core/STU8/","")</f>
        <v>must-support.html#must-support---choice-of-data-types</v>
      </c>
      <c r="F115" s="11" t="s">
        <v>665</v>
      </c>
      <c r="G115" t="s">
        <v>35</v>
      </c>
      <c r="H115" t="s">
        <v>1869</v>
      </c>
      <c r="I115" t="s">
        <v>30</v>
      </c>
      <c r="J115" t="s">
        <v>1171</v>
      </c>
      <c r="K115" t="s">
        <v>1171</v>
      </c>
      <c r="L115" t="s">
        <v>1173</v>
      </c>
      <c r="M115" t="s">
        <v>1171</v>
      </c>
      <c r="N115" t="s">
        <v>1171</v>
      </c>
      <c r="O115" t="s">
        <v>1171</v>
      </c>
      <c r="P115" t="s">
        <v>1171</v>
      </c>
      <c r="Q115" t="s">
        <v>1171</v>
      </c>
      <c r="R115" t="str">
        <f>_xlfn.TEXTBEFORE(_xlfn.TEXTAFTER(us_core_reqs[[#This Row],[URL*]],"/",-1),".")</f>
        <v>must-support</v>
      </c>
      <c r="S115" t="str">
        <f>_xlfn.TEXTAFTER(us_core_reqs[[#This Row],[URL*]],"#",-1)</f>
        <v>must-support---choice-of-data-types</v>
      </c>
      <c r="T115" t="str">
        <f>SUBSTITUTE(SUBSTITUTE(PROPER(SUBSTITUTE(us_core_reqs[[#This Row],[Page]], "-", " "))&amp;": "&amp;PROPER(SUBSTITUTE(us_core_reqs[[#This Row],[Section]], "-", " ")),"Us ","US "), "Uscdi", "USCDI")</f>
        <v>Must Support: Must Support   Choice Of Data Types</v>
      </c>
      <c r="U115" t="s">
        <v>35</v>
      </c>
      <c r="V115" t="s">
        <v>30</v>
      </c>
      <c r="W115" t="s">
        <v>149</v>
      </c>
      <c r="X115" t="s">
        <v>1171</v>
      </c>
      <c r="Y115" t="s">
        <v>1171</v>
      </c>
      <c r="Z115" t="s">
        <v>1171</v>
      </c>
      <c r="AA115" t="s">
        <v>1171</v>
      </c>
      <c r="AB115" t="s">
        <v>662</v>
      </c>
      <c r="AC115" t="s">
        <v>1171</v>
      </c>
      <c r="AD115" t="s">
        <v>1171</v>
      </c>
    </row>
    <row r="116" spans="1:30" ht="68" x14ac:dyDescent="0.2">
      <c r="A116" t="s">
        <v>1171</v>
      </c>
      <c r="B116" t="s">
        <v>1288</v>
      </c>
      <c r="C116" t="str">
        <f>"CONF-"&amp;TEXT(us_core_reqs[[#This Row],[ID*]], "0000")</f>
        <v>CONF-0115</v>
      </c>
      <c r="D116" s="11" t="s">
        <v>620</v>
      </c>
      <c r="E116" t="str">
        <f>SUBSTITUTE(us_core_reqs[[#This Row],[URL*]], "https://hl7.org/fhir/us/core/STU8/","")</f>
        <v>must-support.html#must-support---choice-of-profile-elements</v>
      </c>
      <c r="F116" s="11" t="s">
        <v>981</v>
      </c>
      <c r="G116" t="s">
        <v>29</v>
      </c>
      <c r="I116" t="s">
        <v>30</v>
      </c>
      <c r="J116" t="s">
        <v>1171</v>
      </c>
      <c r="K116" t="s">
        <v>1171</v>
      </c>
      <c r="L116" t="s">
        <v>1176</v>
      </c>
      <c r="M116" t="s">
        <v>1171</v>
      </c>
      <c r="N116" t="s">
        <v>1171</v>
      </c>
      <c r="O116" t="s">
        <v>1171</v>
      </c>
      <c r="P116" t="s">
        <v>1171</v>
      </c>
      <c r="Q116" t="s">
        <v>1171</v>
      </c>
      <c r="R116" t="str">
        <f>_xlfn.TEXTBEFORE(_xlfn.TEXTAFTER(us_core_reqs[[#This Row],[URL*]],"/",-1),".")</f>
        <v>must-support</v>
      </c>
      <c r="S116" t="str">
        <f>_xlfn.TEXTAFTER(us_core_reqs[[#This Row],[URL*]],"#",-1)</f>
        <v>must-support---choice-of-profile-elements</v>
      </c>
      <c r="T116" t="str">
        <f>SUBSTITUTE(SUBSTITUTE(PROPER(SUBSTITUTE(us_core_reqs[[#This Row],[Page]], "-", " "))&amp;": "&amp;PROPER(SUBSTITUTE(us_core_reqs[[#This Row],[Section]], "-", " ")),"Us ","US "), "Uscdi", "USCDI")</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68" x14ac:dyDescent="0.2">
      <c r="A117" t="s">
        <v>1171</v>
      </c>
      <c r="B117" t="s">
        <v>1289</v>
      </c>
      <c r="C117" t="str">
        <f>"CONF-"&amp;TEXT(us_core_reqs[[#This Row],[ID*]], "0000")</f>
        <v>CONF-0116</v>
      </c>
      <c r="D117" s="11" t="s">
        <v>620</v>
      </c>
      <c r="E117" t="str">
        <f>SUBSTITUTE(us_core_reqs[[#This Row],[URL*]], "https://hl7.org/fhir/us/core/STU8/","")</f>
        <v>must-support.html#must-support---choice-of-profile-elements</v>
      </c>
      <c r="F117" s="11" t="s">
        <v>920</v>
      </c>
      <c r="G117" t="s">
        <v>29</v>
      </c>
      <c r="I117" t="s">
        <v>58</v>
      </c>
      <c r="J117" t="s">
        <v>1171</v>
      </c>
      <c r="K117" t="s">
        <v>1171</v>
      </c>
      <c r="L117" t="s">
        <v>1176</v>
      </c>
      <c r="M117" t="s">
        <v>1171</v>
      </c>
      <c r="N117" t="s">
        <v>1171</v>
      </c>
      <c r="O117" t="s">
        <v>1171</v>
      </c>
      <c r="P117" t="s">
        <v>1171</v>
      </c>
      <c r="Q117" t="s">
        <v>1171</v>
      </c>
      <c r="R117" t="str">
        <f>_xlfn.TEXTBEFORE(_xlfn.TEXTAFTER(us_core_reqs[[#This Row],[URL*]],"/",-1),".")</f>
        <v>must-support</v>
      </c>
      <c r="S117" t="str">
        <f>_xlfn.TEXTAFTER(us_core_reqs[[#This Row],[URL*]],"#",-1)</f>
        <v>must-support---choice-of-profile-elements</v>
      </c>
      <c r="T117" t="str">
        <f>SUBSTITUTE(SUBSTITUTE(PROPER(SUBSTITUTE(us_core_reqs[[#This Row],[Page]], "-", " "))&amp;": "&amp;PROPER(SUBSTITUTE(us_core_reqs[[#This Row],[Section]], "-", " ")),"Us ","US "), "Uscdi", "USCDI")</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87" x14ac:dyDescent="0.2">
      <c r="A118" t="s">
        <v>1171</v>
      </c>
      <c r="B118" t="s">
        <v>1290</v>
      </c>
      <c r="C118" t="str">
        <f>"CONF-"&amp;TEXT(us_core_reqs[[#This Row],[ID*]], "0000")</f>
        <v>CONF-0117</v>
      </c>
      <c r="D118" s="11" t="s">
        <v>825</v>
      </c>
      <c r="E118" t="str">
        <f>SUBSTITUTE(us_core_reqs[[#This Row],[URL*]], "https://hl7.org/fhir/us/core/STU8/","")</f>
        <v>scopes.html#capability-sets</v>
      </c>
      <c r="F118" s="11" t="s">
        <v>2206</v>
      </c>
      <c r="G118" t="s">
        <v>35</v>
      </c>
      <c r="H118" t="s">
        <v>1870</v>
      </c>
      <c r="I118" t="s">
        <v>30</v>
      </c>
      <c r="J118" t="s">
        <v>1171</v>
      </c>
      <c r="K118" t="s">
        <v>1171</v>
      </c>
      <c r="L118" t="s">
        <v>1173</v>
      </c>
      <c r="M118" t="s">
        <v>1171</v>
      </c>
      <c r="N118" t="s">
        <v>1171</v>
      </c>
      <c r="O118" t="s">
        <v>1171</v>
      </c>
      <c r="P118" t="s">
        <v>1171</v>
      </c>
      <c r="Q118" t="s">
        <v>1171</v>
      </c>
      <c r="R118" t="str">
        <f>_xlfn.TEXTBEFORE(_xlfn.TEXTAFTER(us_core_reqs[[#This Row],[URL*]],"/",-1),".")</f>
        <v>scopes</v>
      </c>
      <c r="S118" t="str">
        <f>_xlfn.TEXTAFTER(us_core_reqs[[#This Row],[URL*]],"#",-1)</f>
        <v>capability-sets</v>
      </c>
      <c r="T118" t="str">
        <f>SUBSTITUTE(SUBSTITUTE(PROPER(SUBSTITUTE(us_core_reqs[[#This Row],[Page]], "-", " "))&amp;": "&amp;PROPER(SUBSTITUTE(us_core_reqs[[#This Row],[Section]], "-", " ")),"Us ","US "), "Uscdi", "USCDI")</f>
        <v>Scopes: Capability Sets</v>
      </c>
      <c r="U118" t="s">
        <v>35</v>
      </c>
      <c r="V118" t="s">
        <v>30</v>
      </c>
      <c r="W118" t="s">
        <v>151</v>
      </c>
      <c r="X118" t="s">
        <v>1171</v>
      </c>
      <c r="Y118" t="s">
        <v>1171</v>
      </c>
      <c r="Z118" t="s">
        <v>1171</v>
      </c>
      <c r="AA118" t="s">
        <v>1171</v>
      </c>
      <c r="AB118" t="s">
        <v>1171</v>
      </c>
      <c r="AC118" t="s">
        <v>1171</v>
      </c>
      <c r="AD118" t="s">
        <v>1171</v>
      </c>
    </row>
    <row r="119" spans="1:30" ht="136" x14ac:dyDescent="0.2">
      <c r="A119" t="s">
        <v>1171</v>
      </c>
      <c r="B119" t="s">
        <v>1291</v>
      </c>
      <c r="C119" t="str">
        <f>"CONF-"&amp;TEXT(us_core_reqs[[#This Row],[ID*]], "0000")</f>
        <v>CONF-0118</v>
      </c>
      <c r="D119" s="11" t="s">
        <v>826</v>
      </c>
      <c r="E119" t="str">
        <f>SUBSTITUTE(us_core_reqs[[#This Row],[URL*]], "https://hl7.org/fhir/us/core/STU8/","")</f>
        <v>scopes.html#capabilities-for-implementations-supporting-user-facing-applications</v>
      </c>
      <c r="F119" s="11" t="s">
        <v>1927</v>
      </c>
      <c r="G119" t="s">
        <v>32</v>
      </c>
      <c r="I119" t="s">
        <v>30</v>
      </c>
      <c r="J119" t="s">
        <v>1171</v>
      </c>
      <c r="K119" t="s">
        <v>1171</v>
      </c>
      <c r="L119" t="s">
        <v>1176</v>
      </c>
      <c r="M119" t="s">
        <v>153</v>
      </c>
      <c r="N119" t="s">
        <v>1171</v>
      </c>
      <c r="O119" t="s">
        <v>1171</v>
      </c>
      <c r="P119" t="s">
        <v>1171</v>
      </c>
      <c r="Q119" t="s">
        <v>1171</v>
      </c>
      <c r="R119" t="str">
        <f>_xlfn.TEXTBEFORE(_xlfn.TEXTAFTER(us_core_reqs[[#This Row],[URL*]],"/",-1),".")</f>
        <v>scopes</v>
      </c>
      <c r="S119" t="str">
        <f>_xlfn.TEXTAFTER(us_core_reqs[[#This Row],[URL*]],"#",-1)</f>
        <v>capabilities-for-implementations-supporting-user-facing-applications</v>
      </c>
      <c r="T119" t="str">
        <f>SUBSTITUTE(SUBSTITUTE(PROPER(SUBSTITUTE(us_core_reqs[[#This Row],[Page]], "-", " "))&amp;": "&amp;PROPER(SUBSTITUTE(us_core_reqs[[#This Row],[Section]], "-", " ")),"Us ","US "), "Uscdi", "USCDI")</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19" x14ac:dyDescent="0.2">
      <c r="A120" t="s">
        <v>1171</v>
      </c>
      <c r="B120" t="s">
        <v>1292</v>
      </c>
      <c r="C120" t="str">
        <f>"CONF-"&amp;TEXT(us_core_reqs[[#This Row],[ID*]], "0000")</f>
        <v>CONF-0119</v>
      </c>
      <c r="D120" s="11" t="s">
        <v>826</v>
      </c>
      <c r="E120" t="str">
        <f>SUBSTITUTE(us_core_reqs[[#This Row],[URL*]], "https://hl7.org/fhir/us/core/STU8/","")</f>
        <v>scopes.html#capabilities-for-implementations-supporting-user-facing-applications</v>
      </c>
      <c r="F120" s="11" t="s">
        <v>2090</v>
      </c>
      <c r="G120" t="s">
        <v>29</v>
      </c>
      <c r="I120" t="s">
        <v>30</v>
      </c>
      <c r="J120" t="s">
        <v>1171</v>
      </c>
      <c r="K120" t="s">
        <v>1171</v>
      </c>
      <c r="L120" t="s">
        <v>1176</v>
      </c>
      <c r="M120" t="s">
        <v>156</v>
      </c>
      <c r="N120" t="s">
        <v>1171</v>
      </c>
      <c r="O120" t="s">
        <v>1171</v>
      </c>
      <c r="P120" t="s">
        <v>1171</v>
      </c>
      <c r="Q120" t="s">
        <v>1171</v>
      </c>
      <c r="R120" t="str">
        <f>_xlfn.TEXTBEFORE(_xlfn.TEXTAFTER(us_core_reqs[[#This Row],[URL*]],"/",-1),".")</f>
        <v>scopes</v>
      </c>
      <c r="S120" t="str">
        <f>_xlfn.TEXTAFTER(us_core_reqs[[#This Row],[URL*]],"#",-1)</f>
        <v>capabilities-for-implementations-supporting-user-facing-applications</v>
      </c>
      <c r="T120" t="str">
        <f>SUBSTITUTE(SUBSTITUTE(PROPER(SUBSTITUTE(us_core_reqs[[#This Row],[Page]], "-", " "))&amp;": "&amp;PROPER(SUBSTITUTE(us_core_reqs[[#This Row],[Section]], "-", " ")),"Us ","US "), "Uscdi", "USCDI")</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51" x14ac:dyDescent="0.2">
      <c r="A121" t="s">
        <v>1171</v>
      </c>
      <c r="B121" t="s">
        <v>1293</v>
      </c>
      <c r="C121" t="str">
        <f>"CONF-"&amp;TEXT(us_core_reqs[[#This Row],[ID*]], "0000")</f>
        <v>CONF-0120</v>
      </c>
      <c r="D121" s="11" t="s">
        <v>827</v>
      </c>
      <c r="E121" t="str">
        <f>SUBSTITUTE(us_core_reqs[[#This Row],[URL*]], "https://hl7.org/fhir/us/core/STU8/","")</f>
        <v>scopes.html#capabilities-for-implementations-supporting-backend-services</v>
      </c>
      <c r="F121" s="11" t="s">
        <v>2220</v>
      </c>
      <c r="G121" t="s">
        <v>29</v>
      </c>
      <c r="I121" t="s">
        <v>30</v>
      </c>
      <c r="J121" t="s">
        <v>1171</v>
      </c>
      <c r="K121" t="s">
        <v>1171</v>
      </c>
      <c r="L121" t="s">
        <v>1173</v>
      </c>
      <c r="M121" t="s">
        <v>1171</v>
      </c>
      <c r="N121" t="s">
        <v>1171</v>
      </c>
      <c r="O121" t="s">
        <v>1171</v>
      </c>
      <c r="P121" t="s">
        <v>1171</v>
      </c>
      <c r="Q121" t="s">
        <v>1171</v>
      </c>
      <c r="R121" t="str">
        <f>_xlfn.TEXTBEFORE(_xlfn.TEXTAFTER(us_core_reqs[[#This Row],[URL*]],"/",-1),".")</f>
        <v>scopes</v>
      </c>
      <c r="S121" t="str">
        <f>_xlfn.TEXTAFTER(us_core_reqs[[#This Row],[URL*]],"#",-1)</f>
        <v>capabilities-for-implementations-supporting-backend-services</v>
      </c>
      <c r="T121" t="str">
        <f>SUBSTITUTE(SUBSTITUTE(PROPER(SUBSTITUTE(us_core_reqs[[#This Row],[Page]], "-", " "))&amp;": "&amp;PROPER(SUBSTITUTE(us_core_reqs[[#This Row],[Section]], "-", " ")),"Us ","US "), "Uscdi", "USCDI")</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1294</v>
      </c>
      <c r="C122" t="str">
        <f>"CONF-"&amp;TEXT(us_core_reqs[[#This Row],[ID*]], "0000")</f>
        <v>CONF-0121</v>
      </c>
      <c r="D122" s="11" t="s">
        <v>827</v>
      </c>
      <c r="E122" t="str">
        <f>SUBSTITUTE(us_core_reqs[[#This Row],[URL*]], "https://hl7.org/fhir/us/core/STU8/","")</f>
        <v>scopes.html#capabilities-for-implementations-supporting-backend-services</v>
      </c>
      <c r="F122" s="11" t="s">
        <v>2221</v>
      </c>
      <c r="G122" t="s">
        <v>29</v>
      </c>
      <c r="I122" t="s">
        <v>30</v>
      </c>
      <c r="J122" t="s">
        <v>1171</v>
      </c>
      <c r="K122" t="s">
        <v>1171</v>
      </c>
      <c r="L122" t="s">
        <v>1173</v>
      </c>
      <c r="M122" t="s">
        <v>1171</v>
      </c>
      <c r="N122" t="s">
        <v>1171</v>
      </c>
      <c r="O122" t="s">
        <v>1171</v>
      </c>
      <c r="P122" t="s">
        <v>1171</v>
      </c>
      <c r="Q122" t="s">
        <v>1171</v>
      </c>
      <c r="R122" t="str">
        <f>_xlfn.TEXTBEFORE(_xlfn.TEXTAFTER(us_core_reqs[[#This Row],[URL*]],"/",-1),".")</f>
        <v>scopes</v>
      </c>
      <c r="S122" t="str">
        <f>_xlfn.TEXTAFTER(us_core_reqs[[#This Row],[URL*]],"#",-1)</f>
        <v>capabilities-for-implementations-supporting-backend-services</v>
      </c>
      <c r="T122" t="str">
        <f>SUBSTITUTE(SUBSTITUTE(PROPER(SUBSTITUTE(us_core_reqs[[#This Row],[Page]], "-", " "))&amp;": "&amp;PROPER(SUBSTITUTE(us_core_reqs[[#This Row],[Section]], "-", " ")),"Us ","US "), "Uscdi", "USCDI")</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68" x14ac:dyDescent="0.2">
      <c r="A123" t="s">
        <v>1171</v>
      </c>
      <c r="B123" t="s">
        <v>1295</v>
      </c>
      <c r="C123" t="str">
        <f>"CONF-"&amp;TEXT(us_core_reqs[[#This Row],[ID*]], "0000")</f>
        <v>CONF-0122</v>
      </c>
      <c r="D123" s="11" t="s">
        <v>827</v>
      </c>
      <c r="E123" t="str">
        <f>SUBSTITUTE(us_core_reqs[[#This Row],[URL*]], "https://hl7.org/fhir/us/core/STU8/","")</f>
        <v>scopes.html#capabilities-for-implementations-supporting-backend-services</v>
      </c>
      <c r="F123" s="11" t="s">
        <v>2222</v>
      </c>
      <c r="G123" t="s">
        <v>29</v>
      </c>
      <c r="H123" t="s">
        <v>1871</v>
      </c>
      <c r="I123" t="s">
        <v>58</v>
      </c>
      <c r="J123" t="s">
        <v>1171</v>
      </c>
      <c r="K123" t="s">
        <v>1171</v>
      </c>
      <c r="L123" t="s">
        <v>1173</v>
      </c>
      <c r="M123" t="s">
        <v>1171</v>
      </c>
      <c r="N123" t="s">
        <v>1171</v>
      </c>
      <c r="O123" t="s">
        <v>1171</v>
      </c>
      <c r="P123" t="s">
        <v>1171</v>
      </c>
      <c r="Q123" t="s">
        <v>1171</v>
      </c>
      <c r="R123" t="str">
        <f>_xlfn.TEXTBEFORE(_xlfn.TEXTAFTER(us_core_reqs[[#This Row],[URL*]],"/",-1),".")</f>
        <v>scopes</v>
      </c>
      <c r="S123" t="str">
        <f>_xlfn.TEXTAFTER(us_core_reqs[[#This Row],[URL*]],"#",-1)</f>
        <v>capabilities-for-implementations-supporting-backend-services</v>
      </c>
      <c r="T123" t="str">
        <f>SUBSTITUTE(SUBSTITUTE(PROPER(SUBSTITUTE(us_core_reqs[[#This Row],[Page]], "-", " "))&amp;": "&amp;PROPER(SUBSTITUTE(us_core_reqs[[#This Row],[Section]], "-", " ")),"Us ","US "), "Uscdi", "USCDI")</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85" x14ac:dyDescent="0.2">
      <c r="A124" t="s">
        <v>1171</v>
      </c>
      <c r="B124" t="s">
        <v>1296</v>
      </c>
      <c r="C124" t="str">
        <f>"CONF-"&amp;TEXT(us_core_reqs[[#This Row],[ID*]], "0000")</f>
        <v>CONF-0123</v>
      </c>
      <c r="D124" s="11" t="s">
        <v>983</v>
      </c>
      <c r="E124" t="str">
        <f>SUBSTITUTE(us_core_reqs[[#This Row],[URL*]], "https://hl7.org/fhir/us/core/STU8/","")</f>
        <v>scopes.html#us-core-Servers-shall-support-token-introspection</v>
      </c>
      <c r="F124" s="11" t="s">
        <v>2120</v>
      </c>
      <c r="G124" t="s">
        <v>29</v>
      </c>
      <c r="I124" t="s">
        <v>30</v>
      </c>
      <c r="J124" t="s">
        <v>1171</v>
      </c>
      <c r="K124" t="s">
        <v>1171</v>
      </c>
      <c r="L124" t="s">
        <v>1173</v>
      </c>
      <c r="M124" t="s">
        <v>1171</v>
      </c>
      <c r="N124" t="s">
        <v>1171</v>
      </c>
      <c r="O124" t="s">
        <v>1171</v>
      </c>
      <c r="P124" t="s">
        <v>1171</v>
      </c>
      <c r="Q124" t="s">
        <v>1171</v>
      </c>
      <c r="R124" t="str">
        <f>_xlfn.TEXTBEFORE(_xlfn.TEXTAFTER(us_core_reqs[[#This Row],[URL*]],"/",-1),".")</f>
        <v>scopes</v>
      </c>
      <c r="S124" t="str">
        <f>_xlfn.TEXTAFTER(us_core_reqs[[#This Row],[URL*]],"#",-1)</f>
        <v>us-core-Servers-shall-support-token-introspection</v>
      </c>
      <c r="T124" t="str">
        <f>SUBSTITUTE(SUBSTITUTE(PROPER(SUBSTITUTE(us_core_reqs[[#This Row],[Page]], "-", " "))&amp;": "&amp;PROPER(SUBSTITUTE(us_core_reqs[[#This Row],[Section]], "-", " ")),"Us ","US "), "Uscdi", "USCDI")</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51" x14ac:dyDescent="0.2">
      <c r="A125" t="s">
        <v>1171</v>
      </c>
      <c r="B125" t="s">
        <v>1297</v>
      </c>
      <c r="C125" t="str">
        <f>"CONF-"&amp;TEXT(us_core_reqs[[#This Row],[ID*]], "0000")</f>
        <v>CONF-0124</v>
      </c>
      <c r="D125" s="11" t="s">
        <v>622</v>
      </c>
      <c r="E125" t="str">
        <f>SUBSTITUTE(us_core_reqs[[#This Row],[URL*]], "https://hl7.org/fhir/us/core/STU8/","")</f>
        <v>scopes.html#smart-scopes</v>
      </c>
      <c r="F125" s="11" t="s">
        <v>161</v>
      </c>
      <c r="G125" t="s">
        <v>29</v>
      </c>
      <c r="H125" t="s">
        <v>1873</v>
      </c>
      <c r="I125" t="s">
        <v>30</v>
      </c>
      <c r="J125" t="b">
        <v>1</v>
      </c>
      <c r="K125" t="s">
        <v>1171</v>
      </c>
      <c r="L125" t="s">
        <v>1176</v>
      </c>
      <c r="M125" t="s">
        <v>1171</v>
      </c>
      <c r="N125" t="s">
        <v>1171</v>
      </c>
      <c r="O125" t="s">
        <v>1171</v>
      </c>
      <c r="P125" t="s">
        <v>1171</v>
      </c>
      <c r="Q125" t="s">
        <v>1171</v>
      </c>
      <c r="R125" t="str">
        <f>_xlfn.TEXTBEFORE(_xlfn.TEXTAFTER(us_core_reqs[[#This Row],[URL*]],"/",-1),".")</f>
        <v>scopes</v>
      </c>
      <c r="S125" t="str">
        <f>_xlfn.TEXTAFTER(us_core_reqs[[#This Row],[URL*]],"#",-1)</f>
        <v>smart-scopes</v>
      </c>
      <c r="T125" t="str">
        <f>SUBSTITUTE(SUBSTITUTE(PROPER(SUBSTITUTE(us_core_reqs[[#This Row],[Page]], "-", " "))&amp;": "&amp;PROPER(SUBSTITUTE(us_core_reqs[[#This Row],[Section]], "-", " ")),"Us ","US "), "Uscdi", "USCDI")</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1298</v>
      </c>
      <c r="C126" t="str">
        <f>"CONF-"&amp;TEXT(us_core_reqs[[#This Row],[ID*]], "0000")</f>
        <v>CONF-0125</v>
      </c>
      <c r="D126" s="11" t="s">
        <v>622</v>
      </c>
      <c r="E126" t="str">
        <f>SUBSTITUTE(us_core_reqs[[#This Row],[URL*]], "https://hl7.org/fhir/us/core/STU8/","")</f>
        <v>scopes.html#smart-scopes</v>
      </c>
      <c r="F126" s="11" t="s">
        <v>162</v>
      </c>
      <c r="G126" t="s">
        <v>35</v>
      </c>
      <c r="H126" t="s">
        <v>1872</v>
      </c>
      <c r="I126" t="s">
        <v>30</v>
      </c>
      <c r="J126" t="s">
        <v>1171</v>
      </c>
      <c r="K126" t="s">
        <v>1171</v>
      </c>
      <c r="L126" t="s">
        <v>1173</v>
      </c>
      <c r="M126" t="s">
        <v>1171</v>
      </c>
      <c r="N126" t="s">
        <v>1171</v>
      </c>
      <c r="O126" t="s">
        <v>1171</v>
      </c>
      <c r="P126" t="s">
        <v>1171</v>
      </c>
      <c r="Q126" t="s">
        <v>1171</v>
      </c>
      <c r="R126" t="str">
        <f>_xlfn.TEXTBEFORE(_xlfn.TEXTAFTER(us_core_reqs[[#This Row],[URL*]],"/",-1),".")</f>
        <v>scopes</v>
      </c>
      <c r="S126" t="str">
        <f>_xlfn.TEXTAFTER(us_core_reqs[[#This Row],[URL*]],"#",-1)</f>
        <v>smart-scopes</v>
      </c>
      <c r="T126" t="str">
        <f>SUBSTITUTE(SUBSTITUTE(PROPER(SUBSTITUTE(us_core_reqs[[#This Row],[Page]], "-", " "))&amp;": "&amp;PROPER(SUBSTITUTE(us_core_reqs[[#This Row],[Section]], "-", " ")),"Us ","US "), "Uscdi", "USCDI")</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1299</v>
      </c>
      <c r="C127" t="str">
        <f>"CONF-"&amp;TEXT(us_core_reqs[[#This Row],[ID*]], "0000")</f>
        <v>CONF-0126</v>
      </c>
      <c r="D127" s="11" t="s">
        <v>622</v>
      </c>
      <c r="E127" t="str">
        <f>SUBSTITUTE(us_core_reqs[[#This Row],[URL*]], "https://hl7.org/fhir/us/core/STU8/","")</f>
        <v>scopes.html#smart-scopes</v>
      </c>
      <c r="F127" s="11" t="s">
        <v>2207</v>
      </c>
      <c r="G127" t="s">
        <v>35</v>
      </c>
      <c r="I127" t="s">
        <v>30</v>
      </c>
      <c r="J127" t="s">
        <v>1171</v>
      </c>
      <c r="K127" t="s">
        <v>1171</v>
      </c>
      <c r="L127" t="s">
        <v>1173</v>
      </c>
      <c r="M127" t="s">
        <v>1171</v>
      </c>
      <c r="N127" t="s">
        <v>1171</v>
      </c>
      <c r="O127" t="s">
        <v>1171</v>
      </c>
      <c r="P127" t="s">
        <v>1171</v>
      </c>
      <c r="Q127" t="s">
        <v>1171</v>
      </c>
      <c r="R127" t="str">
        <f>_xlfn.TEXTBEFORE(_xlfn.TEXTAFTER(us_core_reqs[[#This Row],[URL*]],"/",-1),".")</f>
        <v>scopes</v>
      </c>
      <c r="S127" t="str">
        <f>_xlfn.TEXTAFTER(us_core_reqs[[#This Row],[URL*]],"#",-1)</f>
        <v>smart-scopes</v>
      </c>
      <c r="T127" t="str">
        <f>SUBSTITUTE(SUBSTITUTE(PROPER(SUBSTITUTE(us_core_reqs[[#This Row],[Page]], "-", " "))&amp;": "&amp;PROPER(SUBSTITUTE(us_core_reqs[[#This Row],[Section]], "-", " ")),"Us ","US "), "Uscdi", "USCDI")</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1300</v>
      </c>
      <c r="C128" t="str">
        <f>"CONF-"&amp;TEXT(us_core_reqs[[#This Row],[ID*]], "0000")</f>
        <v>CONF-0127</v>
      </c>
      <c r="D128" s="11" t="s">
        <v>622</v>
      </c>
      <c r="E128" t="str">
        <f>SUBSTITUTE(us_core_reqs[[#This Row],[URL*]], "https://hl7.org/fhir/us/core/STU8/","")</f>
        <v>scopes.html#smart-scopes</v>
      </c>
      <c r="F128" s="11" t="s">
        <v>923</v>
      </c>
      <c r="G128" t="s">
        <v>32</v>
      </c>
      <c r="H128" t="s">
        <v>1874</v>
      </c>
      <c r="I128" t="s">
        <v>58</v>
      </c>
      <c r="J128" t="s">
        <v>1171</v>
      </c>
      <c r="K128" t="s">
        <v>1171</v>
      </c>
      <c r="L128" t="s">
        <v>1173</v>
      </c>
      <c r="M128" t="s">
        <v>1171</v>
      </c>
      <c r="N128" t="s">
        <v>1171</v>
      </c>
      <c r="O128" t="s">
        <v>1171</v>
      </c>
      <c r="P128" t="s">
        <v>1171</v>
      </c>
      <c r="Q128" t="s">
        <v>1171</v>
      </c>
      <c r="R128" t="str">
        <f>_xlfn.TEXTBEFORE(_xlfn.TEXTAFTER(us_core_reqs[[#This Row],[URL*]],"/",-1),".")</f>
        <v>scopes</v>
      </c>
      <c r="S128" t="str">
        <f>_xlfn.TEXTAFTER(us_core_reqs[[#This Row],[URL*]],"#",-1)</f>
        <v>smart-scopes</v>
      </c>
      <c r="T128" t="str">
        <f>SUBSTITUTE(SUBSTITUTE(PROPER(SUBSTITUTE(us_core_reqs[[#This Row],[Page]], "-", " "))&amp;": "&amp;PROPER(SUBSTITUTE(us_core_reqs[[#This Row],[Section]], "-", " ")),"Us ","US "), "Uscdi", "USCDI")</f>
        <v>Scopes: Smart Scopes</v>
      </c>
      <c r="U128" t="s">
        <v>32</v>
      </c>
      <c r="V128" t="s">
        <v>58</v>
      </c>
      <c r="W128" t="s">
        <v>1171</v>
      </c>
      <c r="X128" t="s">
        <v>1171</v>
      </c>
      <c r="Y128" t="s">
        <v>1171</v>
      </c>
      <c r="Z128" t="s">
        <v>1171</v>
      </c>
      <c r="AA128" t="s">
        <v>1171</v>
      </c>
      <c r="AB128" t="s">
        <v>1171</v>
      </c>
      <c r="AC128" t="s">
        <v>1171</v>
      </c>
      <c r="AD128" t="s">
        <v>1171</v>
      </c>
    </row>
    <row r="129" spans="1:30" ht="119" x14ac:dyDescent="0.2">
      <c r="A129" t="s">
        <v>1171</v>
      </c>
      <c r="B129" t="s">
        <v>1301</v>
      </c>
      <c r="C129" t="str">
        <f>"CONF-"&amp;TEXT(us_core_reqs[[#This Row],[ID*]], "0000")</f>
        <v>CONF-0128</v>
      </c>
      <c r="D129" s="11" t="s">
        <v>828</v>
      </c>
      <c r="E129" t="str">
        <f>SUBSTITUTE(us_core_reqs[[#This Row],[URL*]], "https://hl7.org/fhir/us/core/STU8/","")</f>
        <v>scopes.html#us-core-scopes</v>
      </c>
      <c r="F129" s="11" t="s">
        <v>2121</v>
      </c>
      <c r="G129" t="s">
        <v>29</v>
      </c>
      <c r="I129" t="s">
        <v>30</v>
      </c>
      <c r="J129" t="s">
        <v>1171</v>
      </c>
      <c r="K129" t="s">
        <v>1171</v>
      </c>
      <c r="L129" t="s">
        <v>1173</v>
      </c>
      <c r="M129" t="s">
        <v>1171</v>
      </c>
      <c r="N129" t="s">
        <v>1171</v>
      </c>
      <c r="O129" t="s">
        <v>1171</v>
      </c>
      <c r="P129" t="s">
        <v>1171</v>
      </c>
      <c r="Q129" t="s">
        <v>1171</v>
      </c>
      <c r="R129" t="str">
        <f>_xlfn.TEXTBEFORE(_xlfn.TEXTAFTER(us_core_reqs[[#This Row],[URL*]],"/",-1),".")</f>
        <v>scopes</v>
      </c>
      <c r="S129" t="str">
        <f>_xlfn.TEXTAFTER(us_core_reqs[[#This Row],[URL*]],"#",-1)</f>
        <v>us-core-scopes</v>
      </c>
      <c r="T129" t="str">
        <f>SUBSTITUTE(SUBSTITUTE(PROPER(SUBSTITUTE(us_core_reqs[[#This Row],[Page]], "-", " "))&amp;": "&amp;PROPER(SUBSTITUTE(us_core_reqs[[#This Row],[Section]], "-", " ")),"Us ","US "), "Uscdi", "USCDI")</f>
        <v>Scopes: US Core Scopes</v>
      </c>
      <c r="U129" t="s">
        <v>29</v>
      </c>
      <c r="V129" t="s">
        <v>30</v>
      </c>
      <c r="W129" t="s">
        <v>164</v>
      </c>
      <c r="X129" t="s">
        <v>1171</v>
      </c>
      <c r="Y129" t="s">
        <v>1171</v>
      </c>
      <c r="Z129" t="s">
        <v>1171</v>
      </c>
      <c r="AA129" t="s">
        <v>1171</v>
      </c>
      <c r="AB129" t="s">
        <v>1171</v>
      </c>
      <c r="AC129" t="s">
        <v>1140</v>
      </c>
      <c r="AD129" t="s">
        <v>1171</v>
      </c>
    </row>
    <row r="130" spans="1:30" ht="119" x14ac:dyDescent="0.2">
      <c r="A130" t="s">
        <v>1171</v>
      </c>
      <c r="B130" t="s">
        <v>1302</v>
      </c>
      <c r="C130" t="str">
        <f>"CONF-"&amp;TEXT(us_core_reqs[[#This Row],[ID*]], "0000")</f>
        <v>CONF-0129</v>
      </c>
      <c r="D130" s="11" t="s">
        <v>828</v>
      </c>
      <c r="E130" t="str">
        <f>SUBSTITUTE(us_core_reqs[[#This Row],[URL*]], "https://hl7.org/fhir/us/core/STU8/","")</f>
        <v>scopes.html#us-core-scopes</v>
      </c>
      <c r="F130" s="11" t="s">
        <v>1928</v>
      </c>
      <c r="G130" t="s">
        <v>32</v>
      </c>
      <c r="I130" t="s">
        <v>30</v>
      </c>
      <c r="J130" t="s">
        <v>1171</v>
      </c>
      <c r="K130" t="s">
        <v>1171</v>
      </c>
      <c r="L130" t="s">
        <v>1173</v>
      </c>
      <c r="M130" t="s">
        <v>1171</v>
      </c>
      <c r="N130" t="s">
        <v>1171</v>
      </c>
      <c r="O130" t="s">
        <v>1171</v>
      </c>
      <c r="P130" t="s">
        <v>1171</v>
      </c>
      <c r="Q130" t="s">
        <v>1171</v>
      </c>
      <c r="R130" t="str">
        <f>_xlfn.TEXTBEFORE(_xlfn.TEXTAFTER(us_core_reqs[[#This Row],[URL*]],"/",-1),".")</f>
        <v>scopes</v>
      </c>
      <c r="S130" t="str">
        <f>_xlfn.TEXTAFTER(us_core_reqs[[#This Row],[URL*]],"#",-1)</f>
        <v>us-core-scopes</v>
      </c>
      <c r="T130" t="str">
        <f>SUBSTITUTE(SUBSTITUTE(PROPER(SUBSTITUTE(us_core_reqs[[#This Row],[Page]], "-", " "))&amp;": "&amp;PROPER(SUBSTITUTE(us_core_reqs[[#This Row],[Section]], "-", " ")),"Us ","US "), "Uscdi", "USCDI")</f>
        <v>Scopes: US Core Scopes</v>
      </c>
      <c r="U130" t="s">
        <v>32</v>
      </c>
      <c r="V130" t="s">
        <v>30</v>
      </c>
      <c r="W130" t="s">
        <v>1171</v>
      </c>
      <c r="X130" t="s">
        <v>1171</v>
      </c>
      <c r="Y130" t="s">
        <v>1171</v>
      </c>
      <c r="Z130" t="s">
        <v>1171</v>
      </c>
      <c r="AA130" t="s">
        <v>1171</v>
      </c>
      <c r="AB130" t="s">
        <v>1171</v>
      </c>
      <c r="AC130" t="s">
        <v>1171</v>
      </c>
      <c r="AD130" t="s">
        <v>1171</v>
      </c>
    </row>
    <row r="131" spans="1:30" ht="68" x14ac:dyDescent="0.2">
      <c r="A131" t="s">
        <v>1171</v>
      </c>
      <c r="B131" t="s">
        <v>1303</v>
      </c>
      <c r="C131" t="str">
        <f>"CONF-"&amp;TEXT(us_core_reqs[[#This Row],[ID*]], "0000")</f>
        <v>CONF-0130</v>
      </c>
      <c r="D131" s="11" t="s">
        <v>828</v>
      </c>
      <c r="E131" t="str">
        <f>SUBSTITUTE(us_core_reqs[[#This Row],[URL*]], "https://hl7.org/fhir/us/core/STU8/","")</f>
        <v>scopes.html#us-core-scopes</v>
      </c>
      <c r="F131" s="11" t="s">
        <v>2122</v>
      </c>
      <c r="G131" t="s">
        <v>29</v>
      </c>
      <c r="I131" t="s">
        <v>30</v>
      </c>
      <c r="J131" t="s">
        <v>1171</v>
      </c>
      <c r="K131" t="s">
        <v>1171</v>
      </c>
      <c r="L131" t="s">
        <v>1173</v>
      </c>
      <c r="M131" t="s">
        <v>1171</v>
      </c>
      <c r="N131" t="s">
        <v>1171</v>
      </c>
      <c r="O131" t="s">
        <v>1171</v>
      </c>
      <c r="P131" t="s">
        <v>1171</v>
      </c>
      <c r="Q131" t="s">
        <v>1171</v>
      </c>
      <c r="R131" t="str">
        <f>_xlfn.TEXTBEFORE(_xlfn.TEXTAFTER(us_core_reqs[[#This Row],[URL*]],"/",-1),".")</f>
        <v>scopes</v>
      </c>
      <c r="S131" t="str">
        <f>_xlfn.TEXTAFTER(us_core_reqs[[#This Row],[URL*]],"#",-1)</f>
        <v>us-core-scopes</v>
      </c>
      <c r="T131" t="str">
        <f>SUBSTITUTE(SUBSTITUTE(PROPER(SUBSTITUTE(us_core_reqs[[#This Row],[Page]], "-", " "))&amp;": "&amp;PROPER(SUBSTITUTE(us_core_reqs[[#This Row],[Section]], "-", " ")),"Us ","US "), "Uscdi", "USCDI")</f>
        <v>Scopes: US Core Scopes</v>
      </c>
      <c r="U131" t="s">
        <v>29</v>
      </c>
      <c r="V131" t="s">
        <v>58</v>
      </c>
      <c r="W131" t="s">
        <v>165</v>
      </c>
      <c r="X131" t="s">
        <v>1171</v>
      </c>
      <c r="Y131" t="s">
        <v>1171</v>
      </c>
      <c r="Z131" t="s">
        <v>1171</v>
      </c>
      <c r="AA131" t="s">
        <v>1171</v>
      </c>
      <c r="AB131" t="s">
        <v>1171</v>
      </c>
      <c r="AC131" t="s">
        <v>1142</v>
      </c>
      <c r="AD131" t="s">
        <v>1171</v>
      </c>
    </row>
    <row r="132" spans="1:30" ht="68" x14ac:dyDescent="0.2">
      <c r="A132" t="s">
        <v>1171</v>
      </c>
      <c r="B132" t="s">
        <v>1304</v>
      </c>
      <c r="C132" t="str">
        <f>"CONF-"&amp;TEXT(us_core_reqs[[#This Row],[ID*]], "0000")</f>
        <v>CONF-0131</v>
      </c>
      <c r="D132" s="11" t="s">
        <v>828</v>
      </c>
      <c r="E132" t="str">
        <f>SUBSTITUTE(us_core_reqs[[#This Row],[URL*]], "https://hl7.org/fhir/us/core/STU8/","")</f>
        <v>scopes.html#us-core-scopes</v>
      </c>
      <c r="F132" s="11" t="s">
        <v>1929</v>
      </c>
      <c r="G132" t="s">
        <v>32</v>
      </c>
      <c r="I132" t="s">
        <v>30</v>
      </c>
      <c r="J132" t="s">
        <v>1171</v>
      </c>
      <c r="K132" t="s">
        <v>1171</v>
      </c>
      <c r="L132" t="s">
        <v>1173</v>
      </c>
      <c r="M132" t="s">
        <v>1171</v>
      </c>
      <c r="N132" t="s">
        <v>1171</v>
      </c>
      <c r="O132" t="s">
        <v>1171</v>
      </c>
      <c r="P132" t="s">
        <v>1171</v>
      </c>
      <c r="Q132" t="s">
        <v>1171</v>
      </c>
      <c r="R132" t="str">
        <f>_xlfn.TEXTBEFORE(_xlfn.TEXTAFTER(us_core_reqs[[#This Row],[URL*]],"/",-1),".")</f>
        <v>scopes</v>
      </c>
      <c r="S132" t="str">
        <f>_xlfn.TEXTAFTER(us_core_reqs[[#This Row],[URL*]],"#",-1)</f>
        <v>us-core-scopes</v>
      </c>
      <c r="T132" t="str">
        <f>SUBSTITUTE(SUBSTITUTE(PROPER(SUBSTITUTE(us_core_reqs[[#This Row],[Page]], "-", " "))&amp;": "&amp;PROPER(SUBSTITUTE(us_core_reqs[[#This Row],[Section]], "-", " ")),"Us ","US "), "Uscdi", "USCDI")</f>
        <v>Scopes: US Core Scopes</v>
      </c>
      <c r="U132" t="s">
        <v>32</v>
      </c>
      <c r="V132" t="s">
        <v>58</v>
      </c>
      <c r="W132" t="s">
        <v>1171</v>
      </c>
      <c r="X132" t="s">
        <v>1171</v>
      </c>
      <c r="Y132" t="s">
        <v>1171</v>
      </c>
      <c r="Z132" t="s">
        <v>1171</v>
      </c>
      <c r="AA132" t="s">
        <v>1171</v>
      </c>
      <c r="AB132" t="s">
        <v>1171</v>
      </c>
      <c r="AC132" t="s">
        <v>1171</v>
      </c>
      <c r="AD132" t="s">
        <v>1171</v>
      </c>
    </row>
    <row r="133" spans="1:30" ht="153" x14ac:dyDescent="0.2">
      <c r="A133" t="s">
        <v>1171</v>
      </c>
      <c r="B133" t="s">
        <v>1305</v>
      </c>
      <c r="C133" t="str">
        <f>"CONF-"&amp;TEXT(us_core_reqs[[#This Row],[ID*]], "0000")</f>
        <v>CONF-0132</v>
      </c>
      <c r="D133" s="11" t="s">
        <v>829</v>
      </c>
      <c r="E133" t="str">
        <f>SUBSTITUTE(us_core_reqs[[#This Row],[URL*]], "https://hl7.org/fhir/us/core/STU8/","")</f>
        <v>scopes.html#scopes-for-requesting-fhir-resources-by-type, StructureDefinition-us-core-allergyintolerance.html#us-core-scopes</v>
      </c>
      <c r="F133" s="11" t="s">
        <v>696</v>
      </c>
      <c r="G133" t="s">
        <v>29</v>
      </c>
      <c r="I133" t="s">
        <v>30</v>
      </c>
      <c r="J133" t="s">
        <v>1171</v>
      </c>
      <c r="K133" t="s">
        <v>1171</v>
      </c>
      <c r="L133" t="s">
        <v>1176</v>
      </c>
      <c r="M133" t="s">
        <v>166</v>
      </c>
      <c r="N133" t="s">
        <v>1171</v>
      </c>
      <c r="O133" t="s">
        <v>1171</v>
      </c>
      <c r="P133" t="s">
        <v>1171</v>
      </c>
      <c r="Q133" t="s">
        <v>1171</v>
      </c>
      <c r="R133" t="str">
        <f>_xlfn.TEXTBEFORE(_xlfn.TEXTAFTER(us_core_reqs[[#This Row],[URL*]],"/",-1),".")</f>
        <v>StructureDefinition-us-core-allergyintolerance</v>
      </c>
      <c r="S133" t="str">
        <f>_xlfn.TEXTAFTER(us_core_reqs[[#This Row],[URL*]],"#",-1)</f>
        <v>us-core-scopes</v>
      </c>
      <c r="T133" t="str">
        <f>SUBSTITUTE(SUBSTITUTE(PROPER(SUBSTITUTE(us_core_reqs[[#This Row],[Page]], "-", " "))&amp;": "&amp;PROPER(SUBSTITUTE(us_core_reqs[[#This Row],[Section]], "-", " ")),"Us ","US "), "Uscdi", "USCDI")</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36" x14ac:dyDescent="0.2">
      <c r="A134" t="s">
        <v>1171</v>
      </c>
      <c r="B134" t="s">
        <v>1306</v>
      </c>
      <c r="C134" t="str">
        <f>"CONF-"&amp;TEXT(us_core_reqs[[#This Row],[ID*]], "0000")</f>
        <v>CONF-0133</v>
      </c>
      <c r="D134" s="11" t="s">
        <v>623</v>
      </c>
      <c r="E134" t="str">
        <f>SUBSTITUTE(us_core_reqs[[#This Row],[URL*]], "https://hl7.org/fhir/us/core/STU8/","")</f>
        <v>scopes.html#scopes-for-requesting-fhir-resources-by-type</v>
      </c>
      <c r="F134" s="11" t="s">
        <v>673</v>
      </c>
      <c r="G134" t="s">
        <v>29</v>
      </c>
      <c r="I134" t="s">
        <v>30</v>
      </c>
      <c r="J134" t="s">
        <v>1171</v>
      </c>
      <c r="K134" t="s">
        <v>1171</v>
      </c>
      <c r="L134" t="s">
        <v>1176</v>
      </c>
      <c r="M134" t="s">
        <v>168</v>
      </c>
      <c r="N134" t="s">
        <v>1171</v>
      </c>
      <c r="O134" t="s">
        <v>1171</v>
      </c>
      <c r="P134" t="s">
        <v>1171</v>
      </c>
      <c r="Q134" t="s">
        <v>1171</v>
      </c>
      <c r="R134" t="str">
        <f>_xlfn.TEXTBEFORE(_xlfn.TEXTAFTER(us_core_reqs[[#This Row],[URL*]],"/",-1),".")</f>
        <v>scopes</v>
      </c>
      <c r="S134" t="str">
        <f>_xlfn.TEXTAFTER(us_core_reqs[[#This Row],[URL*]],"#",-1)</f>
        <v>scopes-for-requesting-fhir-resources-by-type</v>
      </c>
      <c r="T134" t="str">
        <f>SUBSTITUTE(SUBSTITUTE(PROPER(SUBSTITUTE(us_core_reqs[[#This Row],[Page]], "-", " "))&amp;": "&amp;PROPER(SUBSTITUTE(us_core_reqs[[#This Row],[Section]], "-", " ")),"Us ","US "), "Uscdi", "USCDI")</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119" x14ac:dyDescent="0.2">
      <c r="A135" t="s">
        <v>1171</v>
      </c>
      <c r="B135" t="s">
        <v>1307</v>
      </c>
      <c r="C135" t="str">
        <f>"CONF-"&amp;TEXT(us_core_reqs[[#This Row],[ID*]], "0000")</f>
        <v>CONF-0134</v>
      </c>
      <c r="D135" s="11" t="s">
        <v>623</v>
      </c>
      <c r="E135" t="str">
        <f>SUBSTITUTE(us_core_reqs[[#This Row],[URL*]], "https://hl7.org/fhir/us/core/STU8/","")</f>
        <v>scopes.html#scopes-for-requesting-fhir-resources-by-type</v>
      </c>
      <c r="F135" s="11" t="s">
        <v>674</v>
      </c>
      <c r="G135" t="s">
        <v>29</v>
      </c>
      <c r="I135" t="s">
        <v>30</v>
      </c>
      <c r="J135" t="s">
        <v>1171</v>
      </c>
      <c r="K135" t="s">
        <v>1171</v>
      </c>
      <c r="L135" t="s">
        <v>1176</v>
      </c>
      <c r="M135" t="s">
        <v>169</v>
      </c>
      <c r="N135" t="s">
        <v>1171</v>
      </c>
      <c r="O135" t="s">
        <v>1171</v>
      </c>
      <c r="P135" t="s">
        <v>1171</v>
      </c>
      <c r="Q135" t="s">
        <v>1171</v>
      </c>
      <c r="R135" t="str">
        <f>_xlfn.TEXTBEFORE(_xlfn.TEXTAFTER(us_core_reqs[[#This Row],[URL*]],"/",-1),".")</f>
        <v>scopes</v>
      </c>
      <c r="S135" t="str">
        <f>_xlfn.TEXTAFTER(us_core_reqs[[#This Row],[URL*]],"#",-1)</f>
        <v>scopes-for-requesting-fhir-resources-by-type</v>
      </c>
      <c r="T135" t="str">
        <f>SUBSTITUTE(SUBSTITUTE(PROPER(SUBSTITUTE(us_core_reqs[[#This Row],[Page]], "-", " "))&amp;": "&amp;PROPER(SUBSTITUTE(us_core_reqs[[#This Row],[Section]], "-", " ")),"Us ","US "), "Uscdi", "USCDI")</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119" x14ac:dyDescent="0.2">
      <c r="A136" t="s">
        <v>1171</v>
      </c>
      <c r="B136" t="s">
        <v>1308</v>
      </c>
      <c r="C136" t="str">
        <f>"CONF-"&amp;TEXT(us_core_reqs[[#This Row],[ID*]], "0000")</f>
        <v>CONF-0135</v>
      </c>
      <c r="D136" s="11" t="s">
        <v>623</v>
      </c>
      <c r="E136" t="str">
        <f>SUBSTITUTE(us_core_reqs[[#This Row],[URL*]], "https://hl7.org/fhir/us/core/STU8/","")</f>
        <v>scopes.html#scopes-for-requesting-fhir-resources-by-type</v>
      </c>
      <c r="F136" s="11" t="s">
        <v>675</v>
      </c>
      <c r="G136" t="s">
        <v>29</v>
      </c>
      <c r="I136" t="s">
        <v>30</v>
      </c>
      <c r="J136" t="s">
        <v>1171</v>
      </c>
      <c r="K136" t="s">
        <v>1171</v>
      </c>
      <c r="L136" t="s">
        <v>1176</v>
      </c>
      <c r="M136" t="s">
        <v>170</v>
      </c>
      <c r="N136" t="s">
        <v>1171</v>
      </c>
      <c r="O136" t="s">
        <v>1171</v>
      </c>
      <c r="P136" t="s">
        <v>1171</v>
      </c>
      <c r="Q136" t="s">
        <v>1171</v>
      </c>
      <c r="R136" t="str">
        <f>_xlfn.TEXTBEFORE(_xlfn.TEXTAFTER(us_core_reqs[[#This Row],[URL*]],"/",-1),".")</f>
        <v>scopes</v>
      </c>
      <c r="S136" t="str">
        <f>_xlfn.TEXTAFTER(us_core_reqs[[#This Row],[URL*]],"#",-1)</f>
        <v>scopes-for-requesting-fhir-resources-by-type</v>
      </c>
      <c r="T136" t="str">
        <f>SUBSTITUTE(SUBSTITUTE(PROPER(SUBSTITUTE(us_core_reqs[[#This Row],[Page]], "-", " "))&amp;": "&amp;PROPER(SUBSTITUTE(us_core_reqs[[#This Row],[Section]], "-", " ")),"Us ","US "), "Uscdi", "USCDI")</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119" x14ac:dyDescent="0.2">
      <c r="A137" t="s">
        <v>1171</v>
      </c>
      <c r="B137" t="s">
        <v>1309</v>
      </c>
      <c r="C137" t="str">
        <f>"CONF-"&amp;TEXT(us_core_reqs[[#This Row],[ID*]], "0000")</f>
        <v>CONF-0136</v>
      </c>
      <c r="D137" s="11" t="s">
        <v>623</v>
      </c>
      <c r="E137" t="str">
        <f>SUBSTITUTE(us_core_reqs[[#This Row],[URL*]], "https://hl7.org/fhir/us/core/STU8/","")</f>
        <v>scopes.html#scopes-for-requesting-fhir-resources-by-type</v>
      </c>
      <c r="F137" s="11" t="s">
        <v>676</v>
      </c>
      <c r="G137" t="s">
        <v>29</v>
      </c>
      <c r="I137" t="s">
        <v>30</v>
      </c>
      <c r="J137" t="s">
        <v>1171</v>
      </c>
      <c r="K137" t="s">
        <v>1171</v>
      </c>
      <c r="L137" t="s">
        <v>1176</v>
      </c>
      <c r="M137" t="s">
        <v>171</v>
      </c>
      <c r="N137" t="s">
        <v>1171</v>
      </c>
      <c r="O137" t="s">
        <v>1171</v>
      </c>
      <c r="P137" t="s">
        <v>1171</v>
      </c>
      <c r="Q137" t="s">
        <v>1171</v>
      </c>
      <c r="R137" t="str">
        <f>_xlfn.TEXTBEFORE(_xlfn.TEXTAFTER(us_core_reqs[[#This Row],[URL*]],"/",-1),".")</f>
        <v>scopes</v>
      </c>
      <c r="S137" t="str">
        <f>_xlfn.TEXTAFTER(us_core_reqs[[#This Row],[URL*]],"#",-1)</f>
        <v>scopes-for-requesting-fhir-resources-by-type</v>
      </c>
      <c r="T137" t="str">
        <f>SUBSTITUTE(SUBSTITUTE(PROPER(SUBSTITUTE(us_core_reqs[[#This Row],[Page]], "-", " "))&amp;": "&amp;PROPER(SUBSTITUTE(us_core_reqs[[#This Row],[Section]], "-", " ")),"Us ","US "), "Uscdi", "USCDI")</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119" x14ac:dyDescent="0.2">
      <c r="A138" t="s">
        <v>1171</v>
      </c>
      <c r="B138" t="s">
        <v>1310</v>
      </c>
      <c r="C138" t="str">
        <f>"CONF-"&amp;TEXT(us_core_reqs[[#This Row],[ID*]], "0000")</f>
        <v>CONF-0137</v>
      </c>
      <c r="D138" s="11" t="s">
        <v>623</v>
      </c>
      <c r="E138" t="str">
        <f>SUBSTITUTE(us_core_reqs[[#This Row],[URL*]], "https://hl7.org/fhir/us/core/STU8/","")</f>
        <v>scopes.html#scopes-for-requesting-fhir-resources-by-type</v>
      </c>
      <c r="F138" s="11" t="s">
        <v>677</v>
      </c>
      <c r="G138" t="s">
        <v>29</v>
      </c>
      <c r="I138" t="s">
        <v>30</v>
      </c>
      <c r="J138" t="s">
        <v>1171</v>
      </c>
      <c r="K138" t="s">
        <v>1171</v>
      </c>
      <c r="L138" t="s">
        <v>1176</v>
      </c>
      <c r="M138" t="s">
        <v>172</v>
      </c>
      <c r="N138" t="s">
        <v>1171</v>
      </c>
      <c r="O138" t="s">
        <v>1171</v>
      </c>
      <c r="P138" t="s">
        <v>1171</v>
      </c>
      <c r="Q138" t="s">
        <v>1171</v>
      </c>
      <c r="R138" t="str">
        <f>_xlfn.TEXTBEFORE(_xlfn.TEXTAFTER(us_core_reqs[[#This Row],[URL*]],"/",-1),".")</f>
        <v>scopes</v>
      </c>
      <c r="S138" t="str">
        <f>_xlfn.TEXTAFTER(us_core_reqs[[#This Row],[URL*]],"#",-1)</f>
        <v>scopes-for-requesting-fhir-resources-by-type</v>
      </c>
      <c r="T138" t="str">
        <f>SUBSTITUTE(SUBSTITUTE(PROPER(SUBSTITUTE(us_core_reqs[[#This Row],[Page]], "-", " "))&amp;": "&amp;PROPER(SUBSTITUTE(us_core_reqs[[#This Row],[Section]], "-", " ")),"Us ","US "), "Uscdi", "USCDI")</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136" x14ac:dyDescent="0.2">
      <c r="A139" t="s">
        <v>1171</v>
      </c>
      <c r="B139" t="s">
        <v>1311</v>
      </c>
      <c r="C139" t="str">
        <f>"CONF-"&amp;TEXT(us_core_reqs[[#This Row],[ID*]], "0000")</f>
        <v>CONF-0138</v>
      </c>
      <c r="D139" s="11" t="s">
        <v>623</v>
      </c>
      <c r="E139" t="str">
        <f>SUBSTITUTE(us_core_reqs[[#This Row],[URL*]], "https://hl7.org/fhir/us/core/STU8/","")</f>
        <v>scopes.html#scopes-for-requesting-fhir-resources-by-type</v>
      </c>
      <c r="F139" s="11" t="s">
        <v>678</v>
      </c>
      <c r="G139" t="s">
        <v>29</v>
      </c>
      <c r="I139" t="s">
        <v>30</v>
      </c>
      <c r="J139" t="s">
        <v>1171</v>
      </c>
      <c r="K139" t="s">
        <v>1171</v>
      </c>
      <c r="L139" t="s">
        <v>1176</v>
      </c>
      <c r="M139" t="s">
        <v>173</v>
      </c>
      <c r="N139" t="s">
        <v>1171</v>
      </c>
      <c r="O139" t="s">
        <v>1171</v>
      </c>
      <c r="P139" t="s">
        <v>1171</v>
      </c>
      <c r="Q139" t="s">
        <v>1171</v>
      </c>
      <c r="R139" t="str">
        <f>_xlfn.TEXTBEFORE(_xlfn.TEXTAFTER(us_core_reqs[[#This Row],[URL*]],"/",-1),".")</f>
        <v>scopes</v>
      </c>
      <c r="S139" t="str">
        <f>_xlfn.TEXTAFTER(us_core_reqs[[#This Row],[URL*]],"#",-1)</f>
        <v>scopes-for-requesting-fhir-resources-by-type</v>
      </c>
      <c r="T139" t="str">
        <f>SUBSTITUTE(SUBSTITUTE(PROPER(SUBSTITUTE(us_core_reqs[[#This Row],[Page]], "-", " "))&amp;": "&amp;PROPER(SUBSTITUTE(us_core_reqs[[#This Row],[Section]], "-", " ")),"Us ","US "), "Uscdi", "USCDI")</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136" x14ac:dyDescent="0.2">
      <c r="A140" t="s">
        <v>1171</v>
      </c>
      <c r="B140" t="s">
        <v>1312</v>
      </c>
      <c r="C140" t="str">
        <f>"CONF-"&amp;TEXT(us_core_reqs[[#This Row],[ID*]], "0000")</f>
        <v>CONF-0139</v>
      </c>
      <c r="D140" s="11" t="s">
        <v>623</v>
      </c>
      <c r="E140" t="str">
        <f>SUBSTITUTE(us_core_reqs[[#This Row],[URL*]], "https://hl7.org/fhir/us/core/STU8/","")</f>
        <v>scopes.html#scopes-for-requesting-fhir-resources-by-type</v>
      </c>
      <c r="F140" s="11" t="s">
        <v>679</v>
      </c>
      <c r="G140" t="s">
        <v>29</v>
      </c>
      <c r="I140" t="s">
        <v>30</v>
      </c>
      <c r="J140" t="s">
        <v>1171</v>
      </c>
      <c r="K140" t="s">
        <v>1171</v>
      </c>
      <c r="L140" t="s">
        <v>1176</v>
      </c>
      <c r="M140" t="s">
        <v>174</v>
      </c>
      <c r="N140" t="s">
        <v>1171</v>
      </c>
      <c r="O140" t="s">
        <v>1171</v>
      </c>
      <c r="P140" t="s">
        <v>1171</v>
      </c>
      <c r="Q140" t="s">
        <v>1171</v>
      </c>
      <c r="R140" t="str">
        <f>_xlfn.TEXTBEFORE(_xlfn.TEXTAFTER(us_core_reqs[[#This Row],[URL*]],"/",-1),".")</f>
        <v>scopes</v>
      </c>
      <c r="S140" t="str">
        <f>_xlfn.TEXTAFTER(us_core_reqs[[#This Row],[URL*]],"#",-1)</f>
        <v>scopes-for-requesting-fhir-resources-by-type</v>
      </c>
      <c r="T140" t="str">
        <f>SUBSTITUTE(SUBSTITUTE(PROPER(SUBSTITUTE(us_core_reqs[[#This Row],[Page]], "-", " "))&amp;": "&amp;PROPER(SUBSTITUTE(us_core_reqs[[#This Row],[Section]], "-", " ")),"Us ","US "), "Uscdi", "USCDI")</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119" x14ac:dyDescent="0.2">
      <c r="A141" t="s">
        <v>1171</v>
      </c>
      <c r="B141" t="s">
        <v>1313</v>
      </c>
      <c r="C141" t="str">
        <f>"CONF-"&amp;TEXT(us_core_reqs[[#This Row],[ID*]], "0000")</f>
        <v>CONF-0140</v>
      </c>
      <c r="D141" s="11" t="s">
        <v>623</v>
      </c>
      <c r="E141" t="str">
        <f>SUBSTITUTE(us_core_reqs[[#This Row],[URL*]], "https://hl7.org/fhir/us/core/STU8/","")</f>
        <v>scopes.html#scopes-for-requesting-fhir-resources-by-type</v>
      </c>
      <c r="F141" s="11" t="s">
        <v>680</v>
      </c>
      <c r="G141" t="s">
        <v>29</v>
      </c>
      <c r="I141" t="s">
        <v>30</v>
      </c>
      <c r="J141" t="s">
        <v>1171</v>
      </c>
      <c r="K141" t="s">
        <v>1171</v>
      </c>
      <c r="L141" t="s">
        <v>1176</v>
      </c>
      <c r="M141" t="s">
        <v>175</v>
      </c>
      <c r="N141" t="s">
        <v>1171</v>
      </c>
      <c r="O141" t="s">
        <v>1171</v>
      </c>
      <c r="P141" t="s">
        <v>1171</v>
      </c>
      <c r="Q141" t="s">
        <v>1171</v>
      </c>
      <c r="R141" t="str">
        <f>_xlfn.TEXTBEFORE(_xlfn.TEXTAFTER(us_core_reqs[[#This Row],[URL*]],"/",-1),".")</f>
        <v>scopes</v>
      </c>
      <c r="S141" t="str">
        <f>_xlfn.TEXTAFTER(us_core_reqs[[#This Row],[URL*]],"#",-1)</f>
        <v>scopes-for-requesting-fhir-resources-by-type</v>
      </c>
      <c r="T141" t="str">
        <f>SUBSTITUTE(SUBSTITUTE(PROPER(SUBSTITUTE(us_core_reqs[[#This Row],[Page]], "-", " "))&amp;": "&amp;PROPER(SUBSTITUTE(us_core_reqs[[#This Row],[Section]], "-", " ")),"Us ","US "), "Uscdi", "USCDI")</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119" x14ac:dyDescent="0.2">
      <c r="A142" t="s">
        <v>1171</v>
      </c>
      <c r="B142" t="s">
        <v>1314</v>
      </c>
      <c r="C142" t="str">
        <f>"CONF-"&amp;TEXT(us_core_reqs[[#This Row],[ID*]], "0000")</f>
        <v>CONF-0141</v>
      </c>
      <c r="D142" s="11" t="s">
        <v>623</v>
      </c>
      <c r="E142" t="str">
        <f>SUBSTITUTE(us_core_reqs[[#This Row],[URL*]], "https://hl7.org/fhir/us/core/STU8/","")</f>
        <v>scopes.html#scopes-for-requesting-fhir-resources-by-type</v>
      </c>
      <c r="F142" s="11" t="s">
        <v>681</v>
      </c>
      <c r="G142" t="s">
        <v>29</v>
      </c>
      <c r="I142" t="s">
        <v>30</v>
      </c>
      <c r="J142" t="s">
        <v>1171</v>
      </c>
      <c r="K142" t="s">
        <v>1171</v>
      </c>
      <c r="L142" t="s">
        <v>1176</v>
      </c>
      <c r="M142" t="s">
        <v>176</v>
      </c>
      <c r="N142" t="s">
        <v>1171</v>
      </c>
      <c r="O142" t="s">
        <v>1171</v>
      </c>
      <c r="P142" t="s">
        <v>1171</v>
      </c>
      <c r="Q142" t="s">
        <v>1171</v>
      </c>
      <c r="R142" t="str">
        <f>_xlfn.TEXTBEFORE(_xlfn.TEXTAFTER(us_core_reqs[[#This Row],[URL*]],"/",-1),".")</f>
        <v>scopes</v>
      </c>
      <c r="S142" t="str">
        <f>_xlfn.TEXTAFTER(us_core_reqs[[#This Row],[URL*]],"#",-1)</f>
        <v>scopes-for-requesting-fhir-resources-by-type</v>
      </c>
      <c r="T142" t="str">
        <f>SUBSTITUTE(SUBSTITUTE(PROPER(SUBSTITUTE(us_core_reqs[[#This Row],[Page]], "-", " "))&amp;": "&amp;PROPER(SUBSTITUTE(us_core_reqs[[#This Row],[Section]], "-", " ")),"Us ","US "), "Uscdi", "USCDI")</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119" x14ac:dyDescent="0.2">
      <c r="A143" t="s">
        <v>1171</v>
      </c>
      <c r="B143" t="s">
        <v>1315</v>
      </c>
      <c r="C143" t="str">
        <f>"CONF-"&amp;TEXT(us_core_reqs[[#This Row],[ID*]], "0000")</f>
        <v>CONF-0142</v>
      </c>
      <c r="D143" s="11" t="s">
        <v>623</v>
      </c>
      <c r="E143" t="str">
        <f>SUBSTITUTE(us_core_reqs[[#This Row],[URL*]], "https://hl7.org/fhir/us/core/STU8/","")</f>
        <v>scopes.html#scopes-for-requesting-fhir-resources-by-type</v>
      </c>
      <c r="F143" s="11" t="s">
        <v>682</v>
      </c>
      <c r="G143" t="s">
        <v>29</v>
      </c>
      <c r="I143" t="s">
        <v>30</v>
      </c>
      <c r="J143" t="s">
        <v>1171</v>
      </c>
      <c r="K143" t="s">
        <v>1171</v>
      </c>
      <c r="L143" t="s">
        <v>1176</v>
      </c>
      <c r="M143" t="s">
        <v>177</v>
      </c>
      <c r="N143" t="s">
        <v>1171</v>
      </c>
      <c r="O143" t="s">
        <v>1171</v>
      </c>
      <c r="P143" t="s">
        <v>1171</v>
      </c>
      <c r="Q143" t="s">
        <v>1171</v>
      </c>
      <c r="R143" t="str">
        <f>_xlfn.TEXTBEFORE(_xlfn.TEXTAFTER(us_core_reqs[[#This Row],[URL*]],"/",-1),".")</f>
        <v>scopes</v>
      </c>
      <c r="S143" t="str">
        <f>_xlfn.TEXTAFTER(us_core_reqs[[#This Row],[URL*]],"#",-1)</f>
        <v>scopes-for-requesting-fhir-resources-by-type</v>
      </c>
      <c r="T143" t="str">
        <f>SUBSTITUTE(SUBSTITUTE(PROPER(SUBSTITUTE(us_core_reqs[[#This Row],[Page]], "-", " "))&amp;": "&amp;PROPER(SUBSTITUTE(us_core_reqs[[#This Row],[Section]], "-", " ")),"Us ","US "), "Uscdi", "USCDI")</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136" x14ac:dyDescent="0.2">
      <c r="A144" t="s">
        <v>1171</v>
      </c>
      <c r="B144" t="s">
        <v>1316</v>
      </c>
      <c r="C144" t="str">
        <f>"CONF-"&amp;TEXT(us_core_reqs[[#This Row],[ID*]], "0000")</f>
        <v>CONF-0143</v>
      </c>
      <c r="D144" s="11" t="s">
        <v>623</v>
      </c>
      <c r="E144" t="str">
        <f>SUBSTITUTE(us_core_reqs[[#This Row],[URL*]], "https://hl7.org/fhir/us/core/STU8/","")</f>
        <v>scopes.html#scopes-for-requesting-fhir-resources-by-type</v>
      </c>
      <c r="F144" s="11" t="s">
        <v>683</v>
      </c>
      <c r="G144" t="s">
        <v>29</v>
      </c>
      <c r="I144" t="s">
        <v>30</v>
      </c>
      <c r="J144" t="s">
        <v>1171</v>
      </c>
      <c r="K144" t="s">
        <v>1171</v>
      </c>
      <c r="L144" t="s">
        <v>1176</v>
      </c>
      <c r="M144" t="s">
        <v>178</v>
      </c>
      <c r="N144" t="s">
        <v>1171</v>
      </c>
      <c r="O144" t="s">
        <v>1171</v>
      </c>
      <c r="P144" t="s">
        <v>1171</v>
      </c>
      <c r="Q144" t="s">
        <v>1171</v>
      </c>
      <c r="R144" t="str">
        <f>_xlfn.TEXTBEFORE(_xlfn.TEXTAFTER(us_core_reqs[[#This Row],[URL*]],"/",-1),".")</f>
        <v>scopes</v>
      </c>
      <c r="S144" t="str">
        <f>_xlfn.TEXTAFTER(us_core_reqs[[#This Row],[URL*]],"#",-1)</f>
        <v>scopes-for-requesting-fhir-resources-by-type</v>
      </c>
      <c r="T144" t="str">
        <f>SUBSTITUTE(SUBSTITUTE(PROPER(SUBSTITUTE(us_core_reqs[[#This Row],[Page]], "-", " "))&amp;": "&amp;PROPER(SUBSTITUTE(us_core_reqs[[#This Row],[Section]], "-", " ")),"Us ","US "), "Uscdi", "USCDI")</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136" x14ac:dyDescent="0.2">
      <c r="A145" t="s">
        <v>1171</v>
      </c>
      <c r="B145" t="s">
        <v>1317</v>
      </c>
      <c r="C145" t="str">
        <f>"CONF-"&amp;TEXT(us_core_reqs[[#This Row],[ID*]], "0000")</f>
        <v>CONF-0144</v>
      </c>
      <c r="D145" s="11" t="s">
        <v>623</v>
      </c>
      <c r="E145" t="str">
        <f>SUBSTITUTE(us_core_reqs[[#This Row],[URL*]], "https://hl7.org/fhir/us/core/STU8/","")</f>
        <v>scopes.html#scopes-for-requesting-fhir-resources-by-type</v>
      </c>
      <c r="F145" s="11" t="s">
        <v>684</v>
      </c>
      <c r="G145" t="s">
        <v>29</v>
      </c>
      <c r="I145" t="s">
        <v>30</v>
      </c>
      <c r="J145" t="s">
        <v>1171</v>
      </c>
      <c r="K145" t="s">
        <v>1171</v>
      </c>
      <c r="L145" t="s">
        <v>1176</v>
      </c>
      <c r="M145" t="s">
        <v>179</v>
      </c>
      <c r="N145" t="s">
        <v>1171</v>
      </c>
      <c r="O145" t="s">
        <v>1171</v>
      </c>
      <c r="P145" t="s">
        <v>1171</v>
      </c>
      <c r="Q145" t="s">
        <v>1171</v>
      </c>
      <c r="R145" t="str">
        <f>_xlfn.TEXTBEFORE(_xlfn.TEXTAFTER(us_core_reqs[[#This Row],[URL*]],"/",-1),".")</f>
        <v>scopes</v>
      </c>
      <c r="S145" t="str">
        <f>_xlfn.TEXTAFTER(us_core_reqs[[#This Row],[URL*]],"#",-1)</f>
        <v>scopes-for-requesting-fhir-resources-by-type</v>
      </c>
      <c r="T145" t="str">
        <f>SUBSTITUTE(SUBSTITUTE(PROPER(SUBSTITUTE(us_core_reqs[[#This Row],[Page]], "-", " "))&amp;": "&amp;PROPER(SUBSTITUTE(us_core_reqs[[#This Row],[Section]], "-", " ")),"Us ","US "), "Uscdi", "USCDI")</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119" x14ac:dyDescent="0.2">
      <c r="A146" t="s">
        <v>1171</v>
      </c>
      <c r="B146" t="s">
        <v>1318</v>
      </c>
      <c r="C146" t="str">
        <f>"CONF-"&amp;TEXT(us_core_reqs[[#This Row],[ID*]], "0000")</f>
        <v>CONF-0145</v>
      </c>
      <c r="D146" s="11" t="s">
        <v>623</v>
      </c>
      <c r="E146" t="str">
        <f>SUBSTITUTE(us_core_reqs[[#This Row],[URL*]], "https://hl7.org/fhir/us/core/STU8/","")</f>
        <v>scopes.html#scopes-for-requesting-fhir-resources-by-type</v>
      </c>
      <c r="F146" s="11" t="s">
        <v>685</v>
      </c>
      <c r="G146" t="s">
        <v>29</v>
      </c>
      <c r="I146" t="s">
        <v>30</v>
      </c>
      <c r="J146" t="s">
        <v>1171</v>
      </c>
      <c r="K146" t="s">
        <v>1171</v>
      </c>
      <c r="L146" t="s">
        <v>1176</v>
      </c>
      <c r="M146" t="s">
        <v>180</v>
      </c>
      <c r="N146" t="s">
        <v>1171</v>
      </c>
      <c r="O146" t="s">
        <v>1171</v>
      </c>
      <c r="P146" t="s">
        <v>1171</v>
      </c>
      <c r="Q146" t="s">
        <v>1171</v>
      </c>
      <c r="R146" t="str">
        <f>_xlfn.TEXTBEFORE(_xlfn.TEXTAFTER(us_core_reqs[[#This Row],[URL*]],"/",-1),".")</f>
        <v>scopes</v>
      </c>
      <c r="S146" t="str">
        <f>_xlfn.TEXTAFTER(us_core_reqs[[#This Row],[URL*]],"#",-1)</f>
        <v>scopes-for-requesting-fhir-resources-by-type</v>
      </c>
      <c r="T146" t="str">
        <f>SUBSTITUTE(SUBSTITUTE(PROPER(SUBSTITUTE(us_core_reqs[[#This Row],[Page]], "-", " "))&amp;": "&amp;PROPER(SUBSTITUTE(us_core_reqs[[#This Row],[Section]], "-", " ")),"Us ","US "), "Uscdi", "USCDI")</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119" x14ac:dyDescent="0.2">
      <c r="A147" t="s">
        <v>1171</v>
      </c>
      <c r="B147" t="s">
        <v>1319</v>
      </c>
      <c r="C147" t="str">
        <f>"CONF-"&amp;TEXT(us_core_reqs[[#This Row],[ID*]], "0000")</f>
        <v>CONF-0146</v>
      </c>
      <c r="D147" s="11" t="s">
        <v>623</v>
      </c>
      <c r="E147" t="str">
        <f>SUBSTITUTE(us_core_reqs[[#This Row],[URL*]], "https://hl7.org/fhir/us/core/STU8/","")</f>
        <v>scopes.html#scopes-for-requesting-fhir-resources-by-type</v>
      </c>
      <c r="F147" s="11" t="s">
        <v>686</v>
      </c>
      <c r="G147" t="s">
        <v>29</v>
      </c>
      <c r="I147" t="s">
        <v>30</v>
      </c>
      <c r="J147" t="s">
        <v>1171</v>
      </c>
      <c r="K147" t="s">
        <v>1171</v>
      </c>
      <c r="L147" t="s">
        <v>1176</v>
      </c>
      <c r="M147" t="s">
        <v>181</v>
      </c>
      <c r="N147" t="s">
        <v>1171</v>
      </c>
      <c r="O147" t="s">
        <v>1171</v>
      </c>
      <c r="P147" t="s">
        <v>1171</v>
      </c>
      <c r="Q147" t="s">
        <v>1171</v>
      </c>
      <c r="R147" t="str">
        <f>_xlfn.TEXTBEFORE(_xlfn.TEXTAFTER(us_core_reqs[[#This Row],[URL*]],"/",-1),".")</f>
        <v>scopes</v>
      </c>
      <c r="S147" t="str">
        <f>_xlfn.TEXTAFTER(us_core_reqs[[#This Row],[URL*]],"#",-1)</f>
        <v>scopes-for-requesting-fhir-resources-by-type</v>
      </c>
      <c r="T147" t="str">
        <f>SUBSTITUTE(SUBSTITUTE(PROPER(SUBSTITUTE(us_core_reqs[[#This Row],[Page]], "-", " "))&amp;": "&amp;PROPER(SUBSTITUTE(us_core_reqs[[#This Row],[Section]], "-", " ")),"Us ","US "), "Uscdi", "USCDI")</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119" x14ac:dyDescent="0.2">
      <c r="A148" t="s">
        <v>1171</v>
      </c>
      <c r="B148" t="s">
        <v>1320</v>
      </c>
      <c r="C148" t="str">
        <f>"CONF-"&amp;TEXT(us_core_reqs[[#This Row],[ID*]], "0000")</f>
        <v>CONF-0147</v>
      </c>
      <c r="D148" s="11" t="s">
        <v>623</v>
      </c>
      <c r="E148" t="str">
        <f>SUBSTITUTE(us_core_reqs[[#This Row],[URL*]], "https://hl7.org/fhir/us/core/STU8/","")</f>
        <v>scopes.html#scopes-for-requesting-fhir-resources-by-type</v>
      </c>
      <c r="F148" s="11" t="s">
        <v>687</v>
      </c>
      <c r="G148" t="s">
        <v>29</v>
      </c>
      <c r="I148" t="s">
        <v>30</v>
      </c>
      <c r="J148" t="s">
        <v>1171</v>
      </c>
      <c r="K148" t="s">
        <v>1171</v>
      </c>
      <c r="L148" t="s">
        <v>1176</v>
      </c>
      <c r="M148" t="s">
        <v>182</v>
      </c>
      <c r="N148" t="s">
        <v>1171</v>
      </c>
      <c r="O148" t="s">
        <v>1171</v>
      </c>
      <c r="P148" t="s">
        <v>1171</v>
      </c>
      <c r="Q148" t="s">
        <v>1171</v>
      </c>
      <c r="R148" t="str">
        <f>_xlfn.TEXTBEFORE(_xlfn.TEXTAFTER(us_core_reqs[[#This Row],[URL*]],"/",-1),".")</f>
        <v>scopes</v>
      </c>
      <c r="S148" t="str">
        <f>_xlfn.TEXTAFTER(us_core_reqs[[#This Row],[URL*]],"#",-1)</f>
        <v>scopes-for-requesting-fhir-resources-by-type</v>
      </c>
      <c r="T148" t="str">
        <f>SUBSTITUTE(SUBSTITUTE(PROPER(SUBSTITUTE(us_core_reqs[[#This Row],[Page]], "-", " "))&amp;": "&amp;PROPER(SUBSTITUTE(us_core_reqs[[#This Row],[Section]], "-", " ")),"Us ","US "), "Uscdi", "USCDI")</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119" x14ac:dyDescent="0.2">
      <c r="A149" t="s">
        <v>1171</v>
      </c>
      <c r="B149" t="s">
        <v>1321</v>
      </c>
      <c r="C149" t="str">
        <f>"CONF-"&amp;TEXT(us_core_reqs[[#This Row],[ID*]], "0000")</f>
        <v>CONF-0148</v>
      </c>
      <c r="D149" s="11" t="s">
        <v>623</v>
      </c>
      <c r="E149" t="str">
        <f>SUBSTITUTE(us_core_reqs[[#This Row],[URL*]], "https://hl7.org/fhir/us/core/STU8/","")</f>
        <v>scopes.html#scopes-for-requesting-fhir-resources-by-type</v>
      </c>
      <c r="F149" s="11" t="s">
        <v>688</v>
      </c>
      <c r="G149" t="s">
        <v>29</v>
      </c>
      <c r="I149" t="s">
        <v>30</v>
      </c>
      <c r="J149" t="s">
        <v>1171</v>
      </c>
      <c r="K149" t="s">
        <v>1171</v>
      </c>
      <c r="L149" t="s">
        <v>1176</v>
      </c>
      <c r="M149" t="s">
        <v>183</v>
      </c>
      <c r="N149" t="s">
        <v>1171</v>
      </c>
      <c r="O149" t="s">
        <v>1171</v>
      </c>
      <c r="P149" t="s">
        <v>1171</v>
      </c>
      <c r="Q149" t="s">
        <v>1171</v>
      </c>
      <c r="R149" t="str">
        <f>_xlfn.TEXTBEFORE(_xlfn.TEXTAFTER(us_core_reqs[[#This Row],[URL*]],"/",-1),".")</f>
        <v>scopes</v>
      </c>
      <c r="S149" t="str">
        <f>_xlfn.TEXTAFTER(us_core_reqs[[#This Row],[URL*]],"#",-1)</f>
        <v>scopes-for-requesting-fhir-resources-by-type</v>
      </c>
      <c r="T149" t="str">
        <f>SUBSTITUTE(SUBSTITUTE(PROPER(SUBSTITUTE(us_core_reqs[[#This Row],[Page]], "-", " "))&amp;": "&amp;PROPER(SUBSTITUTE(us_core_reqs[[#This Row],[Section]], "-", " ")),"Us ","US "), "Uscdi", "USCDI")</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136" x14ac:dyDescent="0.2">
      <c r="A150" t="s">
        <v>1171</v>
      </c>
      <c r="B150" t="s">
        <v>1322</v>
      </c>
      <c r="C150" t="str">
        <f>"CONF-"&amp;TEXT(us_core_reqs[[#This Row],[ID*]], "0000")</f>
        <v>CONF-0149</v>
      </c>
      <c r="D150" s="11" t="s">
        <v>623</v>
      </c>
      <c r="E150" t="str">
        <f>SUBSTITUTE(us_core_reqs[[#This Row],[URL*]], "https://hl7.org/fhir/us/core/STU8/","")</f>
        <v>scopes.html#scopes-for-requesting-fhir-resources-by-type</v>
      </c>
      <c r="F150" s="11" t="s">
        <v>689</v>
      </c>
      <c r="G150" t="s">
        <v>29</v>
      </c>
      <c r="I150" t="s">
        <v>30</v>
      </c>
      <c r="J150" t="s">
        <v>1171</v>
      </c>
      <c r="K150" t="s">
        <v>1171</v>
      </c>
      <c r="L150" t="s">
        <v>1176</v>
      </c>
      <c r="M150" t="s">
        <v>184</v>
      </c>
      <c r="N150" t="s">
        <v>1171</v>
      </c>
      <c r="O150" t="s">
        <v>1171</v>
      </c>
      <c r="P150" t="s">
        <v>1171</v>
      </c>
      <c r="Q150" t="s">
        <v>1171</v>
      </c>
      <c r="R150" t="str">
        <f>_xlfn.TEXTBEFORE(_xlfn.TEXTAFTER(us_core_reqs[[#This Row],[URL*]],"/",-1),".")</f>
        <v>scopes</v>
      </c>
      <c r="S150" t="str">
        <f>_xlfn.TEXTAFTER(us_core_reqs[[#This Row],[URL*]],"#",-1)</f>
        <v>scopes-for-requesting-fhir-resources-by-type</v>
      </c>
      <c r="T150" t="str">
        <f>SUBSTITUTE(SUBSTITUTE(PROPER(SUBSTITUTE(us_core_reqs[[#This Row],[Page]], "-", " "))&amp;": "&amp;PROPER(SUBSTITUTE(us_core_reqs[[#This Row],[Section]], "-", " ")),"Us ","US "), "Uscdi", "USCDI")</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119" x14ac:dyDescent="0.2">
      <c r="A151" t="s">
        <v>1171</v>
      </c>
      <c r="B151" t="s">
        <v>1323</v>
      </c>
      <c r="C151" t="str">
        <f>"CONF-"&amp;TEXT(us_core_reqs[[#This Row],[ID*]], "0000")</f>
        <v>CONF-0150</v>
      </c>
      <c r="D151" s="11" t="s">
        <v>623</v>
      </c>
      <c r="E151" t="str">
        <f>SUBSTITUTE(us_core_reqs[[#This Row],[URL*]], "https://hl7.org/fhir/us/core/STU8/","")</f>
        <v>scopes.html#scopes-for-requesting-fhir-resources-by-type</v>
      </c>
      <c r="F151" s="11" t="s">
        <v>690</v>
      </c>
      <c r="G151" t="s">
        <v>29</v>
      </c>
      <c r="I151" t="s">
        <v>30</v>
      </c>
      <c r="J151" t="s">
        <v>1171</v>
      </c>
      <c r="K151" t="s">
        <v>1171</v>
      </c>
      <c r="L151" t="s">
        <v>1176</v>
      </c>
      <c r="M151" t="s">
        <v>185</v>
      </c>
      <c r="N151" t="s">
        <v>1171</v>
      </c>
      <c r="O151" t="s">
        <v>1171</v>
      </c>
      <c r="P151" t="s">
        <v>1171</v>
      </c>
      <c r="Q151" t="s">
        <v>1171</v>
      </c>
      <c r="R151" t="str">
        <f>_xlfn.TEXTBEFORE(_xlfn.TEXTAFTER(us_core_reqs[[#This Row],[URL*]],"/",-1),".")</f>
        <v>scopes</v>
      </c>
      <c r="S151" t="str">
        <f>_xlfn.TEXTAFTER(us_core_reqs[[#This Row],[URL*]],"#",-1)</f>
        <v>scopes-for-requesting-fhir-resources-by-type</v>
      </c>
      <c r="T151" t="str">
        <f>SUBSTITUTE(SUBSTITUTE(PROPER(SUBSTITUTE(us_core_reqs[[#This Row],[Page]], "-", " "))&amp;": "&amp;PROPER(SUBSTITUTE(us_core_reqs[[#This Row],[Section]], "-", " ")),"Us ","US "), "Uscdi", "USCDI")</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119" x14ac:dyDescent="0.2">
      <c r="A152" t="s">
        <v>1171</v>
      </c>
      <c r="B152" t="s">
        <v>1324</v>
      </c>
      <c r="C152" t="str">
        <f>"CONF-"&amp;TEXT(us_core_reqs[[#This Row],[ID*]], "0000")</f>
        <v>CONF-0151</v>
      </c>
      <c r="D152" s="11" t="s">
        <v>623</v>
      </c>
      <c r="E152" t="str">
        <f>SUBSTITUTE(us_core_reqs[[#This Row],[URL*]], "https://hl7.org/fhir/us/core/STU8/","")</f>
        <v>scopes.html#scopes-for-requesting-fhir-resources-by-type</v>
      </c>
      <c r="F152" s="11" t="s">
        <v>691</v>
      </c>
      <c r="G152" t="s">
        <v>29</v>
      </c>
      <c r="I152" t="s">
        <v>30</v>
      </c>
      <c r="J152" t="s">
        <v>1171</v>
      </c>
      <c r="K152" t="s">
        <v>1171</v>
      </c>
      <c r="L152" t="s">
        <v>1176</v>
      </c>
      <c r="M152" t="s">
        <v>186</v>
      </c>
      <c r="N152" t="s">
        <v>1171</v>
      </c>
      <c r="O152" t="s">
        <v>1171</v>
      </c>
      <c r="P152" t="s">
        <v>1171</v>
      </c>
      <c r="Q152" t="s">
        <v>1171</v>
      </c>
      <c r="R152" t="str">
        <f>_xlfn.TEXTBEFORE(_xlfn.TEXTAFTER(us_core_reqs[[#This Row],[URL*]],"/",-1),".")</f>
        <v>scopes</v>
      </c>
      <c r="S152" t="str">
        <f>_xlfn.TEXTAFTER(us_core_reqs[[#This Row],[URL*]],"#",-1)</f>
        <v>scopes-for-requesting-fhir-resources-by-type</v>
      </c>
      <c r="T152" t="str">
        <f>SUBSTITUTE(SUBSTITUTE(PROPER(SUBSTITUTE(us_core_reqs[[#This Row],[Page]], "-", " "))&amp;": "&amp;PROPER(SUBSTITUTE(us_core_reqs[[#This Row],[Section]], "-", " ")),"Us ","US "), "Uscdi", "USCDI")</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136" x14ac:dyDescent="0.2">
      <c r="A153" t="s">
        <v>1171</v>
      </c>
      <c r="B153" t="s">
        <v>1325</v>
      </c>
      <c r="C153" t="str">
        <f>"CONF-"&amp;TEXT(us_core_reqs[[#This Row],[ID*]], "0000")</f>
        <v>CONF-0152</v>
      </c>
      <c r="D153" s="11" t="s">
        <v>623</v>
      </c>
      <c r="E153" t="str">
        <f>SUBSTITUTE(us_core_reqs[[#This Row],[URL*]], "https://hl7.org/fhir/us/core/STU8/","")</f>
        <v>scopes.html#scopes-for-requesting-fhir-resources-by-type</v>
      </c>
      <c r="F153" s="11" t="s">
        <v>692</v>
      </c>
      <c r="G153" t="s">
        <v>29</v>
      </c>
      <c r="I153" t="s">
        <v>30</v>
      </c>
      <c r="J153" t="s">
        <v>1171</v>
      </c>
      <c r="K153" t="s">
        <v>1171</v>
      </c>
      <c r="L153" t="s">
        <v>1176</v>
      </c>
      <c r="M153" t="s">
        <v>187</v>
      </c>
      <c r="N153" t="s">
        <v>1171</v>
      </c>
      <c r="O153" t="s">
        <v>1171</v>
      </c>
      <c r="P153" t="s">
        <v>1171</v>
      </c>
      <c r="Q153" t="s">
        <v>1171</v>
      </c>
      <c r="R153" t="str">
        <f>_xlfn.TEXTBEFORE(_xlfn.TEXTAFTER(us_core_reqs[[#This Row],[URL*]],"/",-1),".")</f>
        <v>scopes</v>
      </c>
      <c r="S153" t="str">
        <f>_xlfn.TEXTAFTER(us_core_reqs[[#This Row],[URL*]],"#",-1)</f>
        <v>scopes-for-requesting-fhir-resources-by-type</v>
      </c>
      <c r="T153" t="str">
        <f>SUBSTITUTE(SUBSTITUTE(PROPER(SUBSTITUTE(us_core_reqs[[#This Row],[Page]], "-", " "))&amp;": "&amp;PROPER(SUBSTITUTE(us_core_reqs[[#This Row],[Section]], "-", " ")),"Us ","US "), "Uscdi", "USCDI")</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119" x14ac:dyDescent="0.2">
      <c r="A154" t="s">
        <v>1171</v>
      </c>
      <c r="B154" t="s">
        <v>1326</v>
      </c>
      <c r="C154" t="str">
        <f>"CONF-"&amp;TEXT(us_core_reqs[[#This Row],[ID*]], "0000")</f>
        <v>CONF-0153</v>
      </c>
      <c r="D154" s="11" t="s">
        <v>623</v>
      </c>
      <c r="E154" t="str">
        <f>SUBSTITUTE(us_core_reqs[[#This Row],[URL*]], "https://hl7.org/fhir/us/core/STU8/","")</f>
        <v>scopes.html#scopes-for-requesting-fhir-resources-by-type</v>
      </c>
      <c r="F154" s="11" t="s">
        <v>693</v>
      </c>
      <c r="G154" t="s">
        <v>29</v>
      </c>
      <c r="I154" t="s">
        <v>30</v>
      </c>
      <c r="J154" t="s">
        <v>1171</v>
      </c>
      <c r="K154" t="s">
        <v>1171</v>
      </c>
      <c r="L154" t="s">
        <v>1176</v>
      </c>
      <c r="M154" t="s">
        <v>188</v>
      </c>
      <c r="N154" t="s">
        <v>1171</v>
      </c>
      <c r="O154" t="s">
        <v>1171</v>
      </c>
      <c r="P154" t="s">
        <v>1171</v>
      </c>
      <c r="Q154" t="s">
        <v>1171</v>
      </c>
      <c r="R154" t="str">
        <f>_xlfn.TEXTBEFORE(_xlfn.TEXTAFTER(us_core_reqs[[#This Row],[URL*]],"/",-1),".")</f>
        <v>scopes</v>
      </c>
      <c r="S154" t="str">
        <f>_xlfn.TEXTAFTER(us_core_reqs[[#This Row],[URL*]],"#",-1)</f>
        <v>scopes-for-requesting-fhir-resources-by-type</v>
      </c>
      <c r="T154" t="str">
        <f>SUBSTITUTE(SUBSTITUTE(PROPER(SUBSTITUTE(us_core_reqs[[#This Row],[Page]], "-", " "))&amp;": "&amp;PROPER(SUBSTITUTE(us_core_reqs[[#This Row],[Section]], "-", " ")),"Us ","US "), "Uscdi", "USCDI")</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119" x14ac:dyDescent="0.2">
      <c r="A155" t="s">
        <v>1171</v>
      </c>
      <c r="B155" t="s">
        <v>1327</v>
      </c>
      <c r="C155" t="str">
        <f>"CONF-"&amp;TEXT(us_core_reqs[[#This Row],[ID*]], "0000")</f>
        <v>CONF-0154</v>
      </c>
      <c r="D155" s="11" t="s">
        <v>623</v>
      </c>
      <c r="E155" t="str">
        <f>SUBSTITUTE(us_core_reqs[[#This Row],[URL*]], "https://hl7.org/fhir/us/core/STU8/","")</f>
        <v>scopes.html#scopes-for-requesting-fhir-resources-by-type</v>
      </c>
      <c r="F155" s="11" t="s">
        <v>694</v>
      </c>
      <c r="G155" t="s">
        <v>29</v>
      </c>
      <c r="I155" t="s">
        <v>30</v>
      </c>
      <c r="J155" t="s">
        <v>1171</v>
      </c>
      <c r="K155" t="s">
        <v>1171</v>
      </c>
      <c r="L155" t="s">
        <v>1176</v>
      </c>
      <c r="M155" t="s">
        <v>189</v>
      </c>
      <c r="N155" t="s">
        <v>1171</v>
      </c>
      <c r="O155" t="s">
        <v>1171</v>
      </c>
      <c r="P155" t="s">
        <v>1171</v>
      </c>
      <c r="Q155" t="s">
        <v>1171</v>
      </c>
      <c r="R155" t="str">
        <f>_xlfn.TEXTBEFORE(_xlfn.TEXTAFTER(us_core_reqs[[#This Row],[URL*]],"/",-1),".")</f>
        <v>scopes</v>
      </c>
      <c r="S155" t="str">
        <f>_xlfn.TEXTAFTER(us_core_reqs[[#This Row],[URL*]],"#",-1)</f>
        <v>scopes-for-requesting-fhir-resources-by-type</v>
      </c>
      <c r="T155" t="str">
        <f>SUBSTITUTE(SUBSTITUTE(PROPER(SUBSTITUTE(us_core_reqs[[#This Row],[Page]], "-", " "))&amp;": "&amp;PROPER(SUBSTITUTE(us_core_reqs[[#This Row],[Section]], "-", " ")),"Us ","US "), "Uscdi", "USCDI")</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119" x14ac:dyDescent="0.2">
      <c r="A156" t="s">
        <v>1171</v>
      </c>
      <c r="B156" t="s">
        <v>1328</v>
      </c>
      <c r="C156" t="str">
        <f>"CONF-"&amp;TEXT(us_core_reqs[[#This Row],[ID*]], "0000")</f>
        <v>CONF-0155</v>
      </c>
      <c r="D156" s="11" t="s">
        <v>623</v>
      </c>
      <c r="E156" t="str">
        <f>SUBSTITUTE(us_core_reqs[[#This Row],[URL*]], "https://hl7.org/fhir/us/core/STU8/","")</f>
        <v>scopes.html#scopes-for-requesting-fhir-resources-by-type</v>
      </c>
      <c r="F156" s="11" t="s">
        <v>695</v>
      </c>
      <c r="G156" t="s">
        <v>29</v>
      </c>
      <c r="I156" t="s">
        <v>30</v>
      </c>
      <c r="J156" t="s">
        <v>1171</v>
      </c>
      <c r="K156" t="s">
        <v>1171</v>
      </c>
      <c r="L156" t="s">
        <v>1176</v>
      </c>
      <c r="M156" t="s">
        <v>190</v>
      </c>
      <c r="N156" t="s">
        <v>1171</v>
      </c>
      <c r="O156" t="s">
        <v>1171</v>
      </c>
      <c r="P156" t="s">
        <v>1171</v>
      </c>
      <c r="Q156" t="s">
        <v>1171</v>
      </c>
      <c r="R156" t="str">
        <f>_xlfn.TEXTBEFORE(_xlfn.TEXTAFTER(us_core_reqs[[#This Row],[URL*]],"/",-1),".")</f>
        <v>scopes</v>
      </c>
      <c r="S156" t="str">
        <f>_xlfn.TEXTAFTER(us_core_reqs[[#This Row],[URL*]],"#",-1)</f>
        <v>scopes-for-requesting-fhir-resources-by-type</v>
      </c>
      <c r="T156" t="str">
        <f>SUBSTITUTE(SUBSTITUTE(PROPER(SUBSTITUTE(us_core_reqs[[#This Row],[Page]], "-", " "))&amp;": "&amp;PROPER(SUBSTITUTE(us_core_reqs[[#This Row],[Section]], "-", " ")),"Us ","US "), "Uscdi", "USCDI")</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119" x14ac:dyDescent="0.2">
      <c r="A157" t="s">
        <v>1171</v>
      </c>
      <c r="B157" t="s">
        <v>1329</v>
      </c>
      <c r="C157" t="str">
        <f>"CONF-"&amp;TEXT(us_core_reqs[[#This Row],[ID*]], "0000")</f>
        <v>CONF-0156</v>
      </c>
      <c r="D157" s="11" t="s">
        <v>623</v>
      </c>
      <c r="E157" t="str">
        <f>SUBSTITUTE(us_core_reqs[[#This Row],[URL*]], "https://hl7.org/fhir/us/core/STU8/","")</f>
        <v>scopes.html#scopes-for-requesting-fhir-resources-by-type</v>
      </c>
      <c r="F157" s="11" t="s">
        <v>699</v>
      </c>
      <c r="G157" t="s">
        <v>35</v>
      </c>
      <c r="I157" t="s">
        <v>30</v>
      </c>
      <c r="J157" t="s">
        <v>1171</v>
      </c>
      <c r="K157" t="s">
        <v>1171</v>
      </c>
      <c r="L157" t="s">
        <v>1173</v>
      </c>
      <c r="M157" t="s">
        <v>1171</v>
      </c>
      <c r="N157" t="s">
        <v>1171</v>
      </c>
      <c r="O157" t="s">
        <v>1171</v>
      </c>
      <c r="P157" t="s">
        <v>1171</v>
      </c>
      <c r="Q157" t="s">
        <v>1171</v>
      </c>
      <c r="R157" t="str">
        <f>_xlfn.TEXTBEFORE(_xlfn.TEXTAFTER(us_core_reqs[[#This Row],[URL*]],"/",-1),".")</f>
        <v>scopes</v>
      </c>
      <c r="S157" t="str">
        <f>_xlfn.TEXTAFTER(us_core_reqs[[#This Row],[URL*]],"#",-1)</f>
        <v>scopes-for-requesting-fhir-resources-by-type</v>
      </c>
      <c r="T157" t="str">
        <f>SUBSTITUTE(SUBSTITUTE(PROPER(SUBSTITUTE(us_core_reqs[[#This Row],[Page]], "-", " "))&amp;": "&amp;PROPER(SUBSTITUTE(us_core_reqs[[#This Row],[Section]], "-", " ")),"Us ","US "), "Uscdi", "USCDI")</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119" x14ac:dyDescent="0.2">
      <c r="A158" t="s">
        <v>1171</v>
      </c>
      <c r="B158" t="s">
        <v>1330</v>
      </c>
      <c r="C158" t="str">
        <f>"CONF-"&amp;TEXT(us_core_reqs[[#This Row],[ID*]], "0000")</f>
        <v>CONF-0157</v>
      </c>
      <c r="D158" s="11" t="s">
        <v>623</v>
      </c>
      <c r="E158" t="str">
        <f>SUBSTITUTE(us_core_reqs[[#This Row],[URL*]], "https://hl7.org/fhir/us/core/STU8/","")</f>
        <v>scopes.html#scopes-for-requesting-fhir-resources-by-type</v>
      </c>
      <c r="F158" s="11" t="s">
        <v>698</v>
      </c>
      <c r="G158" t="s">
        <v>35</v>
      </c>
      <c r="I158" t="s">
        <v>30</v>
      </c>
      <c r="J158" t="s">
        <v>1171</v>
      </c>
      <c r="K158" t="s">
        <v>1171</v>
      </c>
      <c r="L158" t="s">
        <v>1173</v>
      </c>
      <c r="M158" t="s">
        <v>1171</v>
      </c>
      <c r="N158" t="s">
        <v>1171</v>
      </c>
      <c r="O158" t="s">
        <v>1171</v>
      </c>
      <c r="P158" t="s">
        <v>1171</v>
      </c>
      <c r="Q158" t="s">
        <v>1171</v>
      </c>
      <c r="R158" t="str">
        <f>_xlfn.TEXTBEFORE(_xlfn.TEXTAFTER(us_core_reqs[[#This Row],[URL*]],"/",-1),".")</f>
        <v>scopes</v>
      </c>
      <c r="S158" t="str">
        <f>_xlfn.TEXTAFTER(us_core_reqs[[#This Row],[URL*]],"#",-1)</f>
        <v>scopes-for-requesting-fhir-resources-by-type</v>
      </c>
      <c r="T158" t="str">
        <f>SUBSTITUTE(SUBSTITUTE(PROPER(SUBSTITUTE(us_core_reqs[[#This Row],[Page]], "-", " "))&amp;": "&amp;PROPER(SUBSTITUTE(us_core_reqs[[#This Row],[Section]], "-", " ")),"Us ","US "), "Uscdi", "USCDI")</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36" x14ac:dyDescent="0.2">
      <c r="A159" t="s">
        <v>1171</v>
      </c>
      <c r="B159" t="s">
        <v>1331</v>
      </c>
      <c r="C159" t="str">
        <f>"CONF-"&amp;TEXT(us_core_reqs[[#This Row],[ID*]], "0000")</f>
        <v>CONF-0158</v>
      </c>
      <c r="D159" s="11" t="s">
        <v>624</v>
      </c>
      <c r="E159" t="str">
        <f>SUBSTITUTE(us_core_reqs[[#This Row],[URL*]], "https://hl7.org/fhir/us/core/STU8/","")</f>
        <v>scopes.html#granular-scopes-for-requesting-fhir-resources</v>
      </c>
      <c r="F159" s="11" t="s">
        <v>702</v>
      </c>
      <c r="G159" t="s">
        <v>29</v>
      </c>
      <c r="I159" t="s">
        <v>30</v>
      </c>
      <c r="J159" t="s">
        <v>1171</v>
      </c>
      <c r="K159" t="s">
        <v>1171</v>
      </c>
      <c r="L159" t="s">
        <v>1173</v>
      </c>
      <c r="M159" t="s">
        <v>1171</v>
      </c>
      <c r="N159" t="s">
        <v>1171</v>
      </c>
      <c r="O159" t="s">
        <v>1171</v>
      </c>
      <c r="P159" t="s">
        <v>1171</v>
      </c>
      <c r="Q159" t="s">
        <v>1171</v>
      </c>
      <c r="R159" t="str">
        <f>_xlfn.TEXTBEFORE(_xlfn.TEXTAFTER(us_core_reqs[[#This Row],[URL*]],"/",-1),".")</f>
        <v>scopes</v>
      </c>
      <c r="S159" t="str">
        <f>_xlfn.TEXTAFTER(us_core_reqs[[#This Row],[URL*]],"#",-1)</f>
        <v>granular-scopes-for-requesting-fhir-resources</v>
      </c>
      <c r="T159" t="str">
        <f>SUBSTITUTE(SUBSTITUTE(PROPER(SUBSTITUTE(us_core_reqs[[#This Row],[Page]], "-", " "))&amp;": "&amp;PROPER(SUBSTITUTE(us_core_reqs[[#This Row],[Section]], "-", " ")),"Us ","US "), "Uscdi", "USCDI")</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36" x14ac:dyDescent="0.2">
      <c r="A160" t="s">
        <v>1171</v>
      </c>
      <c r="B160" t="s">
        <v>1332</v>
      </c>
      <c r="C160" t="str">
        <f>"CONF-"&amp;TEXT(us_core_reqs[[#This Row],[ID*]], "0000")</f>
        <v>CONF-0159</v>
      </c>
      <c r="D160" s="11" t="s">
        <v>624</v>
      </c>
      <c r="E160" t="str">
        <f>SUBSTITUTE(us_core_reqs[[#This Row],[URL*]], "https://hl7.org/fhir/us/core/STU8/","")</f>
        <v>scopes.html#granular-scopes-for-requesting-fhir-resources</v>
      </c>
      <c r="F160" s="11" t="s">
        <v>703</v>
      </c>
      <c r="G160" t="s">
        <v>29</v>
      </c>
      <c r="I160" t="s">
        <v>30</v>
      </c>
      <c r="J160" t="s">
        <v>1171</v>
      </c>
      <c r="K160" t="s">
        <v>1171</v>
      </c>
      <c r="L160" t="s">
        <v>1173</v>
      </c>
      <c r="M160" t="s">
        <v>1171</v>
      </c>
      <c r="N160" t="s">
        <v>1171</v>
      </c>
      <c r="O160" t="s">
        <v>1171</v>
      </c>
      <c r="P160" t="s">
        <v>1171</v>
      </c>
      <c r="Q160" t="s">
        <v>1171</v>
      </c>
      <c r="R160" t="str">
        <f>_xlfn.TEXTBEFORE(_xlfn.TEXTAFTER(us_core_reqs[[#This Row],[URL*]],"/",-1),".")</f>
        <v>scopes</v>
      </c>
      <c r="S160" t="str">
        <f>_xlfn.TEXTAFTER(us_core_reqs[[#This Row],[URL*]],"#",-1)</f>
        <v>granular-scopes-for-requesting-fhir-resources</v>
      </c>
      <c r="T160" t="str">
        <f>SUBSTITUTE(SUBSTITUTE(PROPER(SUBSTITUTE(us_core_reqs[[#This Row],[Page]], "-", " "))&amp;": "&amp;PROPER(SUBSTITUTE(us_core_reqs[[#This Row],[Section]], "-", " ")),"Us ","US "), "Uscdi", "USCDI")</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36" x14ac:dyDescent="0.2">
      <c r="A161" t="s">
        <v>1171</v>
      </c>
      <c r="B161" t="s">
        <v>1333</v>
      </c>
      <c r="C161" t="str">
        <f>"CONF-"&amp;TEXT(us_core_reqs[[#This Row],[ID*]], "0000")</f>
        <v>CONF-0160</v>
      </c>
      <c r="D161" s="11" t="s">
        <v>624</v>
      </c>
      <c r="E161" t="str">
        <f>SUBSTITUTE(us_core_reqs[[#This Row],[URL*]], "https://hl7.org/fhir/us/core/STU8/","")</f>
        <v>scopes.html#granular-scopes-for-requesting-fhir-resources</v>
      </c>
      <c r="F161" s="11" t="s">
        <v>704</v>
      </c>
      <c r="G161" t="s">
        <v>29</v>
      </c>
      <c r="I161" t="s">
        <v>30</v>
      </c>
      <c r="J161" t="s">
        <v>1171</v>
      </c>
      <c r="K161" t="s">
        <v>1171</v>
      </c>
      <c r="L161" t="s">
        <v>1173</v>
      </c>
      <c r="M161" t="s">
        <v>1171</v>
      </c>
      <c r="N161" t="s">
        <v>1171</v>
      </c>
      <c r="O161" t="s">
        <v>1171</v>
      </c>
      <c r="P161" t="s">
        <v>1171</v>
      </c>
      <c r="Q161" t="s">
        <v>1171</v>
      </c>
      <c r="R161" t="str">
        <f>_xlfn.TEXTBEFORE(_xlfn.TEXTAFTER(us_core_reqs[[#This Row],[URL*]],"/",-1),".")</f>
        <v>scopes</v>
      </c>
      <c r="S161" t="str">
        <f>_xlfn.TEXTAFTER(us_core_reqs[[#This Row],[URL*]],"#",-1)</f>
        <v>granular-scopes-for-requesting-fhir-resources</v>
      </c>
      <c r="T161" t="str">
        <f>SUBSTITUTE(SUBSTITUTE(PROPER(SUBSTITUTE(us_core_reqs[[#This Row],[Page]], "-", " "))&amp;": "&amp;PROPER(SUBSTITUTE(us_core_reqs[[#This Row],[Section]], "-", " ")),"Us ","US "), "Uscdi", "USCDI")</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36" x14ac:dyDescent="0.2">
      <c r="A162" t="s">
        <v>1171</v>
      </c>
      <c r="B162" t="s">
        <v>1334</v>
      </c>
      <c r="C162" t="str">
        <f>"CONF-"&amp;TEXT(us_core_reqs[[#This Row],[ID*]], "0000")</f>
        <v>CONF-0161</v>
      </c>
      <c r="D162" s="11" t="s">
        <v>624</v>
      </c>
      <c r="E162" t="str">
        <f>SUBSTITUTE(us_core_reqs[[#This Row],[URL*]], "https://hl7.org/fhir/us/core/STU8/","")</f>
        <v>scopes.html#granular-scopes-for-requesting-fhir-resources</v>
      </c>
      <c r="F162" s="11" t="s">
        <v>705</v>
      </c>
      <c r="G162" t="s">
        <v>29</v>
      </c>
      <c r="I162" t="s">
        <v>30</v>
      </c>
      <c r="J162" t="s">
        <v>1171</v>
      </c>
      <c r="K162" t="s">
        <v>1171</v>
      </c>
      <c r="L162" t="s">
        <v>1173</v>
      </c>
      <c r="M162" t="s">
        <v>1171</v>
      </c>
      <c r="N162" t="s">
        <v>1171</v>
      </c>
      <c r="O162" t="s">
        <v>1171</v>
      </c>
      <c r="P162" t="s">
        <v>1171</v>
      </c>
      <c r="Q162" t="s">
        <v>1171</v>
      </c>
      <c r="R162" t="str">
        <f>_xlfn.TEXTBEFORE(_xlfn.TEXTAFTER(us_core_reqs[[#This Row],[URL*]],"/",-1),".")</f>
        <v>scopes</v>
      </c>
      <c r="S162" t="str">
        <f>_xlfn.TEXTAFTER(us_core_reqs[[#This Row],[URL*]],"#",-1)</f>
        <v>granular-scopes-for-requesting-fhir-resources</v>
      </c>
      <c r="T162" t="str">
        <f>SUBSTITUTE(SUBSTITUTE(PROPER(SUBSTITUTE(us_core_reqs[[#This Row],[Page]], "-", " "))&amp;": "&amp;PROPER(SUBSTITUTE(us_core_reqs[[#This Row],[Section]], "-", " ")),"Us ","US "), "Uscdi", "USCDI")</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36" x14ac:dyDescent="0.2">
      <c r="A163" t="s">
        <v>1171</v>
      </c>
      <c r="B163" t="s">
        <v>1335</v>
      </c>
      <c r="C163" t="str">
        <f>"CONF-"&amp;TEXT(us_core_reqs[[#This Row],[ID*]], "0000")</f>
        <v>CONF-0162</v>
      </c>
      <c r="D163" s="11" t="s">
        <v>624</v>
      </c>
      <c r="E163" t="str">
        <f>SUBSTITUTE(us_core_reqs[[#This Row],[URL*]], "https://hl7.org/fhir/us/core/STU8/","")</f>
        <v>scopes.html#granular-scopes-for-requesting-fhir-resources</v>
      </c>
      <c r="F163" s="11" t="s">
        <v>706</v>
      </c>
      <c r="G163" t="s">
        <v>29</v>
      </c>
      <c r="I163" t="s">
        <v>30</v>
      </c>
      <c r="J163" t="s">
        <v>1171</v>
      </c>
      <c r="K163" t="s">
        <v>1171</v>
      </c>
      <c r="L163" t="s">
        <v>1173</v>
      </c>
      <c r="M163" t="s">
        <v>1171</v>
      </c>
      <c r="N163" t="s">
        <v>1171</v>
      </c>
      <c r="O163" t="s">
        <v>1171</v>
      </c>
      <c r="P163" t="s">
        <v>1171</v>
      </c>
      <c r="Q163" t="s">
        <v>1171</v>
      </c>
      <c r="R163" t="str">
        <f>_xlfn.TEXTBEFORE(_xlfn.TEXTAFTER(us_core_reqs[[#This Row],[URL*]],"/",-1),".")</f>
        <v>scopes</v>
      </c>
      <c r="S163" t="str">
        <f>_xlfn.TEXTAFTER(us_core_reqs[[#This Row],[URL*]],"#",-1)</f>
        <v>granular-scopes-for-requesting-fhir-resources</v>
      </c>
      <c r="T163" t="str">
        <f>SUBSTITUTE(SUBSTITUTE(PROPER(SUBSTITUTE(us_core_reqs[[#This Row],[Page]], "-", " "))&amp;": "&amp;PROPER(SUBSTITUTE(us_core_reqs[[#This Row],[Section]], "-", " ")),"Us ","US "), "Uscdi", "USCDI")</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36" x14ac:dyDescent="0.2">
      <c r="A164" t="s">
        <v>1171</v>
      </c>
      <c r="B164" t="s">
        <v>1336</v>
      </c>
      <c r="C164" t="str">
        <f>"CONF-"&amp;TEXT(us_core_reqs[[#This Row],[ID*]], "0000")</f>
        <v>CONF-0163</v>
      </c>
      <c r="D164" s="11" t="s">
        <v>624</v>
      </c>
      <c r="E164" t="str">
        <f>SUBSTITUTE(us_core_reqs[[#This Row],[URL*]], "https://hl7.org/fhir/us/core/STU8/","")</f>
        <v>scopes.html#granular-scopes-for-requesting-fhir-resources</v>
      </c>
      <c r="F164" s="11" t="s">
        <v>707</v>
      </c>
      <c r="G164" t="s">
        <v>29</v>
      </c>
      <c r="I164" t="s">
        <v>30</v>
      </c>
      <c r="J164" t="s">
        <v>1171</v>
      </c>
      <c r="K164" t="s">
        <v>1171</v>
      </c>
      <c r="L164" t="s">
        <v>1173</v>
      </c>
      <c r="M164" t="s">
        <v>1171</v>
      </c>
      <c r="N164" t="s">
        <v>1171</v>
      </c>
      <c r="O164" t="s">
        <v>1171</v>
      </c>
      <c r="P164" t="s">
        <v>1171</v>
      </c>
      <c r="Q164" t="s">
        <v>1171</v>
      </c>
      <c r="R164" t="str">
        <f>_xlfn.TEXTBEFORE(_xlfn.TEXTAFTER(us_core_reqs[[#This Row],[URL*]],"/",-1),".")</f>
        <v>scopes</v>
      </c>
      <c r="S164" t="str">
        <f>_xlfn.TEXTAFTER(us_core_reqs[[#This Row],[URL*]],"#",-1)</f>
        <v>granular-scopes-for-requesting-fhir-resources</v>
      </c>
      <c r="T164" t="str">
        <f>SUBSTITUTE(SUBSTITUTE(PROPER(SUBSTITUTE(us_core_reqs[[#This Row],[Page]], "-", " "))&amp;": "&amp;PROPER(SUBSTITUTE(us_core_reqs[[#This Row],[Section]], "-", " ")),"Us ","US "), "Uscdi", "USCDI")</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36" x14ac:dyDescent="0.2">
      <c r="A165" t="s">
        <v>1171</v>
      </c>
      <c r="B165" t="s">
        <v>1337</v>
      </c>
      <c r="C165" t="str">
        <f>"CONF-"&amp;TEXT(us_core_reqs[[#This Row],[ID*]], "0000")</f>
        <v>CONF-0164</v>
      </c>
      <c r="D165" s="11" t="s">
        <v>624</v>
      </c>
      <c r="E165" t="str">
        <f>SUBSTITUTE(us_core_reqs[[#This Row],[URL*]], "https://hl7.org/fhir/us/core/STU8/","")</f>
        <v>scopes.html#granular-scopes-for-requesting-fhir-resources</v>
      </c>
      <c r="F165" s="11" t="s">
        <v>708</v>
      </c>
      <c r="G165" t="s">
        <v>29</v>
      </c>
      <c r="I165" t="s">
        <v>30</v>
      </c>
      <c r="J165" t="s">
        <v>1171</v>
      </c>
      <c r="K165" t="s">
        <v>1171</v>
      </c>
      <c r="L165" t="s">
        <v>1173</v>
      </c>
      <c r="M165" t="s">
        <v>1171</v>
      </c>
      <c r="N165" t="s">
        <v>1171</v>
      </c>
      <c r="O165" t="s">
        <v>1171</v>
      </c>
      <c r="P165" t="s">
        <v>1171</v>
      </c>
      <c r="Q165" t="s">
        <v>1171</v>
      </c>
      <c r="R165" t="str">
        <f>_xlfn.TEXTBEFORE(_xlfn.TEXTAFTER(us_core_reqs[[#This Row],[URL*]],"/",-1),".")</f>
        <v>scopes</v>
      </c>
      <c r="S165" t="str">
        <f>_xlfn.TEXTAFTER(us_core_reqs[[#This Row],[URL*]],"#",-1)</f>
        <v>granular-scopes-for-requesting-fhir-resources</v>
      </c>
      <c r="T165" t="str">
        <f>SUBSTITUTE(SUBSTITUTE(PROPER(SUBSTITUTE(us_core_reqs[[#This Row],[Page]], "-", " "))&amp;": "&amp;PROPER(SUBSTITUTE(us_core_reqs[[#This Row],[Section]], "-", " ")),"Us ","US "), "Uscdi", "USCDI")</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36" x14ac:dyDescent="0.2">
      <c r="A166" t="s">
        <v>1171</v>
      </c>
      <c r="B166" t="s">
        <v>1338</v>
      </c>
      <c r="C166" t="str">
        <f>"CONF-"&amp;TEXT(us_core_reqs[[#This Row],[ID*]], "0000")</f>
        <v>CONF-0165</v>
      </c>
      <c r="D166" s="11" t="s">
        <v>624</v>
      </c>
      <c r="E166" t="str">
        <f>SUBSTITUTE(us_core_reqs[[#This Row],[URL*]], "https://hl7.org/fhir/us/core/STU8/","")</f>
        <v>scopes.html#granular-scopes-for-requesting-fhir-resources</v>
      </c>
      <c r="F166" s="11" t="s">
        <v>709</v>
      </c>
      <c r="G166" t="s">
        <v>29</v>
      </c>
      <c r="I166" t="s">
        <v>30</v>
      </c>
      <c r="J166" t="s">
        <v>1171</v>
      </c>
      <c r="K166" t="s">
        <v>1171</v>
      </c>
      <c r="L166" t="s">
        <v>1173</v>
      </c>
      <c r="M166" t="s">
        <v>1171</v>
      </c>
      <c r="N166" t="s">
        <v>1171</v>
      </c>
      <c r="O166" t="s">
        <v>1171</v>
      </c>
      <c r="P166" t="s">
        <v>1171</v>
      </c>
      <c r="Q166" t="s">
        <v>1171</v>
      </c>
      <c r="R166" t="str">
        <f>_xlfn.TEXTBEFORE(_xlfn.TEXTAFTER(us_core_reqs[[#This Row],[URL*]],"/",-1),".")</f>
        <v>scopes</v>
      </c>
      <c r="S166" t="str">
        <f>_xlfn.TEXTAFTER(us_core_reqs[[#This Row],[URL*]],"#",-1)</f>
        <v>granular-scopes-for-requesting-fhir-resources</v>
      </c>
      <c r="T166" t="str">
        <f>SUBSTITUTE(SUBSTITUTE(PROPER(SUBSTITUTE(us_core_reqs[[#This Row],[Page]], "-", " "))&amp;": "&amp;PROPER(SUBSTITUTE(us_core_reqs[[#This Row],[Section]], "-", " ")),"Us ","US "), "Uscdi", "USCDI")</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53" x14ac:dyDescent="0.2">
      <c r="A167" t="s">
        <v>1171</v>
      </c>
      <c r="B167" t="s">
        <v>1339</v>
      </c>
      <c r="C167" t="str">
        <f>"CONF-"&amp;TEXT(us_core_reqs[[#This Row],[ID*]], "0000")</f>
        <v>CONF-0166</v>
      </c>
      <c r="D167" s="11" t="s">
        <v>624</v>
      </c>
      <c r="E167" t="str">
        <f>SUBSTITUTE(us_core_reqs[[#This Row],[URL*]], "https://hl7.org/fhir/us/core/STU8/","")</f>
        <v>scopes.html#granular-scopes-for-requesting-fhir-resources</v>
      </c>
      <c r="F167" s="11" t="s">
        <v>710</v>
      </c>
      <c r="G167" t="s">
        <v>32</v>
      </c>
      <c r="I167" t="s">
        <v>30</v>
      </c>
      <c r="J167" t="s">
        <v>1171</v>
      </c>
      <c r="K167" t="s">
        <v>1171</v>
      </c>
      <c r="L167" t="s">
        <v>1173</v>
      </c>
      <c r="M167" t="s">
        <v>1171</v>
      </c>
      <c r="N167" t="s">
        <v>1171</v>
      </c>
      <c r="O167" t="s">
        <v>1171</v>
      </c>
      <c r="P167" t="s">
        <v>1171</v>
      </c>
      <c r="Q167" t="s">
        <v>1171</v>
      </c>
      <c r="R167" t="str">
        <f>_xlfn.TEXTBEFORE(_xlfn.TEXTAFTER(us_core_reqs[[#This Row],[URL*]],"/",-1),".")</f>
        <v>scopes</v>
      </c>
      <c r="S167" t="str">
        <f>_xlfn.TEXTAFTER(us_core_reqs[[#This Row],[URL*]],"#",-1)</f>
        <v>granular-scopes-for-requesting-fhir-resources</v>
      </c>
      <c r="T167" t="str">
        <f>SUBSTITUTE(SUBSTITUTE(PROPER(SUBSTITUTE(us_core_reqs[[#This Row],[Page]], "-", " "))&amp;": "&amp;PROPER(SUBSTITUTE(us_core_reqs[[#This Row],[Section]], "-", " ")),"Us ","US "), "Uscdi", "USCDI")</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85" x14ac:dyDescent="0.2">
      <c r="A168" t="s">
        <v>1171</v>
      </c>
      <c r="B168" t="s">
        <v>1340</v>
      </c>
      <c r="C168" t="str">
        <f>"CONF-"&amp;TEXT(us_core_reqs[[#This Row],[ID*]], "0000")</f>
        <v>CONF-0167</v>
      </c>
      <c r="D168" s="11" t="s">
        <v>986</v>
      </c>
      <c r="E168" t="str">
        <f>SUBSTITUTE(us_core_reqs[[#This Row],[URL*]], "https://hl7.org/fhir/us/core/STU8/","")</f>
        <v>scopes.html#Servers-shall-support-the-following-metadata-in-their-well-knownsmart-configuration</v>
      </c>
      <c r="F168" s="11" t="s">
        <v>1900</v>
      </c>
      <c r="G168" t="s">
        <v>29</v>
      </c>
      <c r="I168" t="s">
        <v>30</v>
      </c>
      <c r="J168" t="s">
        <v>1171</v>
      </c>
      <c r="K168" t="s">
        <v>192</v>
      </c>
      <c r="L168" t="s">
        <v>1173</v>
      </c>
      <c r="M168" t="s">
        <v>1171</v>
      </c>
      <c r="N168" t="s">
        <v>1171</v>
      </c>
      <c r="O168" t="s">
        <v>1171</v>
      </c>
      <c r="P168" t="s">
        <v>1171</v>
      </c>
      <c r="Q168" t="s">
        <v>1171</v>
      </c>
      <c r="R168" t="str">
        <f>_xlfn.TEXTBEFORE(_xlfn.TEXTAFTER(us_core_reqs[[#This Row],[URL*]],"/",-1),".")</f>
        <v>scopes</v>
      </c>
      <c r="S168" t="str">
        <f>_xlfn.TEXTAFTER(us_core_reqs[[#This Row],[URL*]],"#",-1)</f>
        <v>Servers-shall-support-the-following-metadata-in-their-well-knownsmart-configuration</v>
      </c>
      <c r="T168" t="str">
        <f>SUBSTITUTE(SUBSTITUTE(PROPER(SUBSTITUTE(us_core_reqs[[#This Row],[Page]], "-", " "))&amp;": "&amp;PROPER(SUBSTITUTE(us_core_reqs[[#This Row],[Section]], "-", " ")),"Us ","US "), "Uscdi", "USCDI")</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119" x14ac:dyDescent="0.2">
      <c r="A169" t="s">
        <v>1171</v>
      </c>
      <c r="B169" t="s">
        <v>1341</v>
      </c>
      <c r="C169" t="str">
        <f>"CONF-"&amp;TEXT(us_core_reqs[[#This Row],[ID*]], "0000")</f>
        <v>CONF-0168</v>
      </c>
      <c r="D169" s="11" t="s">
        <v>625</v>
      </c>
      <c r="E169" t="str">
        <f>SUBSTITUTE(us_core_reqs[[#This Row],[URL*]], "https://hl7.org/fhir/us/core/STU8/","")</f>
        <v>scopes.html#additional-us-core-requirements</v>
      </c>
      <c r="F169" s="11" t="s">
        <v>1901</v>
      </c>
      <c r="G169" t="s">
        <v>29</v>
      </c>
      <c r="I169" t="s">
        <v>30</v>
      </c>
      <c r="J169" t="s">
        <v>1171</v>
      </c>
      <c r="K169" t="s">
        <v>1171</v>
      </c>
      <c r="L169" t="s">
        <v>1173</v>
      </c>
      <c r="M169" t="s">
        <v>1171</v>
      </c>
      <c r="N169" t="s">
        <v>1171</v>
      </c>
      <c r="O169" t="s">
        <v>1171</v>
      </c>
      <c r="P169" t="s">
        <v>1171</v>
      </c>
      <c r="Q169" t="s">
        <v>1171</v>
      </c>
      <c r="R169" t="str">
        <f>_xlfn.TEXTBEFORE(_xlfn.TEXTAFTER(us_core_reqs[[#This Row],[URL*]],"/",-1),".")</f>
        <v>scopes</v>
      </c>
      <c r="S169" t="str">
        <f>_xlfn.TEXTAFTER(us_core_reqs[[#This Row],[URL*]],"#",-1)</f>
        <v>additional-us-core-requirements</v>
      </c>
      <c r="T169" t="str">
        <f>SUBSTITUTE(SUBSTITUTE(PROPER(SUBSTITUTE(us_core_reqs[[#This Row],[Page]], "-", " "))&amp;": "&amp;PROPER(SUBSTITUTE(us_core_reqs[[#This Row],[Section]], "-", " ")),"Us ","US "), "Uscdi", "USCDI")</f>
        <v>Scopes: Additional US Core Requirements</v>
      </c>
      <c r="U169" t="s">
        <v>35</v>
      </c>
      <c r="V169" t="s">
        <v>30</v>
      </c>
      <c r="W169" t="s">
        <v>195</v>
      </c>
      <c r="X169" t="s">
        <v>1171</v>
      </c>
      <c r="Y169" t="s">
        <v>1171</v>
      </c>
      <c r="Z169" t="s">
        <v>1171</v>
      </c>
      <c r="AA169" t="s">
        <v>1171</v>
      </c>
      <c r="AB169" t="s">
        <v>989</v>
      </c>
      <c r="AC169" t="s">
        <v>1140</v>
      </c>
      <c r="AD169" t="s">
        <v>1171</v>
      </c>
    </row>
    <row r="170" spans="1:30" ht="119" x14ac:dyDescent="0.2">
      <c r="A170" t="s">
        <v>1171</v>
      </c>
      <c r="B170" t="s">
        <v>1342</v>
      </c>
      <c r="C170" t="str">
        <f>"CONF-"&amp;TEXT(us_core_reqs[[#This Row],[ID*]], "0000")</f>
        <v>CONF-0169</v>
      </c>
      <c r="D170" s="11" t="s">
        <v>625</v>
      </c>
      <c r="E170" t="str">
        <f>SUBSTITUTE(us_core_reqs[[#This Row],[URL*]], "https://hl7.org/fhir/us/core/STU8/","")</f>
        <v>scopes.html#additional-us-core-requirements</v>
      </c>
      <c r="F170" s="11" t="s">
        <v>990</v>
      </c>
      <c r="G170" t="s">
        <v>35</v>
      </c>
      <c r="I170" t="s">
        <v>30</v>
      </c>
      <c r="J170" t="s">
        <v>1171</v>
      </c>
      <c r="K170" t="s">
        <v>1171</v>
      </c>
      <c r="L170" t="s">
        <v>1173</v>
      </c>
      <c r="M170" t="s">
        <v>1171</v>
      </c>
      <c r="N170" t="s">
        <v>1171</v>
      </c>
      <c r="O170" t="s">
        <v>1171</v>
      </c>
      <c r="P170" t="s">
        <v>1171</v>
      </c>
      <c r="Q170" t="s">
        <v>1171</v>
      </c>
      <c r="R170" t="str">
        <f>_xlfn.TEXTBEFORE(_xlfn.TEXTAFTER(us_core_reqs[[#This Row],[URL*]],"/",-1),".")</f>
        <v>scopes</v>
      </c>
      <c r="S170" t="str">
        <f>_xlfn.TEXTAFTER(us_core_reqs[[#This Row],[URL*]],"#",-1)</f>
        <v>additional-us-core-requirements</v>
      </c>
      <c r="T170" t="str">
        <f>SUBSTITUTE(SUBSTITUTE(PROPER(SUBSTITUTE(us_core_reqs[[#This Row],[Page]], "-", " "))&amp;": "&amp;PROPER(SUBSTITUTE(us_core_reqs[[#This Row],[Section]], "-", " ")),"Us ","US "), "Uscdi", "USCDI")</f>
        <v>Scopes: Additional US Core Requirements</v>
      </c>
      <c r="U170" t="s">
        <v>35</v>
      </c>
      <c r="V170" t="s">
        <v>30</v>
      </c>
      <c r="W170" t="s">
        <v>1171</v>
      </c>
      <c r="X170" t="s">
        <v>1171</v>
      </c>
      <c r="Y170" t="s">
        <v>1171</v>
      </c>
      <c r="Z170" t="s">
        <v>1171</v>
      </c>
      <c r="AA170" t="s">
        <v>1171</v>
      </c>
      <c r="AB170" t="s">
        <v>1171</v>
      </c>
      <c r="AC170" t="s">
        <v>1171</v>
      </c>
      <c r="AD170" t="s">
        <v>1171</v>
      </c>
    </row>
    <row r="171" spans="1:30" ht="119" x14ac:dyDescent="0.2">
      <c r="A171" t="s">
        <v>1171</v>
      </c>
      <c r="B171" t="s">
        <v>1343</v>
      </c>
      <c r="C171" t="str">
        <f>"CONF-"&amp;TEXT(us_core_reqs[[#This Row],[ID*]], "0000")</f>
        <v>CONF-0170</v>
      </c>
      <c r="D171" s="11" t="s">
        <v>625</v>
      </c>
      <c r="E171" t="str">
        <f>SUBSTITUTE(us_core_reqs[[#This Row],[URL*]], "https://hl7.org/fhir/us/core/STU8/","")</f>
        <v>scopes.html#additional-us-core-requirements</v>
      </c>
      <c r="F171" s="11" t="s">
        <v>2052</v>
      </c>
      <c r="G171" t="s">
        <v>35</v>
      </c>
      <c r="I171" t="s">
        <v>30</v>
      </c>
      <c r="J171" t="s">
        <v>1171</v>
      </c>
      <c r="K171" t="s">
        <v>1171</v>
      </c>
      <c r="L171" t="s">
        <v>1173</v>
      </c>
      <c r="M171" t="s">
        <v>1171</v>
      </c>
      <c r="N171" t="s">
        <v>1171</v>
      </c>
      <c r="O171" t="s">
        <v>1171</v>
      </c>
      <c r="P171" t="s">
        <v>1171</v>
      </c>
      <c r="Q171" t="s">
        <v>1171</v>
      </c>
      <c r="R171" t="str">
        <f>_xlfn.TEXTBEFORE(_xlfn.TEXTAFTER(us_core_reqs[[#This Row],[URL*]],"/",-1),".")</f>
        <v>scopes</v>
      </c>
      <c r="S171" t="str">
        <f>_xlfn.TEXTAFTER(us_core_reqs[[#This Row],[URL*]],"#",-1)</f>
        <v>additional-us-core-requirements</v>
      </c>
      <c r="T171" t="str">
        <f>SUBSTITUTE(SUBSTITUTE(PROPER(SUBSTITUTE(us_core_reqs[[#This Row],[Page]], "-", " "))&amp;": "&amp;PROPER(SUBSTITUTE(us_core_reqs[[#This Row],[Section]], "-", " ")),"Us ","US "), "Uscdi", "USCDI")</f>
        <v>Scopes: Additional US Core Requirements</v>
      </c>
      <c r="U171" t="s">
        <v>35</v>
      </c>
      <c r="V171" t="s">
        <v>30</v>
      </c>
      <c r="W171" t="s">
        <v>1171</v>
      </c>
      <c r="X171" t="s">
        <v>1171</v>
      </c>
      <c r="Y171" t="s">
        <v>1171</v>
      </c>
      <c r="Z171" t="s">
        <v>1171</v>
      </c>
      <c r="AA171" t="s">
        <v>1171</v>
      </c>
      <c r="AB171" t="s">
        <v>1171</v>
      </c>
      <c r="AC171" t="s">
        <v>1171</v>
      </c>
      <c r="AD171" t="s">
        <v>1171</v>
      </c>
    </row>
    <row r="172" spans="1:30" ht="119" x14ac:dyDescent="0.2">
      <c r="A172" t="s">
        <v>1171</v>
      </c>
      <c r="B172" t="s">
        <v>1344</v>
      </c>
      <c r="C172" t="str">
        <f>"CONF-"&amp;TEXT(us_core_reqs[[#This Row],[ID*]], "0000")</f>
        <v>CONF-0171</v>
      </c>
      <c r="D172" s="11" t="s">
        <v>625</v>
      </c>
      <c r="E172" t="str">
        <f>SUBSTITUTE(us_core_reqs[[#This Row],[URL*]], "https://hl7.org/fhir/us/core/STU8/","")</f>
        <v>scopes.html#additional-us-core-requirements</v>
      </c>
      <c r="F172" s="11" t="s">
        <v>1902</v>
      </c>
      <c r="G172" t="s">
        <v>29</v>
      </c>
      <c r="I172" t="s">
        <v>30</v>
      </c>
      <c r="J172" t="s">
        <v>1171</v>
      </c>
      <c r="K172" t="s">
        <v>1171</v>
      </c>
      <c r="L172" t="s">
        <v>1173</v>
      </c>
      <c r="M172" t="s">
        <v>1171</v>
      </c>
      <c r="N172" t="s">
        <v>1171</v>
      </c>
      <c r="O172" t="s">
        <v>1171</v>
      </c>
      <c r="P172" t="s">
        <v>1171</v>
      </c>
      <c r="Q172" t="s">
        <v>1171</v>
      </c>
      <c r="R172" t="str">
        <f>_xlfn.TEXTBEFORE(_xlfn.TEXTAFTER(us_core_reqs[[#This Row],[URL*]],"/",-1),".")</f>
        <v>scopes</v>
      </c>
      <c r="S172" t="str">
        <f>_xlfn.TEXTAFTER(us_core_reqs[[#This Row],[URL*]],"#",-1)</f>
        <v>additional-us-core-requirements</v>
      </c>
      <c r="T172" t="str">
        <f>SUBSTITUTE(SUBSTITUTE(PROPER(SUBSTITUTE(us_core_reqs[[#This Row],[Page]], "-", " "))&amp;": "&amp;PROPER(SUBSTITUTE(us_core_reqs[[#This Row],[Section]], "-", " ")),"Us ","US "), "Uscdi", "USCDI")</f>
        <v>Scopes: Additional US Core Requirements</v>
      </c>
      <c r="U172" t="s">
        <v>35</v>
      </c>
      <c r="V172" t="s">
        <v>30</v>
      </c>
      <c r="W172" t="s">
        <v>1171</v>
      </c>
      <c r="X172" t="s">
        <v>1171</v>
      </c>
      <c r="Y172" t="s">
        <v>1171</v>
      </c>
      <c r="Z172" t="s">
        <v>1171</v>
      </c>
      <c r="AA172" t="s">
        <v>1171</v>
      </c>
      <c r="AB172" t="s">
        <v>1171</v>
      </c>
      <c r="AC172" t="s">
        <v>1140</v>
      </c>
      <c r="AD172" t="s">
        <v>1171</v>
      </c>
    </row>
    <row r="173" spans="1:30" ht="119" x14ac:dyDescent="0.2">
      <c r="A173" t="s">
        <v>1171</v>
      </c>
      <c r="B173" t="s">
        <v>1345</v>
      </c>
      <c r="C173" t="str">
        <f>"CONF-"&amp;TEXT(us_core_reqs[[#This Row],[ID*]], "0000")</f>
        <v>CONF-0172</v>
      </c>
      <c r="D173" s="11" t="s">
        <v>625</v>
      </c>
      <c r="E173" t="str">
        <f>SUBSTITUTE(us_core_reqs[[#This Row],[URL*]], "https://hl7.org/fhir/us/core/STU8/","")</f>
        <v>scopes.html#additional-us-core-requirements</v>
      </c>
      <c r="F173" s="11" t="s">
        <v>1930</v>
      </c>
      <c r="G173" t="s">
        <v>32</v>
      </c>
      <c r="I173" t="s">
        <v>58</v>
      </c>
      <c r="J173" t="s">
        <v>1171</v>
      </c>
      <c r="K173" t="s">
        <v>1171</v>
      </c>
      <c r="L173" t="s">
        <v>1173</v>
      </c>
      <c r="M173" t="s">
        <v>1171</v>
      </c>
      <c r="N173" t="s">
        <v>1171</v>
      </c>
      <c r="O173" t="s">
        <v>1171</v>
      </c>
      <c r="P173" t="s">
        <v>1171</v>
      </c>
      <c r="Q173" t="s">
        <v>1171</v>
      </c>
      <c r="R173" t="str">
        <f>_xlfn.TEXTBEFORE(_xlfn.TEXTAFTER(us_core_reqs[[#This Row],[URL*]],"/",-1),".")</f>
        <v>scopes</v>
      </c>
      <c r="S173" t="str">
        <f>_xlfn.TEXTAFTER(us_core_reqs[[#This Row],[URL*]],"#",-1)</f>
        <v>additional-us-core-requirements</v>
      </c>
      <c r="T173" t="str">
        <f>SUBSTITUTE(SUBSTITUTE(PROPER(SUBSTITUTE(us_core_reqs[[#This Row],[Page]], "-", " "))&amp;": "&amp;PROPER(SUBSTITUTE(us_core_reqs[[#This Row],[Section]], "-", " ")),"Us ","US "), "Uscdi", "USCDI")</f>
        <v>Scopes: Additional US Core Requirements</v>
      </c>
      <c r="U173" t="s">
        <v>35</v>
      </c>
      <c r="V173" t="s">
        <v>30</v>
      </c>
      <c r="W173" t="s">
        <v>1171</v>
      </c>
      <c r="X173" t="s">
        <v>1171</v>
      </c>
      <c r="Y173" t="s">
        <v>1171</v>
      </c>
      <c r="Z173" t="s">
        <v>1171</v>
      </c>
      <c r="AA173" t="s">
        <v>1171</v>
      </c>
      <c r="AB173" t="s">
        <v>1171</v>
      </c>
      <c r="AC173" t="s">
        <v>1171</v>
      </c>
      <c r="AD173" t="s">
        <v>1171</v>
      </c>
    </row>
    <row r="174" spans="1:30" ht="102" x14ac:dyDescent="0.2">
      <c r="A174" t="s">
        <v>1171</v>
      </c>
      <c r="B174" t="s">
        <v>1346</v>
      </c>
      <c r="C174" t="str">
        <f>"CONF-"&amp;TEXT(us_core_reqs[[#This Row],[ID*]], "0000")</f>
        <v>CONF-0173</v>
      </c>
      <c r="D174" s="11" t="s">
        <v>625</v>
      </c>
      <c r="E174" t="str">
        <f>SUBSTITUTE(us_core_reqs[[#This Row],[URL*]], "https://hl7.org/fhir/us/core/STU8/","")</f>
        <v>scopes.html#additional-us-core-requirements</v>
      </c>
      <c r="F174" s="11" t="s">
        <v>1903</v>
      </c>
      <c r="G174" t="s">
        <v>29</v>
      </c>
      <c r="I174" t="s">
        <v>30</v>
      </c>
      <c r="J174" t="s">
        <v>1171</v>
      </c>
      <c r="K174" t="s">
        <v>1171</v>
      </c>
      <c r="L174" t="s">
        <v>1173</v>
      </c>
      <c r="M174" t="s">
        <v>1171</v>
      </c>
      <c r="N174" t="s">
        <v>1171</v>
      </c>
      <c r="O174" t="s">
        <v>1171</v>
      </c>
      <c r="P174" t="s">
        <v>1171</v>
      </c>
      <c r="Q174" t="s">
        <v>1171</v>
      </c>
      <c r="R174" t="str">
        <f>_xlfn.TEXTBEFORE(_xlfn.TEXTAFTER(us_core_reqs[[#This Row],[URL*]],"/",-1),".")</f>
        <v>scopes</v>
      </c>
      <c r="S174" t="str">
        <f>_xlfn.TEXTAFTER(us_core_reqs[[#This Row],[URL*]],"#",-1)</f>
        <v>additional-us-core-requirements</v>
      </c>
      <c r="T174" t="str">
        <f>SUBSTITUTE(SUBSTITUTE(PROPER(SUBSTITUTE(us_core_reqs[[#This Row],[Page]], "-", " "))&amp;": "&amp;PROPER(SUBSTITUTE(us_core_reqs[[#This Row],[Section]], "-", " ")),"Us ","US "), "Uscdi", "USCDI")</f>
        <v>Scopes: Additional US Core Requirements</v>
      </c>
      <c r="U174" t="s">
        <v>29</v>
      </c>
      <c r="V174" t="s">
        <v>30</v>
      </c>
      <c r="W174" t="s">
        <v>196</v>
      </c>
      <c r="X174" t="s">
        <v>1171</v>
      </c>
      <c r="Y174" t="s">
        <v>1171</v>
      </c>
      <c r="Z174" t="s">
        <v>1171</v>
      </c>
      <c r="AA174" t="s">
        <v>1171</v>
      </c>
      <c r="AB174" t="s">
        <v>1171</v>
      </c>
      <c r="AC174" t="s">
        <v>1140</v>
      </c>
      <c r="AD174" t="s">
        <v>1171</v>
      </c>
    </row>
    <row r="175" spans="1:30" ht="51" x14ac:dyDescent="0.2">
      <c r="A175" t="s">
        <v>1171</v>
      </c>
      <c r="B175" t="s">
        <v>1347</v>
      </c>
      <c r="C175" t="str">
        <f>"CONF-"&amp;TEXT(us_core_reqs[[#This Row],[ID*]], "0000")</f>
        <v>CONF-0174</v>
      </c>
      <c r="D175" s="11" t="s">
        <v>830</v>
      </c>
      <c r="E175" t="str">
        <f>SUBSTITUTE(us_core_reqs[[#This Row],[URL*]], "https://hl7.org/fhir/us/core/STU8/","")</f>
        <v>general-guidance.html#referencing-us-core-profiles</v>
      </c>
      <c r="F175" s="11" t="s">
        <v>1931</v>
      </c>
      <c r="G175" t="s">
        <v>32</v>
      </c>
      <c r="I175" t="s">
        <v>30</v>
      </c>
      <c r="J175" t="s">
        <v>1171</v>
      </c>
      <c r="K175" t="s">
        <v>1171</v>
      </c>
      <c r="L175" t="s">
        <v>1173</v>
      </c>
      <c r="M175" t="s">
        <v>1171</v>
      </c>
      <c r="N175" t="s">
        <v>1171</v>
      </c>
      <c r="O175" t="s">
        <v>1171</v>
      </c>
      <c r="P175" t="s">
        <v>1171</v>
      </c>
      <c r="Q175" t="s">
        <v>1171</v>
      </c>
      <c r="R175" t="str">
        <f>_xlfn.TEXTBEFORE(_xlfn.TEXTAFTER(us_core_reqs[[#This Row],[URL*]],"/",-1),".")</f>
        <v>general-guidance</v>
      </c>
      <c r="S175" t="str">
        <f>_xlfn.TEXTAFTER(us_core_reqs[[#This Row],[URL*]],"#",-1)</f>
        <v>referencing-us-core-profiles</v>
      </c>
      <c r="T175" t="str">
        <f>SUBSTITUTE(SUBSTITUTE(PROPER(SUBSTITUTE(us_core_reqs[[#This Row],[Page]], "-", " "))&amp;": "&amp;PROPER(SUBSTITUTE(us_core_reqs[[#This Row],[Section]], "-", " ")),"Us ","US "), "Uscdi", "USCDI")</f>
        <v>General Guidance: Referencing US Core Profiles</v>
      </c>
      <c r="U175" t="s">
        <v>32</v>
      </c>
      <c r="V175" t="s">
        <v>1171</v>
      </c>
      <c r="W175" t="s">
        <v>198</v>
      </c>
      <c r="X175" t="s">
        <v>1171</v>
      </c>
      <c r="Y175" t="s">
        <v>1171</v>
      </c>
      <c r="Z175" t="s">
        <v>1171</v>
      </c>
      <c r="AA175" t="s">
        <v>1171</v>
      </c>
      <c r="AB175" t="s">
        <v>1171</v>
      </c>
      <c r="AC175" t="s">
        <v>1171</v>
      </c>
      <c r="AD175" t="s">
        <v>1171</v>
      </c>
    </row>
    <row r="176" spans="1:30" ht="51" x14ac:dyDescent="0.2">
      <c r="A176" t="s">
        <v>1171</v>
      </c>
      <c r="B176" t="s">
        <v>1348</v>
      </c>
      <c r="C176" t="str">
        <f>"CONF-"&amp;TEXT(us_core_reqs[[#This Row],[ID*]], "0000")</f>
        <v>CONF-0175</v>
      </c>
      <c r="D176" s="11" t="s">
        <v>830</v>
      </c>
      <c r="E176" t="str">
        <f>SUBSTITUTE(us_core_reqs[[#This Row],[URL*]], "https://hl7.org/fhir/us/core/STU8/","")</f>
        <v>general-guidance.html#referencing-us-core-profiles</v>
      </c>
      <c r="F176" s="11" t="s">
        <v>1932</v>
      </c>
      <c r="G176" t="s">
        <v>32</v>
      </c>
      <c r="I176" t="s">
        <v>30</v>
      </c>
      <c r="J176" t="s">
        <v>1171</v>
      </c>
      <c r="K176" t="s">
        <v>1171</v>
      </c>
      <c r="L176" t="s">
        <v>1173</v>
      </c>
      <c r="M176" t="s">
        <v>1171</v>
      </c>
      <c r="N176" t="s">
        <v>1171</v>
      </c>
      <c r="O176" t="s">
        <v>1171</v>
      </c>
      <c r="P176" t="s">
        <v>1171</v>
      </c>
      <c r="Q176" t="s">
        <v>1171</v>
      </c>
      <c r="R176" t="str">
        <f>_xlfn.TEXTBEFORE(_xlfn.TEXTAFTER(us_core_reqs[[#This Row],[URL*]],"/",-1),".")</f>
        <v>general-guidance</v>
      </c>
      <c r="S176" t="str">
        <f>_xlfn.TEXTAFTER(us_core_reqs[[#This Row],[URL*]],"#",-1)</f>
        <v>referencing-us-core-profiles</v>
      </c>
      <c r="T176" t="str">
        <f>SUBSTITUTE(SUBSTITUTE(PROPER(SUBSTITUTE(us_core_reqs[[#This Row],[Page]], "-", " "))&amp;": "&amp;PROPER(SUBSTITUTE(us_core_reqs[[#This Row],[Section]], "-", " ")),"Us ","US "), "Uscdi", "USCDI")</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1349</v>
      </c>
      <c r="C177" t="str">
        <f>"CONF-"&amp;TEXT(us_core_reqs[[#This Row],[ID*]], "0000")</f>
        <v>CONF-0176</v>
      </c>
      <c r="D177" s="11" t="s">
        <v>831</v>
      </c>
      <c r="E177" t="str">
        <f>SUBSTITUTE(us_core_reqs[[#This Row],[URL*]], "https://hl7.org/fhir/us/core/STU8/","")</f>
        <v>general-guidance.html#contained-resources</v>
      </c>
      <c r="F177" s="11" t="s">
        <v>1933</v>
      </c>
      <c r="G177" t="s">
        <v>1834</v>
      </c>
      <c r="H177" s="71" t="s">
        <v>1875</v>
      </c>
      <c r="I177" t="s">
        <v>30</v>
      </c>
      <c r="J177" t="s">
        <v>1171</v>
      </c>
      <c r="K177" t="s">
        <v>1171</v>
      </c>
      <c r="L177" t="s">
        <v>1173</v>
      </c>
      <c r="M177" t="s">
        <v>1171</v>
      </c>
      <c r="N177" t="s">
        <v>1171</v>
      </c>
      <c r="O177" t="s">
        <v>1171</v>
      </c>
      <c r="P177" t="s">
        <v>1171</v>
      </c>
      <c r="Q177" t="s">
        <v>1171</v>
      </c>
      <c r="R177" t="str">
        <f>_xlfn.TEXTBEFORE(_xlfn.TEXTAFTER(us_core_reqs[[#This Row],[URL*]],"/",-1),".")</f>
        <v>general-guidance</v>
      </c>
      <c r="S177" t="str">
        <f>_xlfn.TEXTAFTER(us_core_reqs[[#This Row],[URL*]],"#",-1)</f>
        <v>contained-resources</v>
      </c>
      <c r="T177" t="str">
        <f>SUBSTITUTE(SUBSTITUTE(PROPER(SUBSTITUTE(us_core_reqs[[#This Row],[Page]], "-", " "))&amp;": "&amp;PROPER(SUBSTITUTE(us_core_reqs[[#This Row],[Section]], "-", " ")),"Us ","US "), "Uscdi", "USCDI")</f>
        <v>General Guidance: Contained Resources</v>
      </c>
      <c r="U177" t="s">
        <v>32</v>
      </c>
      <c r="V177" t="s">
        <v>30</v>
      </c>
      <c r="W177" t="s">
        <v>200</v>
      </c>
      <c r="X177" t="s">
        <v>1171</v>
      </c>
      <c r="Y177" t="s">
        <v>1171</v>
      </c>
      <c r="Z177" t="s">
        <v>1171</v>
      </c>
      <c r="AA177" t="s">
        <v>1171</v>
      </c>
      <c r="AB177" t="s">
        <v>1171</v>
      </c>
      <c r="AC177" t="s">
        <v>1171</v>
      </c>
      <c r="AD177" t="s">
        <v>1171</v>
      </c>
    </row>
    <row r="178" spans="1:30" ht="51" x14ac:dyDescent="0.2">
      <c r="A178" t="s">
        <v>1171</v>
      </c>
      <c r="B178" t="s">
        <v>1350</v>
      </c>
      <c r="C178" t="str">
        <f>"CONF-"&amp;TEXT(us_core_reqs[[#This Row],[ID*]], "0000")</f>
        <v>CONF-0177</v>
      </c>
      <c r="D178" s="11" t="s">
        <v>831</v>
      </c>
      <c r="E178" t="str">
        <f>SUBSTITUTE(us_core_reqs[[#This Row],[URL*]], "https://hl7.org/fhir/us/core/STU8/","")</f>
        <v>general-guidance.html#contained-resources</v>
      </c>
      <c r="F178" s="11" t="s">
        <v>1934</v>
      </c>
      <c r="G178" t="s">
        <v>32</v>
      </c>
      <c r="I178" t="s">
        <v>30</v>
      </c>
      <c r="J178" t="s">
        <v>1171</v>
      </c>
      <c r="K178" t="s">
        <v>1171</v>
      </c>
      <c r="L178" t="s">
        <v>1173</v>
      </c>
      <c r="M178" t="s">
        <v>1171</v>
      </c>
      <c r="N178" t="s">
        <v>1171</v>
      </c>
      <c r="O178" t="s">
        <v>1171</v>
      </c>
      <c r="P178" t="s">
        <v>1171</v>
      </c>
      <c r="Q178" t="s">
        <v>1171</v>
      </c>
      <c r="R178" t="str">
        <f>_xlfn.TEXTBEFORE(_xlfn.TEXTAFTER(us_core_reqs[[#This Row],[URL*]],"/",-1),".")</f>
        <v>general-guidance</v>
      </c>
      <c r="S178" t="str">
        <f>_xlfn.TEXTAFTER(us_core_reqs[[#This Row],[URL*]],"#",-1)</f>
        <v>contained-resources</v>
      </c>
      <c r="T178" t="str">
        <f>SUBSTITUTE(SUBSTITUTE(PROPER(SUBSTITUTE(us_core_reqs[[#This Row],[Page]], "-", " "))&amp;": "&amp;PROPER(SUBSTITUTE(us_core_reqs[[#This Row],[Section]], "-", " ")),"Us ","US "), "Uscdi", "USCDI")</f>
        <v>General Guidance: Contained Resources</v>
      </c>
      <c r="U178" t="s">
        <v>32</v>
      </c>
      <c r="V178" t="s">
        <v>1171</v>
      </c>
      <c r="W178" t="s">
        <v>202</v>
      </c>
      <c r="X178" t="s">
        <v>1171</v>
      </c>
      <c r="Y178" t="s">
        <v>1171</v>
      </c>
      <c r="Z178" t="s">
        <v>1171</v>
      </c>
      <c r="AA178" t="s">
        <v>1171</v>
      </c>
      <c r="AB178" t="s">
        <v>1171</v>
      </c>
      <c r="AC178" t="s">
        <v>1171</v>
      </c>
      <c r="AD178" t="s">
        <v>1171</v>
      </c>
    </row>
    <row r="179" spans="1:30" ht="51" x14ac:dyDescent="0.2">
      <c r="A179" t="s">
        <v>1171</v>
      </c>
      <c r="B179" t="s">
        <v>1351</v>
      </c>
      <c r="C179" t="str">
        <f>"CONF-"&amp;TEXT(us_core_reqs[[#This Row],[ID*]], "0000")</f>
        <v>CONF-0178</v>
      </c>
      <c r="D179" s="11" t="s">
        <v>831</v>
      </c>
      <c r="E179" t="str">
        <f>SUBSTITUTE(us_core_reqs[[#This Row],[URL*]], "https://hl7.org/fhir/us/core/STU8/","")</f>
        <v>general-guidance.html#contained-resources</v>
      </c>
      <c r="F179" s="11" t="s">
        <v>1935</v>
      </c>
      <c r="G179" t="s">
        <v>32</v>
      </c>
      <c r="I179" t="s">
        <v>30</v>
      </c>
      <c r="J179" t="s">
        <v>1171</v>
      </c>
      <c r="K179" t="s">
        <v>1171</v>
      </c>
      <c r="L179" t="s">
        <v>1173</v>
      </c>
      <c r="M179" t="s">
        <v>1171</v>
      </c>
      <c r="N179" t="s">
        <v>1171</v>
      </c>
      <c r="O179" t="s">
        <v>1171</v>
      </c>
      <c r="P179" t="s">
        <v>1171</v>
      </c>
      <c r="Q179" t="s">
        <v>1171</v>
      </c>
      <c r="R179" t="str">
        <f>_xlfn.TEXTBEFORE(_xlfn.TEXTAFTER(us_core_reqs[[#This Row],[URL*]],"/",-1),".")</f>
        <v>general-guidance</v>
      </c>
      <c r="S179" t="str">
        <f>_xlfn.TEXTAFTER(us_core_reqs[[#This Row],[URL*]],"#",-1)</f>
        <v>contained-resources</v>
      </c>
      <c r="T179" t="str">
        <f>SUBSTITUTE(SUBSTITUTE(PROPER(SUBSTITUTE(us_core_reqs[[#This Row],[Page]], "-", " "))&amp;": "&amp;PROPER(SUBSTITUTE(us_core_reqs[[#This Row],[Section]], "-", " ")),"Us ","US "), "Uscdi", "USCDI")</f>
        <v>General Guidance: Contained Resources</v>
      </c>
      <c r="U179" t="s">
        <v>32</v>
      </c>
      <c r="V179" t="s">
        <v>1171</v>
      </c>
      <c r="W179" t="s">
        <v>204</v>
      </c>
      <c r="X179" t="s">
        <v>1171</v>
      </c>
      <c r="Y179" t="s">
        <v>1171</v>
      </c>
      <c r="Z179" t="s">
        <v>1171</v>
      </c>
      <c r="AA179" t="s">
        <v>1171</v>
      </c>
      <c r="AB179" t="s">
        <v>1171</v>
      </c>
      <c r="AC179" t="s">
        <v>1171</v>
      </c>
      <c r="AD179" t="s">
        <v>1171</v>
      </c>
    </row>
    <row r="180" spans="1:30" ht="51" x14ac:dyDescent="0.2">
      <c r="A180" t="s">
        <v>1171</v>
      </c>
      <c r="B180" t="s">
        <v>1352</v>
      </c>
      <c r="C180" t="str">
        <f>"CONF-"&amp;TEXT(us_core_reqs[[#This Row],[ID*]], "0000")</f>
        <v>CONF-0179</v>
      </c>
      <c r="D180" s="11" t="s">
        <v>831</v>
      </c>
      <c r="E180" t="str">
        <f>SUBSTITUTE(us_core_reqs[[#This Row],[URL*]], "https://hl7.org/fhir/us/core/STU8/","")</f>
        <v>general-guidance.html#contained-resources</v>
      </c>
      <c r="F180" s="11" t="s">
        <v>1936</v>
      </c>
      <c r="G180" t="s">
        <v>32</v>
      </c>
      <c r="I180" t="s">
        <v>30</v>
      </c>
      <c r="J180" t="s">
        <v>1171</v>
      </c>
      <c r="K180" t="s">
        <v>1171</v>
      </c>
      <c r="L180" t="s">
        <v>1176</v>
      </c>
      <c r="M180" t="s">
        <v>206</v>
      </c>
      <c r="N180" t="s">
        <v>1171</v>
      </c>
      <c r="O180" t="s">
        <v>1171</v>
      </c>
      <c r="P180" t="s">
        <v>1171</v>
      </c>
      <c r="Q180" t="s">
        <v>1171</v>
      </c>
      <c r="R180" t="str">
        <f>_xlfn.TEXTBEFORE(_xlfn.TEXTAFTER(us_core_reqs[[#This Row],[URL*]],"/",-1),".")</f>
        <v>general-guidance</v>
      </c>
      <c r="S180" t="str">
        <f>_xlfn.TEXTAFTER(us_core_reqs[[#This Row],[URL*]],"#",-1)</f>
        <v>contained-resources</v>
      </c>
      <c r="T180" t="str">
        <f>SUBSTITUTE(SUBSTITUTE(PROPER(SUBSTITUTE(us_core_reqs[[#This Row],[Page]], "-", " "))&amp;": "&amp;PROPER(SUBSTITUTE(us_core_reqs[[#This Row],[Section]], "-", " ")),"Us ","US "), "Uscdi", "USCDI")</f>
        <v>General Guidance: Contained Resources</v>
      </c>
      <c r="U180" t="s">
        <v>32</v>
      </c>
      <c r="V180" t="s">
        <v>1171</v>
      </c>
      <c r="W180" t="s">
        <v>207</v>
      </c>
      <c r="X180" t="s">
        <v>1171</v>
      </c>
      <c r="Y180" t="s">
        <v>1171</v>
      </c>
      <c r="Z180" t="s">
        <v>1171</v>
      </c>
      <c r="AA180" t="s">
        <v>1171</v>
      </c>
      <c r="AB180" t="s">
        <v>1171</v>
      </c>
      <c r="AC180" t="s">
        <v>1171</v>
      </c>
      <c r="AD180" t="s">
        <v>1171</v>
      </c>
    </row>
    <row r="181" spans="1:30" ht="68" x14ac:dyDescent="0.2">
      <c r="A181" t="s">
        <v>1171</v>
      </c>
      <c r="B181" t="s">
        <v>1353</v>
      </c>
      <c r="C181" t="str">
        <f>"CONF-"&amp;TEXT(us_core_reqs[[#This Row],[ID*]], "0000")</f>
        <v>CONF-0180</v>
      </c>
      <c r="D181" s="11" t="s">
        <v>831</v>
      </c>
      <c r="E181" t="str">
        <f>SUBSTITUTE(us_core_reqs[[#This Row],[URL*]], "https://hl7.org/fhir/us/core/STU8/","")</f>
        <v>general-guidance.html#contained-resources</v>
      </c>
      <c r="F181" s="11" t="s">
        <v>208</v>
      </c>
      <c r="G181" t="s">
        <v>32</v>
      </c>
      <c r="I181" t="s">
        <v>30</v>
      </c>
      <c r="J181" t="s">
        <v>1171</v>
      </c>
      <c r="K181" t="s">
        <v>1171</v>
      </c>
      <c r="L181" t="s">
        <v>1176</v>
      </c>
      <c r="M181" t="s">
        <v>206</v>
      </c>
      <c r="N181" t="s">
        <v>1171</v>
      </c>
      <c r="O181" t="s">
        <v>1171</v>
      </c>
      <c r="P181" t="s">
        <v>1171</v>
      </c>
      <c r="Q181" t="s">
        <v>1171</v>
      </c>
      <c r="R181" t="str">
        <f>_xlfn.TEXTBEFORE(_xlfn.TEXTAFTER(us_core_reqs[[#This Row],[URL*]],"/",-1),".")</f>
        <v>general-guidance</v>
      </c>
      <c r="S181" t="str">
        <f>_xlfn.TEXTAFTER(us_core_reqs[[#This Row],[URL*]],"#",-1)</f>
        <v>contained-resources</v>
      </c>
      <c r="T181" t="str">
        <f>SUBSTITUTE(SUBSTITUTE(PROPER(SUBSTITUTE(us_core_reqs[[#This Row],[Page]], "-", " "))&amp;": "&amp;PROPER(SUBSTITUTE(us_core_reqs[[#This Row],[Section]], "-", " ")),"Us ","US "), "Uscdi", "USCDI")</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1354</v>
      </c>
      <c r="C182" t="str">
        <f>"CONF-"&amp;TEXT(us_core_reqs[[#This Row],[ID*]], "0000")</f>
        <v>CONF-0181</v>
      </c>
      <c r="D182" s="11" t="s">
        <v>832</v>
      </c>
      <c r="E182" t="str">
        <f>SUBSTITUTE(us_core_reqs[[#This Row],[URL*]], "https://hl7.org/fhir/us/core/STU8/","")</f>
        <v>general-guidance.html#snomed-ct-united-states-edition</v>
      </c>
      <c r="F182" s="11" t="s">
        <v>2053</v>
      </c>
      <c r="G182" t="s">
        <v>35</v>
      </c>
      <c r="I182" t="s">
        <v>30</v>
      </c>
      <c r="J182" t="s">
        <v>1171</v>
      </c>
      <c r="K182" t="s">
        <v>1171</v>
      </c>
      <c r="L182" t="s">
        <v>1176</v>
      </c>
      <c r="M182" t="s">
        <v>211</v>
      </c>
      <c r="N182" t="s">
        <v>1171</v>
      </c>
      <c r="O182" t="s">
        <v>1171</v>
      </c>
      <c r="P182" t="s">
        <v>1171</v>
      </c>
      <c r="Q182" t="s">
        <v>1171</v>
      </c>
      <c r="R182" t="str">
        <f>_xlfn.TEXTBEFORE(_xlfn.TEXTAFTER(us_core_reqs[[#This Row],[URL*]],"/",-1),".")</f>
        <v>general-guidance</v>
      </c>
      <c r="S182" t="str">
        <f>_xlfn.TEXTAFTER(us_core_reqs[[#This Row],[URL*]],"#",-1)</f>
        <v>snomed-ct-united-states-edition</v>
      </c>
      <c r="T182" t="str">
        <f>SUBSTITUTE(SUBSTITUTE(PROPER(SUBSTITUTE(us_core_reqs[[#This Row],[Page]], "-", " "))&amp;": "&amp;PROPER(SUBSTITUTE(us_core_reqs[[#This Row],[Section]], "-", " ")),"Us ","US "), "Uscdi", "USCDI")</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102" x14ac:dyDescent="0.2">
      <c r="A183" t="s">
        <v>1171</v>
      </c>
      <c r="B183" t="s">
        <v>1355</v>
      </c>
      <c r="C183" t="str">
        <f>"CONF-"&amp;TEXT(us_core_reqs[[#This Row],[ID*]], "0000")</f>
        <v>CONF-0182</v>
      </c>
      <c r="D183" s="11" t="s">
        <v>832</v>
      </c>
      <c r="E183" t="str">
        <f>SUBSTITUTE(us_core_reqs[[#This Row],[URL*]], "https://hl7.org/fhir/us/core/STU8/","")</f>
        <v>general-guidance.html#snomed-ct-united-states-edition</v>
      </c>
      <c r="F183" s="11" t="s">
        <v>1937</v>
      </c>
      <c r="G183" t="s">
        <v>32</v>
      </c>
      <c r="I183" t="s">
        <v>30</v>
      </c>
      <c r="J183" t="s">
        <v>1171</v>
      </c>
      <c r="K183" t="s">
        <v>1171</v>
      </c>
      <c r="L183" t="s">
        <v>1173</v>
      </c>
      <c r="M183" t="s">
        <v>1171</v>
      </c>
      <c r="N183" t="s">
        <v>1171</v>
      </c>
      <c r="O183" t="s">
        <v>1171</v>
      </c>
      <c r="P183" t="s">
        <v>1171</v>
      </c>
      <c r="Q183" t="s">
        <v>1171</v>
      </c>
      <c r="R183" t="str">
        <f>_xlfn.TEXTBEFORE(_xlfn.TEXTAFTER(us_core_reqs[[#This Row],[URL*]],"/",-1),".")</f>
        <v>general-guidance</v>
      </c>
      <c r="S183" t="str">
        <f>_xlfn.TEXTAFTER(us_core_reqs[[#This Row],[URL*]],"#",-1)</f>
        <v>snomed-ct-united-states-edition</v>
      </c>
      <c r="T183" t="str">
        <f>SUBSTITUTE(SUBSTITUTE(PROPER(SUBSTITUTE(us_core_reqs[[#This Row],[Page]], "-", " "))&amp;": "&amp;PROPER(SUBSTITUTE(us_core_reqs[[#This Row],[Section]], "-", " ")),"Us ","US "), "Uscdi", "USCDI")</f>
        <v>General Guidance: Snomed Ct United States Edition</v>
      </c>
      <c r="U183" t="s">
        <v>32</v>
      </c>
      <c r="V183" t="s">
        <v>30</v>
      </c>
      <c r="W183" t="s">
        <v>213</v>
      </c>
      <c r="X183" t="s">
        <v>1171</v>
      </c>
      <c r="Y183" t="s">
        <v>1171</v>
      </c>
      <c r="Z183" t="s">
        <v>1171</v>
      </c>
      <c r="AA183" t="s">
        <v>1171</v>
      </c>
      <c r="AB183" t="s">
        <v>1171</v>
      </c>
      <c r="AC183" t="s">
        <v>1171</v>
      </c>
      <c r="AD183" t="s">
        <v>1171</v>
      </c>
    </row>
    <row r="184" spans="1:30" ht="85" x14ac:dyDescent="0.2">
      <c r="A184" t="s">
        <v>1171</v>
      </c>
      <c r="B184" t="s">
        <v>1356</v>
      </c>
      <c r="C184" t="str">
        <f>"CONF-"&amp;TEXT(us_core_reqs[[#This Row],[ID*]], "0000")</f>
        <v>CONF-0183</v>
      </c>
      <c r="D184" s="11" t="s">
        <v>833</v>
      </c>
      <c r="E184" t="str">
        <f>SUBSTITUTE(us_core_reqs[[#This Row],[URL*]], "https://hl7.org/fhir/us/core/STU8/","")</f>
        <v>general-guidance.html#using-ucum-codes-in-the-quantity-datatype</v>
      </c>
      <c r="F184" s="11" t="s">
        <v>214</v>
      </c>
      <c r="G184" t="s">
        <v>32</v>
      </c>
      <c r="H184" t="s">
        <v>1874</v>
      </c>
      <c r="I184" t="s">
        <v>30</v>
      </c>
      <c r="J184" t="s">
        <v>1171</v>
      </c>
      <c r="K184" t="s">
        <v>1171</v>
      </c>
      <c r="L184" t="s">
        <v>1176</v>
      </c>
      <c r="M184" t="s">
        <v>215</v>
      </c>
      <c r="N184" t="s">
        <v>1171</v>
      </c>
      <c r="O184" t="s">
        <v>1171</v>
      </c>
      <c r="P184" t="s">
        <v>1171</v>
      </c>
      <c r="Q184" t="s">
        <v>1171</v>
      </c>
      <c r="R184" t="str">
        <f>_xlfn.TEXTBEFORE(_xlfn.TEXTAFTER(us_core_reqs[[#This Row],[URL*]],"/",-1),".")</f>
        <v>general-guidance</v>
      </c>
      <c r="S184" t="str">
        <f>_xlfn.TEXTAFTER(us_core_reqs[[#This Row],[URL*]],"#",-1)</f>
        <v>using-ucum-codes-in-the-quantity-datatype</v>
      </c>
      <c r="T184" t="str">
        <f>SUBSTITUTE(SUBSTITUTE(PROPER(SUBSTITUTE(us_core_reqs[[#This Row],[Page]], "-", " "))&amp;": "&amp;PROPER(SUBSTITUTE(us_core_reqs[[#This Row],[Section]], "-", " ")),"Us ","US "), "Uscdi", "USCDI")</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85" x14ac:dyDescent="0.2">
      <c r="A185" t="s">
        <v>1171</v>
      </c>
      <c r="B185" t="s">
        <v>1357</v>
      </c>
      <c r="C185" t="str">
        <f>"CONF-"&amp;TEXT(us_core_reqs[[#This Row],[ID*]], "0000")</f>
        <v>CONF-0184</v>
      </c>
      <c r="D185" s="11" t="s">
        <v>833</v>
      </c>
      <c r="E185" t="str">
        <f>SUBSTITUTE(us_core_reqs[[#This Row],[URL*]], "https://hl7.org/fhir/us/core/STU8/","")</f>
        <v>general-guidance.html#using-ucum-codes-in-the-quantity-datatype</v>
      </c>
      <c r="F185" s="11" t="s">
        <v>1938</v>
      </c>
      <c r="G185" t="s">
        <v>32</v>
      </c>
      <c r="I185" t="s">
        <v>30</v>
      </c>
      <c r="J185" t="s">
        <v>1171</v>
      </c>
      <c r="K185" t="s">
        <v>1171</v>
      </c>
      <c r="L185" t="s">
        <v>1176</v>
      </c>
      <c r="M185" t="s">
        <v>215</v>
      </c>
      <c r="N185" t="s">
        <v>1171</v>
      </c>
      <c r="O185" t="s">
        <v>1171</v>
      </c>
      <c r="P185" t="s">
        <v>1171</v>
      </c>
      <c r="Q185" t="s">
        <v>1171</v>
      </c>
      <c r="R185" t="str">
        <f>_xlfn.TEXTBEFORE(_xlfn.TEXTAFTER(us_core_reqs[[#This Row],[URL*]],"/",-1),".")</f>
        <v>general-guidance</v>
      </c>
      <c r="S185" t="str">
        <f>_xlfn.TEXTAFTER(us_core_reqs[[#This Row],[URL*]],"#",-1)</f>
        <v>using-ucum-codes-in-the-quantity-datatype</v>
      </c>
      <c r="T185" t="str">
        <f>SUBSTITUTE(SUBSTITUTE(PROPER(SUBSTITUTE(us_core_reqs[[#This Row],[Page]], "-", " "))&amp;": "&amp;PROPER(SUBSTITUTE(us_core_reqs[[#This Row],[Section]], "-", " ")),"Us ","US "), "Uscdi", "USCDI")</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68" x14ac:dyDescent="0.2">
      <c r="A186" t="s">
        <v>1171</v>
      </c>
      <c r="B186" t="s">
        <v>1358</v>
      </c>
      <c r="C186" t="str">
        <f>"CONF-"&amp;TEXT(us_core_reqs[[#This Row],[ID*]], "0000")</f>
        <v>CONF-0185</v>
      </c>
      <c r="D186" s="11" t="s">
        <v>833</v>
      </c>
      <c r="E186" t="str">
        <f>SUBSTITUTE(us_core_reqs[[#This Row],[URL*]], "https://hl7.org/fhir/us/core/STU8/","")</f>
        <v>general-guidance.html#using-ucum-codes-in-the-quantity-datatype</v>
      </c>
      <c r="F186" s="11" t="s">
        <v>219</v>
      </c>
      <c r="G186" t="s">
        <v>32</v>
      </c>
      <c r="I186" t="s">
        <v>30</v>
      </c>
      <c r="J186" t="s">
        <v>1171</v>
      </c>
      <c r="K186" t="s">
        <v>1171</v>
      </c>
      <c r="L186" t="s">
        <v>1176</v>
      </c>
      <c r="M186" t="s">
        <v>220</v>
      </c>
      <c r="N186" t="s">
        <v>1171</v>
      </c>
      <c r="O186" t="s">
        <v>1171</v>
      </c>
      <c r="P186" t="s">
        <v>1171</v>
      </c>
      <c r="Q186" t="s">
        <v>1171</v>
      </c>
      <c r="R186" t="str">
        <f>_xlfn.TEXTBEFORE(_xlfn.TEXTAFTER(us_core_reqs[[#This Row],[URL*]],"/",-1),".")</f>
        <v>general-guidance</v>
      </c>
      <c r="S186" t="str">
        <f>_xlfn.TEXTAFTER(us_core_reqs[[#This Row],[URL*]],"#",-1)</f>
        <v>using-ucum-codes-in-the-quantity-datatype</v>
      </c>
      <c r="T186" t="str">
        <f>SUBSTITUTE(SUBSTITUTE(PROPER(SUBSTITUTE(us_core_reqs[[#This Row],[Page]], "-", " "))&amp;": "&amp;PROPER(SUBSTITUTE(us_core_reqs[[#This Row],[Section]], "-", " ")),"Us ","US "), "Uscdi", "USCDI")</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68" x14ac:dyDescent="0.2">
      <c r="A187" t="s">
        <v>1171</v>
      </c>
      <c r="B187" t="s">
        <v>1359</v>
      </c>
      <c r="C187" t="str">
        <f>"CONF-"&amp;TEXT(us_core_reqs[[#This Row],[ID*]], "0000")</f>
        <v>CONF-0186</v>
      </c>
      <c r="D187" s="11" t="s">
        <v>833</v>
      </c>
      <c r="E187" t="str">
        <f>SUBSTITUTE(us_core_reqs[[#This Row],[URL*]], "https://hl7.org/fhir/us/core/STU8/","")</f>
        <v>general-guidance.html#using-ucum-codes-in-the-quantity-datatype</v>
      </c>
      <c r="F187" s="11" t="s">
        <v>2045</v>
      </c>
      <c r="G187" t="s">
        <v>1834</v>
      </c>
      <c r="I187" t="s">
        <v>30</v>
      </c>
      <c r="J187" t="s">
        <v>1171</v>
      </c>
      <c r="K187" t="s">
        <v>1171</v>
      </c>
      <c r="L187" t="s">
        <v>1176</v>
      </c>
      <c r="M187" t="s">
        <v>222</v>
      </c>
      <c r="N187" t="s">
        <v>1171</v>
      </c>
      <c r="O187" t="s">
        <v>1171</v>
      </c>
      <c r="P187" t="s">
        <v>1171</v>
      </c>
      <c r="Q187" t="s">
        <v>1171</v>
      </c>
      <c r="R187" t="str">
        <f>_xlfn.TEXTBEFORE(_xlfn.TEXTAFTER(us_core_reqs[[#This Row],[URL*]],"/",-1),".")</f>
        <v>general-guidance</v>
      </c>
      <c r="S187" t="str">
        <f>_xlfn.TEXTAFTER(us_core_reqs[[#This Row],[URL*]],"#",-1)</f>
        <v>using-ucum-codes-in-the-quantity-datatype</v>
      </c>
      <c r="T187" t="str">
        <f>SUBSTITUTE(SUBSTITUTE(PROPER(SUBSTITUTE(us_core_reqs[[#This Row],[Page]], "-", " "))&amp;": "&amp;PROPER(SUBSTITUTE(us_core_reqs[[#This Row],[Section]], "-", " ")),"Us ","US "), "Uscdi", "USCDI")</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68" x14ac:dyDescent="0.2">
      <c r="A188" t="s">
        <v>1171</v>
      </c>
      <c r="B188" t="s">
        <v>1360</v>
      </c>
      <c r="C188" t="str">
        <f>"CONF-"&amp;TEXT(us_core_reqs[[#This Row],[ID*]], "0000")</f>
        <v>CONF-0187</v>
      </c>
      <c r="D188" s="11" t="s">
        <v>834</v>
      </c>
      <c r="E188" t="str">
        <f>SUBSTITUTE(us_core_reqs[[#This Row],[URL*]], "https://hl7.org/fhir/us/core/STU8/","")</f>
        <v>general-guidance.html#representing-deleted-information, general-guidance.html#representing-entered-in-error-information</v>
      </c>
      <c r="F188" s="11" t="s">
        <v>1939</v>
      </c>
      <c r="G188" t="s">
        <v>1834</v>
      </c>
      <c r="H188" s="71" t="s">
        <v>1876</v>
      </c>
      <c r="I188" t="s">
        <v>30</v>
      </c>
      <c r="J188" t="s">
        <v>1171</v>
      </c>
      <c r="K188" t="s">
        <v>1171</v>
      </c>
      <c r="L188" t="s">
        <v>1173</v>
      </c>
      <c r="M188" t="s">
        <v>1171</v>
      </c>
      <c r="N188" t="s">
        <v>1171</v>
      </c>
      <c r="O188" t="s">
        <v>1171</v>
      </c>
      <c r="P188" t="s">
        <v>1171</v>
      </c>
      <c r="Q188" t="s">
        <v>1171</v>
      </c>
      <c r="R188" t="str">
        <f>_xlfn.TEXTBEFORE(_xlfn.TEXTAFTER(us_core_reqs[[#This Row],[URL*]],"/",-1),".")</f>
        <v>general-guidance</v>
      </c>
      <c r="S188" t="str">
        <f>_xlfn.TEXTAFTER(us_core_reqs[[#This Row],[URL*]],"#",-1)</f>
        <v>representing-entered-in-error-information</v>
      </c>
      <c r="T188" t="str">
        <f>SUBSTITUTE(SUBSTITUTE(PROPER(SUBSTITUTE(us_core_reqs[[#This Row],[Page]], "-", " "))&amp;": "&amp;PROPER(SUBSTITUTE(us_core_reqs[[#This Row],[Section]], "-", " ")),"Us ","US "), "Uscdi", "USCDI")</f>
        <v>General Guidance: Representing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1361</v>
      </c>
      <c r="C189" t="str">
        <f>"CONF-"&amp;TEXT(us_core_reqs[[#This Row],[ID*]], "0000")</f>
        <v>CONF-0188</v>
      </c>
      <c r="D189" s="11" t="s">
        <v>835</v>
      </c>
      <c r="E189" t="str">
        <f>SUBSTITUTE(us_core_reqs[[#This Row],[URL*]], "https://hl7.org/fhir/us/core/STU8/","")</f>
        <v>general-guidance.html#representing-deleted-information</v>
      </c>
      <c r="F189" s="11" t="s">
        <v>1940</v>
      </c>
      <c r="G189" t="s">
        <v>32</v>
      </c>
      <c r="I189" t="s">
        <v>30</v>
      </c>
      <c r="J189" t="s">
        <v>1171</v>
      </c>
      <c r="K189" t="s">
        <v>1171</v>
      </c>
      <c r="L189" t="s">
        <v>1173</v>
      </c>
      <c r="M189" t="s">
        <v>1171</v>
      </c>
      <c r="N189" t="s">
        <v>1171</v>
      </c>
      <c r="O189" t="s">
        <v>1171</v>
      </c>
      <c r="P189" t="s">
        <v>1171</v>
      </c>
      <c r="Q189" t="s">
        <v>1171</v>
      </c>
      <c r="R189" t="str">
        <f>_xlfn.TEXTBEFORE(_xlfn.TEXTAFTER(us_core_reqs[[#This Row],[URL*]],"/",-1),".")</f>
        <v>general-guidance</v>
      </c>
      <c r="S189" t="str">
        <f>_xlfn.TEXTAFTER(us_core_reqs[[#This Row],[URL*]],"#",-1)</f>
        <v>representing-deleted-information</v>
      </c>
      <c r="T189" t="str">
        <f>SUBSTITUTE(SUBSTITUTE(PROPER(SUBSTITUTE(us_core_reqs[[#This Row],[Page]], "-", " "))&amp;": "&amp;PROPER(SUBSTITUTE(us_core_reqs[[#This Row],[Section]], "-", " ")),"Us ","US "), "Uscdi", "USCDI")</f>
        <v>General Guidance: Representing Deleted Information</v>
      </c>
      <c r="U189" t="s">
        <v>32</v>
      </c>
      <c r="V189" t="s">
        <v>30</v>
      </c>
      <c r="W189" t="s">
        <v>218</v>
      </c>
      <c r="X189" t="s">
        <v>1171</v>
      </c>
      <c r="Y189" t="s">
        <v>1171</v>
      </c>
      <c r="Z189" t="s">
        <v>1171</v>
      </c>
      <c r="AA189" t="s">
        <v>1171</v>
      </c>
      <c r="AB189" t="s">
        <v>1171</v>
      </c>
      <c r="AC189" t="s">
        <v>1171</v>
      </c>
      <c r="AD189" t="s">
        <v>1171</v>
      </c>
    </row>
    <row r="190" spans="1:30" ht="68" x14ac:dyDescent="0.2">
      <c r="A190" t="s">
        <v>1171</v>
      </c>
      <c r="B190" t="s">
        <v>1362</v>
      </c>
      <c r="C190" t="str">
        <f>"CONF-"&amp;TEXT(us_core_reqs[[#This Row],[ID*]], "0000")</f>
        <v>CONF-0189</v>
      </c>
      <c r="D190" s="11" t="s">
        <v>834</v>
      </c>
      <c r="E190" t="str">
        <f>SUBSTITUTE(us_core_reqs[[#This Row],[URL*]], "https://hl7.org/fhir/us/core/STU8/","")</f>
        <v>general-guidance.html#representing-deleted-information, general-guidance.html#representing-entered-in-error-information</v>
      </c>
      <c r="F190" s="11" t="s">
        <v>1941</v>
      </c>
      <c r="G190" t="s">
        <v>32</v>
      </c>
      <c r="I190" t="s">
        <v>30</v>
      </c>
      <c r="J190" t="s">
        <v>1171</v>
      </c>
      <c r="K190" t="s">
        <v>1171</v>
      </c>
      <c r="L190" t="s">
        <v>1176</v>
      </c>
      <c r="M190" t="s">
        <v>225</v>
      </c>
      <c r="N190" t="s">
        <v>1171</v>
      </c>
      <c r="O190" t="s">
        <v>1171</v>
      </c>
      <c r="P190" t="s">
        <v>1171</v>
      </c>
      <c r="Q190" t="s">
        <v>1171</v>
      </c>
      <c r="R190" t="str">
        <f>_xlfn.TEXTBEFORE(_xlfn.TEXTAFTER(us_core_reqs[[#This Row],[URL*]],"/",-1),".")</f>
        <v>general-guidance</v>
      </c>
      <c r="S190" t="str">
        <f>_xlfn.TEXTAFTER(us_core_reqs[[#This Row],[URL*]],"#",-1)</f>
        <v>representing-entered-in-error-information</v>
      </c>
      <c r="T190" t="str">
        <f>SUBSTITUTE(SUBSTITUTE(PROPER(SUBSTITUTE(us_core_reqs[[#This Row],[Page]], "-", " "))&amp;": "&amp;PROPER(SUBSTITUTE(us_core_reqs[[#This Row],[Section]], "-", " ")),"Us ","US "), "Uscdi", "USCDI")</f>
        <v>General Guidance: Representing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1363</v>
      </c>
      <c r="C191" t="str">
        <f>"CONF-"&amp;TEXT(us_core_reqs[[#This Row],[ID*]], "0000")</f>
        <v>CONF-0190</v>
      </c>
      <c r="D191" s="11" t="s">
        <v>836</v>
      </c>
      <c r="E191" t="str">
        <f>SUBSTITUTE(us_core_reqs[[#This Row],[URL*]], "https://hl7.org/fhir/us/core/STU8/","")</f>
        <v>general-guidance.html#representing-entered-in-error-information</v>
      </c>
      <c r="F191" s="11" t="s">
        <v>1942</v>
      </c>
      <c r="G191" t="s">
        <v>32</v>
      </c>
      <c r="I191" t="s">
        <v>30</v>
      </c>
      <c r="J191" t="s">
        <v>1171</v>
      </c>
      <c r="K191" t="s">
        <v>1171</v>
      </c>
      <c r="L191" t="s">
        <v>1176</v>
      </c>
      <c r="M191" t="s">
        <v>227</v>
      </c>
      <c r="N191" t="s">
        <v>1171</v>
      </c>
      <c r="O191" t="s">
        <v>1171</v>
      </c>
      <c r="P191" t="s">
        <v>1171</v>
      </c>
      <c r="Q191" t="s">
        <v>1171</v>
      </c>
      <c r="R191" t="str">
        <f>_xlfn.TEXTBEFORE(_xlfn.TEXTAFTER(us_core_reqs[[#This Row],[URL*]],"/",-1),".")</f>
        <v>general-guidance</v>
      </c>
      <c r="S191" t="str">
        <f>_xlfn.TEXTAFTER(us_core_reqs[[#This Row],[URL*]],"#",-1)</f>
        <v>representing-entered-in-error-information</v>
      </c>
      <c r="T191" t="str">
        <f>SUBSTITUTE(SUBSTITUTE(PROPER(SUBSTITUTE(us_core_reqs[[#This Row],[Page]], "-", " "))&amp;": "&amp;PROPER(SUBSTITUTE(us_core_reqs[[#This Row],[Section]], "-", " ")),"Us ","US "), "Uscdi", "USCDI")</f>
        <v>General Guidance: Representing Entered In Error Information</v>
      </c>
      <c r="U191" t="s">
        <v>32</v>
      </c>
      <c r="V191" t="s">
        <v>30</v>
      </c>
      <c r="W191" t="s">
        <v>226</v>
      </c>
      <c r="X191" t="s">
        <v>1171</v>
      </c>
      <c r="Y191" t="s">
        <v>1171</v>
      </c>
      <c r="Z191" t="s">
        <v>1171</v>
      </c>
      <c r="AA191" t="s">
        <v>1171</v>
      </c>
      <c r="AB191" t="s">
        <v>1171</v>
      </c>
      <c r="AC191" t="s">
        <v>1171</v>
      </c>
      <c r="AD191" t="s">
        <v>1171</v>
      </c>
    </row>
    <row r="192" spans="1:30" ht="85" x14ac:dyDescent="0.2">
      <c r="A192" t="s">
        <v>1171</v>
      </c>
      <c r="B192" t="s">
        <v>1364</v>
      </c>
      <c r="C192" t="str">
        <f>"CONF-"&amp;TEXT(us_core_reqs[[#This Row],[ID*]], "0000")</f>
        <v>CONF-0191</v>
      </c>
      <c r="D192" s="11" t="s">
        <v>836</v>
      </c>
      <c r="E192" t="str">
        <f>SUBSTITUTE(us_core_reqs[[#This Row],[URL*]], "https://hl7.org/fhir/us/core/STU8/","")</f>
        <v>general-guidance.html#representing-entered-in-error-information</v>
      </c>
      <c r="F192" s="11" t="s">
        <v>1943</v>
      </c>
      <c r="G192" t="s">
        <v>32</v>
      </c>
      <c r="I192" t="s">
        <v>30</v>
      </c>
      <c r="J192" t="s">
        <v>1171</v>
      </c>
      <c r="K192" t="s">
        <v>1171</v>
      </c>
      <c r="L192" t="s">
        <v>1176</v>
      </c>
      <c r="M192" t="s">
        <v>227</v>
      </c>
      <c r="N192" t="s">
        <v>1171</v>
      </c>
      <c r="O192" t="s">
        <v>1171</v>
      </c>
      <c r="P192" t="s">
        <v>1171</v>
      </c>
      <c r="Q192" t="s">
        <v>1171</v>
      </c>
      <c r="R192" t="str">
        <f>_xlfn.TEXTBEFORE(_xlfn.TEXTAFTER(us_core_reqs[[#This Row],[URL*]],"/",-1),".")</f>
        <v>general-guidance</v>
      </c>
      <c r="S192" t="str">
        <f>_xlfn.TEXTAFTER(us_core_reqs[[#This Row],[URL*]],"#",-1)</f>
        <v>representing-entered-in-error-information</v>
      </c>
      <c r="T192" t="str">
        <f>SUBSTITUTE(SUBSTITUTE(PROPER(SUBSTITUTE(us_core_reqs[[#This Row],[Page]], "-", " "))&amp;": "&amp;PROPER(SUBSTITUTE(us_core_reqs[[#This Row],[Section]], "-", " ")),"Us ","US "), "Uscdi", "USCDI")</f>
        <v>General Guidance: Representing Entered In Error Information</v>
      </c>
      <c r="U192" t="s">
        <v>32</v>
      </c>
      <c r="V192" t="s">
        <v>30</v>
      </c>
      <c r="W192" t="s">
        <v>228</v>
      </c>
      <c r="X192" t="s">
        <v>1171</v>
      </c>
      <c r="Y192" t="s">
        <v>1171</v>
      </c>
      <c r="Z192" t="s">
        <v>1171</v>
      </c>
      <c r="AA192" t="s">
        <v>1171</v>
      </c>
      <c r="AB192" t="s">
        <v>1171</v>
      </c>
      <c r="AC192" t="s">
        <v>1171</v>
      </c>
      <c r="AD192" t="s">
        <v>1171</v>
      </c>
    </row>
    <row r="193" spans="1:30" ht="119" x14ac:dyDescent="0.2">
      <c r="A193" t="s">
        <v>1171</v>
      </c>
      <c r="B193" t="s">
        <v>1365</v>
      </c>
      <c r="C193" t="str">
        <f>"CONF-"&amp;TEXT(us_core_reqs[[#This Row],[ID*]], "0000")</f>
        <v>CONF-0192</v>
      </c>
      <c r="D193" s="11" t="s">
        <v>836</v>
      </c>
      <c r="E193" t="str">
        <f>SUBSTITUTE(us_core_reqs[[#This Row],[URL*]], "https://hl7.org/fhir/us/core/STU8/","")</f>
        <v>general-guidance.html#representing-entered-in-error-information</v>
      </c>
      <c r="F193" s="11" t="s">
        <v>999</v>
      </c>
      <c r="G193" t="s">
        <v>35</v>
      </c>
      <c r="I193" t="s">
        <v>30</v>
      </c>
      <c r="J193" t="s">
        <v>1171</v>
      </c>
      <c r="K193" t="s">
        <v>1171</v>
      </c>
      <c r="L193" t="s">
        <v>1176</v>
      </c>
      <c r="M193" t="s">
        <v>227</v>
      </c>
      <c r="N193" t="s">
        <v>1171</v>
      </c>
      <c r="O193" t="s">
        <v>1171</v>
      </c>
      <c r="P193" t="s">
        <v>1171</v>
      </c>
      <c r="Q193" t="s">
        <v>1171</v>
      </c>
      <c r="R193" t="str">
        <f>_xlfn.TEXTBEFORE(_xlfn.TEXTAFTER(us_core_reqs[[#This Row],[URL*]],"/",-1),".")</f>
        <v>general-guidance</v>
      </c>
      <c r="S193" t="str">
        <f>_xlfn.TEXTAFTER(us_core_reqs[[#This Row],[URL*]],"#",-1)</f>
        <v>representing-entered-in-error-information</v>
      </c>
      <c r="T193" t="str">
        <f>SUBSTITUTE(SUBSTITUTE(PROPER(SUBSTITUTE(us_core_reqs[[#This Row],[Page]], "-", " "))&amp;": "&amp;PROPER(SUBSTITUTE(us_core_reqs[[#This Row],[Section]], "-", " ")),"Us ","US "), "Uscdi", "USCDI")</f>
        <v>General Guidance: Representing Entered In Error Information</v>
      </c>
      <c r="U193" t="s">
        <v>35</v>
      </c>
      <c r="V193" t="s">
        <v>30</v>
      </c>
      <c r="W193" t="s">
        <v>229</v>
      </c>
      <c r="X193" t="s">
        <v>1171</v>
      </c>
      <c r="Y193" t="s">
        <v>1171</v>
      </c>
      <c r="Z193" t="s">
        <v>1171</v>
      </c>
      <c r="AA193" t="s">
        <v>1171</v>
      </c>
      <c r="AB193" t="s">
        <v>1171</v>
      </c>
      <c r="AC193" t="s">
        <v>1171</v>
      </c>
      <c r="AD193" t="s">
        <v>1171</v>
      </c>
    </row>
    <row r="194" spans="1:30" ht="51" x14ac:dyDescent="0.2">
      <c r="A194" t="s">
        <v>1171</v>
      </c>
      <c r="B194" t="s">
        <v>1366</v>
      </c>
      <c r="C194" t="str">
        <f>"CONF-"&amp;TEXT(us_core_reqs[[#This Row],[ID*]], "0000")</f>
        <v>CONF-0193</v>
      </c>
      <c r="D194" s="11" t="s">
        <v>837</v>
      </c>
      <c r="E194" t="str">
        <f>SUBSTITUTE(us_core_reqs[[#This Row],[URL*]], "https://hl7.org/fhir/us/core/STU8/","")</f>
        <v>general-guidance.html#language-support</v>
      </c>
      <c r="F194" s="11" t="s">
        <v>1944</v>
      </c>
      <c r="G194" t="s">
        <v>32</v>
      </c>
      <c r="I194" t="s">
        <v>30</v>
      </c>
      <c r="J194" t="s">
        <v>1171</v>
      </c>
      <c r="K194" t="s">
        <v>1171</v>
      </c>
      <c r="L194" t="s">
        <v>1173</v>
      </c>
      <c r="M194" t="s">
        <v>1171</v>
      </c>
      <c r="N194" t="s">
        <v>1171</v>
      </c>
      <c r="O194" t="s">
        <v>1171</v>
      </c>
      <c r="P194" t="s">
        <v>1171</v>
      </c>
      <c r="Q194" t="s">
        <v>1171</v>
      </c>
      <c r="R194" t="str">
        <f>_xlfn.TEXTBEFORE(_xlfn.TEXTAFTER(us_core_reqs[[#This Row],[URL*]],"/",-1),".")</f>
        <v>general-guidance</v>
      </c>
      <c r="S194" t="str">
        <f>_xlfn.TEXTAFTER(us_core_reqs[[#This Row],[URL*]],"#",-1)</f>
        <v>language-support</v>
      </c>
      <c r="T194" t="str">
        <f>SUBSTITUTE(SUBSTITUTE(PROPER(SUBSTITUTE(us_core_reqs[[#This Row],[Page]], "-", " "))&amp;": "&amp;PROPER(SUBSTITUTE(us_core_reqs[[#This Row],[Section]], "-", " ")),"Us ","US "), "Uscdi", "USCDI")</f>
        <v>General Guidance: Language Support</v>
      </c>
      <c r="U194" t="s">
        <v>32</v>
      </c>
      <c r="V194" t="s">
        <v>1171</v>
      </c>
      <c r="W194" t="s">
        <v>229</v>
      </c>
      <c r="X194" t="s">
        <v>1171</v>
      </c>
      <c r="Y194" t="s">
        <v>1171</v>
      </c>
      <c r="Z194" t="s">
        <v>1171</v>
      </c>
      <c r="AA194" t="s">
        <v>1171</v>
      </c>
      <c r="AB194" t="s">
        <v>1171</v>
      </c>
      <c r="AC194" t="s">
        <v>1171</v>
      </c>
      <c r="AD194" t="s">
        <v>1171</v>
      </c>
    </row>
    <row r="195" spans="1:30" ht="51" x14ac:dyDescent="0.2">
      <c r="A195" t="s">
        <v>1171</v>
      </c>
      <c r="B195" t="s">
        <v>1367</v>
      </c>
      <c r="C195" t="str">
        <f>"CONF-"&amp;TEXT(us_core_reqs[[#This Row],[ID*]], "0000")</f>
        <v>CONF-0194</v>
      </c>
      <c r="D195" s="11" t="s">
        <v>837</v>
      </c>
      <c r="E195" t="str">
        <f>SUBSTITUTE(us_core_reqs[[#This Row],[URL*]], "https://hl7.org/fhir/us/core/STU8/","")</f>
        <v>general-guidance.html#language-support</v>
      </c>
      <c r="F195" s="11" t="s">
        <v>2054</v>
      </c>
      <c r="G195" t="s">
        <v>35</v>
      </c>
      <c r="H195" t="s">
        <v>1877</v>
      </c>
      <c r="I195" t="s">
        <v>58</v>
      </c>
      <c r="J195" t="s">
        <v>1171</v>
      </c>
      <c r="K195" t="s">
        <v>1171</v>
      </c>
      <c r="L195" t="s">
        <v>1176</v>
      </c>
      <c r="M195" t="s">
        <v>231</v>
      </c>
      <c r="N195" t="s">
        <v>1171</v>
      </c>
      <c r="O195" t="s">
        <v>1171</v>
      </c>
      <c r="P195" t="s">
        <v>1171</v>
      </c>
      <c r="Q195" t="s">
        <v>1171</v>
      </c>
      <c r="R195" t="str">
        <f>_xlfn.TEXTBEFORE(_xlfn.TEXTAFTER(us_core_reqs[[#This Row],[URL*]],"/",-1),".")</f>
        <v>general-guidance</v>
      </c>
      <c r="S195" t="str">
        <f>_xlfn.TEXTAFTER(us_core_reqs[[#This Row],[URL*]],"#",-1)</f>
        <v>language-support</v>
      </c>
      <c r="T195" t="str">
        <f>SUBSTITUTE(SUBSTITUTE(PROPER(SUBSTITUTE(us_core_reqs[[#This Row],[Page]], "-", " "))&amp;": "&amp;PROPER(SUBSTITUTE(us_core_reqs[[#This Row],[Section]], "-", " ")),"Us ","US "), "Uscdi", "USCDI")</f>
        <v>General Guidance: Language Support</v>
      </c>
      <c r="U195" t="s">
        <v>35</v>
      </c>
      <c r="V195" t="s">
        <v>58</v>
      </c>
      <c r="W195" t="s">
        <v>232</v>
      </c>
      <c r="X195" t="s">
        <v>1171</v>
      </c>
      <c r="Y195" t="s">
        <v>1171</v>
      </c>
      <c r="Z195" t="s">
        <v>1171</v>
      </c>
      <c r="AA195" t="s">
        <v>1171</v>
      </c>
      <c r="AB195" t="s">
        <v>1171</v>
      </c>
      <c r="AC195" t="s">
        <v>1171</v>
      </c>
      <c r="AD195" t="s">
        <v>1171</v>
      </c>
    </row>
    <row r="196" spans="1:30" ht="51" x14ac:dyDescent="0.2">
      <c r="A196" t="s">
        <v>1171</v>
      </c>
      <c r="B196" t="s">
        <v>1368</v>
      </c>
      <c r="C196" t="str">
        <f>"CONF-"&amp;TEXT(us_core_reqs[[#This Row],[ID*]], "0000")</f>
        <v>CONF-0195</v>
      </c>
      <c r="D196" s="11" t="s">
        <v>837</v>
      </c>
      <c r="E196" t="str">
        <f>SUBSTITUTE(us_core_reqs[[#This Row],[URL*]], "https://hl7.org/fhir/us/core/STU8/","")</f>
        <v>general-guidance.html#language-support</v>
      </c>
      <c r="F196" s="11" t="s">
        <v>1945</v>
      </c>
      <c r="G196" t="s">
        <v>32</v>
      </c>
      <c r="I196" t="s">
        <v>30</v>
      </c>
      <c r="J196" t="s">
        <v>1171</v>
      </c>
      <c r="K196" t="s">
        <v>1171</v>
      </c>
      <c r="L196" t="s">
        <v>1176</v>
      </c>
      <c r="M196" t="s">
        <v>231</v>
      </c>
      <c r="N196" t="s">
        <v>1171</v>
      </c>
      <c r="O196" t="s">
        <v>1171</v>
      </c>
      <c r="P196" t="s">
        <v>1171</v>
      </c>
      <c r="Q196" t="s">
        <v>1171</v>
      </c>
      <c r="R196" t="str">
        <f>_xlfn.TEXTBEFORE(_xlfn.TEXTAFTER(us_core_reqs[[#This Row],[URL*]],"/",-1),".")</f>
        <v>general-guidance</v>
      </c>
      <c r="S196" t="str">
        <f>_xlfn.TEXTAFTER(us_core_reqs[[#This Row],[URL*]],"#",-1)</f>
        <v>language-support</v>
      </c>
      <c r="T196" t="str">
        <f>SUBSTITUTE(SUBSTITUTE(PROPER(SUBSTITUTE(us_core_reqs[[#This Row],[Page]], "-", " "))&amp;": "&amp;PROPER(SUBSTITUTE(us_core_reqs[[#This Row],[Section]], "-", " ")),"Us ","US "), "Uscdi", "USCDI")</f>
        <v>General Guidance: Language Support</v>
      </c>
      <c r="U196" t="s">
        <v>32</v>
      </c>
      <c r="V196" t="s">
        <v>30</v>
      </c>
      <c r="W196" t="s">
        <v>232</v>
      </c>
      <c r="X196" t="s">
        <v>1171</v>
      </c>
      <c r="Y196" t="s">
        <v>1171</v>
      </c>
      <c r="Z196" t="s">
        <v>1171</v>
      </c>
      <c r="AA196" t="s">
        <v>1171</v>
      </c>
      <c r="AB196" t="s">
        <v>1171</v>
      </c>
      <c r="AC196" t="s">
        <v>1171</v>
      </c>
      <c r="AD196" t="s">
        <v>1171</v>
      </c>
    </row>
    <row r="197" spans="1:30" ht="85" x14ac:dyDescent="0.2">
      <c r="A197" t="s">
        <v>1171</v>
      </c>
      <c r="B197" t="s">
        <v>1369</v>
      </c>
      <c r="C197" t="str">
        <f>"CONF-"&amp;TEXT(us_core_reqs[[#This Row],[ID*]], "0000")</f>
        <v>CONF-0196</v>
      </c>
      <c r="D197" s="11" t="s">
        <v>837</v>
      </c>
      <c r="E197" t="str">
        <f>SUBSTITUTE(us_core_reqs[[#This Row],[URL*]], "https://hl7.org/fhir/us/core/STU8/","")</f>
        <v>general-guidance.html#language-support</v>
      </c>
      <c r="F197" s="11" t="s">
        <v>1946</v>
      </c>
      <c r="G197" t="s">
        <v>32</v>
      </c>
      <c r="I197" t="s">
        <v>30</v>
      </c>
      <c r="J197" t="s">
        <v>1171</v>
      </c>
      <c r="K197" t="s">
        <v>1171</v>
      </c>
      <c r="L197" t="s">
        <v>1176</v>
      </c>
      <c r="M197" t="s">
        <v>231</v>
      </c>
      <c r="N197" t="s">
        <v>1171</v>
      </c>
      <c r="O197" t="s">
        <v>1171</v>
      </c>
      <c r="P197" t="s">
        <v>1171</v>
      </c>
      <c r="Q197" t="s">
        <v>1171</v>
      </c>
      <c r="R197" t="str">
        <f>_xlfn.TEXTBEFORE(_xlfn.TEXTAFTER(us_core_reqs[[#This Row],[URL*]],"/",-1),".")</f>
        <v>general-guidance</v>
      </c>
      <c r="S197" t="str">
        <f>_xlfn.TEXTAFTER(us_core_reqs[[#This Row],[URL*]],"#",-1)</f>
        <v>language-support</v>
      </c>
      <c r="T197" t="str">
        <f>SUBSTITUTE(SUBSTITUTE(PROPER(SUBSTITUTE(us_core_reqs[[#This Row],[Page]], "-", " "))&amp;": "&amp;PROPER(SUBSTITUTE(us_core_reqs[[#This Row],[Section]], "-", " ")),"Us ","US "), "Uscdi", "USCDI")</f>
        <v>General Guidance: Language Support</v>
      </c>
      <c r="U197" t="s">
        <v>32</v>
      </c>
      <c r="V197" t="s">
        <v>30</v>
      </c>
      <c r="W197" t="s">
        <v>232</v>
      </c>
      <c r="X197" t="s">
        <v>1171</v>
      </c>
      <c r="Y197" t="s">
        <v>1171</v>
      </c>
      <c r="Z197" t="s">
        <v>1171</v>
      </c>
      <c r="AA197" t="s">
        <v>1171</v>
      </c>
      <c r="AB197" t="s">
        <v>1171</v>
      </c>
      <c r="AC197" t="s">
        <v>1171</v>
      </c>
      <c r="AD197" t="s">
        <v>1171</v>
      </c>
    </row>
    <row r="198" spans="1:30" ht="85" x14ac:dyDescent="0.2">
      <c r="A198" t="s">
        <v>1171</v>
      </c>
      <c r="B198" t="s">
        <v>1370</v>
      </c>
      <c r="C198" t="str">
        <f>"CONF-"&amp;TEXT(us_core_reqs[[#This Row],[ID*]], "0000")</f>
        <v>CONF-0197</v>
      </c>
      <c r="D198" s="11" t="s">
        <v>837</v>
      </c>
      <c r="E198" t="str">
        <f>SUBSTITUTE(us_core_reqs[[#This Row],[URL*]], "https://hl7.org/fhir/us/core/STU8/","")</f>
        <v>general-guidance.html#language-support</v>
      </c>
      <c r="F198" s="11" t="s">
        <v>1947</v>
      </c>
      <c r="G198" t="s">
        <v>32</v>
      </c>
      <c r="I198" t="s">
        <v>30</v>
      </c>
      <c r="J198" t="s">
        <v>1171</v>
      </c>
      <c r="K198" t="s">
        <v>1171</v>
      </c>
      <c r="L198" t="s">
        <v>1176</v>
      </c>
      <c r="M198" t="s">
        <v>231</v>
      </c>
      <c r="N198" t="s">
        <v>1171</v>
      </c>
      <c r="O198" t="s">
        <v>1171</v>
      </c>
      <c r="P198" t="s">
        <v>1171</v>
      </c>
      <c r="Q198" t="s">
        <v>1171</v>
      </c>
      <c r="R198" t="str">
        <f>_xlfn.TEXTBEFORE(_xlfn.TEXTAFTER(us_core_reqs[[#This Row],[URL*]],"/",-1),".")</f>
        <v>general-guidance</v>
      </c>
      <c r="S198" t="str">
        <f>_xlfn.TEXTAFTER(us_core_reqs[[#This Row],[URL*]],"#",-1)</f>
        <v>language-support</v>
      </c>
      <c r="T198" t="str">
        <f>SUBSTITUTE(SUBSTITUTE(PROPER(SUBSTITUTE(us_core_reqs[[#This Row],[Page]], "-", " "))&amp;": "&amp;PROPER(SUBSTITUTE(us_core_reqs[[#This Row],[Section]], "-", " ")),"Us ","US "), "Uscdi", "USCDI")</f>
        <v>General Guidance: Language Support</v>
      </c>
      <c r="U198" t="s">
        <v>32</v>
      </c>
      <c r="V198" t="s">
        <v>30</v>
      </c>
      <c r="W198" t="s">
        <v>232</v>
      </c>
      <c r="X198" t="s">
        <v>1171</v>
      </c>
      <c r="Y198" t="s">
        <v>1171</v>
      </c>
      <c r="Z198" t="s">
        <v>1171</v>
      </c>
      <c r="AA198" t="s">
        <v>1171</v>
      </c>
      <c r="AB198" t="s">
        <v>1171</v>
      </c>
      <c r="AC198" t="s">
        <v>1171</v>
      </c>
      <c r="AD198" t="s">
        <v>1171</v>
      </c>
    </row>
    <row r="199" spans="1:30" ht="85" x14ac:dyDescent="0.2">
      <c r="A199" t="s">
        <v>1171</v>
      </c>
      <c r="B199" t="s">
        <v>1371</v>
      </c>
      <c r="C199" t="str">
        <f>"CONF-"&amp;TEXT(us_core_reqs[[#This Row],[ID*]], "0000")</f>
        <v>CONF-0198</v>
      </c>
      <c r="D199" s="11" t="s">
        <v>837</v>
      </c>
      <c r="E199" t="str">
        <f>SUBSTITUTE(us_core_reqs[[#This Row],[URL*]], "https://hl7.org/fhir/us/core/STU8/","")</f>
        <v>general-guidance.html#language-support</v>
      </c>
      <c r="F199" s="11" t="s">
        <v>1948</v>
      </c>
      <c r="G199" t="s">
        <v>32</v>
      </c>
      <c r="I199" t="s">
        <v>30</v>
      </c>
      <c r="J199" t="s">
        <v>1171</v>
      </c>
      <c r="K199" t="s">
        <v>1171</v>
      </c>
      <c r="L199" t="s">
        <v>1176</v>
      </c>
      <c r="M199" t="s">
        <v>231</v>
      </c>
      <c r="N199" t="s">
        <v>1171</v>
      </c>
      <c r="O199" t="s">
        <v>1171</v>
      </c>
      <c r="P199" t="s">
        <v>1171</v>
      </c>
      <c r="Q199" t="s">
        <v>1171</v>
      </c>
      <c r="R199" t="str">
        <f>_xlfn.TEXTBEFORE(_xlfn.TEXTAFTER(us_core_reqs[[#This Row],[URL*]],"/",-1),".")</f>
        <v>general-guidance</v>
      </c>
      <c r="S199" t="str">
        <f>_xlfn.TEXTAFTER(us_core_reqs[[#This Row],[URL*]],"#",-1)</f>
        <v>language-support</v>
      </c>
      <c r="T199" t="str">
        <f>SUBSTITUTE(SUBSTITUTE(PROPER(SUBSTITUTE(us_core_reqs[[#This Row],[Page]], "-", " "))&amp;": "&amp;PROPER(SUBSTITUTE(us_core_reqs[[#This Row],[Section]], "-", " ")),"Us ","US "), "Uscdi", "USCDI")</f>
        <v>General Guidance: Language Support</v>
      </c>
      <c r="U199" t="s">
        <v>32</v>
      </c>
      <c r="V199" t="s">
        <v>30</v>
      </c>
      <c r="W199" t="s">
        <v>232</v>
      </c>
      <c r="X199" t="s">
        <v>1171</v>
      </c>
      <c r="Y199" t="s">
        <v>1171</v>
      </c>
      <c r="Z199" t="s">
        <v>1171</v>
      </c>
      <c r="AA199" t="s">
        <v>1171</v>
      </c>
      <c r="AB199" t="s">
        <v>1171</v>
      </c>
      <c r="AC199" t="s">
        <v>1171</v>
      </c>
      <c r="AD199" t="s">
        <v>1171</v>
      </c>
    </row>
    <row r="200" spans="1:30" ht="119" x14ac:dyDescent="0.2">
      <c r="A200" t="s">
        <v>1171</v>
      </c>
      <c r="B200" t="s">
        <v>1372</v>
      </c>
      <c r="C200" t="str">
        <f>"CONF-"&amp;TEXT(us_core_reqs[[#This Row],[ID*]], "0000")</f>
        <v>CONF-0199</v>
      </c>
      <c r="D200" s="11" t="s">
        <v>837</v>
      </c>
      <c r="E200" t="str">
        <f>SUBSTITUTE(us_core_reqs[[#This Row],[URL*]], "https://hl7.org/fhir/us/core/STU8/","")</f>
        <v>general-guidance.html#language-support</v>
      </c>
      <c r="F200" s="11" t="s">
        <v>1949</v>
      </c>
      <c r="G200" t="s">
        <v>32</v>
      </c>
      <c r="I200" t="s">
        <v>30</v>
      </c>
      <c r="J200" t="s">
        <v>1171</v>
      </c>
      <c r="K200" t="s">
        <v>1171</v>
      </c>
      <c r="L200" t="s">
        <v>1176</v>
      </c>
      <c r="M200" t="s">
        <v>231</v>
      </c>
      <c r="N200" t="s">
        <v>1171</v>
      </c>
      <c r="O200" t="s">
        <v>1171</v>
      </c>
      <c r="P200" t="s">
        <v>1171</v>
      </c>
      <c r="Q200" t="s">
        <v>1171</v>
      </c>
      <c r="R200" t="str">
        <f>_xlfn.TEXTBEFORE(_xlfn.TEXTAFTER(us_core_reqs[[#This Row],[URL*]],"/",-1),".")</f>
        <v>general-guidance</v>
      </c>
      <c r="S200" t="str">
        <f>_xlfn.TEXTAFTER(us_core_reqs[[#This Row],[URL*]],"#",-1)</f>
        <v>language-support</v>
      </c>
      <c r="T200" t="str">
        <f>SUBSTITUTE(SUBSTITUTE(PROPER(SUBSTITUTE(us_core_reqs[[#This Row],[Page]], "-", " "))&amp;": "&amp;PROPER(SUBSTITUTE(us_core_reqs[[#This Row],[Section]], "-", " ")),"Us ","US "), "Uscdi", "USCDI")</f>
        <v>General Guidance: Language Support</v>
      </c>
      <c r="U200" t="s">
        <v>32</v>
      </c>
      <c r="V200" t="s">
        <v>30</v>
      </c>
      <c r="W200" t="s">
        <v>232</v>
      </c>
      <c r="X200" t="s">
        <v>1171</v>
      </c>
      <c r="Y200" t="s">
        <v>1171</v>
      </c>
      <c r="Z200" t="s">
        <v>1171</v>
      </c>
      <c r="AA200" t="s">
        <v>1171</v>
      </c>
      <c r="AB200" t="s">
        <v>1171</v>
      </c>
      <c r="AC200" t="s">
        <v>1171</v>
      </c>
      <c r="AD200" t="s">
        <v>1171</v>
      </c>
    </row>
    <row r="201" spans="1:30" ht="51" x14ac:dyDescent="0.2">
      <c r="A201" t="s">
        <v>1171</v>
      </c>
      <c r="B201" t="s">
        <v>1373</v>
      </c>
      <c r="C201" t="str">
        <f>"CONF-"&amp;TEXT(us_core_reqs[[#This Row],[ID*]], "0000")</f>
        <v>CONF-0200</v>
      </c>
      <c r="D201" s="11" t="s">
        <v>626</v>
      </c>
      <c r="E201" t="str">
        <f>SUBSTITUTE(us_core_reqs[[#This Row],[URL*]], "https://hl7.org/fhir/us/core/STU8/","")</f>
        <v>general-guidance.html#searching-using-lastupdated</v>
      </c>
      <c r="F201" s="11" t="s">
        <v>1950</v>
      </c>
      <c r="G201" t="s">
        <v>32</v>
      </c>
      <c r="I201" t="s">
        <v>30</v>
      </c>
      <c r="J201" t="s">
        <v>1171</v>
      </c>
      <c r="K201" t="s">
        <v>1171</v>
      </c>
      <c r="L201" t="s">
        <v>1173</v>
      </c>
      <c r="M201" t="s">
        <v>1171</v>
      </c>
      <c r="N201" t="s">
        <v>1171</v>
      </c>
      <c r="O201" t="s">
        <v>1171</v>
      </c>
      <c r="P201" t="s">
        <v>1171</v>
      </c>
      <c r="Q201" t="s">
        <v>1171</v>
      </c>
      <c r="R201" t="str">
        <f>_xlfn.TEXTBEFORE(_xlfn.TEXTAFTER(us_core_reqs[[#This Row],[URL*]],"/",-1),".")</f>
        <v>general-guidance</v>
      </c>
      <c r="S201" t="str">
        <f>_xlfn.TEXTAFTER(us_core_reqs[[#This Row],[URL*]],"#",-1)</f>
        <v>searching-using-lastupdated</v>
      </c>
      <c r="T201" t="str">
        <f>SUBSTITUTE(SUBSTITUTE(PROPER(SUBSTITUTE(us_core_reqs[[#This Row],[Page]], "-", " "))&amp;": "&amp;PROPER(SUBSTITUTE(us_core_reqs[[#This Row],[Section]], "-", " ")),"Us ","US "), "Uscdi", "USCDI")</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1374</v>
      </c>
      <c r="C202" t="str">
        <f>"CONF-"&amp;TEXT(us_core_reqs[[#This Row],[ID*]], "0000")</f>
        <v>CONF-0201</v>
      </c>
      <c r="D202" s="11" t="s">
        <v>626</v>
      </c>
      <c r="E202" t="str">
        <f>SUBSTITUTE(us_core_reqs[[#This Row],[URL*]], "https://hl7.org/fhir/us/core/STU8/","")</f>
        <v>general-guidance.html#searching-using-lastupdated</v>
      </c>
      <c r="F202" s="11" t="s">
        <v>1951</v>
      </c>
      <c r="G202" t="s">
        <v>32</v>
      </c>
      <c r="I202" t="s">
        <v>30</v>
      </c>
      <c r="J202" t="s">
        <v>1171</v>
      </c>
      <c r="K202" t="s">
        <v>1171</v>
      </c>
      <c r="L202" t="s">
        <v>1173</v>
      </c>
      <c r="M202" t="s">
        <v>1171</v>
      </c>
      <c r="N202" t="s">
        <v>1171</v>
      </c>
      <c r="O202" t="s">
        <v>1171</v>
      </c>
      <c r="P202" t="s">
        <v>1171</v>
      </c>
      <c r="Q202" t="s">
        <v>1171</v>
      </c>
      <c r="R202" t="str">
        <f>_xlfn.TEXTBEFORE(_xlfn.TEXTAFTER(us_core_reqs[[#This Row],[URL*]],"/",-1),".")</f>
        <v>general-guidance</v>
      </c>
      <c r="S202" t="str">
        <f>_xlfn.TEXTAFTER(us_core_reqs[[#This Row],[URL*]],"#",-1)</f>
        <v>searching-using-lastupdated</v>
      </c>
      <c r="T202" t="str">
        <f>SUBSTITUTE(SUBSTITUTE(PROPER(SUBSTITUTE(us_core_reqs[[#This Row],[Page]], "-", " "))&amp;": "&amp;PROPER(SUBSTITUTE(us_core_reqs[[#This Row],[Section]], "-", " ")),"Us ","US "), "Uscdi", "USCDI")</f>
        <v>General Guidance: Searching Using Lastupdated</v>
      </c>
      <c r="U202" t="s">
        <v>32</v>
      </c>
      <c r="V202" t="s">
        <v>30</v>
      </c>
      <c r="W202" t="s">
        <v>235</v>
      </c>
      <c r="X202" t="s">
        <v>1171</v>
      </c>
      <c r="Y202" t="s">
        <v>1171</v>
      </c>
      <c r="Z202" t="s">
        <v>1171</v>
      </c>
      <c r="AA202" t="s">
        <v>1171</v>
      </c>
      <c r="AB202" t="s">
        <v>712</v>
      </c>
      <c r="AC202" t="s">
        <v>1171</v>
      </c>
      <c r="AD202" t="s">
        <v>1171</v>
      </c>
    </row>
    <row r="203" spans="1:30" ht="68" x14ac:dyDescent="0.2">
      <c r="A203" t="s">
        <v>1171</v>
      </c>
      <c r="B203" t="s">
        <v>1375</v>
      </c>
      <c r="C203" t="str">
        <f>"CONF-"&amp;TEXT(us_core_reqs[[#This Row],[ID*]], "0000")</f>
        <v>CONF-0202</v>
      </c>
      <c r="D203" s="11" t="s">
        <v>626</v>
      </c>
      <c r="E203" t="str">
        <f>SUBSTITUTE(us_core_reqs[[#This Row],[URL*]], "https://hl7.org/fhir/us/core/STU8/","")</f>
        <v>general-guidance.html#searching-using-lastupdated</v>
      </c>
      <c r="F203" s="11" t="s">
        <v>1904</v>
      </c>
      <c r="G203" t="s">
        <v>29</v>
      </c>
      <c r="I203" t="s">
        <v>30</v>
      </c>
      <c r="J203" t="s">
        <v>1171</v>
      </c>
      <c r="K203" t="s">
        <v>1171</v>
      </c>
      <c r="L203" t="s">
        <v>1173</v>
      </c>
      <c r="M203" t="s">
        <v>1171</v>
      </c>
      <c r="N203" t="s">
        <v>1171</v>
      </c>
      <c r="O203" t="s">
        <v>1171</v>
      </c>
      <c r="P203" t="s">
        <v>1171</v>
      </c>
      <c r="Q203" t="s">
        <v>1171</v>
      </c>
      <c r="R203" t="str">
        <f>_xlfn.TEXTBEFORE(_xlfn.TEXTAFTER(us_core_reqs[[#This Row],[URL*]],"/",-1),".")</f>
        <v>general-guidance</v>
      </c>
      <c r="S203" t="str">
        <f>_xlfn.TEXTAFTER(us_core_reqs[[#This Row],[URL*]],"#",-1)</f>
        <v>searching-using-lastupdated</v>
      </c>
      <c r="T203" t="str">
        <f>SUBSTITUTE(SUBSTITUTE(PROPER(SUBSTITUTE(us_core_reqs[[#This Row],[Page]], "-", " "))&amp;": "&amp;PROPER(SUBSTITUTE(us_core_reqs[[#This Row],[Section]], "-", " ")),"Us ","US "), "Uscdi", "USCDI")</f>
        <v>General Guidance: Searching Using Lastupdated</v>
      </c>
      <c r="U203" t="s">
        <v>29</v>
      </c>
      <c r="V203" t="s">
        <v>30</v>
      </c>
      <c r="W203" t="s">
        <v>235</v>
      </c>
      <c r="X203" t="s">
        <v>1171</v>
      </c>
      <c r="Y203" t="s">
        <v>1171</v>
      </c>
      <c r="Z203" t="s">
        <v>1171</v>
      </c>
      <c r="AA203" t="s">
        <v>1171</v>
      </c>
      <c r="AB203" t="s">
        <v>1171</v>
      </c>
      <c r="AC203" t="s">
        <v>1141</v>
      </c>
      <c r="AD203" t="s">
        <v>1171</v>
      </c>
    </row>
    <row r="204" spans="1:30" ht="68" x14ac:dyDescent="0.2">
      <c r="A204" t="s">
        <v>1171</v>
      </c>
      <c r="B204" t="s">
        <v>1376</v>
      </c>
      <c r="C204" t="str">
        <f>"CONF-"&amp;TEXT(us_core_reqs[[#This Row],[ID*]], "0000")</f>
        <v>CONF-0203</v>
      </c>
      <c r="D204" s="11" t="s">
        <v>838</v>
      </c>
      <c r="E204" t="str">
        <f>SUBSTITUTE(us_core_reqs[[#This Row],[URL*]], "https://hl7.org/fhir/us/core/STU8/","")</f>
        <v>general-guidance.html#compartment-based-search</v>
      </c>
      <c r="F204" s="11" t="s">
        <v>1004</v>
      </c>
      <c r="G204" t="s">
        <v>35</v>
      </c>
      <c r="I204" t="s">
        <v>30</v>
      </c>
      <c r="J204" t="s">
        <v>1171</v>
      </c>
      <c r="K204" t="s">
        <v>1171</v>
      </c>
      <c r="L204" t="s">
        <v>1173</v>
      </c>
      <c r="M204" t="s">
        <v>1171</v>
      </c>
      <c r="N204" t="s">
        <v>1171</v>
      </c>
      <c r="O204" t="s">
        <v>1171</v>
      </c>
      <c r="P204" t="s">
        <v>1171</v>
      </c>
      <c r="Q204" t="s">
        <v>1171</v>
      </c>
      <c r="R204" t="str">
        <f>_xlfn.TEXTBEFORE(_xlfn.TEXTAFTER(us_core_reqs[[#This Row],[URL*]],"/",-1),".")</f>
        <v>general-guidance</v>
      </c>
      <c r="S204" t="str">
        <f>_xlfn.TEXTAFTER(us_core_reqs[[#This Row],[URL*]],"#",-1)</f>
        <v>compartment-based-search</v>
      </c>
      <c r="T204" t="str">
        <f>SUBSTITUTE(SUBSTITUTE(PROPER(SUBSTITUTE(us_core_reqs[[#This Row],[Page]], "-", " "))&amp;": "&amp;PROPER(SUBSTITUTE(us_core_reqs[[#This Row],[Section]], "-", " ")),"Us ","US "), "Uscdi", "USCDI")</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1377</v>
      </c>
      <c r="C205" t="str">
        <f>"CONF-"&amp;TEXT(us_core_reqs[[#This Row],[ID*]], "0000")</f>
        <v>CONF-0204</v>
      </c>
      <c r="D205" s="11" t="s">
        <v>839</v>
      </c>
      <c r="E205" t="str">
        <f>SUBSTITUTE(us_core_reqs[[#This Row],[URL*]], "https://hl7.org/fhir/us/core/STU8/","")</f>
        <v>general-guidance.html#across-platform-searches</v>
      </c>
      <c r="F205" s="11" t="s">
        <v>1005</v>
      </c>
      <c r="G205" t="s">
        <v>35</v>
      </c>
      <c r="I205" t="s">
        <v>30</v>
      </c>
      <c r="J205" t="s">
        <v>1171</v>
      </c>
      <c r="K205" t="s">
        <v>1171</v>
      </c>
      <c r="L205" t="s">
        <v>1173</v>
      </c>
      <c r="M205" t="s">
        <v>1171</v>
      </c>
      <c r="N205" t="s">
        <v>1171</v>
      </c>
      <c r="O205" t="s">
        <v>1171</v>
      </c>
      <c r="P205" t="s">
        <v>1171</v>
      </c>
      <c r="Q205" t="s">
        <v>1171</v>
      </c>
      <c r="R205" t="str">
        <f>_xlfn.TEXTBEFORE(_xlfn.TEXTAFTER(us_core_reqs[[#This Row],[URL*]],"/",-1),".")</f>
        <v>general-guidance</v>
      </c>
      <c r="S205" t="str">
        <f>_xlfn.TEXTAFTER(us_core_reqs[[#This Row],[URL*]],"#",-1)</f>
        <v>across-platform-searches</v>
      </c>
      <c r="T205" t="str">
        <f>SUBSTITUTE(SUBSTITUTE(PROPER(SUBSTITUTE(us_core_reqs[[#This Row],[Page]], "-", " "))&amp;": "&amp;PROPER(SUBSTITUTE(us_core_reqs[[#This Row],[Section]], "-", " ")),"Us ","US "), "Uscdi", "USCDI")</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1378</v>
      </c>
      <c r="C206" t="str">
        <f>"CONF-"&amp;TEXT(us_core_reqs[[#This Row],[ID*]], "0000")</f>
        <v>CONF-0205</v>
      </c>
      <c r="D206" s="11" t="s">
        <v>840</v>
      </c>
      <c r="E206" t="str">
        <f>SUBSTITUTE(us_core_reqs[[#This Row],[URL*]], "https://hl7.org/fhir/us/core/STU8/","")</f>
        <v>general-guidance.html#limiting-the-number-of-search-results</v>
      </c>
      <c r="F206" s="11" t="s">
        <v>238</v>
      </c>
      <c r="G206" t="s">
        <v>35</v>
      </c>
      <c r="I206" t="s">
        <v>30</v>
      </c>
      <c r="J206" t="s">
        <v>1171</v>
      </c>
      <c r="K206" t="s">
        <v>1171</v>
      </c>
      <c r="L206" t="s">
        <v>1173</v>
      </c>
      <c r="M206" t="s">
        <v>1171</v>
      </c>
      <c r="N206" t="s">
        <v>1171</v>
      </c>
      <c r="O206" t="s">
        <v>1171</v>
      </c>
      <c r="P206" t="s">
        <v>1171</v>
      </c>
      <c r="Q206" t="s">
        <v>1171</v>
      </c>
      <c r="R206" t="str">
        <f>_xlfn.TEXTBEFORE(_xlfn.TEXTAFTER(us_core_reqs[[#This Row],[URL*]],"/",-1),".")</f>
        <v>general-guidance</v>
      </c>
      <c r="S206" t="str">
        <f>_xlfn.TEXTAFTER(us_core_reqs[[#This Row],[URL*]],"#",-1)</f>
        <v>limiting-the-number-of-search-results</v>
      </c>
      <c r="T206" t="str">
        <f>SUBSTITUTE(SUBSTITUTE(PROPER(SUBSTITUTE(us_core_reqs[[#This Row],[Page]], "-", " "))&amp;": "&amp;PROPER(SUBSTITUTE(us_core_reqs[[#This Row],[Section]], "-", " ")),"Us ","US "), "Uscdi", "USCDI")</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51" x14ac:dyDescent="0.2">
      <c r="A207" t="s">
        <v>1171</v>
      </c>
      <c r="B207" t="s">
        <v>1379</v>
      </c>
      <c r="C207" t="str">
        <f>"CONF-"&amp;TEXT(us_core_reqs[[#This Row],[ID*]], "0000")</f>
        <v>CONF-0206</v>
      </c>
      <c r="D207" s="11" t="s">
        <v>841</v>
      </c>
      <c r="E207" t="str">
        <f>SUBSTITUTE(us_core_reqs[[#This Row],[URL*]], "https://hl7.org/fhir/us/core/STU8/","")</f>
        <v>clinical-notes.html#clinical-notes, clinical-notes.html#support-requirements</v>
      </c>
      <c r="F207" s="11" t="s">
        <v>2123</v>
      </c>
      <c r="G207" t="s">
        <v>29</v>
      </c>
      <c r="I207" t="s">
        <v>30</v>
      </c>
      <c r="J207" t="s">
        <v>1171</v>
      </c>
      <c r="K207" t="s">
        <v>1171</v>
      </c>
      <c r="L207" t="s">
        <v>1173</v>
      </c>
      <c r="M207" t="s">
        <v>1171</v>
      </c>
      <c r="N207" t="s">
        <v>1171</v>
      </c>
      <c r="O207" t="s">
        <v>1171</v>
      </c>
      <c r="P207" t="s">
        <v>1171</v>
      </c>
      <c r="Q207" t="s">
        <v>1171</v>
      </c>
      <c r="R207" t="str">
        <f>_xlfn.TEXTBEFORE(_xlfn.TEXTAFTER(us_core_reqs[[#This Row],[URL*]],"/",-1),".")</f>
        <v>clinical-notes</v>
      </c>
      <c r="S207" t="str">
        <f>_xlfn.TEXTAFTER(us_core_reqs[[#This Row],[URL*]],"#",-1)</f>
        <v>support-requirements</v>
      </c>
      <c r="T207" t="str">
        <f>SUBSTITUTE(SUBSTITUTE(PROPER(SUBSTITUTE(us_core_reqs[[#This Row],[Page]], "-", " "))&amp;": "&amp;PROPER(SUBSTITUTE(us_core_reqs[[#This Row],[Section]], "-", " ")),"Us ","US "), "Uscdi", "USCDI")</f>
        <v>Clinical Notes: Support Requirements</v>
      </c>
      <c r="U207" t="s">
        <v>29</v>
      </c>
      <c r="V207" t="s">
        <v>30</v>
      </c>
      <c r="W207" t="s">
        <v>240</v>
      </c>
      <c r="X207" t="s">
        <v>1171</v>
      </c>
      <c r="Y207" t="s">
        <v>1171</v>
      </c>
      <c r="Z207" t="s">
        <v>1171</v>
      </c>
      <c r="AA207" t="s">
        <v>1171</v>
      </c>
      <c r="AB207" t="s">
        <v>1171</v>
      </c>
      <c r="AC207" t="s">
        <v>1140</v>
      </c>
      <c r="AD207" t="s">
        <v>1171</v>
      </c>
    </row>
    <row r="208" spans="1:30" ht="51" x14ac:dyDescent="0.2">
      <c r="A208" t="s">
        <v>1171</v>
      </c>
      <c r="B208" t="s">
        <v>1380</v>
      </c>
      <c r="C208" t="str">
        <f>"CONF-"&amp;TEXT(us_core_reqs[[#This Row],[ID*]], "0000")</f>
        <v>CONF-0207</v>
      </c>
      <c r="D208" s="11" t="s">
        <v>841</v>
      </c>
      <c r="E208" t="str">
        <f>SUBSTITUTE(us_core_reqs[[#This Row],[URL*]], "https://hl7.org/fhir/us/core/STU8/","")</f>
        <v>clinical-notes.html#clinical-notes, clinical-notes.html#support-requirements</v>
      </c>
      <c r="F208" s="11" t="s">
        <v>2124</v>
      </c>
      <c r="G208" t="s">
        <v>29</v>
      </c>
      <c r="I208" t="s">
        <v>30</v>
      </c>
      <c r="J208" t="s">
        <v>1171</v>
      </c>
      <c r="K208" t="s">
        <v>1171</v>
      </c>
      <c r="L208" t="s">
        <v>1173</v>
      </c>
      <c r="M208" t="s">
        <v>1171</v>
      </c>
      <c r="N208" t="s">
        <v>1171</v>
      </c>
      <c r="O208" t="s">
        <v>1171</v>
      </c>
      <c r="P208" t="s">
        <v>1171</v>
      </c>
      <c r="Q208" t="s">
        <v>1171</v>
      </c>
      <c r="R208" t="str">
        <f>_xlfn.TEXTBEFORE(_xlfn.TEXTAFTER(us_core_reqs[[#This Row],[URL*]],"/",-1),".")</f>
        <v>clinical-notes</v>
      </c>
      <c r="S208" t="str">
        <f>_xlfn.TEXTAFTER(us_core_reqs[[#This Row],[URL*]],"#",-1)</f>
        <v>support-requirements</v>
      </c>
      <c r="T208" t="str">
        <f>SUBSTITUTE(SUBSTITUTE(PROPER(SUBSTITUTE(us_core_reqs[[#This Row],[Page]], "-", " "))&amp;": "&amp;PROPER(SUBSTITUTE(us_core_reqs[[#This Row],[Section]], "-", " ")),"Us ","US "), "Uscdi", "USCDI")</f>
        <v>Clinical Notes: Support Requirements</v>
      </c>
      <c r="U208" t="s">
        <v>29</v>
      </c>
      <c r="V208" t="s">
        <v>30</v>
      </c>
      <c r="W208" t="s">
        <v>240</v>
      </c>
      <c r="X208" t="s">
        <v>1171</v>
      </c>
      <c r="Y208" t="s">
        <v>1171</v>
      </c>
      <c r="Z208" t="s">
        <v>1171</v>
      </c>
      <c r="AA208" t="s">
        <v>1171</v>
      </c>
      <c r="AB208" t="s">
        <v>1171</v>
      </c>
      <c r="AC208" t="s">
        <v>1140</v>
      </c>
      <c r="AD208" t="s">
        <v>1171</v>
      </c>
    </row>
    <row r="209" spans="1:30" ht="51" x14ac:dyDescent="0.2">
      <c r="A209" t="s">
        <v>1171</v>
      </c>
      <c r="B209" t="s">
        <v>1381</v>
      </c>
      <c r="C209" t="str">
        <f>"CONF-"&amp;TEXT(us_core_reqs[[#This Row],[ID*]], "0000")</f>
        <v>CONF-0208</v>
      </c>
      <c r="D209" s="11" t="s">
        <v>841</v>
      </c>
      <c r="E209" t="str">
        <f>SUBSTITUTE(us_core_reqs[[#This Row],[URL*]], "https://hl7.org/fhir/us/core/STU8/","")</f>
        <v>clinical-notes.html#clinical-notes, clinical-notes.html#support-requirements</v>
      </c>
      <c r="F209" s="11" t="s">
        <v>2125</v>
      </c>
      <c r="G209" t="s">
        <v>29</v>
      </c>
      <c r="I209" t="s">
        <v>30</v>
      </c>
      <c r="J209" t="s">
        <v>1171</v>
      </c>
      <c r="K209" t="s">
        <v>1171</v>
      </c>
      <c r="L209" t="s">
        <v>1173</v>
      </c>
      <c r="M209" t="s">
        <v>1171</v>
      </c>
      <c r="N209" t="s">
        <v>1171</v>
      </c>
      <c r="O209" t="s">
        <v>1171</v>
      </c>
      <c r="P209" t="s">
        <v>1171</v>
      </c>
      <c r="Q209" t="s">
        <v>1171</v>
      </c>
      <c r="R209" t="str">
        <f>_xlfn.TEXTBEFORE(_xlfn.TEXTAFTER(us_core_reqs[[#This Row],[URL*]],"/",-1),".")</f>
        <v>clinical-notes</v>
      </c>
      <c r="S209" t="str">
        <f>_xlfn.TEXTAFTER(us_core_reqs[[#This Row],[URL*]],"#",-1)</f>
        <v>support-requirements</v>
      </c>
      <c r="T209" t="str">
        <f>SUBSTITUTE(SUBSTITUTE(PROPER(SUBSTITUTE(us_core_reqs[[#This Row],[Page]], "-", " "))&amp;": "&amp;PROPER(SUBSTITUTE(us_core_reqs[[#This Row],[Section]], "-", " ")),"Us ","US "), "Uscdi", "USCDI")</f>
        <v>Clinical Notes: Support Requirements</v>
      </c>
      <c r="U209" t="s">
        <v>29</v>
      </c>
      <c r="V209" t="s">
        <v>30</v>
      </c>
      <c r="W209" t="s">
        <v>240</v>
      </c>
      <c r="X209" t="s">
        <v>1171</v>
      </c>
      <c r="Y209" t="s">
        <v>1171</v>
      </c>
      <c r="Z209" t="s">
        <v>1171</v>
      </c>
      <c r="AA209" t="s">
        <v>1171</v>
      </c>
      <c r="AB209" t="s">
        <v>1171</v>
      </c>
      <c r="AC209" t="s">
        <v>1140</v>
      </c>
      <c r="AD209" t="s">
        <v>1171</v>
      </c>
    </row>
    <row r="210" spans="1:30" ht="51" x14ac:dyDescent="0.2">
      <c r="A210" t="s">
        <v>1171</v>
      </c>
      <c r="B210" t="s">
        <v>1382</v>
      </c>
      <c r="C210" t="str">
        <f>"CONF-"&amp;TEXT(us_core_reqs[[#This Row],[ID*]], "0000")</f>
        <v>CONF-0209</v>
      </c>
      <c r="D210" s="11" t="s">
        <v>841</v>
      </c>
      <c r="E210" t="str">
        <f>SUBSTITUTE(us_core_reqs[[#This Row],[URL*]], "https://hl7.org/fhir/us/core/STU8/","")</f>
        <v>clinical-notes.html#clinical-notes, clinical-notes.html#support-requirements</v>
      </c>
      <c r="F210" s="11" t="s">
        <v>2126</v>
      </c>
      <c r="G210" t="s">
        <v>29</v>
      </c>
      <c r="I210" t="s">
        <v>30</v>
      </c>
      <c r="J210" t="s">
        <v>1171</v>
      </c>
      <c r="K210" t="s">
        <v>1171</v>
      </c>
      <c r="L210" t="s">
        <v>1173</v>
      </c>
      <c r="M210" t="s">
        <v>1171</v>
      </c>
      <c r="N210" t="s">
        <v>1171</v>
      </c>
      <c r="O210" t="s">
        <v>1171</v>
      </c>
      <c r="P210" t="s">
        <v>1171</v>
      </c>
      <c r="Q210" t="s">
        <v>1171</v>
      </c>
      <c r="R210" t="str">
        <f>_xlfn.TEXTBEFORE(_xlfn.TEXTAFTER(us_core_reqs[[#This Row],[URL*]],"/",-1),".")</f>
        <v>clinical-notes</v>
      </c>
      <c r="S210" t="str">
        <f>_xlfn.TEXTAFTER(us_core_reqs[[#This Row],[URL*]],"#",-1)</f>
        <v>support-requirements</v>
      </c>
      <c r="T210" t="str">
        <f>SUBSTITUTE(SUBSTITUTE(PROPER(SUBSTITUTE(us_core_reqs[[#This Row],[Page]], "-", " "))&amp;": "&amp;PROPER(SUBSTITUTE(us_core_reqs[[#This Row],[Section]], "-", " ")),"Us ","US "), "Uscdi", "USCDI")</f>
        <v>Clinical Notes: Support Requirements</v>
      </c>
      <c r="U210" t="s">
        <v>29</v>
      </c>
      <c r="V210" t="s">
        <v>30</v>
      </c>
      <c r="W210" t="s">
        <v>244</v>
      </c>
      <c r="X210" t="s">
        <v>1171</v>
      </c>
      <c r="Y210" t="s">
        <v>1171</v>
      </c>
      <c r="Z210" t="s">
        <v>1171</v>
      </c>
      <c r="AA210" t="s">
        <v>1171</v>
      </c>
      <c r="AB210" t="s">
        <v>1171</v>
      </c>
      <c r="AC210" t="s">
        <v>1140</v>
      </c>
      <c r="AD210" t="s">
        <v>1171</v>
      </c>
    </row>
    <row r="211" spans="1:30" ht="51" x14ac:dyDescent="0.2">
      <c r="A211" t="s">
        <v>1171</v>
      </c>
      <c r="B211" t="s">
        <v>1383</v>
      </c>
      <c r="C211" t="str">
        <f>"CONF-"&amp;TEXT(us_core_reqs[[#This Row],[ID*]], "0000")</f>
        <v>CONF-0210</v>
      </c>
      <c r="D211" s="11" t="s">
        <v>841</v>
      </c>
      <c r="E211" t="str">
        <f>SUBSTITUTE(us_core_reqs[[#This Row],[URL*]], "https://hl7.org/fhir/us/core/STU8/","")</f>
        <v>clinical-notes.html#clinical-notes, clinical-notes.html#support-requirements</v>
      </c>
      <c r="F211" s="11" t="s">
        <v>2127</v>
      </c>
      <c r="G211" t="s">
        <v>29</v>
      </c>
      <c r="I211" t="s">
        <v>30</v>
      </c>
      <c r="J211" t="s">
        <v>1171</v>
      </c>
      <c r="K211" t="s">
        <v>1171</v>
      </c>
      <c r="L211" t="s">
        <v>1173</v>
      </c>
      <c r="M211" t="s">
        <v>1171</v>
      </c>
      <c r="N211" t="s">
        <v>1171</v>
      </c>
      <c r="O211" t="s">
        <v>1171</v>
      </c>
      <c r="P211" t="s">
        <v>1171</v>
      </c>
      <c r="Q211" t="s">
        <v>1171</v>
      </c>
      <c r="R211" t="str">
        <f>_xlfn.TEXTBEFORE(_xlfn.TEXTAFTER(us_core_reqs[[#This Row],[URL*]],"/",-1),".")</f>
        <v>clinical-notes</v>
      </c>
      <c r="S211" t="str">
        <f>_xlfn.TEXTAFTER(us_core_reqs[[#This Row],[URL*]],"#",-1)</f>
        <v>support-requirements</v>
      </c>
      <c r="T211" t="str">
        <f>SUBSTITUTE(SUBSTITUTE(PROPER(SUBSTITUTE(us_core_reqs[[#This Row],[Page]], "-", " "))&amp;": "&amp;PROPER(SUBSTITUTE(us_core_reqs[[#This Row],[Section]], "-", " ")),"Us ","US "), "Uscdi", "USCDI")</f>
        <v>Clinical Notes: Support Requirements</v>
      </c>
      <c r="U211" t="s">
        <v>29</v>
      </c>
      <c r="V211" t="s">
        <v>30</v>
      </c>
      <c r="W211" t="s">
        <v>246</v>
      </c>
      <c r="X211" t="s">
        <v>1171</v>
      </c>
      <c r="Y211" t="s">
        <v>1171</v>
      </c>
      <c r="Z211" t="s">
        <v>1171</v>
      </c>
      <c r="AA211" t="s">
        <v>1171</v>
      </c>
      <c r="AB211" t="s">
        <v>1171</v>
      </c>
      <c r="AC211" t="s">
        <v>1140</v>
      </c>
      <c r="AD211" t="s">
        <v>1171</v>
      </c>
    </row>
    <row r="212" spans="1:30" ht="51" x14ac:dyDescent="0.2">
      <c r="A212" t="s">
        <v>1171</v>
      </c>
      <c r="B212" t="s">
        <v>1384</v>
      </c>
      <c r="C212" t="str">
        <f>"CONF-"&amp;TEXT(us_core_reqs[[#This Row],[ID*]], "0000")</f>
        <v>CONF-0211</v>
      </c>
      <c r="D212" s="11" t="s">
        <v>841</v>
      </c>
      <c r="E212" t="str">
        <f>SUBSTITUTE(us_core_reqs[[#This Row],[URL*]], "https://hl7.org/fhir/us/core/STU8/","")</f>
        <v>clinical-notes.html#clinical-notes, clinical-notes.html#support-requirements</v>
      </c>
      <c r="F212" s="11" t="s">
        <v>2128</v>
      </c>
      <c r="G212" t="s">
        <v>29</v>
      </c>
      <c r="I212" t="s">
        <v>30</v>
      </c>
      <c r="J212" t="s">
        <v>1171</v>
      </c>
      <c r="K212" t="s">
        <v>1171</v>
      </c>
      <c r="L212" t="s">
        <v>1173</v>
      </c>
      <c r="M212" t="s">
        <v>1171</v>
      </c>
      <c r="N212" t="s">
        <v>1171</v>
      </c>
      <c r="O212" t="s">
        <v>1171</v>
      </c>
      <c r="P212" t="s">
        <v>1171</v>
      </c>
      <c r="Q212" t="s">
        <v>1171</v>
      </c>
      <c r="R212" t="str">
        <f>_xlfn.TEXTBEFORE(_xlfn.TEXTAFTER(us_core_reqs[[#This Row],[URL*]],"/",-1),".")</f>
        <v>clinical-notes</v>
      </c>
      <c r="S212" t="str">
        <f>_xlfn.TEXTAFTER(us_core_reqs[[#This Row],[URL*]],"#",-1)</f>
        <v>support-requirements</v>
      </c>
      <c r="T212" t="str">
        <f>SUBSTITUTE(SUBSTITUTE(PROPER(SUBSTITUTE(us_core_reqs[[#This Row],[Page]], "-", " "))&amp;": "&amp;PROPER(SUBSTITUTE(us_core_reqs[[#This Row],[Section]], "-", " ")),"Us ","US "), "Uscdi", "USCDI")</f>
        <v>Clinical Notes: Support Requirements</v>
      </c>
      <c r="U212" t="s">
        <v>29</v>
      </c>
      <c r="V212" t="s">
        <v>30</v>
      </c>
      <c r="W212" t="s">
        <v>246</v>
      </c>
      <c r="X212" t="s">
        <v>1171</v>
      </c>
      <c r="Y212" t="s">
        <v>1171</v>
      </c>
      <c r="Z212" t="s">
        <v>1171</v>
      </c>
      <c r="AA212" t="s">
        <v>1171</v>
      </c>
      <c r="AB212" t="s">
        <v>1171</v>
      </c>
      <c r="AC212" t="s">
        <v>1140</v>
      </c>
      <c r="AD212" t="s">
        <v>1171</v>
      </c>
    </row>
    <row r="213" spans="1:30" ht="68" x14ac:dyDescent="0.2">
      <c r="A213" t="s">
        <v>1171</v>
      </c>
      <c r="B213" t="s">
        <v>1385</v>
      </c>
      <c r="C213" t="str">
        <f>"CONF-"&amp;TEXT(us_core_reqs[[#This Row],[ID*]], "0000")</f>
        <v>CONF-0212</v>
      </c>
      <c r="D213" s="11" t="s">
        <v>841</v>
      </c>
      <c r="E213" t="str">
        <f>SUBSTITUTE(us_core_reqs[[#This Row],[URL*]], "https://hl7.org/fhir/us/core/STU8/","")</f>
        <v>clinical-notes.html#clinical-notes, clinical-notes.html#support-requirements</v>
      </c>
      <c r="F213" s="11" t="s">
        <v>2129</v>
      </c>
      <c r="G213" t="s">
        <v>29</v>
      </c>
      <c r="I213" t="s">
        <v>30</v>
      </c>
      <c r="J213" t="s">
        <v>1171</v>
      </c>
      <c r="K213" t="s">
        <v>1171</v>
      </c>
      <c r="L213" t="s">
        <v>1173</v>
      </c>
      <c r="M213" t="s">
        <v>1171</v>
      </c>
      <c r="N213" t="s">
        <v>1171</v>
      </c>
      <c r="O213" t="s">
        <v>1171</v>
      </c>
      <c r="P213" t="s">
        <v>1171</v>
      </c>
      <c r="Q213" t="s">
        <v>1171</v>
      </c>
      <c r="R213" t="str">
        <f>_xlfn.TEXTBEFORE(_xlfn.TEXTAFTER(us_core_reqs[[#This Row],[URL*]],"/",-1),".")</f>
        <v>clinical-notes</v>
      </c>
      <c r="S213" t="str">
        <f>_xlfn.TEXTAFTER(us_core_reqs[[#This Row],[URL*]],"#",-1)</f>
        <v>support-requirements</v>
      </c>
      <c r="T213" t="str">
        <f>SUBSTITUTE(SUBSTITUTE(PROPER(SUBSTITUTE(us_core_reqs[[#This Row],[Page]], "-", " "))&amp;": "&amp;PROPER(SUBSTITUTE(us_core_reqs[[#This Row],[Section]], "-", " ")),"Us ","US "), "Uscdi", "USCDI")</f>
        <v>Clinical Notes: Support Requirements</v>
      </c>
      <c r="U213" t="s">
        <v>29</v>
      </c>
      <c r="V213" t="s">
        <v>30</v>
      </c>
      <c r="W213" t="s">
        <v>249</v>
      </c>
      <c r="X213" t="s">
        <v>1171</v>
      </c>
      <c r="Y213" t="s">
        <v>1171</v>
      </c>
      <c r="Z213" t="s">
        <v>1171</v>
      </c>
      <c r="AA213" t="s">
        <v>1171</v>
      </c>
      <c r="AB213" t="s">
        <v>1171</v>
      </c>
      <c r="AC213" t="s">
        <v>1140</v>
      </c>
      <c r="AD213" t="s">
        <v>1171</v>
      </c>
    </row>
    <row r="214" spans="1:30" ht="68" x14ac:dyDescent="0.2">
      <c r="A214" t="s">
        <v>1171</v>
      </c>
      <c r="B214" t="s">
        <v>1386</v>
      </c>
      <c r="C214" t="str">
        <f>"CONF-"&amp;TEXT(us_core_reqs[[#This Row],[ID*]], "0000")</f>
        <v>CONF-0213</v>
      </c>
      <c r="D214" s="11" t="s">
        <v>841</v>
      </c>
      <c r="E214" t="str">
        <f>SUBSTITUTE(us_core_reqs[[#This Row],[URL*]], "https://hl7.org/fhir/us/core/STU8/","")</f>
        <v>clinical-notes.html#clinical-notes, clinical-notes.html#support-requirements</v>
      </c>
      <c r="F214" s="11" t="s">
        <v>2130</v>
      </c>
      <c r="G214" t="s">
        <v>29</v>
      </c>
      <c r="I214" t="s">
        <v>30</v>
      </c>
      <c r="J214" t="s">
        <v>1171</v>
      </c>
      <c r="K214" t="s">
        <v>1171</v>
      </c>
      <c r="L214" t="s">
        <v>1173</v>
      </c>
      <c r="M214" t="s">
        <v>1171</v>
      </c>
      <c r="N214" t="s">
        <v>1171</v>
      </c>
      <c r="O214" t="s">
        <v>1171</v>
      </c>
      <c r="P214" t="s">
        <v>1171</v>
      </c>
      <c r="Q214" t="s">
        <v>1171</v>
      </c>
      <c r="R214" t="str">
        <f>_xlfn.TEXTBEFORE(_xlfn.TEXTAFTER(us_core_reqs[[#This Row],[URL*]],"/",-1),".")</f>
        <v>clinical-notes</v>
      </c>
      <c r="S214" t="str">
        <f>_xlfn.TEXTAFTER(us_core_reqs[[#This Row],[URL*]],"#",-1)</f>
        <v>support-requirements</v>
      </c>
      <c r="T214" t="str">
        <f>SUBSTITUTE(SUBSTITUTE(PROPER(SUBSTITUTE(us_core_reqs[[#This Row],[Page]], "-", " "))&amp;": "&amp;PROPER(SUBSTITUTE(us_core_reqs[[#This Row],[Section]], "-", " ")),"Us ","US "), "Uscdi", "USCDI")</f>
        <v>Clinical Notes: Support Requirements</v>
      </c>
      <c r="U214" t="s">
        <v>29</v>
      </c>
      <c r="V214" t="s">
        <v>30</v>
      </c>
      <c r="W214" t="s">
        <v>249</v>
      </c>
      <c r="X214" t="s">
        <v>1171</v>
      </c>
      <c r="Y214" t="s">
        <v>1171</v>
      </c>
      <c r="Z214" t="s">
        <v>1171</v>
      </c>
      <c r="AA214" t="s">
        <v>1171</v>
      </c>
      <c r="AB214" t="s">
        <v>1171</v>
      </c>
      <c r="AC214" t="s">
        <v>1140</v>
      </c>
      <c r="AD214" t="s">
        <v>1171</v>
      </c>
    </row>
    <row r="215" spans="1:30" ht="51" x14ac:dyDescent="0.2">
      <c r="A215" t="s">
        <v>1171</v>
      </c>
      <c r="B215" t="s">
        <v>1387</v>
      </c>
      <c r="C215" t="str">
        <f>"CONF-"&amp;TEXT(us_core_reqs[[#This Row],[ID*]], "0000")</f>
        <v>CONF-0214</v>
      </c>
      <c r="D215" s="11" t="s">
        <v>841</v>
      </c>
      <c r="E215" t="str">
        <f>SUBSTITUTE(us_core_reqs[[#This Row],[URL*]], "https://hl7.org/fhir/us/core/STU8/","")</f>
        <v>clinical-notes.html#clinical-notes, clinical-notes.html#support-requirements</v>
      </c>
      <c r="F215" s="11" t="s">
        <v>2131</v>
      </c>
      <c r="G215" t="s">
        <v>29</v>
      </c>
      <c r="I215" t="s">
        <v>30</v>
      </c>
      <c r="J215" t="s">
        <v>1171</v>
      </c>
      <c r="K215" t="s">
        <v>1171</v>
      </c>
      <c r="L215" t="s">
        <v>1173</v>
      </c>
      <c r="M215" t="s">
        <v>1171</v>
      </c>
      <c r="N215" t="s">
        <v>1171</v>
      </c>
      <c r="O215" t="s">
        <v>1171</v>
      </c>
      <c r="P215" t="s">
        <v>1171</v>
      </c>
      <c r="Q215" t="s">
        <v>1171</v>
      </c>
      <c r="R215" t="str">
        <f>_xlfn.TEXTBEFORE(_xlfn.TEXTAFTER(us_core_reqs[[#This Row],[URL*]],"/",-1),".")</f>
        <v>clinical-notes</v>
      </c>
      <c r="S215" t="str">
        <f>_xlfn.TEXTAFTER(us_core_reqs[[#This Row],[URL*]],"#",-1)</f>
        <v>support-requirements</v>
      </c>
      <c r="T215" t="str">
        <f>SUBSTITUTE(SUBSTITUTE(PROPER(SUBSTITUTE(us_core_reqs[[#This Row],[Page]], "-", " "))&amp;": "&amp;PROPER(SUBSTITUTE(us_core_reqs[[#This Row],[Section]], "-", " ")),"Us ","US "), "Uscdi", "USCDI")</f>
        <v>Clinical Notes: Support Requirements</v>
      </c>
      <c r="U215" t="s">
        <v>29</v>
      </c>
      <c r="V215" t="s">
        <v>30</v>
      </c>
      <c r="W215" t="s">
        <v>252</v>
      </c>
      <c r="X215" t="s">
        <v>1171</v>
      </c>
      <c r="Y215" t="s">
        <v>1171</v>
      </c>
      <c r="Z215" t="s">
        <v>1171</v>
      </c>
      <c r="AA215" t="s">
        <v>1171</v>
      </c>
      <c r="AB215" t="s">
        <v>1171</v>
      </c>
      <c r="AC215" t="s">
        <v>1140</v>
      </c>
      <c r="AD215" t="s">
        <v>1171</v>
      </c>
    </row>
    <row r="216" spans="1:30" ht="51" x14ac:dyDescent="0.2">
      <c r="A216" t="s">
        <v>1171</v>
      </c>
      <c r="B216" t="s">
        <v>1388</v>
      </c>
      <c r="C216" t="str">
        <f>"CONF-"&amp;TEXT(us_core_reqs[[#This Row],[ID*]], "0000")</f>
        <v>CONF-0215</v>
      </c>
      <c r="D216" s="11" t="s">
        <v>841</v>
      </c>
      <c r="E216" t="str">
        <f>SUBSTITUTE(us_core_reqs[[#This Row],[URL*]], "https://hl7.org/fhir/us/core/STU8/","")</f>
        <v>clinical-notes.html#clinical-notes, clinical-notes.html#support-requirements</v>
      </c>
      <c r="F216" s="11" t="s">
        <v>2132</v>
      </c>
      <c r="G216" t="s">
        <v>29</v>
      </c>
      <c r="I216" t="s">
        <v>30</v>
      </c>
      <c r="J216" t="s">
        <v>1171</v>
      </c>
      <c r="K216" t="s">
        <v>1171</v>
      </c>
      <c r="L216" t="s">
        <v>1173</v>
      </c>
      <c r="M216" t="s">
        <v>1171</v>
      </c>
      <c r="N216" t="s">
        <v>1171</v>
      </c>
      <c r="O216" t="s">
        <v>1171</v>
      </c>
      <c r="P216" t="s">
        <v>1171</v>
      </c>
      <c r="Q216" t="s">
        <v>1171</v>
      </c>
      <c r="R216" t="str">
        <f>_xlfn.TEXTBEFORE(_xlfn.TEXTAFTER(us_core_reqs[[#This Row],[URL*]],"/",-1),".")</f>
        <v>clinical-notes</v>
      </c>
      <c r="S216" t="str">
        <f>_xlfn.TEXTAFTER(us_core_reqs[[#This Row],[URL*]],"#",-1)</f>
        <v>support-requirements</v>
      </c>
      <c r="T216" t="str">
        <f>SUBSTITUTE(SUBSTITUTE(PROPER(SUBSTITUTE(us_core_reqs[[#This Row],[Page]], "-", " "))&amp;": "&amp;PROPER(SUBSTITUTE(us_core_reqs[[#This Row],[Section]], "-", " ")),"Us ","US "), "Uscdi", "USCDI")</f>
        <v>Clinical Notes: Support Requirements</v>
      </c>
      <c r="U216" t="s">
        <v>29</v>
      </c>
      <c r="V216" t="s">
        <v>30</v>
      </c>
      <c r="W216" t="s">
        <v>252</v>
      </c>
      <c r="X216" t="s">
        <v>1171</v>
      </c>
      <c r="Y216" t="s">
        <v>1171</v>
      </c>
      <c r="Z216" t="s">
        <v>1171</v>
      </c>
      <c r="AA216" t="s">
        <v>1171</v>
      </c>
      <c r="AB216" t="s">
        <v>1171</v>
      </c>
      <c r="AC216" t="s">
        <v>1140</v>
      </c>
      <c r="AD216" t="s">
        <v>1171</v>
      </c>
    </row>
    <row r="217" spans="1:30" ht="51" x14ac:dyDescent="0.2">
      <c r="A217" t="s">
        <v>1171</v>
      </c>
      <c r="B217" t="s">
        <v>1389</v>
      </c>
      <c r="C217" t="str">
        <f>"CONF-"&amp;TEXT(us_core_reqs[[#This Row],[ID*]], "0000")</f>
        <v>CONF-0216</v>
      </c>
      <c r="D217" s="11" t="s">
        <v>841</v>
      </c>
      <c r="E217" t="str">
        <f>SUBSTITUTE(us_core_reqs[[#This Row],[URL*]], "https://hl7.org/fhir/us/core/STU8/","")</f>
        <v>clinical-notes.html#clinical-notes, clinical-notes.html#support-requirements</v>
      </c>
      <c r="F217" s="11" t="s">
        <v>2133</v>
      </c>
      <c r="G217" t="s">
        <v>29</v>
      </c>
      <c r="I217" t="s">
        <v>30</v>
      </c>
      <c r="J217" t="s">
        <v>1171</v>
      </c>
      <c r="K217" t="s">
        <v>1171</v>
      </c>
      <c r="L217" t="s">
        <v>1173</v>
      </c>
      <c r="M217" t="s">
        <v>1171</v>
      </c>
      <c r="N217" t="s">
        <v>1171</v>
      </c>
      <c r="O217" t="s">
        <v>1171</v>
      </c>
      <c r="P217" t="s">
        <v>1171</v>
      </c>
      <c r="Q217" t="s">
        <v>1171</v>
      </c>
      <c r="R217" t="str">
        <f>_xlfn.TEXTBEFORE(_xlfn.TEXTAFTER(us_core_reqs[[#This Row],[URL*]],"/",-1),".")</f>
        <v>clinical-notes</v>
      </c>
      <c r="S217" t="str">
        <f>_xlfn.TEXTAFTER(us_core_reqs[[#This Row],[URL*]],"#",-1)</f>
        <v>support-requirements</v>
      </c>
      <c r="T217" t="str">
        <f>SUBSTITUTE(SUBSTITUTE(PROPER(SUBSTITUTE(us_core_reqs[[#This Row],[Page]], "-", " "))&amp;": "&amp;PROPER(SUBSTITUTE(us_core_reqs[[#This Row],[Section]], "-", " ")),"Us ","US "), "Uscdi", "USCDI")</f>
        <v>Clinical Notes: Support Requirements</v>
      </c>
      <c r="U217" t="s">
        <v>29</v>
      </c>
      <c r="V217" t="s">
        <v>30</v>
      </c>
      <c r="W217" t="s">
        <v>255</v>
      </c>
      <c r="X217" t="s">
        <v>1171</v>
      </c>
      <c r="Y217" t="s">
        <v>1171</v>
      </c>
      <c r="Z217" t="s">
        <v>1171</v>
      </c>
      <c r="AA217" t="s">
        <v>1171</v>
      </c>
      <c r="AB217" t="s">
        <v>1171</v>
      </c>
      <c r="AC217" t="s">
        <v>1140</v>
      </c>
      <c r="AD217" t="s">
        <v>1171</v>
      </c>
    </row>
    <row r="218" spans="1:30" ht="51" x14ac:dyDescent="0.2">
      <c r="A218" t="s">
        <v>1171</v>
      </c>
      <c r="B218" t="s">
        <v>1390</v>
      </c>
      <c r="C218" t="str">
        <f>"CONF-"&amp;TEXT(us_core_reqs[[#This Row],[ID*]], "0000")</f>
        <v>CONF-0217</v>
      </c>
      <c r="D218" s="11" t="s">
        <v>627</v>
      </c>
      <c r="E218" t="str">
        <f>SUBSTITUTE(us_core_reqs[[#This Row],[URL*]], "https://hl7.org/fhir/us/core/STU8/","")</f>
        <v>clinical-notes.html#clinical-notes</v>
      </c>
      <c r="F218" s="11" t="s">
        <v>256</v>
      </c>
      <c r="G218" t="s">
        <v>32</v>
      </c>
      <c r="I218" t="s">
        <v>30</v>
      </c>
      <c r="J218" t="s">
        <v>1171</v>
      </c>
      <c r="K218" t="s">
        <v>1171</v>
      </c>
      <c r="L218" t="s">
        <v>1173</v>
      </c>
      <c r="M218" t="s">
        <v>1171</v>
      </c>
      <c r="N218" t="s">
        <v>1171</v>
      </c>
      <c r="O218" t="s">
        <v>1171</v>
      </c>
      <c r="P218" t="s">
        <v>1171</v>
      </c>
      <c r="Q218" t="s">
        <v>1171</v>
      </c>
      <c r="R218" t="str">
        <f>_xlfn.TEXTBEFORE(_xlfn.TEXTAFTER(us_core_reqs[[#This Row],[URL*]],"/",-1),".")</f>
        <v>clinical-notes</v>
      </c>
      <c r="S218" t="str">
        <f>_xlfn.TEXTAFTER(us_core_reqs[[#This Row],[URL*]],"#",-1)</f>
        <v>clinical-notes</v>
      </c>
      <c r="T218" t="str">
        <f>SUBSTITUTE(SUBSTITUTE(PROPER(SUBSTITUTE(us_core_reqs[[#This Row],[Page]], "-", " "))&amp;": "&amp;PROPER(SUBSTITUTE(us_core_reqs[[#This Row],[Section]], "-", " ")),"Us ","US "), "Uscdi", "USCDI")</f>
        <v>Clinical Notes: Clinical Notes</v>
      </c>
      <c r="U218" t="s">
        <v>1171</v>
      </c>
      <c r="V218" t="s">
        <v>1171</v>
      </c>
      <c r="W218" t="s">
        <v>257</v>
      </c>
      <c r="X218" t="s">
        <v>1171</v>
      </c>
      <c r="Y218" t="s">
        <v>1171</v>
      </c>
      <c r="Z218" t="s">
        <v>1171</v>
      </c>
      <c r="AA218" t="s">
        <v>1171</v>
      </c>
      <c r="AB218" t="s">
        <v>1171</v>
      </c>
      <c r="AC218" t="s">
        <v>1171</v>
      </c>
      <c r="AD218" t="s">
        <v>1171</v>
      </c>
    </row>
    <row r="219" spans="1:30" ht="51" x14ac:dyDescent="0.2">
      <c r="A219" t="s">
        <v>1171</v>
      </c>
      <c r="B219" t="s">
        <v>1391</v>
      </c>
      <c r="C219" t="str">
        <f>"CONF-"&amp;TEXT(us_core_reqs[[#This Row],[ID*]], "0000")</f>
        <v>CONF-0218</v>
      </c>
      <c r="D219" s="11" t="s">
        <v>627</v>
      </c>
      <c r="E219" t="str">
        <f>SUBSTITUTE(us_core_reqs[[#This Row],[URL*]], "https://hl7.org/fhir/us/core/STU8/","")</f>
        <v>clinical-notes.html#clinical-notes</v>
      </c>
      <c r="F219" s="11" t="s">
        <v>258</v>
      </c>
      <c r="G219" t="s">
        <v>64</v>
      </c>
      <c r="I219" t="s">
        <v>30</v>
      </c>
      <c r="J219" t="s">
        <v>1171</v>
      </c>
      <c r="K219" t="s">
        <v>1171</v>
      </c>
      <c r="L219" t="s">
        <v>1173</v>
      </c>
      <c r="M219" t="s">
        <v>1171</v>
      </c>
      <c r="N219" t="s">
        <v>1171</v>
      </c>
      <c r="O219" t="s">
        <v>1171</v>
      </c>
      <c r="P219" t="s">
        <v>1171</v>
      </c>
      <c r="Q219" t="s">
        <v>1171</v>
      </c>
      <c r="R219" t="str">
        <f>_xlfn.TEXTBEFORE(_xlfn.TEXTAFTER(us_core_reqs[[#This Row],[URL*]],"/",-1),".")</f>
        <v>clinical-notes</v>
      </c>
      <c r="S219" t="str">
        <f>_xlfn.TEXTAFTER(us_core_reqs[[#This Row],[URL*]],"#",-1)</f>
        <v>clinical-notes</v>
      </c>
      <c r="T219" t="str">
        <f>SUBSTITUTE(SUBSTITUTE(PROPER(SUBSTITUTE(us_core_reqs[[#This Row],[Page]], "-", " "))&amp;": "&amp;PROPER(SUBSTITUTE(us_core_reqs[[#This Row],[Section]], "-", " ")),"Us ","US "), "Uscdi", "USCDI")</f>
        <v>Clinical Notes: Clinical Notes</v>
      </c>
      <c r="U219" t="s">
        <v>1171</v>
      </c>
      <c r="V219" t="s">
        <v>1171</v>
      </c>
      <c r="W219" t="s">
        <v>257</v>
      </c>
      <c r="X219" t="s">
        <v>1171</v>
      </c>
      <c r="Y219" t="s">
        <v>1171</v>
      </c>
      <c r="Z219" t="s">
        <v>1171</v>
      </c>
      <c r="AA219" t="s">
        <v>1171</v>
      </c>
      <c r="AB219" t="s">
        <v>1171</v>
      </c>
      <c r="AC219" t="s">
        <v>1171</v>
      </c>
      <c r="AD219" t="s">
        <v>1171</v>
      </c>
    </row>
    <row r="220" spans="1:30" ht="51" x14ac:dyDescent="0.2">
      <c r="A220" t="s">
        <v>1171</v>
      </c>
      <c r="B220" t="s">
        <v>1392</v>
      </c>
      <c r="C220" t="str">
        <f>"CONF-"&amp;TEXT(us_core_reqs[[#This Row],[ID*]], "0000")</f>
        <v>CONF-0219</v>
      </c>
      <c r="D220" s="11" t="s">
        <v>627</v>
      </c>
      <c r="E220" t="str">
        <f>SUBSTITUTE(us_core_reqs[[#This Row],[URL*]], "https://hl7.org/fhir/us/core/STU8/","")</f>
        <v>clinical-notes.html#clinical-notes</v>
      </c>
      <c r="F220" s="11" t="s">
        <v>259</v>
      </c>
      <c r="G220" t="s">
        <v>32</v>
      </c>
      <c r="I220" t="s">
        <v>30</v>
      </c>
      <c r="J220" t="s">
        <v>1171</v>
      </c>
      <c r="K220" t="s">
        <v>1171</v>
      </c>
      <c r="L220" t="s">
        <v>1173</v>
      </c>
      <c r="M220" t="s">
        <v>1171</v>
      </c>
      <c r="N220" t="s">
        <v>1171</v>
      </c>
      <c r="O220" t="s">
        <v>1171</v>
      </c>
      <c r="P220" t="s">
        <v>1171</v>
      </c>
      <c r="Q220" t="s">
        <v>1171</v>
      </c>
      <c r="R220" t="str">
        <f>_xlfn.TEXTBEFORE(_xlfn.TEXTAFTER(us_core_reqs[[#This Row],[URL*]],"/",-1),".")</f>
        <v>clinical-notes</v>
      </c>
      <c r="S220" t="str">
        <f>_xlfn.TEXTAFTER(us_core_reqs[[#This Row],[URL*]],"#",-1)</f>
        <v>clinical-notes</v>
      </c>
      <c r="T220" t="str">
        <f>SUBSTITUTE(SUBSTITUTE(PROPER(SUBSTITUTE(us_core_reqs[[#This Row],[Page]], "-", " "))&amp;": "&amp;PROPER(SUBSTITUTE(us_core_reqs[[#This Row],[Section]], "-", " ")),"Us ","US "), "Uscdi", "USCDI")</f>
        <v>Clinical Notes: Clinical Notes</v>
      </c>
      <c r="U220" t="s">
        <v>1171</v>
      </c>
      <c r="V220" t="s">
        <v>1171</v>
      </c>
      <c r="W220" t="s">
        <v>260</v>
      </c>
      <c r="X220" t="s">
        <v>1171</v>
      </c>
      <c r="Y220" t="s">
        <v>1171</v>
      </c>
      <c r="Z220" t="s">
        <v>1171</v>
      </c>
      <c r="AA220" t="s">
        <v>1171</v>
      </c>
      <c r="AB220" t="s">
        <v>1171</v>
      </c>
      <c r="AC220" t="s">
        <v>1171</v>
      </c>
      <c r="AD220" t="s">
        <v>1171</v>
      </c>
    </row>
    <row r="221" spans="1:30" ht="102" x14ac:dyDescent="0.2">
      <c r="A221" t="s">
        <v>1171</v>
      </c>
      <c r="B221" t="s">
        <v>1393</v>
      </c>
      <c r="C221" t="str">
        <f>"CONF-"&amp;TEXT(us_core_reqs[[#This Row],[ID*]], "0000")</f>
        <v>CONF-0220</v>
      </c>
      <c r="D221" s="11" t="s">
        <v>842</v>
      </c>
      <c r="E221" t="str">
        <f>SUBSTITUTE(us_core_reqs[[#This Row],[URL*]], "https://hl7.org/fhir/us/core/STU8/","")</f>
        <v>clinical-notes.html#fhir-resources-to-exchange-clinical-notes</v>
      </c>
      <c r="F221" s="11" t="s">
        <v>1905</v>
      </c>
      <c r="G221" t="s">
        <v>29</v>
      </c>
      <c r="I221" t="s">
        <v>30</v>
      </c>
      <c r="J221" t="s">
        <v>1171</v>
      </c>
      <c r="K221" t="s">
        <v>1171</v>
      </c>
      <c r="L221" t="s">
        <v>1173</v>
      </c>
      <c r="M221" t="s">
        <v>1171</v>
      </c>
      <c r="N221" t="s">
        <v>1171</v>
      </c>
      <c r="O221" t="s">
        <v>1171</v>
      </c>
      <c r="P221" t="s">
        <v>1171</v>
      </c>
      <c r="Q221" t="s">
        <v>1171</v>
      </c>
      <c r="R221" t="str">
        <f>_xlfn.TEXTBEFORE(_xlfn.TEXTAFTER(us_core_reqs[[#This Row],[URL*]],"/",-1),".")</f>
        <v>clinical-notes</v>
      </c>
      <c r="S221" t="str">
        <f>_xlfn.TEXTAFTER(us_core_reqs[[#This Row],[URL*]],"#",-1)</f>
        <v>fhir-resources-to-exchange-clinical-notes</v>
      </c>
      <c r="T221" t="str">
        <f>SUBSTITUTE(SUBSTITUTE(PROPER(SUBSTITUTE(us_core_reqs[[#This Row],[Page]], "-", " "))&amp;": "&amp;PROPER(SUBSTITUTE(us_core_reqs[[#This Row],[Section]], "-", " ")),"Us ","US "), "Uscdi", "USCDI")</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51" x14ac:dyDescent="0.2">
      <c r="A222" t="s">
        <v>1171</v>
      </c>
      <c r="B222" t="s">
        <v>1394</v>
      </c>
      <c r="C222" t="str">
        <f>"CONF-"&amp;TEXT(us_core_reqs[[#This Row],[ID*]], "0000")</f>
        <v>CONF-0221</v>
      </c>
      <c r="D222" s="11" t="s">
        <v>842</v>
      </c>
      <c r="E222" t="str">
        <f>SUBSTITUTE(us_core_reqs[[#This Row],[URL*]], "https://hl7.org/fhir/us/core/STU8/","")</f>
        <v>clinical-notes.html#fhir-resources-to-exchange-clinical-notes</v>
      </c>
      <c r="F222" s="11" t="s">
        <v>1906</v>
      </c>
      <c r="G222" t="s">
        <v>29</v>
      </c>
      <c r="I222" t="s">
        <v>30</v>
      </c>
      <c r="J222" t="s">
        <v>1171</v>
      </c>
      <c r="K222" t="s">
        <v>1171</v>
      </c>
      <c r="L222" t="s">
        <v>1173</v>
      </c>
      <c r="M222" t="s">
        <v>1171</v>
      </c>
      <c r="N222" t="s">
        <v>1171</v>
      </c>
      <c r="O222" t="s">
        <v>1171</v>
      </c>
      <c r="P222" t="s">
        <v>1171</v>
      </c>
      <c r="Q222" t="s">
        <v>1171</v>
      </c>
      <c r="R222" t="str">
        <f>_xlfn.TEXTBEFORE(_xlfn.TEXTAFTER(us_core_reqs[[#This Row],[URL*]],"/",-1),".")</f>
        <v>clinical-notes</v>
      </c>
      <c r="S222" t="str">
        <f>_xlfn.TEXTAFTER(us_core_reqs[[#This Row],[URL*]],"#",-1)</f>
        <v>fhir-resources-to-exchange-clinical-notes</v>
      </c>
      <c r="T222" t="str">
        <f>SUBSTITUTE(SUBSTITUTE(PROPER(SUBSTITUTE(us_core_reqs[[#This Row],[Page]], "-", " "))&amp;": "&amp;PROPER(SUBSTITUTE(us_core_reqs[[#This Row],[Section]], "-", " ")),"Us ","US "), "Uscdi", "USCDI")</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51" x14ac:dyDescent="0.2">
      <c r="A223" t="s">
        <v>1171</v>
      </c>
      <c r="B223" t="s">
        <v>1395</v>
      </c>
      <c r="C223" t="str">
        <f>"CONF-"&amp;TEXT(us_core_reqs[[#This Row],[ID*]], "0000")</f>
        <v>CONF-0222</v>
      </c>
      <c r="D223" s="11" t="s">
        <v>628</v>
      </c>
      <c r="E223" t="str">
        <f>SUBSTITUTE(us_core_reqs[[#This Row],[URL*]], "https://hl7.org/fhir/us/core/STU8/","")</f>
        <v>clinical-notes.html#support-requirements</v>
      </c>
      <c r="F223" s="11" t="s">
        <v>1006</v>
      </c>
      <c r="G223" t="s">
        <v>35</v>
      </c>
      <c r="H223" t="s">
        <v>1879</v>
      </c>
      <c r="I223" t="s">
        <v>30</v>
      </c>
      <c r="J223" t="s">
        <v>1171</v>
      </c>
      <c r="K223" t="s">
        <v>1171</v>
      </c>
      <c r="L223" t="s">
        <v>1173</v>
      </c>
      <c r="M223" t="s">
        <v>1171</v>
      </c>
      <c r="N223" t="s">
        <v>1171</v>
      </c>
      <c r="O223" t="s">
        <v>1171</v>
      </c>
      <c r="P223" t="s">
        <v>1171</v>
      </c>
      <c r="Q223" t="s">
        <v>1171</v>
      </c>
      <c r="R223" t="str">
        <f>_xlfn.TEXTBEFORE(_xlfn.TEXTAFTER(us_core_reqs[[#This Row],[URL*]],"/",-1),".")</f>
        <v>clinical-notes</v>
      </c>
      <c r="S223" t="str">
        <f>_xlfn.TEXTAFTER(us_core_reqs[[#This Row],[URL*]],"#",-1)</f>
        <v>support-requirements</v>
      </c>
      <c r="T223" t="str">
        <f>SUBSTITUTE(SUBSTITUTE(PROPER(SUBSTITUTE(us_core_reqs[[#This Row],[Page]], "-", " "))&amp;": "&amp;PROPER(SUBSTITUTE(us_core_reqs[[#This Row],[Section]], "-", " ")),"Us ","US "), "Uscdi", "USCDI")</f>
        <v>Clinical Notes: Support Requirements</v>
      </c>
      <c r="U223" t="s">
        <v>35</v>
      </c>
      <c r="V223" t="s">
        <v>30</v>
      </c>
      <c r="W223" t="s">
        <v>263</v>
      </c>
      <c r="X223" t="s">
        <v>1171</v>
      </c>
      <c r="Y223" t="s">
        <v>1171</v>
      </c>
      <c r="Z223" t="s">
        <v>1171</v>
      </c>
      <c r="AA223" t="s">
        <v>1171</v>
      </c>
      <c r="AB223" t="s">
        <v>1171</v>
      </c>
      <c r="AC223" t="s">
        <v>1171</v>
      </c>
      <c r="AD223" t="s">
        <v>1171</v>
      </c>
    </row>
    <row r="224" spans="1:30" ht="48" customHeight="1" x14ac:dyDescent="0.2">
      <c r="A224" t="s">
        <v>1171</v>
      </c>
      <c r="B224" t="s">
        <v>1396</v>
      </c>
      <c r="C224" t="str">
        <f>"CONF-"&amp;TEXT(us_core_reqs[[#This Row],[ID*]], "0000")</f>
        <v>CONF-0223</v>
      </c>
      <c r="D224" s="11" t="s">
        <v>628</v>
      </c>
      <c r="E224" t="str">
        <f>SUBSTITUTE(us_core_reqs[[#This Row],[URL*]], "https://hl7.org/fhir/us/core/STU8/","")</f>
        <v>clinical-notes.html#support-requirements</v>
      </c>
      <c r="F224" s="11" t="s">
        <v>1007</v>
      </c>
      <c r="G224" t="s">
        <v>29</v>
      </c>
      <c r="H224" t="s">
        <v>1880</v>
      </c>
      <c r="I224" t="s">
        <v>30</v>
      </c>
      <c r="J224" t="s">
        <v>1171</v>
      </c>
      <c r="K224" t="s">
        <v>1171</v>
      </c>
      <c r="L224" t="s">
        <v>1173</v>
      </c>
      <c r="M224" t="s">
        <v>1171</v>
      </c>
      <c r="N224" t="s">
        <v>1171</v>
      </c>
      <c r="O224" t="s">
        <v>1171</v>
      </c>
      <c r="P224" t="s">
        <v>1171</v>
      </c>
      <c r="Q224" t="s">
        <v>1171</v>
      </c>
      <c r="R224" t="str">
        <f>_xlfn.TEXTBEFORE(_xlfn.TEXTAFTER(us_core_reqs[[#This Row],[URL*]],"/",-1),".")</f>
        <v>clinical-notes</v>
      </c>
      <c r="S224" t="str">
        <f>_xlfn.TEXTAFTER(us_core_reqs[[#This Row],[URL*]],"#",-1)</f>
        <v>support-requirements</v>
      </c>
      <c r="T224" t="str">
        <f>SUBSTITUTE(SUBSTITUTE(PROPER(SUBSTITUTE(us_core_reqs[[#This Row],[Page]], "-", " "))&amp;": "&amp;PROPER(SUBSTITUTE(us_core_reqs[[#This Row],[Section]], "-", " ")),"Us ","US "), "Uscdi", "USCDI")</f>
        <v>Clinical Notes: Support Requirements</v>
      </c>
      <c r="U224" t="s">
        <v>1171</v>
      </c>
      <c r="V224" t="s">
        <v>30</v>
      </c>
      <c r="W224" t="s">
        <v>264</v>
      </c>
      <c r="X224" t="s">
        <v>1171</v>
      </c>
      <c r="Y224" t="s">
        <v>1171</v>
      </c>
      <c r="Z224" t="s">
        <v>1171</v>
      </c>
      <c r="AA224" t="s">
        <v>1171</v>
      </c>
      <c r="AB224" t="s">
        <v>1171</v>
      </c>
      <c r="AC224" t="s">
        <v>1140</v>
      </c>
      <c r="AD224" t="s">
        <v>1171</v>
      </c>
    </row>
    <row r="225" spans="1:30" ht="68" x14ac:dyDescent="0.2">
      <c r="A225" t="s">
        <v>1171</v>
      </c>
      <c r="B225" t="s">
        <v>1397</v>
      </c>
      <c r="C225" t="str">
        <f>"CONF-"&amp;TEXT(us_core_reqs[[#This Row],[ID*]], "0000")</f>
        <v>CONF-0224</v>
      </c>
      <c r="D225" s="11" t="s">
        <v>628</v>
      </c>
      <c r="E225" t="str">
        <f>SUBSTITUTE(us_core_reqs[[#This Row],[URL*]], "https://hl7.org/fhir/us/core/STU8/","")</f>
        <v>clinical-notes.html#support-requirements</v>
      </c>
      <c r="F225" s="11" t="s">
        <v>1008</v>
      </c>
      <c r="G225" t="s">
        <v>29</v>
      </c>
      <c r="H225" t="s">
        <v>1880</v>
      </c>
      <c r="I225" t="s">
        <v>30</v>
      </c>
      <c r="J225" t="s">
        <v>1171</v>
      </c>
      <c r="K225" t="s">
        <v>1171</v>
      </c>
      <c r="L225" t="s">
        <v>1173</v>
      </c>
      <c r="M225" t="s">
        <v>1171</v>
      </c>
      <c r="N225" t="s">
        <v>1171</v>
      </c>
      <c r="O225" t="s">
        <v>1171</v>
      </c>
      <c r="P225" t="s">
        <v>1171</v>
      </c>
      <c r="Q225" t="s">
        <v>1171</v>
      </c>
      <c r="R225" t="str">
        <f>_xlfn.TEXTBEFORE(_xlfn.TEXTAFTER(us_core_reqs[[#This Row],[URL*]],"/",-1),".")</f>
        <v>clinical-notes</v>
      </c>
      <c r="S225" t="str">
        <f>_xlfn.TEXTAFTER(us_core_reqs[[#This Row],[URL*]],"#",-1)</f>
        <v>support-requirements</v>
      </c>
      <c r="T225" t="str">
        <f>SUBSTITUTE(SUBSTITUTE(PROPER(SUBSTITUTE(us_core_reqs[[#This Row],[Page]], "-", " "))&amp;": "&amp;PROPER(SUBSTITUTE(us_core_reqs[[#This Row],[Section]], "-", " ")),"Us ","US "), "Uscdi", "USCDI")</f>
        <v>Clinical Notes: Support Requirements</v>
      </c>
      <c r="U225" t="s">
        <v>1171</v>
      </c>
      <c r="V225" t="s">
        <v>30</v>
      </c>
      <c r="W225" t="s">
        <v>265</v>
      </c>
      <c r="X225" t="s">
        <v>1171</v>
      </c>
      <c r="Y225" t="s">
        <v>1171</v>
      </c>
      <c r="Z225" t="s">
        <v>1171</v>
      </c>
      <c r="AA225" t="s">
        <v>1171</v>
      </c>
      <c r="AB225" t="s">
        <v>1171</v>
      </c>
      <c r="AC225" t="s">
        <v>1140</v>
      </c>
      <c r="AD225" t="s">
        <v>1171</v>
      </c>
    </row>
    <row r="226" spans="1:30" ht="34" x14ac:dyDescent="0.2">
      <c r="A226" t="s">
        <v>1171</v>
      </c>
      <c r="B226" t="s">
        <v>1398</v>
      </c>
      <c r="C226" t="str">
        <f>"CONF-"&amp;TEXT(us_core_reqs[[#This Row],[ID*]], "0000")</f>
        <v>CONF-0225</v>
      </c>
      <c r="D226" s="11" t="s">
        <v>628</v>
      </c>
      <c r="E226" t="str">
        <f>SUBSTITUTE(us_core_reqs[[#This Row],[URL*]], "https://hl7.org/fhir/us/core/STU8/","")</f>
        <v>clinical-notes.html#support-requirements</v>
      </c>
      <c r="F226" s="11" t="s">
        <v>1009</v>
      </c>
      <c r="G226" t="s">
        <v>35</v>
      </c>
      <c r="H226" t="s">
        <v>1879</v>
      </c>
      <c r="I226" t="s">
        <v>30</v>
      </c>
      <c r="J226" t="s">
        <v>1171</v>
      </c>
      <c r="K226" t="s">
        <v>1171</v>
      </c>
      <c r="L226" t="s">
        <v>1173</v>
      </c>
      <c r="M226" t="s">
        <v>1171</v>
      </c>
      <c r="N226" t="s">
        <v>1171</v>
      </c>
      <c r="O226" t="s">
        <v>1171</v>
      </c>
      <c r="P226" t="s">
        <v>1171</v>
      </c>
      <c r="Q226" t="s">
        <v>1171</v>
      </c>
      <c r="R226" t="str">
        <f>_xlfn.TEXTBEFORE(_xlfn.TEXTAFTER(us_core_reqs[[#This Row],[URL*]],"/",-1),".")</f>
        <v>clinical-notes</v>
      </c>
      <c r="S226" t="str">
        <f>_xlfn.TEXTAFTER(us_core_reqs[[#This Row],[URL*]],"#",-1)</f>
        <v>support-requirements</v>
      </c>
      <c r="T226" t="str">
        <f>SUBSTITUTE(SUBSTITUTE(PROPER(SUBSTITUTE(us_core_reqs[[#This Row],[Page]], "-", " "))&amp;": "&amp;PROPER(SUBSTITUTE(us_core_reqs[[#This Row],[Section]], "-", " ")),"Us ","US "), "Uscdi", "USCDI")</f>
        <v>Clinical Notes: Support Requirements</v>
      </c>
      <c r="U226" t="s">
        <v>35</v>
      </c>
      <c r="V226" t="s">
        <v>30</v>
      </c>
      <c r="W226" t="s">
        <v>266</v>
      </c>
      <c r="X226" t="s">
        <v>1171</v>
      </c>
      <c r="Y226" t="s">
        <v>1171</v>
      </c>
      <c r="Z226" t="s">
        <v>1171</v>
      </c>
      <c r="AA226" t="s">
        <v>1171</v>
      </c>
      <c r="AB226" t="s">
        <v>1171</v>
      </c>
      <c r="AC226" t="s">
        <v>1171</v>
      </c>
      <c r="AD226" t="s">
        <v>1171</v>
      </c>
    </row>
    <row r="227" spans="1:30" ht="34" x14ac:dyDescent="0.2">
      <c r="A227" t="s">
        <v>1171</v>
      </c>
      <c r="B227" t="s">
        <v>1399</v>
      </c>
      <c r="C227" t="str">
        <f>"CONF-"&amp;TEXT(us_core_reqs[[#This Row],[ID*]], "0000")</f>
        <v>CONF-0226</v>
      </c>
      <c r="D227" s="11" t="s">
        <v>628</v>
      </c>
      <c r="E227" t="str">
        <f>SUBSTITUTE(us_core_reqs[[#This Row],[URL*]], "https://hl7.org/fhir/us/core/STU8/","")</f>
        <v>clinical-notes.html#support-requirements</v>
      </c>
      <c r="F227" s="11" t="s">
        <v>929</v>
      </c>
      <c r="G227" t="s">
        <v>35</v>
      </c>
      <c r="H227" t="s">
        <v>1879</v>
      </c>
      <c r="I227" t="s">
        <v>58</v>
      </c>
      <c r="J227" t="s">
        <v>1171</v>
      </c>
      <c r="K227" t="s">
        <v>1171</v>
      </c>
      <c r="L227" t="s">
        <v>1173</v>
      </c>
      <c r="M227" t="s">
        <v>1171</v>
      </c>
      <c r="N227" t="s">
        <v>1171</v>
      </c>
      <c r="O227" t="s">
        <v>1171</v>
      </c>
      <c r="P227" t="s">
        <v>1171</v>
      </c>
      <c r="Q227" t="s">
        <v>1171</v>
      </c>
      <c r="R227" t="str">
        <f>_xlfn.TEXTBEFORE(_xlfn.TEXTAFTER(us_core_reqs[[#This Row],[URL*]],"/",-1),".")</f>
        <v>clinical-notes</v>
      </c>
      <c r="S227" t="str">
        <f>_xlfn.TEXTAFTER(us_core_reqs[[#This Row],[URL*]],"#",-1)</f>
        <v>support-requirements</v>
      </c>
      <c r="T227" t="str">
        <f>SUBSTITUTE(SUBSTITUTE(PROPER(SUBSTITUTE(us_core_reqs[[#This Row],[Page]], "-", " "))&amp;": "&amp;PROPER(SUBSTITUTE(us_core_reqs[[#This Row],[Section]], "-", " ")),"Us ","US "), "Uscdi", "USCDI")</f>
        <v>Clinical Notes: Support Requirements</v>
      </c>
      <c r="U227" t="s">
        <v>35</v>
      </c>
      <c r="V227" t="s">
        <v>58</v>
      </c>
      <c r="W227" t="s">
        <v>266</v>
      </c>
      <c r="X227" t="s">
        <v>1171</v>
      </c>
      <c r="Y227" t="s">
        <v>1171</v>
      </c>
      <c r="Z227" t="s">
        <v>1171</v>
      </c>
      <c r="AA227" t="s">
        <v>1171</v>
      </c>
      <c r="AB227" t="s">
        <v>1171</v>
      </c>
      <c r="AC227" t="s">
        <v>1171</v>
      </c>
      <c r="AD227" t="s">
        <v>1171</v>
      </c>
    </row>
    <row r="228" spans="1:30" ht="51" x14ac:dyDescent="0.2">
      <c r="A228" t="s">
        <v>1171</v>
      </c>
      <c r="B228" t="s">
        <v>1400</v>
      </c>
      <c r="C228" t="str">
        <f>"CONF-"&amp;TEXT(us_core_reqs[[#This Row],[ID*]], "0000")</f>
        <v>CONF-0227</v>
      </c>
      <c r="D228" s="11" t="s">
        <v>628</v>
      </c>
      <c r="E228" t="str">
        <f>SUBSTITUTE(us_core_reqs[[#This Row],[URL*]], "https://hl7.org/fhir/us/core/STU8/","")</f>
        <v>clinical-notes.html#support-requirements</v>
      </c>
      <c r="F228" s="11" t="s">
        <v>1952</v>
      </c>
      <c r="G228" t="s">
        <v>32</v>
      </c>
      <c r="I228" t="s">
        <v>30</v>
      </c>
      <c r="J228" t="s">
        <v>1171</v>
      </c>
      <c r="K228" t="s">
        <v>1171</v>
      </c>
      <c r="L228" t="s">
        <v>1173</v>
      </c>
      <c r="M228" t="s">
        <v>1171</v>
      </c>
      <c r="N228" t="s">
        <v>1171</v>
      </c>
      <c r="O228" t="s">
        <v>1171</v>
      </c>
      <c r="P228" t="s">
        <v>1171</v>
      </c>
      <c r="Q228" t="s">
        <v>1171</v>
      </c>
      <c r="R228" t="str">
        <f>_xlfn.TEXTBEFORE(_xlfn.TEXTAFTER(us_core_reqs[[#This Row],[URL*]],"/",-1),".")</f>
        <v>clinical-notes</v>
      </c>
      <c r="S228" t="str">
        <f>_xlfn.TEXTAFTER(us_core_reqs[[#This Row],[URL*]],"#",-1)</f>
        <v>support-requirements</v>
      </c>
      <c r="T228" t="str">
        <f>SUBSTITUTE(SUBSTITUTE(PROPER(SUBSTITUTE(us_core_reqs[[#This Row],[Page]], "-", " "))&amp;": "&amp;PROPER(SUBSTITUTE(us_core_reqs[[#This Row],[Section]], "-", " ")),"Us ","US "), "Uscdi", "USCDI")</f>
        <v>Clinical Notes: Support Requirements</v>
      </c>
      <c r="U228" t="s">
        <v>32</v>
      </c>
      <c r="V228" t="s">
        <v>1171</v>
      </c>
      <c r="W228" t="s">
        <v>268</v>
      </c>
      <c r="X228" t="s">
        <v>1171</v>
      </c>
      <c r="Y228" t="s">
        <v>1171</v>
      </c>
      <c r="Z228" t="s">
        <v>1171</v>
      </c>
      <c r="AA228" t="s">
        <v>1171</v>
      </c>
      <c r="AB228" t="s">
        <v>1171</v>
      </c>
      <c r="AC228" t="s">
        <v>1171</v>
      </c>
      <c r="AD228" t="s">
        <v>1171</v>
      </c>
    </row>
    <row r="229" spans="1:30" ht="51" x14ac:dyDescent="0.2">
      <c r="A229" t="s">
        <v>1171</v>
      </c>
      <c r="B229" t="s">
        <v>1401</v>
      </c>
      <c r="C229" t="str">
        <f>"CONF-"&amp;TEXT(us_core_reqs[[#This Row],[ID*]], "0000")</f>
        <v>CONF-0228</v>
      </c>
      <c r="D229" s="11" t="s">
        <v>628</v>
      </c>
      <c r="E229" t="str">
        <f>SUBSTITUTE(us_core_reqs[[#This Row],[URL*]], "https://hl7.org/fhir/us/core/STU8/","")</f>
        <v>clinical-notes.html#support-requirements</v>
      </c>
      <c r="F229" s="11" t="s">
        <v>1953</v>
      </c>
      <c r="G229" t="s">
        <v>32</v>
      </c>
      <c r="I229" t="s">
        <v>30</v>
      </c>
      <c r="J229" t="s">
        <v>1171</v>
      </c>
      <c r="K229" t="s">
        <v>1171</v>
      </c>
      <c r="L229" t="s">
        <v>1173</v>
      </c>
      <c r="M229" t="s">
        <v>1171</v>
      </c>
      <c r="N229" t="s">
        <v>1171</v>
      </c>
      <c r="O229" t="s">
        <v>1171</v>
      </c>
      <c r="P229" t="s">
        <v>1171</v>
      </c>
      <c r="Q229" t="s">
        <v>1171</v>
      </c>
      <c r="R229" t="str">
        <f>_xlfn.TEXTBEFORE(_xlfn.TEXTAFTER(us_core_reqs[[#This Row],[URL*]],"/",-1),".")</f>
        <v>clinical-notes</v>
      </c>
      <c r="S229" t="str">
        <f>_xlfn.TEXTAFTER(us_core_reqs[[#This Row],[URL*]],"#",-1)</f>
        <v>support-requirements</v>
      </c>
      <c r="T229" t="str">
        <f>SUBSTITUTE(SUBSTITUTE(PROPER(SUBSTITUTE(us_core_reqs[[#This Row],[Page]], "-", " "))&amp;": "&amp;PROPER(SUBSTITUTE(us_core_reqs[[#This Row],[Section]], "-", " ")),"Us ","US "), "Uscdi", "USCDI")</f>
        <v>Clinical Notes: Support Requirements</v>
      </c>
      <c r="U229" t="s">
        <v>1171</v>
      </c>
      <c r="V229" t="s">
        <v>1171</v>
      </c>
      <c r="W229" t="s">
        <v>1171</v>
      </c>
      <c r="X229" t="s">
        <v>1171</v>
      </c>
      <c r="Y229" t="s">
        <v>1171</v>
      </c>
      <c r="Z229" t="s">
        <v>1171</v>
      </c>
      <c r="AA229" t="s">
        <v>1171</v>
      </c>
      <c r="AB229" t="s">
        <v>1171</v>
      </c>
      <c r="AC229" t="s">
        <v>1171</v>
      </c>
      <c r="AD229" t="s">
        <v>1171</v>
      </c>
    </row>
    <row r="230" spans="1:30" ht="51" x14ac:dyDescent="0.2">
      <c r="A230" t="s">
        <v>1171</v>
      </c>
      <c r="B230" t="s">
        <v>1402</v>
      </c>
      <c r="C230" t="str">
        <f>"CONF-"&amp;TEXT(us_core_reqs[[#This Row],[ID*]], "0000")</f>
        <v>CONF-0229</v>
      </c>
      <c r="D230" s="11" t="s">
        <v>628</v>
      </c>
      <c r="E230" t="str">
        <f>SUBSTITUTE(us_core_reqs[[#This Row],[URL*]], "https://hl7.org/fhir/us/core/STU8/","")</f>
        <v>clinical-notes.html#support-requirements</v>
      </c>
      <c r="F230" s="11" t="s">
        <v>1954</v>
      </c>
      <c r="G230" t="s">
        <v>32</v>
      </c>
      <c r="I230" t="s">
        <v>30</v>
      </c>
      <c r="J230" t="s">
        <v>1171</v>
      </c>
      <c r="K230" t="s">
        <v>1171</v>
      </c>
      <c r="L230" t="s">
        <v>1173</v>
      </c>
      <c r="M230" t="s">
        <v>1171</v>
      </c>
      <c r="N230" t="s">
        <v>1171</v>
      </c>
      <c r="O230" t="s">
        <v>1171</v>
      </c>
      <c r="P230" t="s">
        <v>1171</v>
      </c>
      <c r="Q230" t="s">
        <v>1171</v>
      </c>
      <c r="R230" t="str">
        <f>_xlfn.TEXTBEFORE(_xlfn.TEXTAFTER(us_core_reqs[[#This Row],[URL*]],"/",-1),".")</f>
        <v>clinical-notes</v>
      </c>
      <c r="S230" t="str">
        <f>_xlfn.TEXTAFTER(us_core_reqs[[#This Row],[URL*]],"#",-1)</f>
        <v>support-requirements</v>
      </c>
      <c r="T230" t="str">
        <f>SUBSTITUTE(SUBSTITUTE(PROPER(SUBSTITUTE(us_core_reqs[[#This Row],[Page]], "-", " "))&amp;": "&amp;PROPER(SUBSTITUTE(us_core_reqs[[#This Row],[Section]], "-", " ")),"Us ","US "), "Uscdi", "USCDI")</f>
        <v>Clinical Notes: Support Requirements</v>
      </c>
      <c r="U230" t="s">
        <v>1171</v>
      </c>
      <c r="V230" t="s">
        <v>1171</v>
      </c>
      <c r="W230" t="s">
        <v>1171</v>
      </c>
      <c r="X230" t="s">
        <v>1171</v>
      </c>
      <c r="Y230" t="s">
        <v>1171</v>
      </c>
      <c r="Z230" t="s">
        <v>1171</v>
      </c>
      <c r="AA230" t="s">
        <v>1171</v>
      </c>
      <c r="AB230" t="s">
        <v>1171</v>
      </c>
      <c r="AC230" t="s">
        <v>1171</v>
      </c>
      <c r="AD230" t="s">
        <v>1171</v>
      </c>
    </row>
    <row r="231" spans="1:30" ht="34" x14ac:dyDescent="0.2">
      <c r="A231" t="s">
        <v>1171</v>
      </c>
      <c r="B231" t="s">
        <v>1403</v>
      </c>
      <c r="C231" t="str">
        <f>"CONF-"&amp;TEXT(us_core_reqs[[#This Row],[ID*]], "0000")</f>
        <v>CONF-0230</v>
      </c>
      <c r="D231" s="11" t="s">
        <v>628</v>
      </c>
      <c r="E231" t="str">
        <f>SUBSTITUTE(us_core_reqs[[#This Row],[URL*]], "https://hl7.org/fhir/us/core/STU8/","")</f>
        <v>clinical-notes.html#support-requirements</v>
      </c>
      <c r="F231" s="11" t="s">
        <v>1955</v>
      </c>
      <c r="G231" t="s">
        <v>32</v>
      </c>
      <c r="I231" t="s">
        <v>30</v>
      </c>
      <c r="J231" t="s">
        <v>1171</v>
      </c>
      <c r="K231" t="s">
        <v>1171</v>
      </c>
      <c r="L231" t="s">
        <v>1173</v>
      </c>
      <c r="M231" t="s">
        <v>1171</v>
      </c>
      <c r="N231" t="s">
        <v>1171</v>
      </c>
      <c r="O231" t="s">
        <v>1171</v>
      </c>
      <c r="P231" t="s">
        <v>1171</v>
      </c>
      <c r="Q231" t="s">
        <v>1171</v>
      </c>
      <c r="R231" t="str">
        <f>_xlfn.TEXTBEFORE(_xlfn.TEXTAFTER(us_core_reqs[[#This Row],[URL*]],"/",-1),".")</f>
        <v>clinical-notes</v>
      </c>
      <c r="S231" t="str">
        <f>_xlfn.TEXTAFTER(us_core_reqs[[#This Row],[URL*]],"#",-1)</f>
        <v>support-requirements</v>
      </c>
      <c r="T231" t="str">
        <f>SUBSTITUTE(SUBSTITUTE(PROPER(SUBSTITUTE(us_core_reqs[[#This Row],[Page]], "-", " "))&amp;": "&amp;PROPER(SUBSTITUTE(us_core_reqs[[#This Row],[Section]], "-", " ")),"Us ","US "), "Uscdi", "USCDI")</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1404</v>
      </c>
      <c r="C232" t="str">
        <f>"CONF-"&amp;TEXT(us_core_reqs[[#This Row],[ID*]], "0000")</f>
        <v>CONF-0231</v>
      </c>
      <c r="D232" s="11" t="s">
        <v>628</v>
      </c>
      <c r="E232" t="str">
        <f>SUBSTITUTE(us_core_reqs[[#This Row],[URL*]], "https://hl7.org/fhir/us/core/STU8/","")</f>
        <v>clinical-notes.html#support-requirements</v>
      </c>
      <c r="F232" s="11" t="s">
        <v>1882</v>
      </c>
      <c r="G232" t="s">
        <v>29</v>
      </c>
      <c r="H232" t="s">
        <v>1881</v>
      </c>
      <c r="I232" t="s">
        <v>30</v>
      </c>
      <c r="J232" t="s">
        <v>1171</v>
      </c>
      <c r="K232" t="s">
        <v>1171</v>
      </c>
      <c r="L232" t="s">
        <v>1173</v>
      </c>
      <c r="M232" t="s">
        <v>1171</v>
      </c>
      <c r="N232" t="s">
        <v>1171</v>
      </c>
      <c r="O232" t="s">
        <v>1171</v>
      </c>
      <c r="P232" t="s">
        <v>1171</v>
      </c>
      <c r="Q232" t="s">
        <v>1171</v>
      </c>
      <c r="R232" t="str">
        <f>_xlfn.TEXTBEFORE(_xlfn.TEXTAFTER(us_core_reqs[[#This Row],[URL*]],"/",-1),".")</f>
        <v>clinical-notes</v>
      </c>
      <c r="S232" t="str">
        <f>_xlfn.TEXTAFTER(us_core_reqs[[#This Row],[URL*]],"#",-1)</f>
        <v>support-requirements</v>
      </c>
      <c r="T232" t="str">
        <f>SUBSTITUTE(SUBSTITUTE(PROPER(SUBSTITUTE(us_core_reqs[[#This Row],[Page]], "-", " "))&amp;": "&amp;PROPER(SUBSTITUTE(us_core_reqs[[#This Row],[Section]], "-", " ")),"Us ","US "), "Uscdi", "USCDI")</f>
        <v>Clinical Notes: Support Requirements</v>
      </c>
      <c r="U232" t="s">
        <v>1171</v>
      </c>
      <c r="V232" t="s">
        <v>30</v>
      </c>
      <c r="W232" t="s">
        <v>268</v>
      </c>
      <c r="X232" t="s">
        <v>1171</v>
      </c>
      <c r="Y232" t="s">
        <v>1171</v>
      </c>
      <c r="Z232" t="s">
        <v>1171</v>
      </c>
      <c r="AA232" t="s">
        <v>1171</v>
      </c>
      <c r="AB232" t="s">
        <v>1171</v>
      </c>
      <c r="AC232" t="s">
        <v>1140</v>
      </c>
      <c r="AD232" t="s">
        <v>1171</v>
      </c>
    </row>
    <row r="233" spans="1:30" ht="68" x14ac:dyDescent="0.2">
      <c r="A233" t="s">
        <v>1171</v>
      </c>
      <c r="B233" t="s">
        <v>1405</v>
      </c>
      <c r="C233" t="str">
        <f>"CONF-"&amp;TEXT(us_core_reqs[[#This Row],[ID*]], "0000")</f>
        <v>CONF-0232</v>
      </c>
      <c r="D233" s="11" t="s">
        <v>628</v>
      </c>
      <c r="E233" t="str">
        <f>SUBSTITUTE(us_core_reqs[[#This Row],[URL*]], "https://hl7.org/fhir/us/core/STU8/","")</f>
        <v>clinical-notes.html#support-requirements</v>
      </c>
      <c r="F233" s="11" t="s">
        <v>1010</v>
      </c>
      <c r="G233" t="s">
        <v>35</v>
      </c>
      <c r="H233" t="s">
        <v>1883</v>
      </c>
      <c r="I233" t="s">
        <v>58</v>
      </c>
      <c r="J233" t="s">
        <v>1171</v>
      </c>
      <c r="K233" t="s">
        <v>1171</v>
      </c>
      <c r="L233" t="s">
        <v>1173</v>
      </c>
      <c r="M233" t="s">
        <v>1171</v>
      </c>
      <c r="N233" t="s">
        <v>1171</v>
      </c>
      <c r="O233" t="s">
        <v>1171</v>
      </c>
      <c r="P233" t="s">
        <v>1171</v>
      </c>
      <c r="Q233" t="s">
        <v>1171</v>
      </c>
      <c r="R233" t="str">
        <f>_xlfn.TEXTBEFORE(_xlfn.TEXTAFTER(us_core_reqs[[#This Row],[URL*]],"/",-1),".")</f>
        <v>clinical-notes</v>
      </c>
      <c r="S233" t="str">
        <f>_xlfn.TEXTAFTER(us_core_reqs[[#This Row],[URL*]],"#",-1)</f>
        <v>support-requirements</v>
      </c>
      <c r="T233" t="str">
        <f>SUBSTITUTE(SUBSTITUTE(PROPER(SUBSTITUTE(us_core_reqs[[#This Row],[Page]], "-", " "))&amp;": "&amp;PROPER(SUBSTITUTE(us_core_reqs[[#This Row],[Section]], "-", " ")),"Us ","US "), "Uscdi", "USCDI")</f>
        <v>Clinical Notes: Support Requirements</v>
      </c>
      <c r="U233" t="s">
        <v>1171</v>
      </c>
      <c r="V233" t="s">
        <v>30</v>
      </c>
      <c r="W233" t="s">
        <v>273</v>
      </c>
      <c r="X233" t="s">
        <v>1171</v>
      </c>
      <c r="Y233" t="s">
        <v>1171</v>
      </c>
      <c r="Z233" t="s">
        <v>1171</v>
      </c>
      <c r="AA233" t="s">
        <v>1171</v>
      </c>
      <c r="AB233" t="s">
        <v>1171</v>
      </c>
      <c r="AC233" t="s">
        <v>1171</v>
      </c>
      <c r="AD233" t="s">
        <v>1171</v>
      </c>
    </row>
    <row r="234" spans="1:30" ht="68" x14ac:dyDescent="0.2">
      <c r="A234" t="s">
        <v>1171</v>
      </c>
      <c r="B234" t="s">
        <v>1406</v>
      </c>
      <c r="C234" t="str">
        <f>"CONF-"&amp;TEXT(us_core_reqs[[#This Row],[ID*]], "0000")</f>
        <v>CONF-0233</v>
      </c>
      <c r="D234" s="11" t="s">
        <v>1884</v>
      </c>
      <c r="E234" t="str">
        <f>SUBSTITUTE(us_core_reqs[[#This Row],[URL*]], "https://hl7.org/fhir/us/core/STU8/","")</f>
        <v>clinical-notes.html#using-expand</v>
      </c>
      <c r="F234" s="11" t="s">
        <v>1956</v>
      </c>
      <c r="G234" t="s">
        <v>32</v>
      </c>
      <c r="I234" t="s">
        <v>30</v>
      </c>
      <c r="J234" t="s">
        <v>1171</v>
      </c>
      <c r="K234" t="s">
        <v>1171</v>
      </c>
      <c r="L234" t="s">
        <v>1173</v>
      </c>
      <c r="M234" t="s">
        <v>1171</v>
      </c>
      <c r="N234" t="s">
        <v>1171</v>
      </c>
      <c r="O234" t="s">
        <v>1171</v>
      </c>
      <c r="P234" t="s">
        <v>1171</v>
      </c>
      <c r="Q234" t="s">
        <v>1171</v>
      </c>
      <c r="R234" t="str">
        <f>_xlfn.TEXTBEFORE(_xlfn.TEXTAFTER(us_core_reqs[[#This Row],[URL*]],"/",-1),".")</f>
        <v>clinical-notes</v>
      </c>
      <c r="S234" t="str">
        <f>_xlfn.TEXTAFTER(us_core_reqs[[#This Row],[URL*]],"#",-1)</f>
        <v>using-expand</v>
      </c>
      <c r="T234" t="str">
        <f>SUBSTITUTE(SUBSTITUTE(PROPER(SUBSTITUTE(us_core_reqs[[#This Row],[Page]], "-", " "))&amp;": "&amp;PROPER(SUBSTITUTE(us_core_reqs[[#This Row],[Section]], "-", " ")),"Us ","US "), "Uscdi", "USCDI")</f>
        <v>Clinical Notes: Using Expand</v>
      </c>
      <c r="U234" t="s">
        <v>32</v>
      </c>
      <c r="V234" t="s">
        <v>30</v>
      </c>
      <c r="W234" t="s">
        <v>274</v>
      </c>
      <c r="X234" t="s">
        <v>1171</v>
      </c>
      <c r="Y234" t="s">
        <v>1171</v>
      </c>
      <c r="Z234" t="s">
        <v>1171</v>
      </c>
      <c r="AA234" t="s">
        <v>1171</v>
      </c>
      <c r="AB234" t="s">
        <v>1171</v>
      </c>
      <c r="AC234" t="s">
        <v>1171</v>
      </c>
      <c r="AD234" t="s">
        <v>1171</v>
      </c>
    </row>
    <row r="235" spans="1:30" ht="140" customHeight="1" x14ac:dyDescent="0.2">
      <c r="A235" t="s">
        <v>1171</v>
      </c>
      <c r="B235" t="s">
        <v>1407</v>
      </c>
      <c r="C235" t="str">
        <f>"CONF-"&amp;TEXT(us_core_reqs[[#This Row],[ID*]], "0000")</f>
        <v>CONF-0234</v>
      </c>
      <c r="D235" s="11" t="s">
        <v>1884</v>
      </c>
      <c r="E235" t="str">
        <f>SUBSTITUTE(us_core_reqs[[#This Row],[URL*]], "https://hl7.org/fhir/us/core/STU8/","")</f>
        <v>clinical-notes.html#using-expand</v>
      </c>
      <c r="F235" s="11" t="s">
        <v>2134</v>
      </c>
      <c r="G235" t="s">
        <v>32</v>
      </c>
      <c r="I235" t="s">
        <v>30</v>
      </c>
      <c r="J235" t="s">
        <v>1171</v>
      </c>
      <c r="K235" t="s">
        <v>1171</v>
      </c>
      <c r="L235" t="s">
        <v>1176</v>
      </c>
      <c r="M235" t="s">
        <v>1013</v>
      </c>
      <c r="N235" t="s">
        <v>1171</v>
      </c>
      <c r="O235" t="s">
        <v>1171</v>
      </c>
      <c r="P235" t="s">
        <v>1171</v>
      </c>
      <c r="Q235" t="s">
        <v>1171</v>
      </c>
      <c r="R235" t="str">
        <f>_xlfn.TEXTBEFORE(_xlfn.TEXTAFTER(us_core_reqs[[#This Row],[URL*]],"/",-1),".")</f>
        <v>clinical-notes</v>
      </c>
      <c r="S235" t="str">
        <f>_xlfn.TEXTAFTER(us_core_reqs[[#This Row],[URL*]],"#",-1)</f>
        <v>using-expand</v>
      </c>
      <c r="T235" t="str">
        <f>SUBSTITUTE(SUBSTITUTE(PROPER(SUBSTITUTE(us_core_reqs[[#This Row],[Page]], "-", " "))&amp;": "&amp;PROPER(SUBSTITUTE(us_core_reqs[[#This Row],[Section]], "-", " ")),"Us ","US "), "Uscdi", "USCDI")</f>
        <v>Clinical Notes: Using Expand</v>
      </c>
      <c r="U235" t="s">
        <v>29</v>
      </c>
      <c r="V235" t="s">
        <v>30</v>
      </c>
      <c r="W235" t="s">
        <v>275</v>
      </c>
      <c r="X235" t="s">
        <v>1171</v>
      </c>
      <c r="Y235" t="s">
        <v>1171</v>
      </c>
      <c r="Z235" t="s">
        <v>1171</v>
      </c>
      <c r="AA235" t="s">
        <v>1171</v>
      </c>
      <c r="AB235" t="s">
        <v>276</v>
      </c>
      <c r="AC235" t="s">
        <v>1141</v>
      </c>
      <c r="AD235" t="s">
        <v>1171</v>
      </c>
    </row>
    <row r="236" spans="1:30" ht="158" customHeight="1" x14ac:dyDescent="0.2">
      <c r="A236" t="s">
        <v>1171</v>
      </c>
      <c r="B236" t="s">
        <v>1408</v>
      </c>
      <c r="C236" t="str">
        <f>"CONF-"&amp;TEXT(us_core_reqs[[#This Row],[ID*]], "0000")</f>
        <v>CONF-0235</v>
      </c>
      <c r="D236" s="11" t="s">
        <v>1884</v>
      </c>
      <c r="E236" t="str">
        <f>SUBSTITUTE(us_core_reqs[[#This Row],[URL*]], "https://hl7.org/fhir/us/core/STU8/","")</f>
        <v>clinical-notes.html#using-expand</v>
      </c>
      <c r="F236" s="11" t="s">
        <v>2135</v>
      </c>
      <c r="G236" t="s">
        <v>32</v>
      </c>
      <c r="I236" t="s">
        <v>30</v>
      </c>
      <c r="J236" t="s">
        <v>1171</v>
      </c>
      <c r="K236" t="s">
        <v>1171</v>
      </c>
      <c r="L236" t="s">
        <v>1176</v>
      </c>
      <c r="M236" t="s">
        <v>1015</v>
      </c>
      <c r="N236" t="s">
        <v>1171</v>
      </c>
      <c r="O236" t="s">
        <v>1171</v>
      </c>
      <c r="P236" t="s">
        <v>1171</v>
      </c>
      <c r="Q236" t="s">
        <v>1171</v>
      </c>
      <c r="R236" t="str">
        <f>_xlfn.TEXTBEFORE(_xlfn.TEXTAFTER(us_core_reqs[[#This Row],[URL*]],"/",-1),".")</f>
        <v>clinical-notes</v>
      </c>
      <c r="S236" t="str">
        <f>_xlfn.TEXTAFTER(us_core_reqs[[#This Row],[URL*]],"#",-1)</f>
        <v>using-expand</v>
      </c>
      <c r="T236" t="str">
        <f>SUBSTITUTE(SUBSTITUTE(PROPER(SUBSTITUTE(us_core_reqs[[#This Row],[Page]], "-", " "))&amp;": "&amp;PROPER(SUBSTITUTE(us_core_reqs[[#This Row],[Section]], "-", " ")),"Us ","US "), "Uscdi", "USCDI")</f>
        <v>Clinical Notes: Using Expand</v>
      </c>
      <c r="U236" t="s">
        <v>29</v>
      </c>
      <c r="V236" t="s">
        <v>30</v>
      </c>
      <c r="W236" t="s">
        <v>277</v>
      </c>
      <c r="X236" t="s">
        <v>1171</v>
      </c>
      <c r="Y236" t="s">
        <v>1171</v>
      </c>
      <c r="Z236" t="s">
        <v>1171</v>
      </c>
      <c r="AA236" t="s">
        <v>1171</v>
      </c>
      <c r="AB236" t="s">
        <v>1171</v>
      </c>
      <c r="AC236" t="s">
        <v>1141</v>
      </c>
      <c r="AD236" t="s">
        <v>1171</v>
      </c>
    </row>
    <row r="237" spans="1:30" ht="140" customHeight="1" x14ac:dyDescent="0.2">
      <c r="A237" t="s">
        <v>1171</v>
      </c>
      <c r="B237" t="s">
        <v>1409</v>
      </c>
      <c r="C237" t="str">
        <f>"CONF-"&amp;TEXT(us_core_reqs[[#This Row],[ID*]], "0000")</f>
        <v>CONF-0236</v>
      </c>
      <c r="D237" s="11" t="s">
        <v>1884</v>
      </c>
      <c r="E237" t="str">
        <f>SUBSTITUTE(us_core_reqs[[#This Row],[URL*]], "https://hl7.org/fhir/us/core/STU8/","")</f>
        <v>clinical-notes.html#using-expand</v>
      </c>
      <c r="F237" s="11" t="s">
        <v>2136</v>
      </c>
      <c r="G237" t="s">
        <v>32</v>
      </c>
      <c r="I237" t="s">
        <v>30</v>
      </c>
      <c r="J237" t="s">
        <v>1171</v>
      </c>
      <c r="K237" t="s">
        <v>1171</v>
      </c>
      <c r="L237" t="s">
        <v>1176</v>
      </c>
      <c r="M237" t="s">
        <v>1013</v>
      </c>
      <c r="N237" t="s">
        <v>1171</v>
      </c>
      <c r="O237" t="s">
        <v>1171</v>
      </c>
      <c r="P237" t="s">
        <v>1171</v>
      </c>
      <c r="Q237" t="s">
        <v>1171</v>
      </c>
      <c r="R237" t="str">
        <f>_xlfn.TEXTBEFORE(_xlfn.TEXTAFTER(us_core_reqs[[#This Row],[URL*]],"/",-1),".")</f>
        <v>clinical-notes</v>
      </c>
      <c r="S237" t="str">
        <f>_xlfn.TEXTAFTER(us_core_reqs[[#This Row],[URL*]],"#",-1)</f>
        <v>using-expand</v>
      </c>
      <c r="T237" t="str">
        <f>SUBSTITUTE(SUBSTITUTE(PROPER(SUBSTITUTE(us_core_reqs[[#This Row],[Page]], "-", " "))&amp;": "&amp;PROPER(SUBSTITUTE(us_core_reqs[[#This Row],[Section]], "-", " ")),"Us ","US "), "Uscdi", "USCDI")</f>
        <v>Clinical Notes: Using Expand</v>
      </c>
      <c r="U237" t="s">
        <v>29</v>
      </c>
      <c r="V237" t="s">
        <v>30</v>
      </c>
      <c r="W237" t="s">
        <v>1171</v>
      </c>
      <c r="X237" t="s">
        <v>1171</v>
      </c>
      <c r="Y237" t="s">
        <v>1171</v>
      </c>
      <c r="Z237" t="s">
        <v>1171</v>
      </c>
      <c r="AA237" t="s">
        <v>1171</v>
      </c>
      <c r="AB237" t="s">
        <v>1171</v>
      </c>
      <c r="AC237" t="s">
        <v>1141</v>
      </c>
      <c r="AD237" t="s">
        <v>1171</v>
      </c>
    </row>
    <row r="238" spans="1:30" ht="137" customHeight="1" x14ac:dyDescent="0.2">
      <c r="A238" t="s">
        <v>1171</v>
      </c>
      <c r="B238" t="s">
        <v>1410</v>
      </c>
      <c r="C238" t="str">
        <f>"CONF-"&amp;TEXT(us_core_reqs[[#This Row],[ID*]], "0000")</f>
        <v>CONF-0237</v>
      </c>
      <c r="D238" s="11" t="s">
        <v>1884</v>
      </c>
      <c r="E238" t="str">
        <f>SUBSTITUTE(us_core_reqs[[#This Row],[URL*]], "https://hl7.org/fhir/us/core/STU8/","")</f>
        <v>clinical-notes.html#using-expand</v>
      </c>
      <c r="F238" s="11" t="s">
        <v>2137</v>
      </c>
      <c r="G238" t="s">
        <v>32</v>
      </c>
      <c r="I238" t="s">
        <v>30</v>
      </c>
      <c r="J238" t="s">
        <v>1171</v>
      </c>
      <c r="K238" t="s">
        <v>1171</v>
      </c>
      <c r="L238" t="s">
        <v>1176</v>
      </c>
      <c r="M238" t="s">
        <v>1015</v>
      </c>
      <c r="N238" t="s">
        <v>1171</v>
      </c>
      <c r="O238" t="s">
        <v>1171</v>
      </c>
      <c r="P238" t="s">
        <v>1171</v>
      </c>
      <c r="Q238" t="s">
        <v>1171</v>
      </c>
      <c r="R238" t="str">
        <f>_xlfn.TEXTBEFORE(_xlfn.TEXTAFTER(us_core_reqs[[#This Row],[URL*]],"/",-1),".")</f>
        <v>clinical-notes</v>
      </c>
      <c r="S238" t="str">
        <f>_xlfn.TEXTAFTER(us_core_reqs[[#This Row],[URL*]],"#",-1)</f>
        <v>using-expand</v>
      </c>
      <c r="T238" t="str">
        <f>SUBSTITUTE(SUBSTITUTE(PROPER(SUBSTITUTE(us_core_reqs[[#This Row],[Page]], "-", " "))&amp;": "&amp;PROPER(SUBSTITUTE(us_core_reqs[[#This Row],[Section]], "-", " ")),"Us ","US "), "Uscdi", "USCDI")</f>
        <v>Clinical Notes: Using Expand</v>
      </c>
      <c r="U238" t="s">
        <v>29</v>
      </c>
      <c r="V238" t="s">
        <v>30</v>
      </c>
      <c r="W238" t="s">
        <v>1171</v>
      </c>
      <c r="X238" t="s">
        <v>1171</v>
      </c>
      <c r="Y238" t="s">
        <v>1171</v>
      </c>
      <c r="Z238" t="s">
        <v>1171</v>
      </c>
      <c r="AA238" t="s">
        <v>1171</v>
      </c>
      <c r="AB238" t="s">
        <v>1171</v>
      </c>
      <c r="AC238" t="s">
        <v>1141</v>
      </c>
      <c r="AD238" t="s">
        <v>1171</v>
      </c>
    </row>
    <row r="239" spans="1:30" ht="153" x14ac:dyDescent="0.2">
      <c r="A239" t="s">
        <v>1171</v>
      </c>
      <c r="B239" t="s">
        <v>1411</v>
      </c>
      <c r="C239" t="str">
        <f>"CONF-"&amp;TEXT(us_core_reqs[[#This Row],[ID*]], "0000")</f>
        <v>CONF-0238</v>
      </c>
      <c r="D239" s="11" t="s">
        <v>1884</v>
      </c>
      <c r="E239" t="str">
        <f>SUBSTITUTE(us_core_reqs[[#This Row],[URL*]], "https://hl7.org/fhir/us/core/STU8/","")</f>
        <v>clinical-notes.html#using-expand</v>
      </c>
      <c r="F239" s="11" t="s">
        <v>2138</v>
      </c>
      <c r="G239" t="s">
        <v>32</v>
      </c>
      <c r="I239" t="s">
        <v>30</v>
      </c>
      <c r="J239" t="s">
        <v>1171</v>
      </c>
      <c r="K239" t="s">
        <v>1171</v>
      </c>
      <c r="L239" t="s">
        <v>1176</v>
      </c>
      <c r="M239" t="s">
        <v>1013</v>
      </c>
      <c r="N239" t="s">
        <v>1171</v>
      </c>
      <c r="O239" t="s">
        <v>1171</v>
      </c>
      <c r="P239" t="s">
        <v>1171</v>
      </c>
      <c r="Q239" t="s">
        <v>1171</v>
      </c>
      <c r="R239" t="str">
        <f>_xlfn.TEXTBEFORE(_xlfn.TEXTAFTER(us_core_reqs[[#This Row],[URL*]],"/",-1),".")</f>
        <v>clinical-notes</v>
      </c>
      <c r="S239" t="str">
        <f>_xlfn.TEXTAFTER(us_core_reqs[[#This Row],[URL*]],"#",-1)</f>
        <v>using-expand</v>
      </c>
      <c r="T239" t="str">
        <f>SUBSTITUTE(SUBSTITUTE(PROPER(SUBSTITUTE(us_core_reqs[[#This Row],[Page]], "-", " "))&amp;": "&amp;PROPER(SUBSTITUTE(us_core_reqs[[#This Row],[Section]], "-", " ")),"Us ","US "), "Uscdi", "USCDI")</f>
        <v>Clinical Notes: Using Expand</v>
      </c>
      <c r="U239" t="s">
        <v>1171</v>
      </c>
      <c r="V239" t="s">
        <v>1171</v>
      </c>
      <c r="W239" t="s">
        <v>1171</v>
      </c>
      <c r="X239" t="s">
        <v>1171</v>
      </c>
      <c r="Y239" t="s">
        <v>1171</v>
      </c>
      <c r="Z239" t="s">
        <v>1171</v>
      </c>
      <c r="AA239" t="s">
        <v>1171</v>
      </c>
      <c r="AB239" t="s">
        <v>1171</v>
      </c>
      <c r="AC239" t="s">
        <v>1141</v>
      </c>
      <c r="AD239" t="s">
        <v>1171</v>
      </c>
    </row>
    <row r="240" spans="1:30" ht="153" x14ac:dyDescent="0.2">
      <c r="A240" t="s">
        <v>1171</v>
      </c>
      <c r="B240" t="s">
        <v>1412</v>
      </c>
      <c r="C240" t="str">
        <f>"CONF-"&amp;TEXT(us_core_reqs[[#This Row],[ID*]], "0000")</f>
        <v>CONF-0239</v>
      </c>
      <c r="D240" s="11" t="s">
        <v>1884</v>
      </c>
      <c r="E240" t="str">
        <f>SUBSTITUTE(us_core_reqs[[#This Row],[URL*]], "https://hl7.org/fhir/us/core/STU8/","")</f>
        <v>clinical-notes.html#using-expand</v>
      </c>
      <c r="F240" s="11" t="s">
        <v>2139</v>
      </c>
      <c r="G240" t="s">
        <v>32</v>
      </c>
      <c r="I240" t="s">
        <v>30</v>
      </c>
      <c r="J240" t="s">
        <v>1171</v>
      </c>
      <c r="K240" t="s">
        <v>1171</v>
      </c>
      <c r="L240" t="s">
        <v>1176</v>
      </c>
      <c r="M240" t="s">
        <v>1015</v>
      </c>
      <c r="N240" t="s">
        <v>1171</v>
      </c>
      <c r="O240" t="s">
        <v>1171</v>
      </c>
      <c r="P240" t="s">
        <v>1171</v>
      </c>
      <c r="Q240" t="s">
        <v>1171</v>
      </c>
      <c r="R240" t="str">
        <f>_xlfn.TEXTBEFORE(_xlfn.TEXTAFTER(us_core_reqs[[#This Row],[URL*]],"/",-1),".")</f>
        <v>clinical-notes</v>
      </c>
      <c r="S240" t="str">
        <f>_xlfn.TEXTAFTER(us_core_reqs[[#This Row],[URL*]],"#",-1)</f>
        <v>using-expand</v>
      </c>
      <c r="T240" t="str">
        <f>SUBSTITUTE(SUBSTITUTE(PROPER(SUBSTITUTE(us_core_reqs[[#This Row],[Page]], "-", " "))&amp;": "&amp;PROPER(SUBSTITUTE(us_core_reqs[[#This Row],[Section]], "-", " ")),"Us ","US "), "Uscdi", "USCDI")</f>
        <v>Clinical Notes: Using Expand</v>
      </c>
      <c r="U240" t="s">
        <v>1171</v>
      </c>
      <c r="V240" t="s">
        <v>1171</v>
      </c>
      <c r="W240" t="s">
        <v>1171</v>
      </c>
      <c r="X240" t="s">
        <v>1171</v>
      </c>
      <c r="Y240" t="s">
        <v>1171</v>
      </c>
      <c r="Z240" t="s">
        <v>1171</v>
      </c>
      <c r="AA240" t="s">
        <v>1171</v>
      </c>
      <c r="AB240" t="s">
        <v>1171</v>
      </c>
      <c r="AC240" t="s">
        <v>1141</v>
      </c>
      <c r="AD240" t="s">
        <v>1171</v>
      </c>
    </row>
    <row r="241" spans="1:30" ht="153" x14ac:dyDescent="0.2">
      <c r="A241" t="s">
        <v>1171</v>
      </c>
      <c r="B241" t="s">
        <v>1413</v>
      </c>
      <c r="C241" t="str">
        <f>"CONF-"&amp;TEXT(us_core_reqs[[#This Row],[ID*]], "0000")</f>
        <v>CONF-0240</v>
      </c>
      <c r="D241" s="11" t="s">
        <v>1884</v>
      </c>
      <c r="E241" t="str">
        <f>SUBSTITUTE(us_core_reqs[[#This Row],[URL*]], "https://hl7.org/fhir/us/core/STU8/","")</f>
        <v>clinical-notes.html#using-expand</v>
      </c>
      <c r="F241" s="11" t="s">
        <v>2140</v>
      </c>
      <c r="G241" t="s">
        <v>32</v>
      </c>
      <c r="I241" t="s">
        <v>30</v>
      </c>
      <c r="J241" t="s">
        <v>1171</v>
      </c>
      <c r="K241" t="s">
        <v>1171</v>
      </c>
      <c r="L241" t="s">
        <v>1176</v>
      </c>
      <c r="M241" t="s">
        <v>1013</v>
      </c>
      <c r="N241" t="s">
        <v>1171</v>
      </c>
      <c r="O241" t="s">
        <v>1171</v>
      </c>
      <c r="P241" t="s">
        <v>1171</v>
      </c>
      <c r="Q241" t="s">
        <v>1171</v>
      </c>
      <c r="R241" t="str">
        <f>_xlfn.TEXTBEFORE(_xlfn.TEXTAFTER(us_core_reqs[[#This Row],[URL*]],"/",-1),".")</f>
        <v>clinical-notes</v>
      </c>
      <c r="S241" t="str">
        <f>_xlfn.TEXTAFTER(us_core_reqs[[#This Row],[URL*]],"#",-1)</f>
        <v>using-expand</v>
      </c>
      <c r="T241" t="str">
        <f>SUBSTITUTE(SUBSTITUTE(PROPER(SUBSTITUTE(us_core_reqs[[#This Row],[Page]], "-", " "))&amp;": "&amp;PROPER(SUBSTITUTE(us_core_reqs[[#This Row],[Section]], "-", " ")),"Us ","US "), "Uscdi", "USCDI")</f>
        <v>Clinical Notes: Using Expand</v>
      </c>
      <c r="U241" t="s">
        <v>1171</v>
      </c>
      <c r="V241" t="s">
        <v>1171</v>
      </c>
      <c r="W241" t="s">
        <v>1171</v>
      </c>
      <c r="X241" t="s">
        <v>1171</v>
      </c>
      <c r="Y241" t="s">
        <v>1171</v>
      </c>
      <c r="Z241" t="s">
        <v>1171</v>
      </c>
      <c r="AA241" t="s">
        <v>1171</v>
      </c>
      <c r="AB241" t="s">
        <v>1171</v>
      </c>
      <c r="AC241" t="s">
        <v>1141</v>
      </c>
      <c r="AD241" t="s">
        <v>1171</v>
      </c>
    </row>
    <row r="242" spans="1:30" ht="139" customHeight="1" x14ac:dyDescent="0.2">
      <c r="A242" t="s">
        <v>1171</v>
      </c>
      <c r="B242" t="s">
        <v>1414</v>
      </c>
      <c r="C242" t="str">
        <f>"CONF-"&amp;TEXT(us_core_reqs[[#This Row],[ID*]], "0000")</f>
        <v>CONF-0241</v>
      </c>
      <c r="D242" s="11" t="s">
        <v>1884</v>
      </c>
      <c r="E242" t="str">
        <f>SUBSTITUTE(us_core_reqs[[#This Row],[URL*]], "https://hl7.org/fhir/us/core/STU8/","")</f>
        <v>clinical-notes.html#using-expand</v>
      </c>
      <c r="F242" s="11" t="s">
        <v>2141</v>
      </c>
      <c r="G242" t="s">
        <v>32</v>
      </c>
      <c r="I242" t="s">
        <v>30</v>
      </c>
      <c r="J242" t="s">
        <v>1171</v>
      </c>
      <c r="K242" t="s">
        <v>1171</v>
      </c>
      <c r="L242" t="s">
        <v>1176</v>
      </c>
      <c r="M242" t="s">
        <v>1015</v>
      </c>
      <c r="N242" t="s">
        <v>1171</v>
      </c>
      <c r="O242" t="s">
        <v>1171</v>
      </c>
      <c r="P242" t="s">
        <v>1171</v>
      </c>
      <c r="Q242" t="s">
        <v>1171</v>
      </c>
      <c r="R242" t="str">
        <f>_xlfn.TEXTBEFORE(_xlfn.TEXTAFTER(us_core_reqs[[#This Row],[URL*]],"/",-1),".")</f>
        <v>clinical-notes</v>
      </c>
      <c r="S242" t="str">
        <f>_xlfn.TEXTAFTER(us_core_reqs[[#This Row],[URL*]],"#",-1)</f>
        <v>using-expand</v>
      </c>
      <c r="T242" t="str">
        <f>SUBSTITUTE(SUBSTITUTE(PROPER(SUBSTITUTE(us_core_reqs[[#This Row],[Page]], "-", " "))&amp;": "&amp;PROPER(SUBSTITUTE(us_core_reqs[[#This Row],[Section]], "-", " ")),"Us ","US "), "Uscdi", "USCDI")</f>
        <v>Clinical Notes: Using Expand</v>
      </c>
      <c r="U242" t="s">
        <v>1171</v>
      </c>
      <c r="V242" t="s">
        <v>1171</v>
      </c>
      <c r="W242" t="s">
        <v>1171</v>
      </c>
      <c r="X242" t="s">
        <v>1171</v>
      </c>
      <c r="Y242" t="s">
        <v>1171</v>
      </c>
      <c r="Z242" t="s">
        <v>1171</v>
      </c>
      <c r="AA242" t="s">
        <v>1171</v>
      </c>
      <c r="AB242" t="s">
        <v>1171</v>
      </c>
      <c r="AC242" t="s">
        <v>1141</v>
      </c>
      <c r="AD242" t="s">
        <v>1171</v>
      </c>
    </row>
    <row r="243" spans="1:30" ht="164" customHeight="1" x14ac:dyDescent="0.2">
      <c r="A243" t="s">
        <v>1171</v>
      </c>
      <c r="B243" t="s">
        <v>1415</v>
      </c>
      <c r="C243" t="str">
        <f>"CONF-"&amp;TEXT(us_core_reqs[[#This Row],[ID*]], "0000")</f>
        <v>CONF-0242</v>
      </c>
      <c r="D243" s="11" t="s">
        <v>1022</v>
      </c>
      <c r="E243" t="str">
        <f>SUBSTITUTE(us_core_reqs[[#This Row],[URL*]], "https://hl7.org/fhir/us/core/STU8/","")</f>
        <v>clinical-notes.html#discovering-Server-read-and-write-formats</v>
      </c>
      <c r="F243" s="11" t="s">
        <v>1023</v>
      </c>
      <c r="G243" t="s">
        <v>32</v>
      </c>
      <c r="I243" t="s">
        <v>30</v>
      </c>
      <c r="J243" t="s">
        <v>1171</v>
      </c>
      <c r="K243" t="s">
        <v>1171</v>
      </c>
      <c r="L243" t="s">
        <v>1176</v>
      </c>
      <c r="M243" t="s">
        <v>1024</v>
      </c>
      <c r="N243" t="s">
        <v>1171</v>
      </c>
      <c r="O243" t="s">
        <v>1171</v>
      </c>
      <c r="P243" t="s">
        <v>1171</v>
      </c>
      <c r="Q243" t="s">
        <v>1171</v>
      </c>
      <c r="R243" t="str">
        <f>_xlfn.TEXTBEFORE(_xlfn.TEXTAFTER(us_core_reqs[[#This Row],[URL*]],"/",-1),".")</f>
        <v>clinical-notes</v>
      </c>
      <c r="S243" t="str">
        <f>_xlfn.TEXTAFTER(us_core_reqs[[#This Row],[URL*]],"#",-1)</f>
        <v>discovering-Server-read-and-write-formats</v>
      </c>
      <c r="T243" t="str">
        <f>SUBSTITUTE(SUBSTITUTE(PROPER(SUBSTITUTE(us_core_reqs[[#This Row],[Page]], "-", " "))&amp;": "&amp;PROPER(SUBSTITUTE(us_core_reqs[[#This Row],[Section]], "-", " ")),"Us ","US "), "Uscdi", "USCDI")</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65" customHeight="1" x14ac:dyDescent="0.2">
      <c r="A244" t="s">
        <v>1171</v>
      </c>
      <c r="B244" t="s">
        <v>1416</v>
      </c>
      <c r="C244" t="str">
        <f>"CONF-"&amp;TEXT(us_core_reqs[[#This Row],[ID*]], "0000")</f>
        <v>CONF-0243</v>
      </c>
      <c r="D244" s="11" t="s">
        <v>1022</v>
      </c>
      <c r="E244" t="str">
        <f>SUBSTITUTE(us_core_reqs[[#This Row],[URL*]], "https://hl7.org/fhir/us/core/STU8/","")</f>
        <v>clinical-notes.html#discovering-Server-read-and-write-formats</v>
      </c>
      <c r="F244" s="11" t="s">
        <v>1025</v>
      </c>
      <c r="G244" t="s">
        <v>32</v>
      </c>
      <c r="I244" t="s">
        <v>30</v>
      </c>
      <c r="J244" t="s">
        <v>1171</v>
      </c>
      <c r="K244" t="s">
        <v>1171</v>
      </c>
      <c r="L244" t="s">
        <v>1176</v>
      </c>
      <c r="M244" t="s">
        <v>1026</v>
      </c>
      <c r="N244" t="s">
        <v>1171</v>
      </c>
      <c r="O244" t="s">
        <v>1171</v>
      </c>
      <c r="P244" t="s">
        <v>1171</v>
      </c>
      <c r="Q244" t="s">
        <v>1171</v>
      </c>
      <c r="R244" t="str">
        <f>_xlfn.TEXTBEFORE(_xlfn.TEXTAFTER(us_core_reqs[[#This Row],[URL*]],"/",-1),".")</f>
        <v>clinical-notes</v>
      </c>
      <c r="S244" t="str">
        <f>_xlfn.TEXTAFTER(us_core_reqs[[#This Row],[URL*]],"#",-1)</f>
        <v>discovering-Server-read-and-write-formats</v>
      </c>
      <c r="T244" t="str">
        <f>SUBSTITUTE(SUBSTITUTE(PROPER(SUBSTITUTE(us_core_reqs[[#This Row],[Page]], "-", " "))&amp;": "&amp;PROPER(SUBSTITUTE(us_core_reqs[[#This Row],[Section]], "-", " ")),"Us ","US "), "Uscdi", "USCDI")</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70" x14ac:dyDescent="0.2">
      <c r="A245" t="s">
        <v>1171</v>
      </c>
      <c r="B245" t="s">
        <v>1417</v>
      </c>
      <c r="C245" t="str">
        <f>"CONF-"&amp;TEXT(us_core_reqs[[#This Row],[ID*]], "0000")</f>
        <v>CONF-0244</v>
      </c>
      <c r="D245" s="11" t="s">
        <v>1022</v>
      </c>
      <c r="E245" t="str">
        <f>SUBSTITUTE(us_core_reqs[[#This Row],[URL*]], "https://hl7.org/fhir/us/core/STU8/","")</f>
        <v>clinical-notes.html#discovering-Server-read-and-write-formats</v>
      </c>
      <c r="F245" s="11" t="s">
        <v>1027</v>
      </c>
      <c r="G245" t="s">
        <v>32</v>
      </c>
      <c r="I245" t="s">
        <v>30</v>
      </c>
      <c r="J245" t="s">
        <v>1171</v>
      </c>
      <c r="K245" t="s">
        <v>1171</v>
      </c>
      <c r="L245" t="s">
        <v>1176</v>
      </c>
      <c r="M245" t="s">
        <v>1024</v>
      </c>
      <c r="N245" t="s">
        <v>1171</v>
      </c>
      <c r="O245" t="s">
        <v>1171</v>
      </c>
      <c r="P245" t="s">
        <v>1171</v>
      </c>
      <c r="Q245" t="s">
        <v>1171</v>
      </c>
      <c r="R245" t="str">
        <f>_xlfn.TEXTBEFORE(_xlfn.TEXTAFTER(us_core_reqs[[#This Row],[URL*]],"/",-1),".")</f>
        <v>clinical-notes</v>
      </c>
      <c r="S245" t="str">
        <f>_xlfn.TEXTAFTER(us_core_reqs[[#This Row],[URL*]],"#",-1)</f>
        <v>discovering-Server-read-and-write-formats</v>
      </c>
      <c r="T245" t="str">
        <f>SUBSTITUTE(SUBSTITUTE(PROPER(SUBSTITUTE(us_core_reqs[[#This Row],[Page]], "-", " "))&amp;": "&amp;PROPER(SUBSTITUTE(us_core_reqs[[#This Row],[Section]], "-", " ")),"Us ","US "), "Uscdi", "USCDI")</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70" x14ac:dyDescent="0.2">
      <c r="A246" t="s">
        <v>1171</v>
      </c>
      <c r="B246" t="s">
        <v>1418</v>
      </c>
      <c r="C246" t="str">
        <f>"CONF-"&amp;TEXT(us_core_reqs[[#This Row],[ID*]], "0000")</f>
        <v>CONF-0245</v>
      </c>
      <c r="D246" s="11" t="s">
        <v>1022</v>
      </c>
      <c r="E246" t="str">
        <f>SUBSTITUTE(us_core_reqs[[#This Row],[URL*]], "https://hl7.org/fhir/us/core/STU8/","")</f>
        <v>clinical-notes.html#discovering-Server-read-and-write-formats</v>
      </c>
      <c r="F246" s="11" t="s">
        <v>1028</v>
      </c>
      <c r="G246" t="s">
        <v>32</v>
      </c>
      <c r="I246" t="s">
        <v>30</v>
      </c>
      <c r="J246" t="s">
        <v>1171</v>
      </c>
      <c r="K246" t="s">
        <v>1171</v>
      </c>
      <c r="L246" t="s">
        <v>1176</v>
      </c>
      <c r="M246" t="s">
        <v>1026</v>
      </c>
      <c r="N246" t="s">
        <v>1171</v>
      </c>
      <c r="O246" t="s">
        <v>1171</v>
      </c>
      <c r="P246" t="s">
        <v>1171</v>
      </c>
      <c r="Q246" t="s">
        <v>1171</v>
      </c>
      <c r="R246" t="str">
        <f>_xlfn.TEXTBEFORE(_xlfn.TEXTAFTER(us_core_reqs[[#This Row],[URL*]],"/",-1),".")</f>
        <v>clinical-notes</v>
      </c>
      <c r="S246" t="str">
        <f>_xlfn.TEXTAFTER(us_core_reqs[[#This Row],[URL*]],"#",-1)</f>
        <v>discovering-Server-read-and-write-formats</v>
      </c>
      <c r="T246" t="str">
        <f>SUBSTITUTE(SUBSTITUTE(PROPER(SUBSTITUTE(us_core_reqs[[#This Row],[Page]], "-", " "))&amp;": "&amp;PROPER(SUBSTITUTE(us_core_reqs[[#This Row],[Section]], "-", " ")),"Us ","US "), "Uscdi", "USCDI")</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102" x14ac:dyDescent="0.2">
      <c r="A247" t="s">
        <v>1171</v>
      </c>
      <c r="B247" t="s">
        <v>1419</v>
      </c>
      <c r="C247" t="str">
        <f>"CONF-"&amp;TEXT(us_core_reqs[[#This Row],[ID*]], "0000")</f>
        <v>CONF-0246</v>
      </c>
      <c r="D247" s="11" t="s">
        <v>843</v>
      </c>
      <c r="E247" t="str">
        <f>SUBSTITUTE(us_core_reqs[[#This Row],[URL*]], "https://hl7.org/fhir/us/core/STU8/","")</f>
        <v>medication-list.html#background-on-the-fhir-medications-resources</v>
      </c>
      <c r="F247" s="11" t="s">
        <v>278</v>
      </c>
      <c r="G247" t="s">
        <v>35</v>
      </c>
      <c r="H247" t="s">
        <v>1886</v>
      </c>
      <c r="I247" t="s">
        <v>30</v>
      </c>
      <c r="J247" t="s">
        <v>1171</v>
      </c>
      <c r="K247" t="s">
        <v>1171</v>
      </c>
      <c r="L247" t="s">
        <v>1173</v>
      </c>
      <c r="M247" t="s">
        <v>1171</v>
      </c>
      <c r="N247" t="s">
        <v>1171</v>
      </c>
      <c r="O247" t="s">
        <v>1171</v>
      </c>
      <c r="P247" t="s">
        <v>1171</v>
      </c>
      <c r="Q247" t="s">
        <v>1171</v>
      </c>
      <c r="R247" t="str">
        <f>_xlfn.TEXTBEFORE(_xlfn.TEXTAFTER(us_core_reqs[[#This Row],[URL*]],"/",-1),".")</f>
        <v>medication-list</v>
      </c>
      <c r="S247" t="str">
        <f>_xlfn.TEXTAFTER(us_core_reqs[[#This Row],[URL*]],"#",-1)</f>
        <v>background-on-the-fhir-medications-resources</v>
      </c>
      <c r="T247" t="str">
        <f>SUBSTITUTE(SUBSTITUTE(PROPER(SUBSTITUTE(us_core_reqs[[#This Row],[Page]], "-", " "))&amp;": "&amp;PROPER(SUBSTITUTE(us_core_reqs[[#This Row],[Section]], "-", " ")),"Us ","US "), "Uscdi", "USCDI")</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119" x14ac:dyDescent="0.2">
      <c r="A248" t="s">
        <v>1171</v>
      </c>
      <c r="B248" t="s">
        <v>1420</v>
      </c>
      <c r="C248" t="str">
        <f>"CONF-"&amp;TEXT(us_core_reqs[[#This Row],[ID*]], "0000")</f>
        <v>CONF-0247</v>
      </c>
      <c r="D248" s="11" t="s">
        <v>844</v>
      </c>
      <c r="E248" t="str">
        <f>SUBSTITUTE(us_core_reqs[[#This Row],[URL*]], "https://hl7.org/fhir/us/core/STU8/","")</f>
        <v>medication-list.html#options-for-representing-medication</v>
      </c>
      <c r="F248" s="11" t="s">
        <v>2091</v>
      </c>
      <c r="G248" t="s">
        <v>29</v>
      </c>
      <c r="I248" t="s">
        <v>30</v>
      </c>
      <c r="J248" t="s">
        <v>1171</v>
      </c>
      <c r="K248" t="s">
        <v>1171</v>
      </c>
      <c r="L248" t="s">
        <v>1176</v>
      </c>
      <c r="M248" t="s">
        <v>280</v>
      </c>
      <c r="N248" t="s">
        <v>1171</v>
      </c>
      <c r="O248" t="s">
        <v>1171</v>
      </c>
      <c r="P248" t="s">
        <v>1171</v>
      </c>
      <c r="Q248" t="s">
        <v>1171</v>
      </c>
      <c r="R248" t="str">
        <f>_xlfn.TEXTBEFORE(_xlfn.TEXTAFTER(us_core_reqs[[#This Row],[URL*]],"/",-1),".")</f>
        <v>medication-list</v>
      </c>
      <c r="S248" t="str">
        <f>_xlfn.TEXTAFTER(us_core_reqs[[#This Row],[URL*]],"#",-1)</f>
        <v>options-for-representing-medication</v>
      </c>
      <c r="T248" t="str">
        <f>SUBSTITUTE(SUBSTITUTE(PROPER(SUBSTITUTE(us_core_reqs[[#This Row],[Page]], "-", " "))&amp;": "&amp;PROPER(SUBSTITUTE(us_core_reqs[[#This Row],[Section]], "-", " ")),"Us ","US "), "Uscdi", "USCDI")</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85" x14ac:dyDescent="0.2">
      <c r="A249" t="s">
        <v>1171</v>
      </c>
      <c r="B249" t="s">
        <v>1421</v>
      </c>
      <c r="C249" t="str">
        <f>"CONF-"&amp;TEXT(us_core_reqs[[#This Row],[ID*]], "0000")</f>
        <v>CONF-0248</v>
      </c>
      <c r="D249" s="11" t="s">
        <v>844</v>
      </c>
      <c r="E249" t="str">
        <f>SUBSTITUTE(us_core_reqs[[#This Row],[URL*]], "https://hl7.org/fhir/us/core/STU8/","")</f>
        <v>medication-list.html#options-for-representing-medication</v>
      </c>
      <c r="F249" s="11" t="s">
        <v>282</v>
      </c>
      <c r="G249" t="s">
        <v>35</v>
      </c>
      <c r="I249" t="s">
        <v>30</v>
      </c>
      <c r="J249" t="s">
        <v>1171</v>
      </c>
      <c r="K249" t="s">
        <v>1171</v>
      </c>
      <c r="L249" t="s">
        <v>1173</v>
      </c>
      <c r="M249" t="s">
        <v>1171</v>
      </c>
      <c r="N249" t="s">
        <v>1171</v>
      </c>
      <c r="O249" t="s">
        <v>1171</v>
      </c>
      <c r="P249" t="s">
        <v>1171</v>
      </c>
      <c r="Q249" t="s">
        <v>1171</v>
      </c>
      <c r="R249" t="str">
        <f>_xlfn.TEXTBEFORE(_xlfn.TEXTAFTER(us_core_reqs[[#This Row],[URL*]],"/",-1),".")</f>
        <v>medication-list</v>
      </c>
      <c r="S249" t="str">
        <f>_xlfn.TEXTAFTER(us_core_reqs[[#This Row],[URL*]],"#",-1)</f>
        <v>options-for-representing-medication</v>
      </c>
      <c r="T249" t="str">
        <f>SUBSTITUTE(SUBSTITUTE(PROPER(SUBSTITUTE(us_core_reqs[[#This Row],[Page]], "-", " "))&amp;": "&amp;PROPER(SUBSTITUTE(us_core_reqs[[#This Row],[Section]], "-", " ")),"Us ","US "), "Uscdi", "USCDI")</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85" x14ac:dyDescent="0.2">
      <c r="A250" t="s">
        <v>1171</v>
      </c>
      <c r="B250" t="s">
        <v>1422</v>
      </c>
      <c r="C250" t="str">
        <f>"CONF-"&amp;TEXT(us_core_reqs[[#This Row],[ID*]], "0000")</f>
        <v>CONF-0249</v>
      </c>
      <c r="D250" s="11" t="s">
        <v>844</v>
      </c>
      <c r="E250" t="str">
        <f>SUBSTITUTE(us_core_reqs[[#This Row],[URL*]], "https://hl7.org/fhir/us/core/STU8/","")</f>
        <v>medication-list.html#options-for-representing-medication</v>
      </c>
      <c r="F250" s="11" t="s">
        <v>2055</v>
      </c>
      <c r="G250" t="s">
        <v>35</v>
      </c>
      <c r="I250" t="s">
        <v>30</v>
      </c>
      <c r="J250" t="s">
        <v>1171</v>
      </c>
      <c r="K250" t="s">
        <v>1171</v>
      </c>
      <c r="L250" t="s">
        <v>1176</v>
      </c>
      <c r="M250" t="s">
        <v>284</v>
      </c>
      <c r="N250" t="s">
        <v>1171</v>
      </c>
      <c r="O250" t="s">
        <v>1171</v>
      </c>
      <c r="P250" t="s">
        <v>1171</v>
      </c>
      <c r="Q250" t="s">
        <v>1171</v>
      </c>
      <c r="R250" t="str">
        <f>_xlfn.TEXTBEFORE(_xlfn.TEXTAFTER(us_core_reqs[[#This Row],[URL*]],"/",-1),".")</f>
        <v>medication-list</v>
      </c>
      <c r="S250" t="str">
        <f>_xlfn.TEXTAFTER(us_core_reqs[[#This Row],[URL*]],"#",-1)</f>
        <v>options-for-representing-medication</v>
      </c>
      <c r="T250" t="str">
        <f>SUBSTITUTE(SUBSTITUTE(PROPER(SUBSTITUTE(us_core_reqs[[#This Row],[Page]], "-", " "))&amp;": "&amp;PROPER(SUBSTITUTE(us_core_reqs[[#This Row],[Section]], "-", " ")),"Us ","US "), "Uscdi", "USCDI")</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51" x14ac:dyDescent="0.2">
      <c r="A251" t="s">
        <v>1171</v>
      </c>
      <c r="B251" t="s">
        <v>1423</v>
      </c>
      <c r="C251" t="str">
        <f>"CONF-"&amp;TEXT(us_core_reqs[[#This Row],[ID*]], "0000")</f>
        <v>CONF-0250</v>
      </c>
      <c r="D251" s="11" t="s">
        <v>844</v>
      </c>
      <c r="E251" t="str">
        <f>SUBSTITUTE(us_core_reqs[[#This Row],[URL*]], "https://hl7.org/fhir/us/core/STU8/","")</f>
        <v>medication-list.html#options-for-representing-medication</v>
      </c>
      <c r="F251" s="11" t="s">
        <v>2142</v>
      </c>
      <c r="G251" t="s">
        <v>29</v>
      </c>
      <c r="I251" t="s">
        <v>30</v>
      </c>
      <c r="J251" t="s">
        <v>1171</v>
      </c>
      <c r="K251" t="s">
        <v>1171</v>
      </c>
      <c r="L251" t="s">
        <v>1176</v>
      </c>
      <c r="M251" t="s">
        <v>285</v>
      </c>
      <c r="N251" t="s">
        <v>1171</v>
      </c>
      <c r="O251" t="s">
        <v>1171</v>
      </c>
      <c r="P251" t="s">
        <v>1171</v>
      </c>
      <c r="Q251" t="s">
        <v>1171</v>
      </c>
      <c r="R251" t="str">
        <f>_xlfn.TEXTBEFORE(_xlfn.TEXTAFTER(us_core_reqs[[#This Row],[URL*]],"/",-1),".")</f>
        <v>medication-list</v>
      </c>
      <c r="S251" t="str">
        <f>_xlfn.TEXTAFTER(us_core_reqs[[#This Row],[URL*]],"#",-1)</f>
        <v>options-for-representing-medication</v>
      </c>
      <c r="T251" t="str">
        <f>SUBSTITUTE(SUBSTITUTE(PROPER(SUBSTITUTE(us_core_reqs[[#This Row],[Page]], "-", " "))&amp;": "&amp;PROPER(SUBSTITUTE(us_core_reqs[[#This Row],[Section]], "-", " ")),"Us ","US "), "Uscdi", "USCDI")</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68" x14ac:dyDescent="0.2">
      <c r="A252" t="s">
        <v>1171</v>
      </c>
      <c r="B252" t="s">
        <v>1424</v>
      </c>
      <c r="C252" t="str">
        <f>"CONF-"&amp;TEXT(us_core_reqs[[#This Row],[ID*]], "0000")</f>
        <v>CONF-0251</v>
      </c>
      <c r="D252" s="11" t="s">
        <v>844</v>
      </c>
      <c r="E252" t="str">
        <f>SUBSTITUTE(us_core_reqs[[#This Row],[URL*]], "https://hl7.org/fhir/us/core/STU8/","")</f>
        <v>medication-list.html#options-for-representing-medication</v>
      </c>
      <c r="F252" s="11" t="s">
        <v>930</v>
      </c>
      <c r="G252" t="s">
        <v>29</v>
      </c>
      <c r="H252" t="s">
        <v>1887</v>
      </c>
      <c r="I252" t="s">
        <v>58</v>
      </c>
      <c r="J252" t="s">
        <v>1171</v>
      </c>
      <c r="K252" t="s">
        <v>1171</v>
      </c>
      <c r="L252" t="s">
        <v>1176</v>
      </c>
      <c r="M252" t="s">
        <v>286</v>
      </c>
      <c r="N252" t="s">
        <v>1171</v>
      </c>
      <c r="O252" t="s">
        <v>1171</v>
      </c>
      <c r="P252" t="s">
        <v>1171</v>
      </c>
      <c r="Q252" t="s">
        <v>1171</v>
      </c>
      <c r="R252" t="str">
        <f>_xlfn.TEXTBEFORE(_xlfn.TEXTAFTER(us_core_reqs[[#This Row],[URL*]],"/",-1),".")</f>
        <v>medication-list</v>
      </c>
      <c r="S252" t="str">
        <f>_xlfn.TEXTAFTER(us_core_reqs[[#This Row],[URL*]],"#",-1)</f>
        <v>options-for-representing-medication</v>
      </c>
      <c r="T252" t="str">
        <f>SUBSTITUTE(SUBSTITUTE(PROPER(SUBSTITUTE(us_core_reqs[[#This Row],[Page]], "-", " "))&amp;": "&amp;PROPER(SUBSTITUTE(us_core_reqs[[#This Row],[Section]], "-", " ")),"Us ","US "), "Uscdi", "USCDI")</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70" x14ac:dyDescent="0.2">
      <c r="A253" t="s">
        <v>1171</v>
      </c>
      <c r="B253" t="s">
        <v>1425</v>
      </c>
      <c r="C253" t="str">
        <f>"CONF-"&amp;TEXT(us_core_reqs[[#This Row],[ID*]], "0000")</f>
        <v>CONF-0252</v>
      </c>
      <c r="D253" s="11" t="s">
        <v>629</v>
      </c>
      <c r="E253" t="str">
        <f>SUBSTITUTE(us_core_reqs[[#This Row],[URL*]], "https://hl7.org/fhir/us/core/STU8/","")</f>
        <v>medication-list.html#fetching-all-medications-active-medications-and-all-medications-for-an-encounter</v>
      </c>
      <c r="F253" s="11" t="s">
        <v>720</v>
      </c>
      <c r="G253" t="s">
        <v>29</v>
      </c>
      <c r="I253" t="s">
        <v>30</v>
      </c>
      <c r="J253" t="s">
        <v>1171</v>
      </c>
      <c r="K253" t="s">
        <v>1171</v>
      </c>
      <c r="L253" t="s">
        <v>1173</v>
      </c>
      <c r="M253" t="s">
        <v>1171</v>
      </c>
      <c r="N253" t="s">
        <v>1171</v>
      </c>
      <c r="O253" t="s">
        <v>1171</v>
      </c>
      <c r="P253" t="s">
        <v>1171</v>
      </c>
      <c r="Q253" t="s">
        <v>1171</v>
      </c>
      <c r="R253" t="str">
        <f>_xlfn.TEXTBEFORE(_xlfn.TEXTAFTER(us_core_reqs[[#This Row],[URL*]],"/",-1),".")</f>
        <v>medication-list</v>
      </c>
      <c r="S253" t="str">
        <f>_xlfn.TEXTAFTER(us_core_reqs[[#This Row],[URL*]],"#",-1)</f>
        <v>fetching-all-medications-active-medications-and-all-medications-for-an-encounter</v>
      </c>
      <c r="T253" t="str">
        <f>SUBSTITUTE(SUBSTITUTE(PROPER(SUBSTITUTE(us_core_reqs[[#This Row],[Page]], "-", " "))&amp;": "&amp;PROPER(SUBSTITUTE(us_core_reqs[[#This Row],[Section]], "-", " ")),"Us ","US "), "Uscdi", "USCDI")</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70" x14ac:dyDescent="0.2">
      <c r="A254" t="s">
        <v>1171</v>
      </c>
      <c r="B254" t="s">
        <v>1426</v>
      </c>
      <c r="C254" t="str">
        <f>"CONF-"&amp;TEXT(us_core_reqs[[#This Row],[ID*]], "0000")</f>
        <v>CONF-0253</v>
      </c>
      <c r="D254" s="11" t="s">
        <v>629</v>
      </c>
      <c r="E254" t="str">
        <f>SUBSTITUTE(us_core_reqs[[#This Row],[URL*]], "https://hl7.org/fhir/us/core/STU8/","")</f>
        <v>medication-list.html#fetching-all-medications-active-medications-and-all-medications-for-an-encounter</v>
      </c>
      <c r="F254" s="11" t="s">
        <v>721</v>
      </c>
      <c r="G254" t="s">
        <v>29</v>
      </c>
      <c r="I254" t="s">
        <v>30</v>
      </c>
      <c r="J254" t="s">
        <v>1171</v>
      </c>
      <c r="K254" t="s">
        <v>1171</v>
      </c>
      <c r="L254" t="s">
        <v>1173</v>
      </c>
      <c r="M254" t="s">
        <v>1171</v>
      </c>
      <c r="N254" t="s">
        <v>1171</v>
      </c>
      <c r="O254" t="s">
        <v>1171</v>
      </c>
      <c r="P254" t="s">
        <v>1171</v>
      </c>
      <c r="Q254" t="s">
        <v>1171</v>
      </c>
      <c r="R254" t="str">
        <f>_xlfn.TEXTBEFORE(_xlfn.TEXTAFTER(us_core_reqs[[#This Row],[URL*]],"/",-1),".")</f>
        <v>medication-list</v>
      </c>
      <c r="S254" t="str">
        <f>_xlfn.TEXTAFTER(us_core_reqs[[#This Row],[URL*]],"#",-1)</f>
        <v>fetching-all-medications-active-medications-and-all-medications-for-an-encounter</v>
      </c>
      <c r="T254" t="str">
        <f>SUBSTITUTE(SUBSTITUTE(PROPER(SUBSTITUTE(us_core_reqs[[#This Row],[Page]], "-", " "))&amp;": "&amp;PROPER(SUBSTITUTE(us_core_reqs[[#This Row],[Section]], "-", " ")),"Us ","US "), "Uscdi", "USCDI")</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70" x14ac:dyDescent="0.2">
      <c r="A255" t="s">
        <v>1171</v>
      </c>
      <c r="B255" t="s">
        <v>1427</v>
      </c>
      <c r="C255" t="str">
        <f>"CONF-"&amp;TEXT(us_core_reqs[[#This Row],[ID*]], "0000")</f>
        <v>CONF-0254</v>
      </c>
      <c r="D255" s="11" t="s">
        <v>629</v>
      </c>
      <c r="E255" t="str">
        <f>SUBSTITUTE(us_core_reqs[[#This Row],[URL*]], "https://hl7.org/fhir/us/core/STU8/","")</f>
        <v>medication-list.html#fetching-all-medications-active-medications-and-all-medications-for-an-encounter</v>
      </c>
      <c r="F255" s="11" t="s">
        <v>722</v>
      </c>
      <c r="G255" t="s">
        <v>29</v>
      </c>
      <c r="I255" t="s">
        <v>30</v>
      </c>
      <c r="J255" t="s">
        <v>1171</v>
      </c>
      <c r="K255" t="s">
        <v>1171</v>
      </c>
      <c r="L255" t="s">
        <v>1173</v>
      </c>
      <c r="M255" t="s">
        <v>1171</v>
      </c>
      <c r="N255" t="s">
        <v>1171</v>
      </c>
      <c r="O255" t="s">
        <v>1171</v>
      </c>
      <c r="P255" t="s">
        <v>1171</v>
      </c>
      <c r="Q255" t="s">
        <v>1171</v>
      </c>
      <c r="R255" t="str">
        <f>_xlfn.TEXTBEFORE(_xlfn.TEXTAFTER(us_core_reqs[[#This Row],[URL*]],"/",-1),".")</f>
        <v>medication-list</v>
      </c>
      <c r="S255" t="str">
        <f>_xlfn.TEXTAFTER(us_core_reqs[[#This Row],[URL*]],"#",-1)</f>
        <v>fetching-all-medications-active-medications-and-all-medications-for-an-encounter</v>
      </c>
      <c r="T255" t="str">
        <f>SUBSTITUTE(SUBSTITUTE(PROPER(SUBSTITUTE(us_core_reqs[[#This Row],[Page]], "-", " "))&amp;": "&amp;PROPER(SUBSTITUTE(us_core_reqs[[#This Row],[Section]], "-", " ")),"Us ","US "), "Uscdi", "USCDI")</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70" x14ac:dyDescent="0.2">
      <c r="A256" t="s">
        <v>1171</v>
      </c>
      <c r="B256" t="s">
        <v>1428</v>
      </c>
      <c r="C256" t="str">
        <f>"CONF-"&amp;TEXT(us_core_reqs[[#This Row],[ID*]], "0000")</f>
        <v>CONF-0255</v>
      </c>
      <c r="D256" s="11" t="s">
        <v>629</v>
      </c>
      <c r="E256" t="str">
        <f>SUBSTITUTE(us_core_reqs[[#This Row],[URL*]], "https://hl7.org/fhir/us/core/STU8/","")</f>
        <v>medication-list.html#fetching-all-medications-active-medications-and-all-medications-for-an-encounter</v>
      </c>
      <c r="F256" s="11" t="s">
        <v>287</v>
      </c>
      <c r="G256" t="s">
        <v>64</v>
      </c>
      <c r="I256" t="s">
        <v>30</v>
      </c>
      <c r="J256" t="s">
        <v>1171</v>
      </c>
      <c r="K256" t="s">
        <v>1171</v>
      </c>
      <c r="L256" t="s">
        <v>1173</v>
      </c>
      <c r="M256" t="s">
        <v>1171</v>
      </c>
      <c r="N256" t="s">
        <v>1171</v>
      </c>
      <c r="O256" t="s">
        <v>1171</v>
      </c>
      <c r="P256" t="s">
        <v>1171</v>
      </c>
      <c r="Q256" t="s">
        <v>1171</v>
      </c>
      <c r="R256" t="str">
        <f>_xlfn.TEXTBEFORE(_xlfn.TEXTAFTER(us_core_reqs[[#This Row],[URL*]],"/",-1),".")</f>
        <v>medication-list</v>
      </c>
      <c r="S256" t="str">
        <f>_xlfn.TEXTAFTER(us_core_reqs[[#This Row],[URL*]],"#",-1)</f>
        <v>fetching-all-medications-active-medications-and-all-medications-for-an-encounter</v>
      </c>
      <c r="T256" t="str">
        <f>SUBSTITUTE(SUBSTITUTE(PROPER(SUBSTITUTE(us_core_reqs[[#This Row],[Page]], "-", " "))&amp;": "&amp;PROPER(SUBSTITUTE(us_core_reqs[[#This Row],[Section]], "-", " ")),"Us ","US "), "Uscdi", "USCDI")</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70" x14ac:dyDescent="0.2">
      <c r="A257" t="s">
        <v>1171</v>
      </c>
      <c r="B257" t="s">
        <v>1429</v>
      </c>
      <c r="C257" t="str">
        <f>"CONF-"&amp;TEXT(us_core_reqs[[#This Row],[ID*]], "0000")</f>
        <v>CONF-0256</v>
      </c>
      <c r="D257" s="11" t="s">
        <v>629</v>
      </c>
      <c r="E257" t="str">
        <f>SUBSTITUTE(us_core_reqs[[#This Row],[URL*]], "https://hl7.org/fhir/us/core/STU8/","")</f>
        <v>medication-list.html#fetching-all-medications-active-medications-and-all-medications-for-an-encounter</v>
      </c>
      <c r="F257" s="11" t="s">
        <v>726</v>
      </c>
      <c r="G257" t="s">
        <v>29</v>
      </c>
      <c r="I257" t="s">
        <v>30</v>
      </c>
      <c r="J257" t="s">
        <v>1171</v>
      </c>
      <c r="K257" t="s">
        <v>1171</v>
      </c>
      <c r="L257" t="s">
        <v>1173</v>
      </c>
      <c r="M257" t="s">
        <v>1171</v>
      </c>
      <c r="N257" t="s">
        <v>1171</v>
      </c>
      <c r="O257" t="s">
        <v>1171</v>
      </c>
      <c r="P257" t="s">
        <v>1171</v>
      </c>
      <c r="Q257" t="s">
        <v>1171</v>
      </c>
      <c r="R257" t="str">
        <f>_xlfn.TEXTBEFORE(_xlfn.TEXTAFTER(us_core_reqs[[#This Row],[URL*]],"/",-1),".")</f>
        <v>medication-list</v>
      </c>
      <c r="S257" t="str">
        <f>_xlfn.TEXTAFTER(us_core_reqs[[#This Row],[URL*]],"#",-1)</f>
        <v>fetching-all-medications-active-medications-and-all-medications-for-an-encounter</v>
      </c>
      <c r="T257" t="str">
        <f>SUBSTITUTE(SUBSTITUTE(PROPER(SUBSTITUTE(us_core_reqs[[#This Row],[Page]], "-", " "))&amp;": "&amp;PROPER(SUBSTITUTE(us_core_reqs[[#This Row],[Section]], "-", " ")),"Us ","US "), "Uscdi", "USCDI")</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36" x14ac:dyDescent="0.2">
      <c r="A258" t="s">
        <v>1171</v>
      </c>
      <c r="B258" t="s">
        <v>1430</v>
      </c>
      <c r="C258" t="str">
        <f>"CONF-"&amp;TEXT(us_core_reqs[[#This Row],[ID*]], "0000")</f>
        <v>CONF-0257</v>
      </c>
      <c r="D258" s="11" t="s">
        <v>629</v>
      </c>
      <c r="E258" t="str">
        <f>SUBSTITUTE(us_core_reqs[[#This Row],[URL*]], "https://hl7.org/fhir/us/core/STU8/","")</f>
        <v>medication-list.html#fetching-all-medications-active-medications-and-all-medications-for-an-encounter</v>
      </c>
      <c r="F258" s="11" t="s">
        <v>725</v>
      </c>
      <c r="G258" t="s">
        <v>35</v>
      </c>
      <c r="H258" t="s">
        <v>1879</v>
      </c>
      <c r="I258" t="s">
        <v>30</v>
      </c>
      <c r="J258" t="s">
        <v>1171</v>
      </c>
      <c r="K258" t="s">
        <v>1171</v>
      </c>
      <c r="L258" t="s">
        <v>1173</v>
      </c>
      <c r="M258" t="s">
        <v>1171</v>
      </c>
      <c r="N258" t="s">
        <v>1171</v>
      </c>
      <c r="O258" t="s">
        <v>1171</v>
      </c>
      <c r="P258" t="s">
        <v>1171</v>
      </c>
      <c r="Q258" t="s">
        <v>1171</v>
      </c>
      <c r="R258" t="str">
        <f>_xlfn.TEXTBEFORE(_xlfn.TEXTAFTER(us_core_reqs[[#This Row],[URL*]],"/",-1),".")</f>
        <v>medication-list</v>
      </c>
      <c r="S258" t="str">
        <f>_xlfn.TEXTAFTER(us_core_reqs[[#This Row],[URL*]],"#",-1)</f>
        <v>fetching-all-medications-active-medications-and-all-medications-for-an-encounter</v>
      </c>
      <c r="T258" t="str">
        <f>SUBSTITUTE(SUBSTITUTE(PROPER(SUBSTITUTE(us_core_reqs[[#This Row],[Page]], "-", " "))&amp;": "&amp;PROPER(SUBSTITUTE(us_core_reqs[[#This Row],[Section]], "-", " ")),"Us ","US "), "Uscdi", "USCDI")</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53" x14ac:dyDescent="0.2">
      <c r="A259" t="s">
        <v>1171</v>
      </c>
      <c r="B259" t="s">
        <v>1431</v>
      </c>
      <c r="C259" t="str">
        <f>"CONF-"&amp;TEXT(us_core_reqs[[#This Row],[ID*]], "0000")</f>
        <v>CONF-0258</v>
      </c>
      <c r="D259" s="11" t="s">
        <v>629</v>
      </c>
      <c r="E259" t="str">
        <f>SUBSTITUTE(us_core_reqs[[#This Row],[URL*]], "https://hl7.org/fhir/us/core/STU8/","")</f>
        <v>medication-list.html#fetching-all-medications-active-medications-and-all-medications-for-an-encounter</v>
      </c>
      <c r="F259" s="11" t="s">
        <v>727</v>
      </c>
      <c r="G259" t="s">
        <v>32</v>
      </c>
      <c r="I259" t="s">
        <v>30</v>
      </c>
      <c r="J259" t="s">
        <v>1171</v>
      </c>
      <c r="K259" t="s">
        <v>1171</v>
      </c>
      <c r="L259" t="s">
        <v>1173</v>
      </c>
      <c r="M259" t="s">
        <v>1171</v>
      </c>
      <c r="N259" t="s">
        <v>1171</v>
      </c>
      <c r="O259" t="s">
        <v>1171</v>
      </c>
      <c r="P259" t="s">
        <v>1171</v>
      </c>
      <c r="Q259" t="s">
        <v>1171</v>
      </c>
      <c r="R259" t="str">
        <f>_xlfn.TEXTBEFORE(_xlfn.TEXTAFTER(us_core_reqs[[#This Row],[URL*]],"/",-1),".")</f>
        <v>medication-list</v>
      </c>
      <c r="S259" t="str">
        <f>_xlfn.TEXTAFTER(us_core_reqs[[#This Row],[URL*]],"#",-1)</f>
        <v>fetching-all-medications-active-medications-and-all-medications-for-an-encounter</v>
      </c>
      <c r="T259" t="str">
        <f>SUBSTITUTE(SUBSTITUTE(PROPER(SUBSTITUTE(us_core_reqs[[#This Row],[Page]], "-", " "))&amp;": "&amp;PROPER(SUBSTITUTE(us_core_reqs[[#This Row],[Section]], "-", " ")),"Us ","US "), "Uscdi", "USCDI")</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119" x14ac:dyDescent="0.2">
      <c r="A260" t="s">
        <v>1171</v>
      </c>
      <c r="B260" t="s">
        <v>1432</v>
      </c>
      <c r="C260" t="str">
        <f>"CONF-"&amp;TEXT(us_core_reqs[[#This Row],[ID*]], "0000")</f>
        <v>CONF-0259</v>
      </c>
      <c r="D260" s="11" t="s">
        <v>629</v>
      </c>
      <c r="E260" t="str">
        <f>SUBSTITUTE(us_core_reqs[[#This Row],[URL*]], "https://hl7.org/fhir/us/core/STU8/","")</f>
        <v>medication-list.html#fetching-all-medications-active-medications-and-all-medications-for-an-encounter</v>
      </c>
      <c r="F260" s="11" t="s">
        <v>729</v>
      </c>
      <c r="G260" t="s">
        <v>32</v>
      </c>
      <c r="I260" t="s">
        <v>30</v>
      </c>
      <c r="J260" t="s">
        <v>1171</v>
      </c>
      <c r="K260" t="s">
        <v>1171</v>
      </c>
      <c r="L260" t="s">
        <v>1173</v>
      </c>
      <c r="M260" t="s">
        <v>1171</v>
      </c>
      <c r="N260" t="s">
        <v>1171</v>
      </c>
      <c r="O260" t="s">
        <v>1171</v>
      </c>
      <c r="P260" t="s">
        <v>1171</v>
      </c>
      <c r="Q260" t="s">
        <v>1171</v>
      </c>
      <c r="R260" t="str">
        <f>_xlfn.TEXTBEFORE(_xlfn.TEXTAFTER(us_core_reqs[[#This Row],[URL*]],"/",-1),".")</f>
        <v>medication-list</v>
      </c>
      <c r="S260" t="str">
        <f>_xlfn.TEXTAFTER(us_core_reqs[[#This Row],[URL*]],"#",-1)</f>
        <v>fetching-all-medications-active-medications-and-all-medications-for-an-encounter</v>
      </c>
      <c r="T260" t="str">
        <f>SUBSTITUTE(SUBSTITUTE(PROPER(SUBSTITUTE(us_core_reqs[[#This Row],[Page]], "-", " "))&amp;": "&amp;PROPER(SUBSTITUTE(us_core_reqs[[#This Row],[Section]], "-", " ")),"Us ","US "), "Uscdi", "USCDI")</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70" x14ac:dyDescent="0.2">
      <c r="A261" t="s">
        <v>1171</v>
      </c>
      <c r="B261" t="s">
        <v>1433</v>
      </c>
      <c r="C261" t="str">
        <f>"CONF-"&amp;TEXT(us_core_reqs[[#This Row],[ID*]], "0000")</f>
        <v>CONF-0260</v>
      </c>
      <c r="D261" s="11" t="s">
        <v>629</v>
      </c>
      <c r="E261" t="str">
        <f>SUBSTITUTE(us_core_reqs[[#This Row],[URL*]], "https://hl7.org/fhir/us/core/STU8/","")</f>
        <v>medication-list.html#fetching-all-medications-active-medications-and-all-medications-for-an-encounter</v>
      </c>
      <c r="F261" s="11" t="s">
        <v>730</v>
      </c>
      <c r="G261" t="s">
        <v>32</v>
      </c>
      <c r="I261" t="s">
        <v>30</v>
      </c>
      <c r="J261" t="s">
        <v>1171</v>
      </c>
      <c r="K261" t="s">
        <v>1171</v>
      </c>
      <c r="L261" t="s">
        <v>1176</v>
      </c>
      <c r="M261" t="s">
        <v>1171</v>
      </c>
      <c r="N261" t="s">
        <v>1171</v>
      </c>
      <c r="O261" t="s">
        <v>1171</v>
      </c>
      <c r="P261" t="s">
        <v>1171</v>
      </c>
      <c r="Q261" t="s">
        <v>1171</v>
      </c>
      <c r="R261" t="str">
        <f>_xlfn.TEXTBEFORE(_xlfn.TEXTAFTER(us_core_reqs[[#This Row],[URL*]],"/",-1),".")</f>
        <v>medication-list</v>
      </c>
      <c r="S261" t="str">
        <f>_xlfn.TEXTAFTER(us_core_reqs[[#This Row],[URL*]],"#",-1)</f>
        <v>fetching-all-medications-active-medications-and-all-medications-for-an-encounter</v>
      </c>
      <c r="T261" t="str">
        <f>SUBSTITUTE(SUBSTITUTE(PROPER(SUBSTITUTE(us_core_reqs[[#This Row],[Page]], "-", " "))&amp;": "&amp;PROPER(SUBSTITUTE(us_core_reqs[[#This Row],[Section]], "-", " ")),"Us ","US "), "Uscdi", "USCDI")</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204" x14ac:dyDescent="0.2">
      <c r="A262" t="s">
        <v>1171</v>
      </c>
      <c r="B262" t="s">
        <v>1434</v>
      </c>
      <c r="C262" t="str">
        <f>"CONF-"&amp;TEXT(us_core_reqs[[#This Row],[ID*]], "0000")</f>
        <v>CONF-0261</v>
      </c>
      <c r="D262" s="11" t="s">
        <v>629</v>
      </c>
      <c r="E262" t="str">
        <f>SUBSTITUTE(us_core_reqs[[#This Row],[URL*]], "https://hl7.org/fhir/us/core/STU8/","")</f>
        <v>medication-list.html#fetching-all-medications-active-medications-and-all-medications-for-an-encounter</v>
      </c>
      <c r="F262" s="11" t="s">
        <v>291</v>
      </c>
      <c r="G262" t="s">
        <v>64</v>
      </c>
      <c r="I262" t="s">
        <v>30</v>
      </c>
      <c r="J262" t="s">
        <v>1171</v>
      </c>
      <c r="K262" t="s">
        <v>1171</v>
      </c>
      <c r="L262" t="s">
        <v>1173</v>
      </c>
      <c r="M262" t="s">
        <v>1171</v>
      </c>
      <c r="N262" t="s">
        <v>1171</v>
      </c>
      <c r="O262" t="s">
        <v>1171</v>
      </c>
      <c r="P262" t="s">
        <v>1171</v>
      </c>
      <c r="Q262" t="s">
        <v>1171</v>
      </c>
      <c r="R262" t="str">
        <f>_xlfn.TEXTBEFORE(_xlfn.TEXTAFTER(us_core_reqs[[#This Row],[URL*]],"/",-1),".")</f>
        <v>medication-list</v>
      </c>
      <c r="S262" t="str">
        <f>_xlfn.TEXTAFTER(us_core_reqs[[#This Row],[URL*]],"#",-1)</f>
        <v>fetching-all-medications-active-medications-and-all-medications-for-an-encounter</v>
      </c>
      <c r="T262" t="str">
        <f>SUBSTITUTE(SUBSTITUTE(PROPER(SUBSTITUTE(us_core_reqs[[#This Row],[Page]], "-", " "))&amp;": "&amp;PROPER(SUBSTITUTE(us_core_reqs[[#This Row],[Section]], "-", " ")),"Us ","US "), "Uscdi", "USCDI")</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70" x14ac:dyDescent="0.2">
      <c r="A263" t="s">
        <v>1171</v>
      </c>
      <c r="B263" t="s">
        <v>1435</v>
      </c>
      <c r="C263" t="str">
        <f>"CONF-"&amp;TEXT(us_core_reqs[[#This Row],[ID*]], "0000")</f>
        <v>CONF-0262</v>
      </c>
      <c r="D263" s="11" t="s">
        <v>629</v>
      </c>
      <c r="E263" t="str">
        <f>SUBSTITUTE(us_core_reqs[[#This Row],[URL*]], "https://hl7.org/fhir/us/core/STU8/","")</f>
        <v>medication-list.html#fetching-all-medications-active-medications-and-all-medications-for-an-encounter</v>
      </c>
      <c r="F263" s="11" t="s">
        <v>732</v>
      </c>
      <c r="G263" t="s">
        <v>35</v>
      </c>
      <c r="I263" t="s">
        <v>30</v>
      </c>
      <c r="J263" t="s">
        <v>1171</v>
      </c>
      <c r="K263" t="s">
        <v>1171</v>
      </c>
      <c r="L263" t="s">
        <v>1173</v>
      </c>
      <c r="M263" t="s">
        <v>1171</v>
      </c>
      <c r="N263" t="s">
        <v>1171</v>
      </c>
      <c r="O263" t="s">
        <v>1171</v>
      </c>
      <c r="P263" t="s">
        <v>1171</v>
      </c>
      <c r="Q263" t="s">
        <v>1171</v>
      </c>
      <c r="R263" t="str">
        <f>_xlfn.TEXTBEFORE(_xlfn.TEXTAFTER(us_core_reqs[[#This Row],[URL*]],"/",-1),".")</f>
        <v>medication-list</v>
      </c>
      <c r="S263" t="str">
        <f>_xlfn.TEXTAFTER(us_core_reqs[[#This Row],[URL*]],"#",-1)</f>
        <v>fetching-all-medications-active-medications-and-all-medications-for-an-encounter</v>
      </c>
      <c r="T263" t="str">
        <f>SUBSTITUTE(SUBSTITUTE(PROPER(SUBSTITUTE(us_core_reqs[[#This Row],[Page]], "-", " "))&amp;": "&amp;PROPER(SUBSTITUTE(us_core_reqs[[#This Row],[Section]], "-", " ")),"Us ","US "), "Uscdi", "USCDI")</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51" x14ac:dyDescent="0.2">
      <c r="A264" t="s">
        <v>1171</v>
      </c>
      <c r="B264" t="s">
        <v>1436</v>
      </c>
      <c r="C264" t="str">
        <f>"CONF-"&amp;TEXT(us_core_reqs[[#This Row],[ID*]], "0000")</f>
        <v>CONF-0263</v>
      </c>
      <c r="D264" s="11" t="s">
        <v>845</v>
      </c>
      <c r="E264" t="str">
        <f>SUBSTITUTE(us_core_reqs[[#This Row],[URL*]], "https://hl7.org/fhir/us/core/STU8/","")</f>
        <v>medication-list.html#de-duplication-of-data</v>
      </c>
      <c r="F264" s="11" t="s">
        <v>2074</v>
      </c>
      <c r="G264" t="s">
        <v>35</v>
      </c>
      <c r="I264" t="s">
        <v>30</v>
      </c>
      <c r="J264" t="s">
        <v>1171</v>
      </c>
      <c r="K264" t="s">
        <v>1171</v>
      </c>
      <c r="L264" t="s">
        <v>1173</v>
      </c>
      <c r="M264" t="s">
        <v>1171</v>
      </c>
      <c r="N264" t="s">
        <v>1171</v>
      </c>
      <c r="O264" t="s">
        <v>1171</v>
      </c>
      <c r="P264" t="s">
        <v>1171</v>
      </c>
      <c r="Q264" t="s">
        <v>1171</v>
      </c>
      <c r="R264" t="str">
        <f>_xlfn.TEXTBEFORE(_xlfn.TEXTAFTER(us_core_reqs[[#This Row],[URL*]],"/",-1),".")</f>
        <v>medication-list</v>
      </c>
      <c r="S264" t="str">
        <f>_xlfn.TEXTAFTER(us_core_reqs[[#This Row],[URL*]],"#",-1)</f>
        <v>de-duplication-of-data</v>
      </c>
      <c r="T264" t="str">
        <f>SUBSTITUTE(SUBSTITUTE(PROPER(SUBSTITUTE(us_core_reqs[[#This Row],[Page]], "-", " "))&amp;": "&amp;PROPER(SUBSTITUTE(us_core_reqs[[#This Row],[Section]], "-", " ")),"Us ","US "), "Uscdi", "USCDI")</f>
        <v>Medication List: De Duplication Of Data</v>
      </c>
      <c r="U264" t="s">
        <v>35</v>
      </c>
      <c r="V264" t="s">
        <v>30</v>
      </c>
      <c r="W264" t="s">
        <v>293</v>
      </c>
      <c r="X264" t="s">
        <v>1171</v>
      </c>
      <c r="Y264" t="s">
        <v>1171</v>
      </c>
      <c r="Z264" t="s">
        <v>1171</v>
      </c>
      <c r="AA264" t="s">
        <v>1171</v>
      </c>
      <c r="AB264" t="s">
        <v>1171</v>
      </c>
      <c r="AC264" t="s">
        <v>1171</v>
      </c>
      <c r="AD264" t="s">
        <v>1171</v>
      </c>
    </row>
    <row r="265" spans="1:30" ht="51" x14ac:dyDescent="0.2">
      <c r="A265" t="s">
        <v>1171</v>
      </c>
      <c r="B265" t="s">
        <v>1437</v>
      </c>
      <c r="C265" t="str">
        <f>"CONF-"&amp;TEXT(us_core_reqs[[#This Row],[ID*]], "0000")</f>
        <v>CONF-0264</v>
      </c>
      <c r="D265" s="11" t="s">
        <v>845</v>
      </c>
      <c r="E265" t="str">
        <f>SUBSTITUTE(us_core_reqs[[#This Row],[URL*]], "https://hl7.org/fhir/us/core/STU8/","")</f>
        <v>medication-list.html#de-duplication-of-data</v>
      </c>
      <c r="F265" s="11" t="s">
        <v>1957</v>
      </c>
      <c r="G265" t="s">
        <v>32</v>
      </c>
      <c r="I265" t="s">
        <v>58</v>
      </c>
      <c r="J265" t="s">
        <v>1171</v>
      </c>
      <c r="K265" t="s">
        <v>1171</v>
      </c>
      <c r="L265" t="s">
        <v>1173</v>
      </c>
      <c r="M265" t="s">
        <v>1171</v>
      </c>
      <c r="N265" t="s">
        <v>1171</v>
      </c>
      <c r="O265" t="s">
        <v>1171</v>
      </c>
      <c r="P265" t="s">
        <v>1171</v>
      </c>
      <c r="Q265" t="s">
        <v>1171</v>
      </c>
      <c r="R265" t="str">
        <f>_xlfn.TEXTBEFORE(_xlfn.TEXTAFTER(us_core_reqs[[#This Row],[URL*]],"/",-1),".")</f>
        <v>medication-list</v>
      </c>
      <c r="S265" t="str">
        <f>_xlfn.TEXTAFTER(us_core_reqs[[#This Row],[URL*]],"#",-1)</f>
        <v>de-duplication-of-data</v>
      </c>
      <c r="T265" t="str">
        <f>SUBSTITUTE(SUBSTITUTE(PROPER(SUBSTITUTE(us_core_reqs[[#This Row],[Page]], "-", " "))&amp;": "&amp;PROPER(SUBSTITUTE(us_core_reqs[[#This Row],[Section]], "-", " ")),"Us ","US "), "Uscdi", "USCDI")</f>
        <v>Medication List: De Duplication Of Data</v>
      </c>
      <c r="U265" t="s">
        <v>35</v>
      </c>
      <c r="V265" t="s">
        <v>58</v>
      </c>
      <c r="W265" t="s">
        <v>293</v>
      </c>
      <c r="X265" t="s">
        <v>1171</v>
      </c>
      <c r="Y265" t="s">
        <v>1171</v>
      </c>
      <c r="Z265" t="s">
        <v>1171</v>
      </c>
      <c r="AA265" t="s">
        <v>1171</v>
      </c>
      <c r="AB265" t="s">
        <v>1171</v>
      </c>
      <c r="AC265" t="s">
        <v>1171</v>
      </c>
      <c r="AD265" t="s">
        <v>1171</v>
      </c>
    </row>
    <row r="266" spans="1:30" ht="51" x14ac:dyDescent="0.2">
      <c r="A266" t="s">
        <v>1171</v>
      </c>
      <c r="B266" t="s">
        <v>1438</v>
      </c>
      <c r="C266" t="str">
        <f>"CONF-"&amp;TEXT(us_core_reqs[[#This Row],[ID*]], "0000")</f>
        <v>CONF-0265</v>
      </c>
      <c r="D266" s="11" t="s">
        <v>846</v>
      </c>
      <c r="E266" t="str">
        <f>SUBSTITUTE(us_core_reqs[[#This Row],[URL*]], "https://hl7.org/fhir/us/core/STU8/","")</f>
        <v>basic-provenance.html#hie-transformation</v>
      </c>
      <c r="F266" s="11" t="s">
        <v>2056</v>
      </c>
      <c r="G266" t="s">
        <v>64</v>
      </c>
      <c r="H266" t="s">
        <v>1869</v>
      </c>
      <c r="I266" t="s">
        <v>30</v>
      </c>
      <c r="J266" t="s">
        <v>1171</v>
      </c>
      <c r="K266" t="s">
        <v>1171</v>
      </c>
      <c r="L266" t="s">
        <v>1173</v>
      </c>
      <c r="M266" t="s">
        <v>1171</v>
      </c>
      <c r="N266" t="s">
        <v>1171</v>
      </c>
      <c r="O266" t="s">
        <v>1171</v>
      </c>
      <c r="P266" t="s">
        <v>1171</v>
      </c>
      <c r="Q266" t="s">
        <v>1171</v>
      </c>
      <c r="R266" t="str">
        <f>_xlfn.TEXTBEFORE(_xlfn.TEXTAFTER(us_core_reqs[[#This Row],[URL*]],"/",-1),".")</f>
        <v>basic-provenance</v>
      </c>
      <c r="S266" t="str">
        <f>_xlfn.TEXTAFTER(us_core_reqs[[#This Row],[URL*]],"#",-1)</f>
        <v>hie-transformation</v>
      </c>
      <c r="T266" t="str">
        <f>SUBSTITUTE(SUBSTITUTE(PROPER(SUBSTITUTE(us_core_reqs[[#This Row],[Page]], "-", " "))&amp;": "&amp;PROPER(SUBSTITUTE(us_core_reqs[[#This Row],[Section]], "-", " ")),"Us ","US "), "Uscdi", "USCDI")</f>
        <v>Basic Provenance: Hie Transformation</v>
      </c>
      <c r="U266" t="s">
        <v>35</v>
      </c>
      <c r="V266" t="s">
        <v>1171</v>
      </c>
      <c r="W266" t="s">
        <v>293</v>
      </c>
      <c r="X266" t="s">
        <v>1171</v>
      </c>
      <c r="Y266" t="s">
        <v>1171</v>
      </c>
      <c r="Z266" t="s">
        <v>1171</v>
      </c>
      <c r="AA266" t="s">
        <v>1171</v>
      </c>
      <c r="AB266" t="s">
        <v>295</v>
      </c>
      <c r="AC266" t="s">
        <v>1171</v>
      </c>
      <c r="AD266" t="s">
        <v>1171</v>
      </c>
    </row>
    <row r="267" spans="1:30" ht="34" x14ac:dyDescent="0.2">
      <c r="A267" t="s">
        <v>1171</v>
      </c>
      <c r="B267" t="s">
        <v>1439</v>
      </c>
      <c r="C267" t="str">
        <f>"CONF-"&amp;TEXT(us_core_reqs[[#This Row],[ID*]], "0000")</f>
        <v>CONF-0266</v>
      </c>
      <c r="D267" s="11" t="s">
        <v>846</v>
      </c>
      <c r="E267" t="str">
        <f>SUBSTITUTE(us_core_reqs[[#This Row],[URL*]], "https://hl7.org/fhir/us/core/STU8/","")</f>
        <v>basic-provenance.html#hie-transformation</v>
      </c>
      <c r="F267" s="11" t="s">
        <v>296</v>
      </c>
      <c r="G267" t="s">
        <v>64</v>
      </c>
      <c r="H267" t="s">
        <v>1895</v>
      </c>
      <c r="I267" t="s">
        <v>30</v>
      </c>
      <c r="J267" t="s">
        <v>1171</v>
      </c>
      <c r="K267" t="s">
        <v>1171</v>
      </c>
      <c r="L267" t="s">
        <v>1173</v>
      </c>
      <c r="M267" t="s">
        <v>1171</v>
      </c>
      <c r="N267" t="s">
        <v>1171</v>
      </c>
      <c r="O267" t="s">
        <v>1171</v>
      </c>
      <c r="P267" t="s">
        <v>1171</v>
      </c>
      <c r="Q267" t="s">
        <v>1171</v>
      </c>
      <c r="R267" t="str">
        <f>_xlfn.TEXTBEFORE(_xlfn.TEXTAFTER(us_core_reqs[[#This Row],[URL*]],"/",-1),".")</f>
        <v>basic-provenance</v>
      </c>
      <c r="S267" t="str">
        <f>_xlfn.TEXTAFTER(us_core_reqs[[#This Row],[URL*]],"#",-1)</f>
        <v>hie-transformation</v>
      </c>
      <c r="T267" t="str">
        <f>SUBSTITUTE(SUBSTITUTE(PROPER(SUBSTITUTE(us_core_reqs[[#This Row],[Page]], "-", " "))&amp;": "&amp;PROPER(SUBSTITUTE(us_core_reqs[[#This Row],[Section]], "-", " ")),"Us ","US "), "Uscdi", "USCDI")</f>
        <v>Basic Provenance: Hie Transformation</v>
      </c>
      <c r="U267" t="s">
        <v>1171</v>
      </c>
      <c r="V267" t="s">
        <v>1171</v>
      </c>
      <c r="W267" t="s">
        <v>297</v>
      </c>
      <c r="X267" t="s">
        <v>1171</v>
      </c>
      <c r="Y267" t="s">
        <v>1171</v>
      </c>
      <c r="Z267" t="s">
        <v>1171</v>
      </c>
      <c r="AA267" t="s">
        <v>1171</v>
      </c>
      <c r="AB267" t="s">
        <v>1171</v>
      </c>
      <c r="AC267" t="s">
        <v>1141</v>
      </c>
      <c r="AD267" t="s">
        <v>1171</v>
      </c>
    </row>
    <row r="268" spans="1:30" ht="85" x14ac:dyDescent="0.2">
      <c r="A268" t="s">
        <v>1171</v>
      </c>
      <c r="B268" t="s">
        <v>1440</v>
      </c>
      <c r="C268" t="str">
        <f>"CONF-"&amp;TEXT(us_core_reqs[[#This Row],[ID*]], "0000")</f>
        <v>CONF-0267</v>
      </c>
      <c r="D268" s="11" t="s">
        <v>846</v>
      </c>
      <c r="E268" t="str">
        <f>SUBSTITUTE(us_core_reqs[[#This Row],[URL*]], "https://hl7.org/fhir/us/core/STU8/","")</f>
        <v>basic-provenance.html#hie-transformation</v>
      </c>
      <c r="F268" s="11" t="s">
        <v>1888</v>
      </c>
      <c r="G268" t="s">
        <v>35</v>
      </c>
      <c r="I268" t="s">
        <v>30</v>
      </c>
      <c r="J268" t="s">
        <v>1171</v>
      </c>
      <c r="K268" t="s">
        <v>1171</v>
      </c>
      <c r="L268" t="s">
        <v>1173</v>
      </c>
      <c r="M268" t="s">
        <v>1171</v>
      </c>
      <c r="N268" t="s">
        <v>1171</v>
      </c>
      <c r="O268" t="s">
        <v>1171</v>
      </c>
      <c r="P268" t="s">
        <v>1171</v>
      </c>
      <c r="Q268" t="s">
        <v>1171</v>
      </c>
      <c r="R268" t="str">
        <f>_xlfn.TEXTBEFORE(_xlfn.TEXTAFTER(us_core_reqs[[#This Row],[URL*]],"/",-1),".")</f>
        <v>basic-provenance</v>
      </c>
      <c r="S268" t="str">
        <f>_xlfn.TEXTAFTER(us_core_reqs[[#This Row],[URL*]],"#",-1)</f>
        <v>hie-transformation</v>
      </c>
      <c r="T268" t="str">
        <f>SUBSTITUTE(SUBSTITUTE(PROPER(SUBSTITUTE(us_core_reqs[[#This Row],[Page]], "-", " "))&amp;": "&amp;PROPER(SUBSTITUTE(us_core_reqs[[#This Row],[Section]], "-", " ")),"Us ","US "), "Uscdi", "USCDI")</f>
        <v>Basic Provenance: Hie Transformation</v>
      </c>
      <c r="U268" t="s">
        <v>35</v>
      </c>
      <c r="V268" t="s">
        <v>1171</v>
      </c>
      <c r="W268" t="s">
        <v>298</v>
      </c>
      <c r="X268" t="s">
        <v>1171</v>
      </c>
      <c r="Y268" t="s">
        <v>1171</v>
      </c>
      <c r="Z268" t="s">
        <v>1171</v>
      </c>
      <c r="AA268" t="s">
        <v>1171</v>
      </c>
      <c r="AB268" t="s">
        <v>1171</v>
      </c>
      <c r="AC268" t="s">
        <v>1171</v>
      </c>
      <c r="AD268" t="s">
        <v>1171</v>
      </c>
    </row>
    <row r="269" spans="1:30" ht="68" x14ac:dyDescent="0.2">
      <c r="A269" t="s">
        <v>1171</v>
      </c>
      <c r="B269" t="s">
        <v>1441</v>
      </c>
      <c r="C269" t="str">
        <f>"CONF-"&amp;TEXT(us_core_reqs[[#This Row],[ID*]], "0000")</f>
        <v>CONF-0268</v>
      </c>
      <c r="D269" s="11" t="s">
        <v>848</v>
      </c>
      <c r="E269" t="str">
        <f>SUBSTITUTE(us_core_reqs[[#This Row],[URL*]], "https://hl7.org/fhir/us/core/STU8/","")</f>
        <v>screening-and-assessments.html#introduction</v>
      </c>
      <c r="F269" s="11" t="s">
        <v>1891</v>
      </c>
      <c r="G269" t="s">
        <v>32</v>
      </c>
      <c r="I269" t="s">
        <v>30</v>
      </c>
      <c r="J269" t="s">
        <v>1171</v>
      </c>
      <c r="K269" t="s">
        <v>1171</v>
      </c>
      <c r="L269" t="s">
        <v>1173</v>
      </c>
      <c r="M269" t="s">
        <v>1171</v>
      </c>
      <c r="N269" t="s">
        <v>1171</v>
      </c>
      <c r="O269" t="s">
        <v>1171</v>
      </c>
      <c r="P269" t="s">
        <v>1171</v>
      </c>
      <c r="Q269" t="s">
        <v>1171</v>
      </c>
      <c r="R269" t="str">
        <f>_xlfn.TEXTBEFORE(_xlfn.TEXTAFTER(us_core_reqs[[#This Row],[URL*]],"/",-1),".")</f>
        <v>screening-and-assessments</v>
      </c>
      <c r="S269" t="str">
        <f>_xlfn.TEXTAFTER(us_core_reqs[[#This Row],[URL*]],"#",-1)</f>
        <v>introduction</v>
      </c>
      <c r="T269" t="str">
        <f>SUBSTITUTE(SUBSTITUTE(PROPER(SUBSTITUTE(us_core_reqs[[#This Row],[Page]], "-", " "))&amp;": "&amp;PROPER(SUBSTITUTE(us_core_reqs[[#This Row],[Section]], "-", " ")),"Us ","US "), "Uscdi", "USCDI")</f>
        <v>Screening And Assessments: Introduction</v>
      </c>
      <c r="U269" t="s">
        <v>32</v>
      </c>
      <c r="V269" t="s">
        <v>1171</v>
      </c>
      <c r="W269" t="s">
        <v>298</v>
      </c>
      <c r="X269" t="s">
        <v>1171</v>
      </c>
      <c r="Y269" t="s">
        <v>1171</v>
      </c>
      <c r="Z269" t="s">
        <v>1171</v>
      </c>
      <c r="AA269" t="s">
        <v>1171</v>
      </c>
      <c r="AB269" t="s">
        <v>1171</v>
      </c>
      <c r="AC269" t="s">
        <v>1171</v>
      </c>
      <c r="AD269" t="s">
        <v>1171</v>
      </c>
    </row>
    <row r="270" spans="1:30" ht="259" customHeight="1" x14ac:dyDescent="0.2">
      <c r="A270" t="s">
        <v>1171</v>
      </c>
      <c r="B270" t="s">
        <v>1442</v>
      </c>
      <c r="C270" t="str">
        <f>"CONF-"&amp;TEXT(us_core_reqs[[#This Row],[ID*]], "0000")</f>
        <v>CONF-0269</v>
      </c>
      <c r="D270" s="11" t="s">
        <v>630</v>
      </c>
      <c r="E270" t="str">
        <f>SUBSTITUTE(us_core_reqs[[#This Row],[URL*]], "https://hl7.org/fhir/us/core/STU8/","")</f>
        <v>screening-and-assessments.html#clinical-judgments</v>
      </c>
      <c r="F270" s="11" t="s">
        <v>1892</v>
      </c>
      <c r="G270" t="s">
        <v>29</v>
      </c>
      <c r="I270" t="s">
        <v>30</v>
      </c>
      <c r="J270" t="s">
        <v>1171</v>
      </c>
      <c r="K270" t="s">
        <v>1171</v>
      </c>
      <c r="L270" t="s">
        <v>1173</v>
      </c>
      <c r="M270" t="s">
        <v>1171</v>
      </c>
      <c r="N270" t="s">
        <v>1171</v>
      </c>
      <c r="O270" t="s">
        <v>1171</v>
      </c>
      <c r="P270" t="s">
        <v>1171</v>
      </c>
      <c r="Q270" t="s">
        <v>1171</v>
      </c>
      <c r="R270" t="str">
        <f>_xlfn.TEXTBEFORE(_xlfn.TEXTAFTER(us_core_reqs[[#This Row],[URL*]],"/",-1),".")</f>
        <v>screening-and-assessments</v>
      </c>
      <c r="S270" t="str">
        <f>_xlfn.TEXTAFTER(us_core_reqs[[#This Row],[URL*]],"#",-1)</f>
        <v>clinical-judgments</v>
      </c>
      <c r="T270" t="str">
        <f>SUBSTITUTE(SUBSTITUTE(PROPER(SUBSTITUTE(us_core_reqs[[#This Row],[Page]], "-", " "))&amp;": "&amp;PROPER(SUBSTITUTE(us_core_reqs[[#This Row],[Section]], "-", " ")),"Us ","US "), "Uscdi", "USCDI")</f>
        <v>Screening And Assessments: Clinical Judgments</v>
      </c>
      <c r="U270" t="s">
        <v>29</v>
      </c>
      <c r="V270" t="s">
        <v>30</v>
      </c>
      <c r="W270" t="s">
        <v>298</v>
      </c>
      <c r="X270" t="s">
        <v>1171</v>
      </c>
      <c r="Y270" t="s">
        <v>1171</v>
      </c>
      <c r="Z270" t="s">
        <v>1171</v>
      </c>
      <c r="AA270" t="s">
        <v>1171</v>
      </c>
      <c r="AB270" t="s">
        <v>1171</v>
      </c>
      <c r="AC270" t="s">
        <v>1140</v>
      </c>
      <c r="AD270" t="s">
        <v>1171</v>
      </c>
    </row>
    <row r="271" spans="1:30" ht="136" x14ac:dyDescent="0.2">
      <c r="A271" t="s">
        <v>1171</v>
      </c>
      <c r="B271" t="s">
        <v>1443</v>
      </c>
      <c r="C271" t="str">
        <f>"CONF-"&amp;TEXT(us_core_reqs[[#This Row],[ID*]], "0000")</f>
        <v>CONF-0270</v>
      </c>
      <c r="D271" s="11" t="s">
        <v>630</v>
      </c>
      <c r="E271" t="str">
        <f>SUBSTITUTE(us_core_reqs[[#This Row],[URL*]], "https://hl7.org/fhir/us/core/STU8/","")</f>
        <v>screening-and-assessments.html#clinical-judgments</v>
      </c>
      <c r="F271" s="11" t="s">
        <v>1033</v>
      </c>
      <c r="G271" t="s">
        <v>32</v>
      </c>
      <c r="I271" t="s">
        <v>30</v>
      </c>
      <c r="J271" t="s">
        <v>1171</v>
      </c>
      <c r="K271" t="s">
        <v>1171</v>
      </c>
      <c r="L271" t="s">
        <v>1173</v>
      </c>
      <c r="M271" t="s">
        <v>1171</v>
      </c>
      <c r="N271" t="s">
        <v>1171</v>
      </c>
      <c r="O271" t="s">
        <v>1171</v>
      </c>
      <c r="P271" t="s">
        <v>1171</v>
      </c>
      <c r="Q271" t="s">
        <v>1171</v>
      </c>
      <c r="R271" t="str">
        <f>_xlfn.TEXTBEFORE(_xlfn.TEXTAFTER(us_core_reqs[[#This Row],[URL*]],"/",-1),".")</f>
        <v>screening-and-assessments</v>
      </c>
      <c r="S271" t="str">
        <f>_xlfn.TEXTAFTER(us_core_reqs[[#This Row],[URL*]],"#",-1)</f>
        <v>clinical-judgments</v>
      </c>
      <c r="T271" t="str">
        <f>SUBSTITUTE(SUBSTITUTE(PROPER(SUBSTITUTE(us_core_reqs[[#This Row],[Page]], "-", " "))&amp;": "&amp;PROPER(SUBSTITUTE(us_core_reqs[[#This Row],[Section]], "-", " ")),"Us ","US "), "Uscdi", "USCDI")</f>
        <v>Screening And Assessments: Clinical Judgments</v>
      </c>
      <c r="U271" t="s">
        <v>32</v>
      </c>
      <c r="V271" t="s">
        <v>30</v>
      </c>
      <c r="W271" t="s">
        <v>298</v>
      </c>
      <c r="X271" t="s">
        <v>1171</v>
      </c>
      <c r="Y271" t="s">
        <v>1171</v>
      </c>
      <c r="Z271" t="s">
        <v>1171</v>
      </c>
      <c r="AA271" t="s">
        <v>1171</v>
      </c>
      <c r="AB271" t="s">
        <v>734</v>
      </c>
      <c r="AC271" t="s">
        <v>1171</v>
      </c>
      <c r="AD271" t="s">
        <v>1171</v>
      </c>
    </row>
    <row r="272" spans="1:30" ht="136" x14ac:dyDescent="0.2">
      <c r="A272" t="s">
        <v>1171</v>
      </c>
      <c r="B272" t="s">
        <v>1444</v>
      </c>
      <c r="C272" t="str">
        <f>"CONF-"&amp;TEXT(us_core_reqs[[#This Row],[ID*]], "0000")</f>
        <v>CONF-0271</v>
      </c>
      <c r="D272" s="11" t="s">
        <v>630</v>
      </c>
      <c r="E272" t="str">
        <f>SUBSTITUTE(us_core_reqs[[#This Row],[URL*]], "https://hl7.org/fhir/us/core/STU8/","")</f>
        <v>screening-and-assessments.html#clinical-judgments</v>
      </c>
      <c r="F272" s="11" t="s">
        <v>1034</v>
      </c>
      <c r="G272" t="s">
        <v>32</v>
      </c>
      <c r="I272" t="s">
        <v>30</v>
      </c>
      <c r="J272" t="s">
        <v>1171</v>
      </c>
      <c r="K272" t="s">
        <v>1171</v>
      </c>
      <c r="L272" t="s">
        <v>1173</v>
      </c>
      <c r="M272" t="s">
        <v>1171</v>
      </c>
      <c r="N272" t="s">
        <v>1171</v>
      </c>
      <c r="O272" t="s">
        <v>1171</v>
      </c>
      <c r="P272" t="s">
        <v>1171</v>
      </c>
      <c r="Q272" t="s">
        <v>1171</v>
      </c>
      <c r="R272" t="str">
        <f>_xlfn.TEXTBEFORE(_xlfn.TEXTAFTER(us_core_reqs[[#This Row],[URL*]],"/",-1),".")</f>
        <v>screening-and-assessments</v>
      </c>
      <c r="S272" t="str">
        <f>_xlfn.TEXTAFTER(us_core_reqs[[#This Row],[URL*]],"#",-1)</f>
        <v>clinical-judgments</v>
      </c>
      <c r="T272" t="str">
        <f>SUBSTITUTE(SUBSTITUTE(PROPER(SUBSTITUTE(us_core_reqs[[#This Row],[Page]], "-", " "))&amp;": "&amp;PROPER(SUBSTITUTE(us_core_reqs[[#This Row],[Section]], "-", " ")),"Us ","US "), "Uscdi", "USCDI")</f>
        <v>Screening And Assessments: Clinical Judgments</v>
      </c>
      <c r="U272" t="s">
        <v>32</v>
      </c>
      <c r="V272" t="s">
        <v>30</v>
      </c>
      <c r="W272" t="s">
        <v>298</v>
      </c>
      <c r="X272" t="s">
        <v>1171</v>
      </c>
      <c r="Y272" t="s">
        <v>1171</v>
      </c>
      <c r="Z272" t="s">
        <v>1171</v>
      </c>
      <c r="AA272" t="s">
        <v>1171</v>
      </c>
      <c r="AB272" t="s">
        <v>734</v>
      </c>
      <c r="AC272" t="s">
        <v>1171</v>
      </c>
      <c r="AD272" t="s">
        <v>1171</v>
      </c>
    </row>
    <row r="273" spans="1:30" ht="196" customHeight="1" x14ac:dyDescent="0.2">
      <c r="A273" t="s">
        <v>1171</v>
      </c>
      <c r="B273" t="s">
        <v>1445</v>
      </c>
      <c r="C273" t="str">
        <f>"CONF-"&amp;TEXT(us_core_reqs[[#This Row],[ID*]], "0000")</f>
        <v>CONF-0272</v>
      </c>
      <c r="D273" s="11" t="s">
        <v>849</v>
      </c>
      <c r="E273" t="str">
        <f>SUBSTITUTE(us_core_reqs[[#This Row],[URL*]], "https://hl7.org/fhir/us/core/STU8/","")</f>
        <v>screening-and-assessments.html#choosing-between-questionnaireresponse-and-observation</v>
      </c>
      <c r="F273" s="11" t="s">
        <v>300</v>
      </c>
      <c r="G273" t="s">
        <v>32</v>
      </c>
      <c r="H273" t="s">
        <v>1893</v>
      </c>
      <c r="I273" t="s">
        <v>30</v>
      </c>
      <c r="J273" t="s">
        <v>1171</v>
      </c>
      <c r="K273" t="s">
        <v>1171</v>
      </c>
      <c r="L273" t="s">
        <v>1173</v>
      </c>
      <c r="M273" t="s">
        <v>1171</v>
      </c>
      <c r="N273" t="s">
        <v>1171</v>
      </c>
      <c r="O273" t="s">
        <v>1171</v>
      </c>
      <c r="P273" t="s">
        <v>1171</v>
      </c>
      <c r="Q273" t="s">
        <v>1171</v>
      </c>
      <c r="R273" t="str">
        <f>_xlfn.TEXTBEFORE(_xlfn.TEXTAFTER(us_core_reqs[[#This Row],[URL*]],"/",-1),".")</f>
        <v>screening-and-assessments</v>
      </c>
      <c r="S273" t="str">
        <f>_xlfn.TEXTAFTER(us_core_reqs[[#This Row],[URL*]],"#",-1)</f>
        <v>choosing-between-questionnaireresponse-and-observation</v>
      </c>
      <c r="T273" t="str">
        <f>SUBSTITUTE(SUBSTITUTE(PROPER(SUBSTITUTE(us_core_reqs[[#This Row],[Page]], "-", " "))&amp;": "&amp;PROPER(SUBSTITUTE(us_core_reqs[[#This Row],[Section]], "-", " ")),"Us ","US "), "Uscdi", "USCDI")</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36" x14ac:dyDescent="0.2">
      <c r="A274" t="s">
        <v>1171</v>
      </c>
      <c r="B274" t="s">
        <v>1446</v>
      </c>
      <c r="C274" t="str">
        <f>"CONF-"&amp;TEXT(us_core_reqs[[#This Row],[ID*]], "0000")</f>
        <v>CONF-0273</v>
      </c>
      <c r="D274" s="11" t="s">
        <v>849</v>
      </c>
      <c r="E274" t="str">
        <f>SUBSTITUTE(us_core_reqs[[#This Row],[URL*]], "https://hl7.org/fhir/us/core/STU8/","")</f>
        <v>screening-and-assessments.html#choosing-between-questionnaireresponse-and-observation</v>
      </c>
      <c r="F274" s="11" t="s">
        <v>300</v>
      </c>
      <c r="G274" t="s">
        <v>64</v>
      </c>
      <c r="H274" t="s">
        <v>1894</v>
      </c>
      <c r="I274" t="s">
        <v>30</v>
      </c>
      <c r="J274" t="s">
        <v>1171</v>
      </c>
      <c r="K274" t="s">
        <v>1171</v>
      </c>
      <c r="L274" t="s">
        <v>1173</v>
      </c>
      <c r="M274" t="s">
        <v>1171</v>
      </c>
      <c r="N274" t="s">
        <v>1171</v>
      </c>
      <c r="O274" t="s">
        <v>1171</v>
      </c>
      <c r="P274" t="s">
        <v>1171</v>
      </c>
      <c r="Q274" t="s">
        <v>1171</v>
      </c>
      <c r="R274" t="str">
        <f>_xlfn.TEXTBEFORE(_xlfn.TEXTAFTER(us_core_reqs[[#This Row],[URL*]],"/",-1),".")</f>
        <v>screening-and-assessments</v>
      </c>
      <c r="S274" t="str">
        <f>_xlfn.TEXTAFTER(us_core_reqs[[#This Row],[URL*]],"#",-1)</f>
        <v>choosing-between-questionnaireresponse-and-observation</v>
      </c>
      <c r="T274" t="str">
        <f>SUBSTITUTE(SUBSTITUTE(PROPER(SUBSTITUTE(us_core_reqs[[#This Row],[Page]], "-", " "))&amp;": "&amp;PROPER(SUBSTITUTE(us_core_reqs[[#This Row],[Section]], "-", " ")),"Us ","US "), "Uscdi", "USCDI")</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180" customHeight="1" x14ac:dyDescent="0.2">
      <c r="A275" t="s">
        <v>1171</v>
      </c>
      <c r="B275" t="s">
        <v>1447</v>
      </c>
      <c r="C275" t="str">
        <f>"CONF-"&amp;TEXT(us_core_reqs[[#This Row],[ID*]], "0000")</f>
        <v>CONF-0274</v>
      </c>
      <c r="D275" s="11" t="s">
        <v>849</v>
      </c>
      <c r="E275" t="str">
        <f>SUBSTITUTE(us_core_reqs[[#This Row],[URL*]], "https://hl7.org/fhir/us/core/STU8/","")</f>
        <v>screening-and-assessments.html#choosing-between-questionnaireresponse-and-observation</v>
      </c>
      <c r="F275" s="11" t="s">
        <v>303</v>
      </c>
      <c r="G275" t="s">
        <v>64</v>
      </c>
      <c r="H275" t="s">
        <v>1894</v>
      </c>
      <c r="I275" t="s">
        <v>30</v>
      </c>
      <c r="J275" t="s">
        <v>1171</v>
      </c>
      <c r="K275" t="s">
        <v>1171</v>
      </c>
      <c r="L275" t="s">
        <v>1173</v>
      </c>
      <c r="M275" t="s">
        <v>1171</v>
      </c>
      <c r="N275" t="s">
        <v>1171</v>
      </c>
      <c r="O275" t="s">
        <v>1171</v>
      </c>
      <c r="P275" t="s">
        <v>1171</v>
      </c>
      <c r="Q275" t="s">
        <v>1171</v>
      </c>
      <c r="R275" t="str">
        <f>_xlfn.TEXTBEFORE(_xlfn.TEXTAFTER(us_core_reqs[[#This Row],[URL*]],"/",-1),".")</f>
        <v>screening-and-assessments</v>
      </c>
      <c r="S275" t="str">
        <f>_xlfn.TEXTAFTER(us_core_reqs[[#This Row],[URL*]],"#",-1)</f>
        <v>choosing-between-questionnaireresponse-and-observation</v>
      </c>
      <c r="T275" t="str">
        <f>SUBSTITUTE(SUBSTITUTE(PROPER(SUBSTITUTE(us_core_reqs[[#This Row],[Page]], "-", " "))&amp;": "&amp;PROPER(SUBSTITUTE(us_core_reqs[[#This Row],[Section]], "-", " ")),"Us ","US "), "Uscdi", "USCDI")</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34" x14ac:dyDescent="0.2">
      <c r="A276" t="s">
        <v>1171</v>
      </c>
      <c r="B276" t="s">
        <v>1448</v>
      </c>
      <c r="C276" t="str">
        <f>"CONF-"&amp;TEXT(us_core_reqs[[#This Row],[ID*]], "0000")</f>
        <v>CONF-0275</v>
      </c>
      <c r="D276" s="11" t="s">
        <v>632</v>
      </c>
      <c r="E276" t="str">
        <f>SUBSTITUTE(us_core_reqs[[#This Row],[URL*]], "https://hl7.org/fhir/us/core/STU8/","")</f>
        <v>screening-and-assessments.html#category-codes</v>
      </c>
      <c r="F276" s="11" t="s">
        <v>737</v>
      </c>
      <c r="G276" t="s">
        <v>35</v>
      </c>
      <c r="H276" t="s">
        <v>1883</v>
      </c>
      <c r="I276" t="s">
        <v>58</v>
      </c>
      <c r="J276" t="s">
        <v>1171</v>
      </c>
      <c r="K276" t="s">
        <v>1171</v>
      </c>
      <c r="L276" t="s">
        <v>1173</v>
      </c>
      <c r="M276" t="s">
        <v>1171</v>
      </c>
      <c r="N276" t="s">
        <v>1171</v>
      </c>
      <c r="O276" t="s">
        <v>1171</v>
      </c>
      <c r="P276" t="s">
        <v>1171</v>
      </c>
      <c r="Q276" t="s">
        <v>1171</v>
      </c>
      <c r="R276" t="str">
        <f>_xlfn.TEXTBEFORE(_xlfn.TEXTAFTER(us_core_reqs[[#This Row],[URL*]],"/",-1),".")</f>
        <v>screening-and-assessments</v>
      </c>
      <c r="S276" t="str">
        <f>_xlfn.TEXTAFTER(us_core_reqs[[#This Row],[URL*]],"#",-1)</f>
        <v>category-codes</v>
      </c>
      <c r="T276" t="str">
        <f>SUBSTITUTE(SUBSTITUTE(PROPER(SUBSTITUTE(us_core_reqs[[#This Row],[Page]], "-", " "))&amp;": "&amp;PROPER(SUBSTITUTE(us_core_reqs[[#This Row],[Section]], "-", " ")),"Us ","US "), "Uscdi", "USCDI")</f>
        <v>Screening And Assessments: Category Codes</v>
      </c>
      <c r="U276" t="s">
        <v>1171</v>
      </c>
      <c r="V276" t="s">
        <v>1171</v>
      </c>
      <c r="W276" t="s">
        <v>1171</v>
      </c>
      <c r="X276" t="s">
        <v>1171</v>
      </c>
      <c r="Y276" t="s">
        <v>1171</v>
      </c>
      <c r="Z276" t="s">
        <v>1171</v>
      </c>
      <c r="AA276" t="s">
        <v>1171</v>
      </c>
      <c r="AB276" t="s">
        <v>738</v>
      </c>
      <c r="AC276" t="s">
        <v>1171</v>
      </c>
      <c r="AD276" t="s">
        <v>1171</v>
      </c>
    </row>
    <row r="277" spans="1:30" ht="102" x14ac:dyDescent="0.2">
      <c r="A277" t="s">
        <v>1171</v>
      </c>
      <c r="B277" t="s">
        <v>1449</v>
      </c>
      <c r="C277" t="str">
        <f>"CONF-"&amp;TEXT(us_core_reqs[[#This Row],[ID*]], "0000")</f>
        <v>CONF-0276</v>
      </c>
      <c r="D277" s="11" t="s">
        <v>632</v>
      </c>
      <c r="E277" t="str">
        <f>SUBSTITUTE(us_core_reqs[[#This Row],[URL*]], "https://hl7.org/fhir/us/core/STU8/","")</f>
        <v>screening-and-assessments.html#category-codes</v>
      </c>
      <c r="F277" s="11" t="s">
        <v>1958</v>
      </c>
      <c r="G277" t="s">
        <v>64</v>
      </c>
      <c r="I277" t="s">
        <v>30</v>
      </c>
      <c r="J277" t="s">
        <v>1171</v>
      </c>
      <c r="K277" t="s">
        <v>1171</v>
      </c>
      <c r="L277" t="s">
        <v>1173</v>
      </c>
      <c r="M277" t="s">
        <v>1171</v>
      </c>
      <c r="N277" t="s">
        <v>1171</v>
      </c>
      <c r="O277" t="s">
        <v>1171</v>
      </c>
      <c r="P277" t="s">
        <v>1171</v>
      </c>
      <c r="Q277" t="s">
        <v>1171</v>
      </c>
      <c r="R277" t="str">
        <f>_xlfn.TEXTBEFORE(_xlfn.TEXTAFTER(us_core_reqs[[#This Row],[URL*]],"/",-1),".")</f>
        <v>screening-and-assessments</v>
      </c>
      <c r="S277" t="str">
        <f>_xlfn.TEXTAFTER(us_core_reqs[[#This Row],[URL*]],"#",-1)</f>
        <v>category-codes</v>
      </c>
      <c r="T277" t="str">
        <f>SUBSTITUTE(SUBSTITUTE(PROPER(SUBSTITUTE(us_core_reqs[[#This Row],[Page]], "-", " "))&amp;": "&amp;PROPER(SUBSTITUTE(us_core_reqs[[#This Row],[Section]], "-", " ")),"Us ","US "), "Uscdi", "USCDI")</f>
        <v>Screening And Assessments: Category Codes</v>
      </c>
      <c r="U277" t="s">
        <v>32</v>
      </c>
      <c r="V277" t="s">
        <v>1171</v>
      </c>
      <c r="W277" t="s">
        <v>302</v>
      </c>
      <c r="X277" t="s">
        <v>1171</v>
      </c>
      <c r="Y277" t="s">
        <v>1171</v>
      </c>
      <c r="Z277" t="s">
        <v>1171</v>
      </c>
      <c r="AA277" t="s">
        <v>1171</v>
      </c>
      <c r="AB277" t="s">
        <v>646</v>
      </c>
      <c r="AC277" t="s">
        <v>1171</v>
      </c>
      <c r="AD277" t="s">
        <v>1171</v>
      </c>
    </row>
    <row r="278" spans="1:30" ht="85" x14ac:dyDescent="0.2">
      <c r="A278" t="s">
        <v>1171</v>
      </c>
      <c r="B278" t="s">
        <v>1450</v>
      </c>
      <c r="C278" t="str">
        <f>"CONF-"&amp;TEXT(us_core_reqs[[#This Row],[ID*]], "0000")</f>
        <v>CONF-0277</v>
      </c>
      <c r="D278" s="11" t="s">
        <v>632</v>
      </c>
      <c r="E278" t="str">
        <f>SUBSTITUTE(us_core_reqs[[#This Row],[URL*]], "https://hl7.org/fhir/us/core/STU8/","")</f>
        <v>screening-and-assessments.html#category-codes</v>
      </c>
      <c r="F278" s="11" t="s">
        <v>1959</v>
      </c>
      <c r="G278" t="s">
        <v>64</v>
      </c>
      <c r="I278" t="s">
        <v>30</v>
      </c>
      <c r="J278" t="s">
        <v>1171</v>
      </c>
      <c r="K278" t="s">
        <v>1171</v>
      </c>
      <c r="L278" t="s">
        <v>1173</v>
      </c>
      <c r="M278" t="s">
        <v>1171</v>
      </c>
      <c r="N278" t="s">
        <v>1171</v>
      </c>
      <c r="O278" t="s">
        <v>1171</v>
      </c>
      <c r="P278" t="s">
        <v>1171</v>
      </c>
      <c r="Q278" t="s">
        <v>1171</v>
      </c>
      <c r="R278" t="str">
        <f>_xlfn.TEXTBEFORE(_xlfn.TEXTAFTER(us_core_reqs[[#This Row],[URL*]],"/",-1),".")</f>
        <v>screening-and-assessments</v>
      </c>
      <c r="S278" t="str">
        <f>_xlfn.TEXTAFTER(us_core_reqs[[#This Row],[URL*]],"#",-1)</f>
        <v>category-codes</v>
      </c>
      <c r="T278" t="str">
        <f>SUBSTITUTE(SUBSTITUTE(PROPER(SUBSTITUTE(us_core_reqs[[#This Row],[Page]], "-", " "))&amp;": "&amp;PROPER(SUBSTITUTE(us_core_reqs[[#This Row],[Section]], "-", " ")),"Us ","US "), "Uscdi", "USCDI")</f>
        <v>Screening And Assessments: Category Codes</v>
      </c>
      <c r="U278" t="s">
        <v>32</v>
      </c>
      <c r="V278" t="s">
        <v>1171</v>
      </c>
      <c r="W278" t="s">
        <v>302</v>
      </c>
      <c r="X278" t="s">
        <v>1171</v>
      </c>
      <c r="Y278" t="s">
        <v>1171</v>
      </c>
      <c r="Z278" t="s">
        <v>1171</v>
      </c>
      <c r="AA278" t="s">
        <v>1171</v>
      </c>
      <c r="AB278" t="s">
        <v>646</v>
      </c>
      <c r="AC278" t="s">
        <v>1171</v>
      </c>
      <c r="AD278" t="s">
        <v>1171</v>
      </c>
    </row>
    <row r="279" spans="1:30" ht="68" x14ac:dyDescent="0.2">
      <c r="A279" t="s">
        <v>1171</v>
      </c>
      <c r="B279" t="s">
        <v>1451</v>
      </c>
      <c r="C279" t="str">
        <f>"CONF-"&amp;TEXT(us_core_reqs[[#This Row],[ID*]], "0000")</f>
        <v>CONF-0278</v>
      </c>
      <c r="D279" s="11" t="s">
        <v>632</v>
      </c>
      <c r="E279" t="str">
        <f>SUBSTITUTE(us_core_reqs[[#This Row],[URL*]], "https://hl7.org/fhir/us/core/STU8/","")</f>
        <v>screening-and-assessments.html#category-codes</v>
      </c>
      <c r="F279" s="11" t="s">
        <v>1960</v>
      </c>
      <c r="G279" t="s">
        <v>64</v>
      </c>
      <c r="I279" t="s">
        <v>30</v>
      </c>
      <c r="J279" t="s">
        <v>1171</v>
      </c>
      <c r="K279" t="s">
        <v>1171</v>
      </c>
      <c r="L279" t="s">
        <v>1173</v>
      </c>
      <c r="M279" t="s">
        <v>1171</v>
      </c>
      <c r="N279" t="s">
        <v>1171</v>
      </c>
      <c r="O279" t="s">
        <v>1171</v>
      </c>
      <c r="P279" t="s">
        <v>1171</v>
      </c>
      <c r="Q279" t="s">
        <v>1171</v>
      </c>
      <c r="R279" t="str">
        <f>_xlfn.TEXTBEFORE(_xlfn.TEXTAFTER(us_core_reqs[[#This Row],[URL*]],"/",-1),".")</f>
        <v>screening-and-assessments</v>
      </c>
      <c r="S279" t="str">
        <f>_xlfn.TEXTAFTER(us_core_reqs[[#This Row],[URL*]],"#",-1)</f>
        <v>category-codes</v>
      </c>
      <c r="T279" t="str">
        <f>SUBSTITUTE(SUBSTITUTE(PROPER(SUBSTITUTE(us_core_reqs[[#This Row],[Page]], "-", " "))&amp;": "&amp;PROPER(SUBSTITUTE(us_core_reqs[[#This Row],[Section]], "-", " ")),"Us ","US "), "Uscdi", "USCDI")</f>
        <v>Screening And Assessments: Category Codes</v>
      </c>
      <c r="U279" t="s">
        <v>32</v>
      </c>
      <c r="V279" t="s">
        <v>1171</v>
      </c>
      <c r="W279" t="s">
        <v>302</v>
      </c>
      <c r="X279" t="s">
        <v>1171</v>
      </c>
      <c r="Y279" t="s">
        <v>1171</v>
      </c>
      <c r="Z279" t="s">
        <v>1171</v>
      </c>
      <c r="AA279" t="s">
        <v>1171</v>
      </c>
      <c r="AB279" t="s">
        <v>646</v>
      </c>
      <c r="AC279" t="s">
        <v>1171</v>
      </c>
      <c r="AD279" t="s">
        <v>1171</v>
      </c>
    </row>
    <row r="280" spans="1:30" ht="102" x14ac:dyDescent="0.2">
      <c r="A280" t="s">
        <v>1171</v>
      </c>
      <c r="B280" t="s">
        <v>1452</v>
      </c>
      <c r="C280" t="str">
        <f>"CONF-"&amp;TEXT(us_core_reqs[[#This Row],[ID*]], "0000")</f>
        <v>CONF-0279</v>
      </c>
      <c r="D280" s="11" t="s">
        <v>632</v>
      </c>
      <c r="E280" t="str">
        <f>SUBSTITUTE(us_core_reqs[[#This Row],[URL*]], "https://hl7.org/fhir/us/core/STU8/","")</f>
        <v>screening-and-assessments.html#category-codes</v>
      </c>
      <c r="F280" s="11" t="s">
        <v>1961</v>
      </c>
      <c r="G280" t="s">
        <v>64</v>
      </c>
      <c r="I280" t="s">
        <v>30</v>
      </c>
      <c r="J280" t="s">
        <v>1171</v>
      </c>
      <c r="K280" t="s">
        <v>1171</v>
      </c>
      <c r="L280" t="s">
        <v>1173</v>
      </c>
      <c r="M280" t="s">
        <v>1171</v>
      </c>
      <c r="N280" t="s">
        <v>1171</v>
      </c>
      <c r="O280" t="s">
        <v>1171</v>
      </c>
      <c r="P280" t="s">
        <v>1171</v>
      </c>
      <c r="Q280" t="s">
        <v>1171</v>
      </c>
      <c r="R280" t="str">
        <f>_xlfn.TEXTBEFORE(_xlfn.TEXTAFTER(us_core_reqs[[#This Row],[URL*]],"/",-1),".")</f>
        <v>screening-and-assessments</v>
      </c>
      <c r="S280" t="str">
        <f>_xlfn.TEXTAFTER(us_core_reqs[[#This Row],[URL*]],"#",-1)</f>
        <v>category-codes</v>
      </c>
      <c r="T280" t="str">
        <f>SUBSTITUTE(SUBSTITUTE(PROPER(SUBSTITUTE(us_core_reqs[[#This Row],[Page]], "-", " "))&amp;": "&amp;PROPER(SUBSTITUTE(us_core_reqs[[#This Row],[Section]], "-", " ")),"Us ","US "), "Uscdi", "USCDI")</f>
        <v>Screening And Assessments: Category Codes</v>
      </c>
      <c r="U280" t="s">
        <v>32</v>
      </c>
      <c r="V280" t="s">
        <v>1171</v>
      </c>
      <c r="W280" t="s">
        <v>302</v>
      </c>
      <c r="X280" t="s">
        <v>1171</v>
      </c>
      <c r="Y280" t="s">
        <v>1171</v>
      </c>
      <c r="Z280" t="s">
        <v>1171</v>
      </c>
      <c r="AA280" t="s">
        <v>1171</v>
      </c>
      <c r="AB280" t="s">
        <v>646</v>
      </c>
      <c r="AC280" t="s">
        <v>1171</v>
      </c>
      <c r="AD280" t="s">
        <v>1171</v>
      </c>
    </row>
    <row r="281" spans="1:30" ht="68" x14ac:dyDescent="0.2">
      <c r="A281" t="s">
        <v>1171</v>
      </c>
      <c r="B281" t="s">
        <v>1453</v>
      </c>
      <c r="C281" t="str">
        <f>"CONF-"&amp;TEXT(us_core_reqs[[#This Row],[ID*]], "0000")</f>
        <v>CONF-0280</v>
      </c>
      <c r="D281" s="11" t="s">
        <v>850</v>
      </c>
      <c r="E281" t="str">
        <f>SUBSTITUTE(us_core_reqs[[#This Row],[URL*]], "https://hl7.org/fhir/us/core/STU8/","")</f>
        <v>screening-and-assessments.html#uscdi-health-assessments-data-element-value-sets</v>
      </c>
      <c r="F281" s="11" t="s">
        <v>1962</v>
      </c>
      <c r="G281" t="s">
        <v>32</v>
      </c>
      <c r="I281" t="s">
        <v>30</v>
      </c>
      <c r="J281" t="s">
        <v>1171</v>
      </c>
      <c r="K281" t="s">
        <v>1171</v>
      </c>
      <c r="L281" t="s">
        <v>1173</v>
      </c>
      <c r="M281" t="s">
        <v>1171</v>
      </c>
      <c r="N281" t="s">
        <v>1171</v>
      </c>
      <c r="O281" t="s">
        <v>1171</v>
      </c>
      <c r="P281" t="s">
        <v>1171</v>
      </c>
      <c r="Q281" t="s">
        <v>1171</v>
      </c>
      <c r="R281" t="str">
        <f>_xlfn.TEXTBEFORE(_xlfn.TEXTAFTER(us_core_reqs[[#This Row],[URL*]],"/",-1),".")</f>
        <v>screening-and-assessments</v>
      </c>
      <c r="S281" t="str">
        <f>_xlfn.TEXTAFTER(us_core_reqs[[#This Row],[URL*]],"#",-1)</f>
        <v>uscdi-health-assessments-data-element-value-sets</v>
      </c>
      <c r="T281" t="str">
        <f>SUBSTITUTE(SUBSTITUTE(PROPER(SUBSTITUTE(us_core_reqs[[#This Row],[Page]], "-", " "))&amp;": "&amp;PROPER(SUBSTITUTE(us_core_reqs[[#This Row],[Section]], "-", " ")),"Us ","US "), "Uscdi", "USCDI")</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87" x14ac:dyDescent="0.2">
      <c r="A282" t="s">
        <v>1171</v>
      </c>
      <c r="B282" t="s">
        <v>1454</v>
      </c>
      <c r="C282" t="str">
        <f>"CONF-"&amp;TEXT(us_core_reqs[[#This Row],[ID*]], "0000")</f>
        <v>CONF-0281</v>
      </c>
      <c r="D282" s="11" t="s">
        <v>850</v>
      </c>
      <c r="E282" t="str">
        <f>SUBSTITUTE(us_core_reqs[[#This Row],[URL*]], "https://hl7.org/fhir/us/core/STU8/","")</f>
        <v>screening-and-assessments.html#uscdi-health-assessments-data-element-value-sets</v>
      </c>
      <c r="F282" s="11" t="s">
        <v>1963</v>
      </c>
      <c r="G282" t="s">
        <v>32</v>
      </c>
      <c r="I282" t="s">
        <v>30</v>
      </c>
      <c r="J282" t="s">
        <v>1171</v>
      </c>
      <c r="K282" t="s">
        <v>1171</v>
      </c>
      <c r="L282" t="s">
        <v>1173</v>
      </c>
      <c r="M282" t="s">
        <v>1171</v>
      </c>
      <c r="N282" t="s">
        <v>1171</v>
      </c>
      <c r="O282" t="s">
        <v>1171</v>
      </c>
      <c r="P282" t="s">
        <v>1171</v>
      </c>
      <c r="Q282" t="s">
        <v>1171</v>
      </c>
      <c r="R282" t="str">
        <f>_xlfn.TEXTBEFORE(_xlfn.TEXTAFTER(us_core_reqs[[#This Row],[URL*]],"/",-1),".")</f>
        <v>screening-and-assessments</v>
      </c>
      <c r="S282" t="str">
        <f>_xlfn.TEXTAFTER(us_core_reqs[[#This Row],[URL*]],"#",-1)</f>
        <v>uscdi-health-assessments-data-element-value-sets</v>
      </c>
      <c r="T282" t="str">
        <f>SUBSTITUTE(SUBSTITUTE(PROPER(SUBSTITUTE(us_core_reqs[[#This Row],[Page]], "-", " "))&amp;": "&amp;PROPER(SUBSTITUTE(us_core_reqs[[#This Row],[Section]], "-", " ")),"Us ","US "), "Uscdi", "USCDI")</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34" x14ac:dyDescent="0.2">
      <c r="A283" t="s">
        <v>1171</v>
      </c>
      <c r="B283" t="s">
        <v>1455</v>
      </c>
      <c r="C283" t="str">
        <f>"CONF-"&amp;TEXT(us_core_reqs[[#This Row],[ID*]], "0000")</f>
        <v>CONF-0282</v>
      </c>
      <c r="D283" s="11" t="s">
        <v>851</v>
      </c>
      <c r="E283" t="str">
        <f>SUBSTITUTE(us_core_reqs[[#This Row],[URL*]], "https://hl7.org/fhir/us/core/STU8/","")</f>
        <v>changes-between-versions.html#endpoint-discoverability</v>
      </c>
      <c r="F283" s="11" t="s">
        <v>1036</v>
      </c>
      <c r="G283" t="s">
        <v>64</v>
      </c>
      <c r="H283" t="s">
        <v>1896</v>
      </c>
      <c r="I283" t="s">
        <v>30</v>
      </c>
      <c r="J283" t="s">
        <v>1171</v>
      </c>
      <c r="K283" t="s">
        <v>1171</v>
      </c>
      <c r="L283" t="s">
        <v>1173</v>
      </c>
      <c r="M283" t="s">
        <v>1171</v>
      </c>
      <c r="N283" t="s">
        <v>1171</v>
      </c>
      <c r="O283" t="s">
        <v>1171</v>
      </c>
      <c r="P283" t="s">
        <v>1171</v>
      </c>
      <c r="Q283" t="s">
        <v>1171</v>
      </c>
      <c r="R283" t="str">
        <f>_xlfn.TEXTBEFORE(_xlfn.TEXTAFTER(us_core_reqs[[#This Row],[URL*]],"/",-1),".")</f>
        <v>changes-between-versions</v>
      </c>
      <c r="S283" t="str">
        <f>_xlfn.TEXTAFTER(us_core_reqs[[#This Row],[URL*]],"#",-1)</f>
        <v>endpoint-discoverability</v>
      </c>
      <c r="T283" t="str">
        <f>SUBSTITUTE(SUBSTITUTE(PROPER(SUBSTITUTE(us_core_reqs[[#This Row],[Page]], "-", " "))&amp;": "&amp;PROPER(SUBSTITUTE(us_core_reqs[[#This Row],[Section]], "-", " ")),"Us ","US "), "Uscdi", "USCDI")</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34" x14ac:dyDescent="0.2">
      <c r="A284" t="s">
        <v>1171</v>
      </c>
      <c r="B284" t="s">
        <v>1456</v>
      </c>
      <c r="C284" t="str">
        <f>"CONF-"&amp;TEXT(us_core_reqs[[#This Row],[ID*]], "0000")</f>
        <v>CONF-0283</v>
      </c>
      <c r="D284" s="11" t="s">
        <v>851</v>
      </c>
      <c r="E284" t="str">
        <f>SUBSTITUTE(us_core_reqs[[#This Row],[URL*]], "https://hl7.org/fhir/us/core/STU8/","")</f>
        <v>changes-between-versions.html#endpoint-discoverability</v>
      </c>
      <c r="F284" s="11" t="s">
        <v>1037</v>
      </c>
      <c r="G284" t="s">
        <v>64</v>
      </c>
      <c r="H284" t="s">
        <v>1896</v>
      </c>
      <c r="I284" t="s">
        <v>30</v>
      </c>
      <c r="J284" t="s">
        <v>1171</v>
      </c>
      <c r="K284" t="s">
        <v>1171</v>
      </c>
      <c r="L284" t="s">
        <v>1173</v>
      </c>
      <c r="M284" t="s">
        <v>1171</v>
      </c>
      <c r="N284" t="s">
        <v>1171</v>
      </c>
      <c r="O284" t="s">
        <v>1171</v>
      </c>
      <c r="P284" t="s">
        <v>1171</v>
      </c>
      <c r="Q284" t="s">
        <v>1171</v>
      </c>
      <c r="R284" t="str">
        <f>_xlfn.TEXTBEFORE(_xlfn.TEXTAFTER(us_core_reqs[[#This Row],[URL*]],"/",-1),".")</f>
        <v>changes-between-versions</v>
      </c>
      <c r="S284" t="str">
        <f>_xlfn.TEXTAFTER(us_core_reqs[[#This Row],[URL*]],"#",-1)</f>
        <v>endpoint-discoverability</v>
      </c>
      <c r="T284" t="str">
        <f>SUBSTITUTE(SUBSTITUTE(PROPER(SUBSTITUTE(us_core_reqs[[#This Row],[Page]], "-", " "))&amp;": "&amp;PROPER(SUBSTITUTE(us_core_reqs[[#This Row],[Section]], "-", " ")),"Us ","US "), "Uscdi", "USCDI")</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1457</v>
      </c>
      <c r="C285" t="str">
        <f>"CONF-"&amp;TEXT(us_core_reqs[[#This Row],[ID*]], "0000")</f>
        <v>CONF-0284</v>
      </c>
      <c r="D285" s="11" t="s">
        <v>851</v>
      </c>
      <c r="E285" t="str">
        <f>SUBSTITUTE(us_core_reqs[[#This Row],[URL*]], "https://hl7.org/fhir/us/core/STU8/","")</f>
        <v>changes-between-versions.html#endpoint-discoverability</v>
      </c>
      <c r="F285" s="11" t="s">
        <v>1038</v>
      </c>
      <c r="G285" t="s">
        <v>64</v>
      </c>
      <c r="H285" t="s">
        <v>1896</v>
      </c>
      <c r="I285" t="s">
        <v>30</v>
      </c>
      <c r="J285" t="s">
        <v>1171</v>
      </c>
      <c r="K285" t="s">
        <v>1171</v>
      </c>
      <c r="L285" t="s">
        <v>1173</v>
      </c>
      <c r="M285" t="s">
        <v>1171</v>
      </c>
      <c r="N285" t="s">
        <v>1171</v>
      </c>
      <c r="O285" t="s">
        <v>1171</v>
      </c>
      <c r="P285" t="s">
        <v>1171</v>
      </c>
      <c r="Q285" t="s">
        <v>1171</v>
      </c>
      <c r="R285" t="str">
        <f>_xlfn.TEXTBEFORE(_xlfn.TEXTAFTER(us_core_reqs[[#This Row],[URL*]],"/",-1),".")</f>
        <v>changes-between-versions</v>
      </c>
      <c r="S285" t="str">
        <f>_xlfn.TEXTAFTER(us_core_reqs[[#This Row],[URL*]],"#",-1)</f>
        <v>endpoint-discoverability</v>
      </c>
      <c r="T285" t="str">
        <f>SUBSTITUTE(SUBSTITUTE(PROPER(SUBSTITUTE(us_core_reqs[[#This Row],[Page]], "-", " "))&amp;": "&amp;PROPER(SUBSTITUTE(us_core_reqs[[#This Row],[Section]], "-", " ")),"Us ","US "), "Uscdi", "USCDI")</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51" x14ac:dyDescent="0.2">
      <c r="A286" t="s">
        <v>1171</v>
      </c>
      <c r="B286" t="s">
        <v>1458</v>
      </c>
      <c r="C286" t="str">
        <f>"CONF-"&amp;TEXT(us_core_reqs[[#This Row],[ID*]], "0000")</f>
        <v>CONF-0285</v>
      </c>
      <c r="D286" s="11" t="s">
        <v>851</v>
      </c>
      <c r="E286" t="str">
        <f>SUBSTITUTE(us_core_reqs[[#This Row],[URL*]], "https://hl7.org/fhir/us/core/STU8/","")</f>
        <v>changes-between-versions.html#endpoint-discoverability</v>
      </c>
      <c r="F286" s="11" t="s">
        <v>1039</v>
      </c>
      <c r="G286" t="s">
        <v>64</v>
      </c>
      <c r="H286" t="s">
        <v>1896</v>
      </c>
      <c r="I286" t="s">
        <v>30</v>
      </c>
      <c r="J286" t="s">
        <v>1171</v>
      </c>
      <c r="K286" t="s">
        <v>1171</v>
      </c>
      <c r="L286" t="s">
        <v>1173</v>
      </c>
      <c r="M286" t="s">
        <v>1171</v>
      </c>
      <c r="N286" t="s">
        <v>1171</v>
      </c>
      <c r="O286" t="s">
        <v>1171</v>
      </c>
      <c r="P286" t="s">
        <v>1171</v>
      </c>
      <c r="Q286" t="s">
        <v>1171</v>
      </c>
      <c r="R286" t="str">
        <f>_xlfn.TEXTBEFORE(_xlfn.TEXTAFTER(us_core_reqs[[#This Row],[URL*]],"/",-1),".")</f>
        <v>changes-between-versions</v>
      </c>
      <c r="S286" t="str">
        <f>_xlfn.TEXTAFTER(us_core_reqs[[#This Row],[URL*]],"#",-1)</f>
        <v>endpoint-discoverability</v>
      </c>
      <c r="T286" t="str">
        <f>SUBSTITUTE(SUBSTITUTE(PROPER(SUBSTITUTE(us_core_reqs[[#This Row],[Page]], "-", " "))&amp;": "&amp;PROPER(SUBSTITUTE(us_core_reqs[[#This Row],[Section]], "-", " ")),"Us ","US "), "Uscdi", "USCDI")</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51" x14ac:dyDescent="0.2">
      <c r="A287" t="s">
        <v>1171</v>
      </c>
      <c r="B287" t="s">
        <v>1459</v>
      </c>
      <c r="C287" t="str">
        <f>"CONF-"&amp;TEXT(us_core_reqs[[#This Row],[ID*]], "0000")</f>
        <v>CONF-0286</v>
      </c>
      <c r="D287" s="11" t="s">
        <v>852</v>
      </c>
      <c r="E287" t="str">
        <f>SUBSTITUTE(us_core_reqs[[#This Row],[URL*]], "https://hl7.org/fhir/us/core/STU8/","")</f>
        <v>changes-between-versions.html#no-guarantee-that-resource-ids-are-preserved</v>
      </c>
      <c r="F287" s="11" t="s">
        <v>932</v>
      </c>
      <c r="G287" t="s">
        <v>29</v>
      </c>
      <c r="I287" t="s">
        <v>58</v>
      </c>
      <c r="J287" t="s">
        <v>1171</v>
      </c>
      <c r="K287" t="s">
        <v>1171</v>
      </c>
      <c r="L287" t="s">
        <v>1173</v>
      </c>
      <c r="M287" t="s">
        <v>1171</v>
      </c>
      <c r="N287" t="s">
        <v>1171</v>
      </c>
      <c r="O287" t="s">
        <v>1171</v>
      </c>
      <c r="P287" t="s">
        <v>1171</v>
      </c>
      <c r="Q287" t="s">
        <v>1171</v>
      </c>
      <c r="R287" t="str">
        <f>_xlfn.TEXTBEFORE(_xlfn.TEXTAFTER(us_core_reqs[[#This Row],[URL*]],"/",-1),".")</f>
        <v>changes-between-versions</v>
      </c>
      <c r="S287" t="str">
        <f>_xlfn.TEXTAFTER(us_core_reqs[[#This Row],[URL*]],"#",-1)</f>
        <v>no-guarantee-that-resource-ids-are-preserved</v>
      </c>
      <c r="T287" t="str">
        <f>SUBSTITUTE(SUBSTITUTE(PROPER(SUBSTITUTE(us_core_reqs[[#This Row],[Page]], "-", " "))&amp;": "&amp;PROPER(SUBSTITUTE(us_core_reqs[[#This Row],[Section]], "-", " ")),"Us ","US "), "Uscdi", "USCDI")</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1460</v>
      </c>
      <c r="C288" t="str">
        <f>"CONF-"&amp;TEXT(us_core_reqs[[#This Row],[ID*]], "0000")</f>
        <v>CONF-0287</v>
      </c>
      <c r="D288" s="11" t="s">
        <v>852</v>
      </c>
      <c r="E288" t="str">
        <f>SUBSTITUTE(us_core_reqs[[#This Row],[URL*]], "https://hl7.org/fhir/us/core/STU8/","")</f>
        <v>changes-between-versions.html#no-guarantee-that-resource-ids-are-preserved</v>
      </c>
      <c r="F288" s="11" t="s">
        <v>1964</v>
      </c>
      <c r="G288" t="s">
        <v>32</v>
      </c>
      <c r="I288" t="s">
        <v>30</v>
      </c>
      <c r="J288" t="s">
        <v>1171</v>
      </c>
      <c r="K288" t="s">
        <v>1171</v>
      </c>
      <c r="L288" t="s">
        <v>1173</v>
      </c>
      <c r="M288" t="s">
        <v>1171</v>
      </c>
      <c r="N288" t="s">
        <v>1171</v>
      </c>
      <c r="O288" t="s">
        <v>1171</v>
      </c>
      <c r="P288" t="s">
        <v>1171</v>
      </c>
      <c r="Q288" t="s">
        <v>1171</v>
      </c>
      <c r="R288" t="str">
        <f>_xlfn.TEXTBEFORE(_xlfn.TEXTAFTER(us_core_reqs[[#This Row],[URL*]],"/",-1),".")</f>
        <v>changes-between-versions</v>
      </c>
      <c r="S288" t="str">
        <f>_xlfn.TEXTAFTER(us_core_reqs[[#This Row],[URL*]],"#",-1)</f>
        <v>no-guarantee-that-resource-ids-are-preserved</v>
      </c>
      <c r="T288" t="str">
        <f>SUBSTITUTE(SUBSTITUTE(PROPER(SUBSTITUTE(us_core_reqs[[#This Row],[Page]], "-", " "))&amp;": "&amp;PROPER(SUBSTITUTE(us_core_reqs[[#This Row],[Section]], "-", " ")),"Us ","US "), "Uscdi", "USCDI")</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51" x14ac:dyDescent="0.2">
      <c r="A289" t="s">
        <v>1171</v>
      </c>
      <c r="B289" t="s">
        <v>1461</v>
      </c>
      <c r="C289" t="str">
        <f>"CONF-"&amp;TEXT(us_core_reqs[[#This Row],[ID*]], "0000")</f>
        <v>CONF-0288</v>
      </c>
      <c r="D289" s="11" t="s">
        <v>1897</v>
      </c>
      <c r="E289" t="str">
        <f>SUBSTITUTE(us_core_reqs[[#This Row],[URL*]], "https://hl7.org/fhir/us/core/STU8/","")</f>
        <v>changes-between-versions.html#expectation-that-data-is-preserved-between-versions</v>
      </c>
      <c r="F289" s="11" t="s">
        <v>1965</v>
      </c>
      <c r="G289" t="s">
        <v>32</v>
      </c>
      <c r="I289" t="s">
        <v>30</v>
      </c>
      <c r="J289" t="s">
        <v>1171</v>
      </c>
      <c r="K289" t="s">
        <v>1171</v>
      </c>
      <c r="L289" t="s">
        <v>1173</v>
      </c>
      <c r="M289" t="s">
        <v>1171</v>
      </c>
      <c r="N289" t="s">
        <v>1171</v>
      </c>
      <c r="O289" t="s">
        <v>1171</v>
      </c>
      <c r="P289" t="s">
        <v>1171</v>
      </c>
      <c r="Q289" t="s">
        <v>1171</v>
      </c>
      <c r="R289" t="str">
        <f>_xlfn.TEXTBEFORE(_xlfn.TEXTAFTER(us_core_reqs[[#This Row],[URL*]],"/",-1),".")</f>
        <v>changes-between-versions</v>
      </c>
      <c r="S289" t="str">
        <f>_xlfn.TEXTAFTER(us_core_reqs[[#This Row],[URL*]],"#",-1)</f>
        <v>expectation-that-data-is-preserved-between-versions</v>
      </c>
      <c r="T289" t="str">
        <f>SUBSTITUTE(SUBSTITUTE(PROPER(SUBSTITUTE(us_core_reqs[[#This Row],[Page]], "-", " "))&amp;": "&amp;PROPER(SUBSTITUTE(us_core_reqs[[#This Row],[Section]], "-", " ")),"Us ","US "), "Uscdi", "USCDI")</f>
        <v>Changes Between Versions: Expectation That Data Is Preserved Between Versions</v>
      </c>
      <c r="U289" t="s">
        <v>32</v>
      </c>
      <c r="V289" t="s">
        <v>1171</v>
      </c>
      <c r="W289" t="s">
        <v>1171</v>
      </c>
      <c r="X289" t="s">
        <v>1171</v>
      </c>
      <c r="Y289" t="s">
        <v>1171</v>
      </c>
      <c r="Z289" t="s">
        <v>1171</v>
      </c>
      <c r="AA289" t="s">
        <v>1171</v>
      </c>
      <c r="AB289" t="s">
        <v>1171</v>
      </c>
      <c r="AC289" t="s">
        <v>1171</v>
      </c>
      <c r="AD289" t="s">
        <v>1171</v>
      </c>
    </row>
    <row r="290" spans="1:30" ht="51" x14ac:dyDescent="0.2">
      <c r="A290" t="s">
        <v>1171</v>
      </c>
      <c r="B290" t="s">
        <v>1462</v>
      </c>
      <c r="C290" t="str">
        <f>"CONF-"&amp;TEXT(us_core_reqs[[#This Row],[ID*]], "0000")</f>
        <v>CONF-0289</v>
      </c>
      <c r="D290" s="11" t="s">
        <v>1897</v>
      </c>
      <c r="E290" t="str">
        <f>SUBSTITUTE(us_core_reqs[[#This Row],[URL*]], "https://hl7.org/fhir/us/core/STU8/","")</f>
        <v>changes-between-versions.html#expectation-that-data-is-preserved-between-versions</v>
      </c>
      <c r="F290" s="11" t="s">
        <v>1966</v>
      </c>
      <c r="G290" t="s">
        <v>32</v>
      </c>
      <c r="I290" t="s">
        <v>30</v>
      </c>
      <c r="J290" t="s">
        <v>1171</v>
      </c>
      <c r="K290" t="s">
        <v>1103</v>
      </c>
      <c r="L290" t="s">
        <v>1176</v>
      </c>
      <c r="M290" t="s">
        <v>312</v>
      </c>
      <c r="N290" t="s">
        <v>1171</v>
      </c>
      <c r="O290" t="s">
        <v>1171</v>
      </c>
      <c r="P290" t="s">
        <v>1171</v>
      </c>
      <c r="Q290" t="s">
        <v>1171</v>
      </c>
      <c r="R290" t="str">
        <f>_xlfn.TEXTBEFORE(_xlfn.TEXTAFTER(us_core_reqs[[#This Row],[URL*]],"/",-1),".")</f>
        <v>changes-between-versions</v>
      </c>
      <c r="S290" t="str">
        <f>_xlfn.TEXTAFTER(us_core_reqs[[#This Row],[URL*]],"#",-1)</f>
        <v>expectation-that-data-is-preserved-between-versions</v>
      </c>
      <c r="T290" t="str">
        <f>SUBSTITUTE(SUBSTITUTE(PROPER(SUBSTITUTE(us_core_reqs[[#This Row],[Page]], "-", " "))&amp;": "&amp;PROPER(SUBSTITUTE(us_core_reqs[[#This Row],[Section]], "-", " ")),"Us ","US "), "Uscdi", "USCDI")</f>
        <v>Changes Between Versions: Expectation That Data Is Preserved Between Versions</v>
      </c>
      <c r="U290" t="s">
        <v>32</v>
      </c>
      <c r="V290" t="s">
        <v>1171</v>
      </c>
      <c r="W290" t="s">
        <v>1171</v>
      </c>
      <c r="X290" t="s">
        <v>1171</v>
      </c>
      <c r="Y290" t="s">
        <v>1171</v>
      </c>
      <c r="Z290" t="s">
        <v>1171</v>
      </c>
      <c r="AA290" t="s">
        <v>1171</v>
      </c>
      <c r="AB290" t="s">
        <v>1171</v>
      </c>
      <c r="AC290" t="s">
        <v>1171</v>
      </c>
      <c r="AD290" t="s">
        <v>1171</v>
      </c>
    </row>
    <row r="291" spans="1:30" ht="85" x14ac:dyDescent="0.2">
      <c r="A291" t="s">
        <v>1171</v>
      </c>
      <c r="B291" t="s">
        <v>1463</v>
      </c>
      <c r="C291" t="str">
        <f>"CONF-"&amp;TEXT(us_core_reqs[[#This Row],[ID*]], "0000")</f>
        <v>CONF-0290</v>
      </c>
      <c r="D291" s="11" t="s">
        <v>1897</v>
      </c>
      <c r="E291" t="str">
        <f>SUBSTITUTE(us_core_reqs[[#This Row],[URL*]], "https://hl7.org/fhir/us/core/STU8/","")</f>
        <v>changes-between-versions.html#expectation-that-data-is-preserved-between-versions</v>
      </c>
      <c r="F291" s="11" t="s">
        <v>1967</v>
      </c>
      <c r="G291" t="s">
        <v>32</v>
      </c>
      <c r="I291" t="s">
        <v>30</v>
      </c>
      <c r="J291" t="s">
        <v>1171</v>
      </c>
      <c r="K291" t="s">
        <v>1171</v>
      </c>
      <c r="L291" t="s">
        <v>1173</v>
      </c>
      <c r="M291" t="s">
        <v>1171</v>
      </c>
      <c r="N291" t="s">
        <v>1171</v>
      </c>
      <c r="O291" t="s">
        <v>1171</v>
      </c>
      <c r="P291" t="s">
        <v>1171</v>
      </c>
      <c r="Q291" t="s">
        <v>1171</v>
      </c>
      <c r="R291" t="str">
        <f>_xlfn.TEXTBEFORE(_xlfn.TEXTAFTER(us_core_reqs[[#This Row],[URL*]],"/",-1),".")</f>
        <v>changes-between-versions</v>
      </c>
      <c r="S291" t="str">
        <f>_xlfn.TEXTAFTER(us_core_reqs[[#This Row],[URL*]],"#",-1)</f>
        <v>expectation-that-data-is-preserved-between-versions</v>
      </c>
      <c r="T291" t="str">
        <f>SUBSTITUTE(SUBSTITUTE(PROPER(SUBSTITUTE(us_core_reqs[[#This Row],[Page]], "-", " "))&amp;": "&amp;PROPER(SUBSTITUTE(us_core_reqs[[#This Row],[Section]], "-", " ")),"Us ","US "), "Uscdi", "USCDI")</f>
        <v>Changes Between Versions: Expectation That Data Is Preserved Between Versions</v>
      </c>
      <c r="U291" t="s">
        <v>35</v>
      </c>
      <c r="V291" t="s">
        <v>1171</v>
      </c>
      <c r="W291" t="s">
        <v>1171</v>
      </c>
      <c r="X291" t="s">
        <v>1171</v>
      </c>
      <c r="Y291" t="s">
        <v>1171</v>
      </c>
      <c r="Z291" t="s">
        <v>1171</v>
      </c>
      <c r="AA291" t="s">
        <v>1171</v>
      </c>
      <c r="AB291" t="s">
        <v>1171</v>
      </c>
      <c r="AC291" t="s">
        <v>1171</v>
      </c>
      <c r="AD291" t="s">
        <v>1171</v>
      </c>
    </row>
    <row r="292" spans="1:30" ht="85" x14ac:dyDescent="0.2">
      <c r="A292" t="s">
        <v>1171</v>
      </c>
      <c r="B292" t="s">
        <v>1464</v>
      </c>
      <c r="C292" t="str">
        <f>"CONF-"&amp;TEXT(us_core_reqs[[#This Row],[ID*]], "0000")</f>
        <v>CONF-0291</v>
      </c>
      <c r="D292" s="11" t="s">
        <v>1897</v>
      </c>
      <c r="E292" t="str">
        <f>SUBSTITUTE(us_core_reqs[[#This Row],[URL*]], "https://hl7.org/fhir/us/core/STU8/","")</f>
        <v>changes-between-versions.html#expectation-that-data-is-preserved-between-versions</v>
      </c>
      <c r="F292" s="11" t="s">
        <v>1968</v>
      </c>
      <c r="G292" t="s">
        <v>32</v>
      </c>
      <c r="I292" t="s">
        <v>30</v>
      </c>
      <c r="J292" t="s">
        <v>1171</v>
      </c>
      <c r="K292" t="s">
        <v>1171</v>
      </c>
      <c r="L292" t="s">
        <v>1173</v>
      </c>
      <c r="M292" t="s">
        <v>1171</v>
      </c>
      <c r="N292" t="s">
        <v>1171</v>
      </c>
      <c r="O292" t="s">
        <v>1171</v>
      </c>
      <c r="P292" t="s">
        <v>1171</v>
      </c>
      <c r="Q292" t="s">
        <v>1171</v>
      </c>
      <c r="R292" t="str">
        <f>_xlfn.TEXTBEFORE(_xlfn.TEXTAFTER(us_core_reqs[[#This Row],[URL*]],"/",-1),".")</f>
        <v>changes-between-versions</v>
      </c>
      <c r="S292" t="str">
        <f>_xlfn.TEXTAFTER(us_core_reqs[[#This Row],[URL*]],"#",-1)</f>
        <v>expectation-that-data-is-preserved-between-versions</v>
      </c>
      <c r="T292" t="str">
        <f>SUBSTITUTE(SUBSTITUTE(PROPER(SUBSTITUTE(us_core_reqs[[#This Row],[Page]], "-", " "))&amp;": "&amp;PROPER(SUBSTITUTE(us_core_reqs[[#This Row],[Section]], "-", " ")),"Us ","US "), "Uscdi", "USCDI")</f>
        <v>Changes Between Versions: Expectation That Data Is Preserved Between Versions</v>
      </c>
      <c r="U292" t="s">
        <v>32</v>
      </c>
      <c r="V292" t="s">
        <v>1171</v>
      </c>
      <c r="W292" t="s">
        <v>1171</v>
      </c>
      <c r="X292" t="s">
        <v>1171</v>
      </c>
      <c r="Y292" t="s">
        <v>1171</v>
      </c>
      <c r="Z292" t="s">
        <v>1171</v>
      </c>
      <c r="AA292" t="s">
        <v>1171</v>
      </c>
      <c r="AB292" t="s">
        <v>1171</v>
      </c>
      <c r="AC292" t="s">
        <v>1171</v>
      </c>
      <c r="AD292" t="s">
        <v>1171</v>
      </c>
    </row>
    <row r="293" spans="1:30" ht="51" x14ac:dyDescent="0.2">
      <c r="A293" t="s">
        <v>1171</v>
      </c>
      <c r="B293" t="s">
        <v>1465</v>
      </c>
      <c r="C293" t="str">
        <f>"CONF-"&amp;TEXT(us_core_reqs[[#This Row],[ID*]], "0000")</f>
        <v>CONF-0292</v>
      </c>
      <c r="D293" s="11" t="s">
        <v>1897</v>
      </c>
      <c r="E293" t="str">
        <f>SUBSTITUTE(us_core_reqs[[#This Row],[URL*]], "https://hl7.org/fhir/us/core/STU8/","")</f>
        <v>changes-between-versions.html#expectation-that-data-is-preserved-between-versions</v>
      </c>
      <c r="F293" s="11" t="s">
        <v>1966</v>
      </c>
      <c r="G293" t="s">
        <v>32</v>
      </c>
      <c r="I293" t="s">
        <v>58</v>
      </c>
      <c r="J293" t="s">
        <v>1171</v>
      </c>
      <c r="K293" t="s">
        <v>1104</v>
      </c>
      <c r="L293" t="s">
        <v>1176</v>
      </c>
      <c r="M293" t="s">
        <v>315</v>
      </c>
      <c r="N293" t="s">
        <v>1171</v>
      </c>
      <c r="O293" t="s">
        <v>1171</v>
      </c>
      <c r="P293" t="s">
        <v>1171</v>
      </c>
      <c r="Q293" t="s">
        <v>1171</v>
      </c>
      <c r="R293" t="str">
        <f>_xlfn.TEXTBEFORE(_xlfn.TEXTAFTER(us_core_reqs[[#This Row],[URL*]],"/",-1),".")</f>
        <v>changes-between-versions</v>
      </c>
      <c r="S293" t="str">
        <f>_xlfn.TEXTAFTER(us_core_reqs[[#This Row],[URL*]],"#",-1)</f>
        <v>expectation-that-data-is-preserved-between-versions</v>
      </c>
      <c r="T293" t="str">
        <f>SUBSTITUTE(SUBSTITUTE(PROPER(SUBSTITUTE(us_core_reqs[[#This Row],[Page]], "-", " "))&amp;": "&amp;PROPER(SUBSTITUTE(us_core_reqs[[#This Row],[Section]], "-", " ")),"Us ","US "), "Uscdi", "USCDI")</f>
        <v>Changes Between Versions: Expectation That Data Is Preserved Between Versions</v>
      </c>
      <c r="U293" t="s">
        <v>32</v>
      </c>
      <c r="V293" t="s">
        <v>1171</v>
      </c>
      <c r="W293" t="s">
        <v>1171</v>
      </c>
      <c r="X293" t="s">
        <v>1171</v>
      </c>
      <c r="Y293" t="s">
        <v>1171</v>
      </c>
      <c r="Z293" t="s">
        <v>1171</v>
      </c>
      <c r="AA293" t="s">
        <v>1171</v>
      </c>
      <c r="AB293" t="s">
        <v>1171</v>
      </c>
      <c r="AC293" t="s">
        <v>1171</v>
      </c>
      <c r="AD293" t="s">
        <v>1171</v>
      </c>
    </row>
    <row r="294" spans="1:30" ht="85" x14ac:dyDescent="0.2">
      <c r="A294" t="s">
        <v>1171</v>
      </c>
      <c r="B294" t="s">
        <v>1466</v>
      </c>
      <c r="C294" t="str">
        <f>"CONF-"&amp;TEXT(us_core_reqs[[#This Row],[ID*]], "0000")</f>
        <v>CONF-0293</v>
      </c>
      <c r="D294" s="11" t="s">
        <v>1897</v>
      </c>
      <c r="E294" t="str">
        <f>SUBSTITUTE(us_core_reqs[[#This Row],[URL*]], "https://hl7.org/fhir/us/core/STU8/","")</f>
        <v>changes-between-versions.html#expectation-that-data-is-preserved-between-versions</v>
      </c>
      <c r="F294" s="11" t="s">
        <v>1967</v>
      </c>
      <c r="G294" t="s">
        <v>32</v>
      </c>
      <c r="I294" t="s">
        <v>58</v>
      </c>
      <c r="J294" t="s">
        <v>1171</v>
      </c>
      <c r="K294" t="s">
        <v>1171</v>
      </c>
      <c r="L294" t="s">
        <v>1173</v>
      </c>
      <c r="M294" t="s">
        <v>1171</v>
      </c>
      <c r="N294" t="s">
        <v>1171</v>
      </c>
      <c r="O294" t="s">
        <v>1171</v>
      </c>
      <c r="P294" t="s">
        <v>1171</v>
      </c>
      <c r="Q294" t="s">
        <v>1171</v>
      </c>
      <c r="R294" t="str">
        <f>_xlfn.TEXTBEFORE(_xlfn.TEXTAFTER(us_core_reqs[[#This Row],[URL*]],"/",-1),".")</f>
        <v>changes-between-versions</v>
      </c>
      <c r="S294" t="str">
        <f>_xlfn.TEXTAFTER(us_core_reqs[[#This Row],[URL*]],"#",-1)</f>
        <v>expectation-that-data-is-preserved-between-versions</v>
      </c>
      <c r="T294" t="str">
        <f>SUBSTITUTE(SUBSTITUTE(PROPER(SUBSTITUTE(us_core_reqs[[#This Row],[Page]], "-", " "))&amp;": "&amp;PROPER(SUBSTITUTE(us_core_reqs[[#This Row],[Section]], "-", " ")),"Us ","US "), "Uscdi", "USCDI")</f>
        <v>Changes Between Versions: Expectation That Data Is Preserved Between Versions</v>
      </c>
      <c r="U294" t="s">
        <v>35</v>
      </c>
      <c r="V294" t="s">
        <v>1171</v>
      </c>
      <c r="W294" t="s">
        <v>1171</v>
      </c>
      <c r="X294" t="s">
        <v>1171</v>
      </c>
      <c r="Y294" t="s">
        <v>1171</v>
      </c>
      <c r="Z294" t="s">
        <v>1171</v>
      </c>
      <c r="AA294" t="s">
        <v>1171</v>
      </c>
      <c r="AB294" t="s">
        <v>1171</v>
      </c>
      <c r="AC294" t="s">
        <v>1171</v>
      </c>
      <c r="AD294" t="s">
        <v>1171</v>
      </c>
    </row>
    <row r="295" spans="1:30" ht="85" x14ac:dyDescent="0.2">
      <c r="A295" t="s">
        <v>1171</v>
      </c>
      <c r="B295" t="s">
        <v>1467</v>
      </c>
      <c r="C295" t="str">
        <f>"CONF-"&amp;TEXT(us_core_reqs[[#This Row],[ID*]], "0000")</f>
        <v>CONF-0294</v>
      </c>
      <c r="D295" s="11" t="s">
        <v>1897</v>
      </c>
      <c r="E295" t="str">
        <f>SUBSTITUTE(us_core_reqs[[#This Row],[URL*]], "https://hl7.org/fhir/us/core/STU8/","")</f>
        <v>changes-between-versions.html#expectation-that-data-is-preserved-between-versions</v>
      </c>
      <c r="F295" s="11" t="s">
        <v>1968</v>
      </c>
      <c r="G295" t="s">
        <v>32</v>
      </c>
      <c r="I295" t="s">
        <v>58</v>
      </c>
      <c r="J295" t="s">
        <v>1171</v>
      </c>
      <c r="K295" t="s">
        <v>1171</v>
      </c>
      <c r="L295" t="s">
        <v>1173</v>
      </c>
      <c r="M295" t="s">
        <v>1171</v>
      </c>
      <c r="N295" t="s">
        <v>1171</v>
      </c>
      <c r="O295" t="s">
        <v>1171</v>
      </c>
      <c r="P295" t="s">
        <v>1171</v>
      </c>
      <c r="Q295" t="s">
        <v>1171</v>
      </c>
      <c r="R295" t="str">
        <f>_xlfn.TEXTBEFORE(_xlfn.TEXTAFTER(us_core_reqs[[#This Row],[URL*]],"/",-1),".")</f>
        <v>changes-between-versions</v>
      </c>
      <c r="S295" t="str">
        <f>_xlfn.TEXTAFTER(us_core_reqs[[#This Row],[URL*]],"#",-1)</f>
        <v>expectation-that-data-is-preserved-between-versions</v>
      </c>
      <c r="T295" t="str">
        <f>SUBSTITUTE(SUBSTITUTE(PROPER(SUBSTITUTE(us_core_reqs[[#This Row],[Page]], "-", " "))&amp;": "&amp;PROPER(SUBSTITUTE(us_core_reqs[[#This Row],[Section]], "-", " ")),"Us ","US "), "Uscdi", "USCDI")</f>
        <v>Changes Between Versions: Expectation That Data Is Preserved Between Versions</v>
      </c>
      <c r="U295" t="s">
        <v>32</v>
      </c>
      <c r="V295" t="s">
        <v>1171</v>
      </c>
      <c r="W295" t="s">
        <v>1171</v>
      </c>
      <c r="X295" t="s">
        <v>1171</v>
      </c>
      <c r="Y295" t="s">
        <v>1171</v>
      </c>
      <c r="Z295" t="s">
        <v>1171</v>
      </c>
      <c r="AA295" t="s">
        <v>1171</v>
      </c>
      <c r="AB295" t="s">
        <v>1171</v>
      </c>
      <c r="AC295" t="s">
        <v>1171</v>
      </c>
      <c r="AD295" t="s">
        <v>1171</v>
      </c>
    </row>
    <row r="296" spans="1:30" ht="51" x14ac:dyDescent="0.2">
      <c r="A296" t="s">
        <v>1171</v>
      </c>
      <c r="B296" t="s">
        <v>1468</v>
      </c>
      <c r="C296" t="str">
        <f>"CONF-"&amp;TEXT(us_core_reqs[[#This Row],[ID*]], "0000")</f>
        <v>CONF-0295</v>
      </c>
      <c r="D296" s="11" t="s">
        <v>1897</v>
      </c>
      <c r="E296" t="str">
        <f>SUBSTITUTE(us_core_reqs[[#This Row],[URL*]], "https://hl7.org/fhir/us/core/STU8/","")</f>
        <v>changes-between-versions.html#expectation-that-data-is-preserved-between-versions</v>
      </c>
      <c r="F296" s="11" t="s">
        <v>1969</v>
      </c>
      <c r="G296" t="s">
        <v>32</v>
      </c>
      <c r="I296" t="s">
        <v>30</v>
      </c>
      <c r="J296" t="s">
        <v>1171</v>
      </c>
      <c r="K296" t="s">
        <v>1105</v>
      </c>
      <c r="L296" t="s">
        <v>1176</v>
      </c>
      <c r="M296" t="s">
        <v>317</v>
      </c>
      <c r="N296" t="s">
        <v>1171</v>
      </c>
      <c r="O296" t="s">
        <v>1171</v>
      </c>
      <c r="P296" t="s">
        <v>1171</v>
      </c>
      <c r="Q296" t="s">
        <v>1171</v>
      </c>
      <c r="R296" t="str">
        <f>_xlfn.TEXTBEFORE(_xlfn.TEXTAFTER(us_core_reqs[[#This Row],[URL*]],"/",-1),".")</f>
        <v>changes-between-versions</v>
      </c>
      <c r="S296" t="str">
        <f>_xlfn.TEXTAFTER(us_core_reqs[[#This Row],[URL*]],"#",-1)</f>
        <v>expectation-that-data-is-preserved-between-versions</v>
      </c>
      <c r="T296" t="str">
        <f>SUBSTITUTE(SUBSTITUTE(PROPER(SUBSTITUTE(us_core_reqs[[#This Row],[Page]], "-", " "))&amp;": "&amp;PROPER(SUBSTITUTE(us_core_reqs[[#This Row],[Section]], "-", " ")),"Us ","US "), "Uscdi", "USCDI")</f>
        <v>Changes Between Versions: Expectation That Data Is Preserved Between Versions</v>
      </c>
      <c r="U296" t="s">
        <v>32</v>
      </c>
      <c r="V296" t="s">
        <v>30</v>
      </c>
      <c r="W296" t="s">
        <v>1171</v>
      </c>
      <c r="X296" t="s">
        <v>1171</v>
      </c>
      <c r="Y296" t="s">
        <v>1171</v>
      </c>
      <c r="Z296" t="s">
        <v>1171</v>
      </c>
      <c r="AA296" t="s">
        <v>1171</v>
      </c>
      <c r="AB296" t="s">
        <v>1171</v>
      </c>
      <c r="AC296" t="s">
        <v>1171</v>
      </c>
      <c r="AD296" t="s">
        <v>1171</v>
      </c>
    </row>
    <row r="297" spans="1:30" ht="85" x14ac:dyDescent="0.2">
      <c r="A297" t="s">
        <v>1171</v>
      </c>
      <c r="B297" t="s">
        <v>1469</v>
      </c>
      <c r="C297" t="str">
        <f>"CONF-"&amp;TEXT(us_core_reqs[[#This Row],[ID*]], "0000")</f>
        <v>CONF-0296</v>
      </c>
      <c r="D297" s="11" t="s">
        <v>1897</v>
      </c>
      <c r="E297" t="str">
        <f>SUBSTITUTE(us_core_reqs[[#This Row],[URL*]], "https://hl7.org/fhir/us/core/STU8/","")</f>
        <v>changes-between-versions.html#expectation-that-data-is-preserved-between-versions</v>
      </c>
      <c r="F297" s="11" t="s">
        <v>1970</v>
      </c>
      <c r="G297" t="s">
        <v>32</v>
      </c>
      <c r="I297" t="s">
        <v>30</v>
      </c>
      <c r="J297" t="s">
        <v>1171</v>
      </c>
      <c r="K297" t="s">
        <v>1171</v>
      </c>
      <c r="L297" t="s">
        <v>1173</v>
      </c>
      <c r="M297" t="s">
        <v>1171</v>
      </c>
      <c r="N297" t="s">
        <v>1171</v>
      </c>
      <c r="O297" t="s">
        <v>1171</v>
      </c>
      <c r="P297" t="s">
        <v>1171</v>
      </c>
      <c r="Q297" t="s">
        <v>1171</v>
      </c>
      <c r="R297" t="str">
        <f>_xlfn.TEXTBEFORE(_xlfn.TEXTAFTER(us_core_reqs[[#This Row],[URL*]],"/",-1),".")</f>
        <v>changes-between-versions</v>
      </c>
      <c r="S297" t="str">
        <f>_xlfn.TEXTAFTER(us_core_reqs[[#This Row],[URL*]],"#",-1)</f>
        <v>expectation-that-data-is-preserved-between-versions</v>
      </c>
      <c r="T297" t="str">
        <f>SUBSTITUTE(SUBSTITUTE(PROPER(SUBSTITUTE(us_core_reqs[[#This Row],[Page]], "-", " "))&amp;": "&amp;PROPER(SUBSTITUTE(us_core_reqs[[#This Row],[Section]], "-", " ")),"Us ","US "), "Uscdi", "USCDI")</f>
        <v>Changes Between Versions: Expectation That Data Is Preserved Between Versions</v>
      </c>
      <c r="U297" t="s">
        <v>32</v>
      </c>
      <c r="V297" t="s">
        <v>30</v>
      </c>
      <c r="W297" t="s">
        <v>31</v>
      </c>
      <c r="X297" t="s">
        <v>1171</v>
      </c>
      <c r="Y297" t="s">
        <v>1171</v>
      </c>
      <c r="Z297" t="s">
        <v>1171</v>
      </c>
      <c r="AA297" t="s">
        <v>1171</v>
      </c>
      <c r="AB297" t="s">
        <v>1171</v>
      </c>
      <c r="AC297" t="s">
        <v>1171</v>
      </c>
      <c r="AD297" t="s">
        <v>1171</v>
      </c>
    </row>
    <row r="298" spans="1:30" ht="85" x14ac:dyDescent="0.2">
      <c r="A298" t="s">
        <v>1171</v>
      </c>
      <c r="B298" t="s">
        <v>1470</v>
      </c>
      <c r="C298" t="str">
        <f>"CONF-"&amp;TEXT(us_core_reqs[[#This Row],[ID*]], "0000")</f>
        <v>CONF-0297</v>
      </c>
      <c r="D298" s="11" t="s">
        <v>1897</v>
      </c>
      <c r="E298" t="str">
        <f>SUBSTITUTE(us_core_reqs[[#This Row],[URL*]], "https://hl7.org/fhir/us/core/STU8/","")</f>
        <v>changes-between-versions.html#expectation-that-data-is-preserved-between-versions</v>
      </c>
      <c r="F298" s="11" t="s">
        <v>1971</v>
      </c>
      <c r="G298" t="s">
        <v>32</v>
      </c>
      <c r="I298" t="s">
        <v>30</v>
      </c>
      <c r="J298" t="s">
        <v>1171</v>
      </c>
      <c r="K298" t="s">
        <v>1171</v>
      </c>
      <c r="L298" t="s">
        <v>1173</v>
      </c>
      <c r="M298" t="s">
        <v>1171</v>
      </c>
      <c r="N298" t="s">
        <v>1171</v>
      </c>
      <c r="O298" t="s">
        <v>1171</v>
      </c>
      <c r="P298" t="s">
        <v>1171</v>
      </c>
      <c r="Q298" t="s">
        <v>1171</v>
      </c>
      <c r="R298" t="str">
        <f>_xlfn.TEXTBEFORE(_xlfn.TEXTAFTER(us_core_reqs[[#This Row],[URL*]],"/",-1),".")</f>
        <v>changes-between-versions</v>
      </c>
      <c r="S298" t="str">
        <f>_xlfn.TEXTAFTER(us_core_reqs[[#This Row],[URL*]],"#",-1)</f>
        <v>expectation-that-data-is-preserved-between-versions</v>
      </c>
      <c r="T298" t="str">
        <f>SUBSTITUTE(SUBSTITUTE(PROPER(SUBSTITUTE(us_core_reqs[[#This Row],[Page]], "-", " "))&amp;": "&amp;PROPER(SUBSTITUTE(us_core_reqs[[#This Row],[Section]], "-", " ")),"Us ","US "), "Uscdi", "USCDI")</f>
        <v>Changes Between Versions: Expectation That Data Is Preserved Between Versions</v>
      </c>
      <c r="U298" t="s">
        <v>32</v>
      </c>
      <c r="V298" t="s">
        <v>30</v>
      </c>
      <c r="W298" t="s">
        <v>320</v>
      </c>
      <c r="X298" t="s">
        <v>1171</v>
      </c>
      <c r="Y298" t="s">
        <v>1171</v>
      </c>
      <c r="Z298" t="s">
        <v>1171</v>
      </c>
      <c r="AA298" t="s">
        <v>1171</v>
      </c>
      <c r="AB298" t="s">
        <v>1171</v>
      </c>
      <c r="AC298" t="s">
        <v>1171</v>
      </c>
      <c r="AD298" t="s">
        <v>1171</v>
      </c>
    </row>
    <row r="299" spans="1:30" ht="51" x14ac:dyDescent="0.2">
      <c r="A299" t="s">
        <v>1171</v>
      </c>
      <c r="B299" t="s">
        <v>1471</v>
      </c>
      <c r="C299" t="str">
        <f>"CONF-"&amp;TEXT(us_core_reqs[[#This Row],[ID*]], "0000")</f>
        <v>CONF-0298</v>
      </c>
      <c r="D299" s="11" t="s">
        <v>1897</v>
      </c>
      <c r="E299" t="str">
        <f>SUBSTITUTE(us_core_reqs[[#This Row],[URL*]], "https://hl7.org/fhir/us/core/STU8/","")</f>
        <v>changes-between-versions.html#expectation-that-data-is-preserved-between-versions</v>
      </c>
      <c r="F299" s="11" t="s">
        <v>1972</v>
      </c>
      <c r="G299" t="s">
        <v>32</v>
      </c>
      <c r="I299" t="s">
        <v>30</v>
      </c>
      <c r="J299" t="s">
        <v>1171</v>
      </c>
      <c r="K299" t="s">
        <v>1171</v>
      </c>
      <c r="L299" t="s">
        <v>1173</v>
      </c>
      <c r="M299" t="s">
        <v>1171</v>
      </c>
      <c r="N299" t="s">
        <v>1171</v>
      </c>
      <c r="O299" t="s">
        <v>1171</v>
      </c>
      <c r="P299" t="s">
        <v>1171</v>
      </c>
      <c r="Q299" t="s">
        <v>1171</v>
      </c>
      <c r="R299" t="str">
        <f>_xlfn.TEXTBEFORE(_xlfn.TEXTAFTER(us_core_reqs[[#This Row],[URL*]],"/",-1),".")</f>
        <v>changes-between-versions</v>
      </c>
      <c r="S299" t="str">
        <f>_xlfn.TEXTAFTER(us_core_reqs[[#This Row],[URL*]],"#",-1)</f>
        <v>expectation-that-data-is-preserved-between-versions</v>
      </c>
      <c r="T299" t="str">
        <f>SUBSTITUTE(SUBSTITUTE(PROPER(SUBSTITUTE(us_core_reqs[[#This Row],[Page]], "-", " "))&amp;": "&amp;PROPER(SUBSTITUTE(us_core_reqs[[#This Row],[Section]], "-", " ")),"Us ","US "), "Uscdi", "USCDI")</f>
        <v>Changes Between Versions: Expectation That Data Is Preserved Between Versions</v>
      </c>
      <c r="U299" t="s">
        <v>32</v>
      </c>
      <c r="V299" t="s">
        <v>1171</v>
      </c>
      <c r="W299" t="s">
        <v>106</v>
      </c>
      <c r="X299" t="s">
        <v>1171</v>
      </c>
      <c r="Y299" t="s">
        <v>1171</v>
      </c>
      <c r="Z299" t="s">
        <v>1171</v>
      </c>
      <c r="AA299" t="s">
        <v>1171</v>
      </c>
      <c r="AB299" t="s">
        <v>1171</v>
      </c>
      <c r="AC299" t="s">
        <v>1171</v>
      </c>
      <c r="AD299" t="s">
        <v>1171</v>
      </c>
    </row>
    <row r="300" spans="1:30" ht="51" x14ac:dyDescent="0.2">
      <c r="A300" t="s">
        <v>1171</v>
      </c>
      <c r="B300" t="s">
        <v>1472</v>
      </c>
      <c r="C300" t="str">
        <f>"CONF-"&amp;TEXT(us_core_reqs[[#This Row],[ID*]], "0000")</f>
        <v>CONF-0299</v>
      </c>
      <c r="D300" s="11" t="s">
        <v>1897</v>
      </c>
      <c r="E300" t="str">
        <f>SUBSTITUTE(us_core_reqs[[#This Row],[URL*]], "https://hl7.org/fhir/us/core/STU8/","")</f>
        <v>changes-between-versions.html#expectation-that-data-is-preserved-between-versions</v>
      </c>
      <c r="F300" s="11" t="s">
        <v>1973</v>
      </c>
      <c r="G300" t="s">
        <v>32</v>
      </c>
      <c r="I300" t="s">
        <v>58</v>
      </c>
      <c r="J300" t="s">
        <v>1171</v>
      </c>
      <c r="K300" t="s">
        <v>1171</v>
      </c>
      <c r="L300" t="s">
        <v>1173</v>
      </c>
      <c r="M300" t="s">
        <v>1171</v>
      </c>
      <c r="N300" t="s">
        <v>1171</v>
      </c>
      <c r="O300" t="s">
        <v>1171</v>
      </c>
      <c r="P300" t="s">
        <v>1171</v>
      </c>
      <c r="Q300" t="s">
        <v>1171</v>
      </c>
      <c r="R300" t="str">
        <f>_xlfn.TEXTBEFORE(_xlfn.TEXTAFTER(us_core_reqs[[#This Row],[URL*]],"/",-1),".")</f>
        <v>changes-between-versions</v>
      </c>
      <c r="S300" t="str">
        <f>_xlfn.TEXTAFTER(us_core_reqs[[#This Row],[URL*]],"#",-1)</f>
        <v>expectation-that-data-is-preserved-between-versions</v>
      </c>
      <c r="T300" t="str">
        <f>SUBSTITUTE(SUBSTITUTE(PROPER(SUBSTITUTE(us_core_reqs[[#This Row],[Page]], "-", " "))&amp;": "&amp;PROPER(SUBSTITUTE(us_core_reqs[[#This Row],[Section]], "-", " ")),"Us ","US "), "Uscdi", "USCDI")</f>
        <v>Changes Between Versions: Expectation That Data Is Preserved Between Versions</v>
      </c>
      <c r="U300" t="s">
        <v>32</v>
      </c>
      <c r="V300" t="s">
        <v>58</v>
      </c>
      <c r="W300" t="s">
        <v>106</v>
      </c>
      <c r="X300" t="s">
        <v>1171</v>
      </c>
      <c r="Y300" t="s">
        <v>1171</v>
      </c>
      <c r="Z300" t="s">
        <v>1171</v>
      </c>
      <c r="AA300" t="s">
        <v>1171</v>
      </c>
      <c r="AB300" t="s">
        <v>1171</v>
      </c>
      <c r="AC300" t="s">
        <v>1171</v>
      </c>
      <c r="AD300" t="s">
        <v>1171</v>
      </c>
    </row>
    <row r="301" spans="1:30" ht="68" x14ac:dyDescent="0.2">
      <c r="A301" t="s">
        <v>1171</v>
      </c>
      <c r="B301" t="s">
        <v>1473</v>
      </c>
      <c r="C301" t="str">
        <f>"CONF-"&amp;TEXT(us_core_reqs[[#This Row],[ID*]], "0000")</f>
        <v>CONF-0300</v>
      </c>
      <c r="D301" s="11" t="s">
        <v>862</v>
      </c>
      <c r="E301" t="str">
        <f>SUBSTITUTE(us_core_reqs[[#This Row],[URL*]], "https://hl7.org/fhir/us/core/STU8/","")</f>
        <v>changes-between-versions.html#authorization-across-versions</v>
      </c>
      <c r="F301" s="11" t="s">
        <v>1898</v>
      </c>
      <c r="G301" t="s">
        <v>32</v>
      </c>
      <c r="I301" t="s">
        <v>30</v>
      </c>
      <c r="J301" t="s">
        <v>1171</v>
      </c>
      <c r="K301" t="s">
        <v>1171</v>
      </c>
      <c r="L301" t="s">
        <v>1173</v>
      </c>
      <c r="M301" t="s">
        <v>1171</v>
      </c>
      <c r="N301" t="s">
        <v>1171</v>
      </c>
      <c r="O301" t="s">
        <v>1171</v>
      </c>
      <c r="P301" t="s">
        <v>1171</v>
      </c>
      <c r="Q301" t="s">
        <v>1171</v>
      </c>
      <c r="R301" t="str">
        <f>_xlfn.TEXTBEFORE(_xlfn.TEXTAFTER(us_core_reqs[[#This Row],[URL*]],"/",-1),".")</f>
        <v>changes-between-versions</v>
      </c>
      <c r="S301" t="str">
        <f>_xlfn.TEXTAFTER(us_core_reqs[[#This Row],[URL*]],"#",-1)</f>
        <v>authorization-across-versions</v>
      </c>
      <c r="T301" t="str">
        <f>SUBSTITUTE(SUBSTITUTE(PROPER(SUBSTITUTE(us_core_reqs[[#This Row],[Page]], "-", " "))&amp;": "&amp;PROPER(SUBSTITUTE(us_core_reqs[[#This Row],[Section]], "-", " ")),"Us ","US "), "Uscdi", "USCDI")</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1474</v>
      </c>
      <c r="C302" t="str">
        <f>"CONF-"&amp;TEXT(us_core_reqs[[#This Row],[ID*]], "0000")</f>
        <v>CONF-0301</v>
      </c>
      <c r="D302" s="11" t="s">
        <v>862</v>
      </c>
      <c r="E302" t="str">
        <f>SUBSTITUTE(us_core_reqs[[#This Row],[URL*]], "https://hl7.org/fhir/us/core/STU8/","")</f>
        <v>changes-between-versions.html#authorization-across-versions</v>
      </c>
      <c r="F302" s="11" t="s">
        <v>322</v>
      </c>
      <c r="G302" t="s">
        <v>64</v>
      </c>
      <c r="I302" t="s">
        <v>58</v>
      </c>
      <c r="J302" t="s">
        <v>1171</v>
      </c>
      <c r="K302" t="s">
        <v>1171</v>
      </c>
      <c r="L302" t="s">
        <v>1173</v>
      </c>
      <c r="M302" t="s">
        <v>1171</v>
      </c>
      <c r="N302" t="s">
        <v>1171</v>
      </c>
      <c r="O302" t="s">
        <v>1171</v>
      </c>
      <c r="P302" t="s">
        <v>1171</v>
      </c>
      <c r="Q302" t="s">
        <v>1171</v>
      </c>
      <c r="R302" t="str">
        <f>_xlfn.TEXTBEFORE(_xlfn.TEXTAFTER(us_core_reqs[[#This Row],[URL*]],"/",-1),".")</f>
        <v>changes-between-versions</v>
      </c>
      <c r="S302" t="str">
        <f>_xlfn.TEXTAFTER(us_core_reqs[[#This Row],[URL*]],"#",-1)</f>
        <v>authorization-across-versions</v>
      </c>
      <c r="T302" t="str">
        <f>SUBSTITUTE(SUBSTITUTE(PROPER(SUBSTITUTE(us_core_reqs[[#This Row],[Page]], "-", " "))&amp;": "&amp;PROPER(SUBSTITUTE(us_core_reqs[[#This Row],[Section]], "-", " ")),"Us ","US "), "Uscdi", "USCDI")</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51" x14ac:dyDescent="0.2">
      <c r="A303" t="s">
        <v>1171</v>
      </c>
      <c r="B303" t="s">
        <v>1475</v>
      </c>
      <c r="C303" t="str">
        <f>"CONF-"&amp;TEXT(us_core_reqs[[#This Row],[ID*]], "0000")</f>
        <v>CONF-0302</v>
      </c>
      <c r="D303" s="11" t="s">
        <v>634</v>
      </c>
      <c r="E303" t="str">
        <f>SUBSTITUTE(us_core_reqs[[#This Row],[URL*]], "https://hl7.org/fhir/us/core/STU8/","")</f>
        <v>StructureDefinition-us-core-allergyintolerance.html#mandatory-and-must-support-data-elements</v>
      </c>
      <c r="F303" s="11" t="s">
        <v>2092</v>
      </c>
      <c r="G303" t="s">
        <v>29</v>
      </c>
      <c r="I303" t="s">
        <v>30</v>
      </c>
      <c r="J303" t="s">
        <v>1171</v>
      </c>
      <c r="K303" t="s">
        <v>1171</v>
      </c>
      <c r="L303" t="s">
        <v>1173</v>
      </c>
      <c r="M303" t="s">
        <v>1171</v>
      </c>
      <c r="N303" t="s">
        <v>1171</v>
      </c>
      <c r="O303" t="s">
        <v>1171</v>
      </c>
      <c r="P303" t="s">
        <v>1171</v>
      </c>
      <c r="Q303" t="s">
        <v>1171</v>
      </c>
      <c r="R303" t="str">
        <f>_xlfn.TEXTBEFORE(_xlfn.TEXTAFTER(us_core_reqs[[#This Row],[URL*]],"/",-1),".")</f>
        <v>StructureDefinition-us-core-allergyintolerance</v>
      </c>
      <c r="S303" t="str">
        <f>_xlfn.TEXTAFTER(us_core_reqs[[#This Row],[URL*]],"#",-1)</f>
        <v>mandatory-and-must-support-data-elements</v>
      </c>
      <c r="T303" t="str">
        <f>SUBSTITUTE(SUBSTITUTE(PROPER(SUBSTITUTE(us_core_reqs[[#This Row],[Page]], "-", " "))&amp;": "&amp;PROPER(SUBSTITUTE(us_core_reqs[[#This Row],[Section]], "-", " ")),"Us ","US "), "Uscdi", "USCDI")</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51" x14ac:dyDescent="0.2">
      <c r="A304" t="s">
        <v>1171</v>
      </c>
      <c r="B304" t="s">
        <v>1476</v>
      </c>
      <c r="C304" t="str">
        <f>"CONF-"&amp;TEXT(us_core_reqs[[#This Row],[ID*]], "0000")</f>
        <v>CONF-0303</v>
      </c>
      <c r="D304" s="11" t="s">
        <v>634</v>
      </c>
      <c r="E304" t="str">
        <f>SUBSTITUTE(us_core_reqs[[#This Row],[URL*]], "https://hl7.org/fhir/us/core/STU8/","")</f>
        <v>StructureDefinition-us-core-allergyintolerance.html#mandatory-and-must-support-data-elements</v>
      </c>
      <c r="F304" s="11" t="s">
        <v>2117</v>
      </c>
      <c r="G304" t="s">
        <v>1833</v>
      </c>
      <c r="I304" t="s">
        <v>30</v>
      </c>
      <c r="J304" t="s">
        <v>1171</v>
      </c>
      <c r="K304" t="s">
        <v>1171</v>
      </c>
      <c r="L304" t="s">
        <v>1173</v>
      </c>
      <c r="M304" t="s">
        <v>1171</v>
      </c>
      <c r="N304" t="s">
        <v>1171</v>
      </c>
      <c r="O304" t="s">
        <v>1171</v>
      </c>
      <c r="P304" t="s">
        <v>1171</v>
      </c>
      <c r="Q304" t="s">
        <v>1171</v>
      </c>
      <c r="R304" t="str">
        <f>_xlfn.TEXTBEFORE(_xlfn.TEXTAFTER(us_core_reqs[[#This Row],[URL*]],"/",-1),".")</f>
        <v>StructureDefinition-us-core-allergyintolerance</v>
      </c>
      <c r="S304" t="str">
        <f>_xlfn.TEXTAFTER(us_core_reqs[[#This Row],[URL*]],"#",-1)</f>
        <v>mandatory-and-must-support-data-elements</v>
      </c>
      <c r="T304" t="str">
        <f>SUBSTITUTE(SUBSTITUTE(PROPER(SUBSTITUTE(us_core_reqs[[#This Row],[Page]], "-", " "))&amp;": "&amp;PROPER(SUBSTITUTE(us_core_reqs[[#This Row],[Section]], "-", " ")),"Us ","US "), "Uscdi", "USCDI")</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51" x14ac:dyDescent="0.2">
      <c r="A305" t="s">
        <v>1171</v>
      </c>
      <c r="B305" t="s">
        <v>1477</v>
      </c>
      <c r="C305" t="str">
        <f>"CONF-"&amp;TEXT(us_core_reqs[[#This Row],[ID*]], "0000")</f>
        <v>CONF-0304</v>
      </c>
      <c r="D305" s="11" t="s">
        <v>634</v>
      </c>
      <c r="E305" t="str">
        <f>SUBSTITUTE(us_core_reqs[[#This Row],[URL*]], "https://hl7.org/fhir/us/core/STU8/","")</f>
        <v>StructureDefinition-us-core-allergyintolerance.html#mandatory-and-must-support-data-elements</v>
      </c>
      <c r="F305" s="11" t="s">
        <v>325</v>
      </c>
      <c r="G305" t="s">
        <v>64</v>
      </c>
      <c r="I305" t="s">
        <v>30</v>
      </c>
      <c r="J305" t="s">
        <v>1171</v>
      </c>
      <c r="K305" t="s">
        <v>1171</v>
      </c>
      <c r="L305" t="s">
        <v>1173</v>
      </c>
      <c r="M305" t="s">
        <v>1171</v>
      </c>
      <c r="N305" t="s">
        <v>1171</v>
      </c>
      <c r="O305" t="s">
        <v>1171</v>
      </c>
      <c r="P305" t="s">
        <v>1171</v>
      </c>
      <c r="Q305" t="s">
        <v>1171</v>
      </c>
      <c r="R305" t="str">
        <f>_xlfn.TEXTBEFORE(_xlfn.TEXTAFTER(us_core_reqs[[#This Row],[URL*]],"/",-1),".")</f>
        <v>StructureDefinition-us-core-allergyintolerance</v>
      </c>
      <c r="S305" t="str">
        <f>_xlfn.TEXTAFTER(us_core_reqs[[#This Row],[URL*]],"#",-1)</f>
        <v>mandatory-and-must-support-data-elements</v>
      </c>
      <c r="T305" t="str">
        <f>SUBSTITUTE(SUBSTITUTE(PROPER(SUBSTITUTE(us_core_reqs[[#This Row],[Page]], "-", " "))&amp;": "&amp;PROPER(SUBSTITUTE(us_core_reqs[[#This Row],[Section]], "-", " ")),"Us ","US "), "Uscdi", "USCDI")</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68" x14ac:dyDescent="0.2">
      <c r="A306" t="s">
        <v>1171</v>
      </c>
      <c r="B306" t="s">
        <v>1478</v>
      </c>
      <c r="C306" t="str">
        <f>"CONF-"&amp;TEXT(us_core_reqs[[#This Row],[ID*]], "0000")</f>
        <v>CONF-0305</v>
      </c>
      <c r="D306" s="11" t="s">
        <v>634</v>
      </c>
      <c r="E306" t="str">
        <f>SUBSTITUTE(us_core_reqs[[#This Row],[URL*]], "https://hl7.org/fhir/us/core/STU8/","")</f>
        <v>StructureDefinition-us-core-allergyintolerance.html#mandatory-and-must-support-data-elements</v>
      </c>
      <c r="F306" s="11" t="s">
        <v>326</v>
      </c>
      <c r="G306" t="s">
        <v>35</v>
      </c>
      <c r="H306" t="s">
        <v>1879</v>
      </c>
      <c r="I306" t="s">
        <v>30</v>
      </c>
      <c r="J306" t="s">
        <v>1171</v>
      </c>
      <c r="K306" t="s">
        <v>1106</v>
      </c>
      <c r="L306" t="s">
        <v>1176</v>
      </c>
      <c r="M306" t="s">
        <v>327</v>
      </c>
      <c r="N306" t="s">
        <v>1171</v>
      </c>
      <c r="O306" t="s">
        <v>1171</v>
      </c>
      <c r="P306" t="s">
        <v>1171</v>
      </c>
      <c r="Q306" t="s">
        <v>1171</v>
      </c>
      <c r="R306" t="str">
        <f>_xlfn.TEXTBEFORE(_xlfn.TEXTAFTER(us_core_reqs[[#This Row],[URL*]],"/",-1),".")</f>
        <v>StructureDefinition-us-core-allergyintolerance</v>
      </c>
      <c r="S306" t="str">
        <f>_xlfn.TEXTAFTER(us_core_reqs[[#This Row],[URL*]],"#",-1)</f>
        <v>mandatory-and-must-support-data-elements</v>
      </c>
      <c r="T306" t="str">
        <f>SUBSTITUTE(SUBSTITUTE(PROPER(SUBSTITUTE(us_core_reqs[[#This Row],[Page]], "-", " "))&amp;": "&amp;PROPER(SUBSTITUTE(us_core_reqs[[#This Row],[Section]], "-", " ")),"Us ","US "), "Uscdi", "USCDI")</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51" x14ac:dyDescent="0.2">
      <c r="A307" t="s">
        <v>1171</v>
      </c>
      <c r="B307" t="s">
        <v>1479</v>
      </c>
      <c r="C307" t="str">
        <f>"CONF-"&amp;TEXT(us_core_reqs[[#This Row],[ID*]], "0000")</f>
        <v>CONF-0306</v>
      </c>
      <c r="D307" s="11" t="s">
        <v>634</v>
      </c>
      <c r="E307" t="str">
        <f>SUBSTITUTE(us_core_reqs[[#This Row],[URL*]], "https://hl7.org/fhir/us/core/STU8/","")</f>
        <v>StructureDefinition-us-core-allergyintolerance.html#mandatory-and-must-support-data-elements</v>
      </c>
      <c r="F307" s="11" t="s">
        <v>328</v>
      </c>
      <c r="G307" t="s">
        <v>29</v>
      </c>
      <c r="I307" t="s">
        <v>30</v>
      </c>
      <c r="J307" t="s">
        <v>1171</v>
      </c>
      <c r="K307" t="s">
        <v>1171</v>
      </c>
      <c r="L307" t="s">
        <v>1176</v>
      </c>
      <c r="M307" t="s">
        <v>329</v>
      </c>
      <c r="N307" t="s">
        <v>1171</v>
      </c>
      <c r="O307" t="s">
        <v>1171</v>
      </c>
      <c r="P307" t="s">
        <v>1171</v>
      </c>
      <c r="Q307" t="s">
        <v>1171</v>
      </c>
      <c r="R307" t="str">
        <f>_xlfn.TEXTBEFORE(_xlfn.TEXTAFTER(us_core_reqs[[#This Row],[URL*]],"/",-1),".")</f>
        <v>StructureDefinition-us-core-allergyintolerance</v>
      </c>
      <c r="S307" t="str">
        <f>_xlfn.TEXTAFTER(us_core_reqs[[#This Row],[URL*]],"#",-1)</f>
        <v>mandatory-and-must-support-data-elements</v>
      </c>
      <c r="T307" t="str">
        <f>SUBSTITUTE(SUBSTITUTE(PROPER(SUBSTITUTE(us_core_reqs[[#This Row],[Page]], "-", " "))&amp;": "&amp;PROPER(SUBSTITUTE(us_core_reqs[[#This Row],[Section]], "-", " ")),"Us ","US "), "Uscdi", "USCDI")</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51" x14ac:dyDescent="0.2">
      <c r="A308" t="s">
        <v>1171</v>
      </c>
      <c r="B308" t="s">
        <v>1480</v>
      </c>
      <c r="C308" t="str">
        <f>"CONF-"&amp;TEXT(us_core_reqs[[#This Row],[ID*]], "0000")</f>
        <v>CONF-0307</v>
      </c>
      <c r="D308" s="11" t="s">
        <v>634</v>
      </c>
      <c r="E308" t="str">
        <f>SUBSTITUTE(us_core_reqs[[#This Row],[URL*]], "https://hl7.org/fhir/us/core/STU8/","")</f>
        <v>StructureDefinition-us-core-allergyintolerance.html#mandatory-and-must-support-data-elements</v>
      </c>
      <c r="F308" s="11" t="s">
        <v>330</v>
      </c>
      <c r="G308" t="s">
        <v>29</v>
      </c>
      <c r="I308" t="s">
        <v>30</v>
      </c>
      <c r="J308" t="s">
        <v>1171</v>
      </c>
      <c r="K308" t="s">
        <v>1171</v>
      </c>
      <c r="L308" t="s">
        <v>1176</v>
      </c>
      <c r="M308" t="s">
        <v>329</v>
      </c>
      <c r="N308" t="s">
        <v>1171</v>
      </c>
      <c r="O308" t="s">
        <v>1171</v>
      </c>
      <c r="P308" t="s">
        <v>1171</v>
      </c>
      <c r="Q308" t="s">
        <v>1171</v>
      </c>
      <c r="R308" t="str">
        <f>_xlfn.TEXTBEFORE(_xlfn.TEXTAFTER(us_core_reqs[[#This Row],[URL*]],"/",-1),".")</f>
        <v>StructureDefinition-us-core-allergyintolerance</v>
      </c>
      <c r="S308" t="str">
        <f>_xlfn.TEXTAFTER(us_core_reqs[[#This Row],[URL*]],"#",-1)</f>
        <v>mandatory-and-must-support-data-elements</v>
      </c>
      <c r="T308" t="str">
        <f>SUBSTITUTE(SUBSTITUTE(PROPER(SUBSTITUTE(us_core_reqs[[#This Row],[Page]], "-", " "))&amp;": "&amp;PROPER(SUBSTITUTE(us_core_reqs[[#This Row],[Section]], "-", " ")),"Us ","US "), "Uscdi", "USCDI")</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102" x14ac:dyDescent="0.2">
      <c r="A309" t="s">
        <v>1171</v>
      </c>
      <c r="B309" t="s">
        <v>1481</v>
      </c>
      <c r="C309" t="str">
        <f>"CONF-"&amp;TEXT(us_core_reqs[[#This Row],[ID*]], "0000")</f>
        <v>CONF-0308</v>
      </c>
      <c r="D309" s="11" t="s">
        <v>634</v>
      </c>
      <c r="E309" t="str">
        <f>SUBSTITUTE(us_core_reqs[[#This Row],[URL*]], "https://hl7.org/fhir/us/core/STU8/","")</f>
        <v>StructureDefinition-us-core-allergyintolerance.html#mandatory-and-must-support-data-elements</v>
      </c>
      <c r="F309" s="11" t="s">
        <v>331</v>
      </c>
      <c r="G309" t="s">
        <v>32</v>
      </c>
      <c r="I309" t="s">
        <v>30</v>
      </c>
      <c r="J309" t="s">
        <v>1171</v>
      </c>
      <c r="K309" t="s">
        <v>1171</v>
      </c>
      <c r="L309" t="s">
        <v>1176</v>
      </c>
      <c r="M309" t="s">
        <v>332</v>
      </c>
      <c r="N309" t="s">
        <v>1171</v>
      </c>
      <c r="O309" t="s">
        <v>1171</v>
      </c>
      <c r="P309" t="s">
        <v>1171</v>
      </c>
      <c r="Q309" t="s">
        <v>1171</v>
      </c>
      <c r="R309" t="str">
        <f>_xlfn.TEXTBEFORE(_xlfn.TEXTAFTER(us_core_reqs[[#This Row],[URL*]],"/",-1),".")</f>
        <v>StructureDefinition-us-core-allergyintolerance</v>
      </c>
      <c r="S309" t="str">
        <f>_xlfn.TEXTAFTER(us_core_reqs[[#This Row],[URL*]],"#",-1)</f>
        <v>mandatory-and-must-support-data-elements</v>
      </c>
      <c r="T309" t="str">
        <f>SUBSTITUTE(SUBSTITUTE(PROPER(SUBSTITUTE(us_core_reqs[[#This Row],[Page]], "-", " "))&amp;": "&amp;PROPER(SUBSTITUTE(us_core_reqs[[#This Row],[Section]], "-", " ")),"Us ","US "), "Uscdi", "USCDI")</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1482</v>
      </c>
      <c r="C310" t="str">
        <f>"CONF-"&amp;TEXT(us_core_reqs[[#This Row],[ID*]], "0000")</f>
        <v>CONF-0309</v>
      </c>
      <c r="D310" s="11" t="s">
        <v>634</v>
      </c>
      <c r="E310" t="str">
        <f>SUBSTITUTE(us_core_reqs[[#This Row],[URL*]], "https://hl7.org/fhir/us/core/STU8/","")</f>
        <v>StructureDefinition-us-core-allergyintolerance.html#mandatory-and-must-support-data-elements</v>
      </c>
      <c r="F310" s="11" t="s">
        <v>333</v>
      </c>
      <c r="G310" t="s">
        <v>32</v>
      </c>
      <c r="I310" t="s">
        <v>30</v>
      </c>
      <c r="J310" t="s">
        <v>1171</v>
      </c>
      <c r="K310" t="s">
        <v>1171</v>
      </c>
      <c r="L310" t="s">
        <v>1176</v>
      </c>
      <c r="M310" t="s">
        <v>334</v>
      </c>
      <c r="N310" t="s">
        <v>1171</v>
      </c>
      <c r="O310" t="s">
        <v>1171</v>
      </c>
      <c r="P310" t="s">
        <v>1171</v>
      </c>
      <c r="Q310" t="s">
        <v>1171</v>
      </c>
      <c r="R310" t="str">
        <f>_xlfn.TEXTBEFORE(_xlfn.TEXTAFTER(us_core_reqs[[#This Row],[URL*]],"/",-1),".")</f>
        <v>StructureDefinition-us-core-allergyintolerance</v>
      </c>
      <c r="S310" t="str">
        <f>_xlfn.TEXTAFTER(us_core_reqs[[#This Row],[URL*]],"#",-1)</f>
        <v>mandatory-and-must-support-data-elements</v>
      </c>
      <c r="T310" t="str">
        <f>SUBSTITUTE(SUBSTITUTE(PROPER(SUBSTITUTE(us_core_reqs[[#This Row],[Page]], "-", " "))&amp;": "&amp;PROPER(SUBSTITUTE(us_core_reqs[[#This Row],[Section]], "-", " ")),"Us ","US "), "Uscdi", "USCDI")</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68" x14ac:dyDescent="0.2">
      <c r="A311" t="s">
        <v>1171</v>
      </c>
      <c r="B311" t="s">
        <v>1483</v>
      </c>
      <c r="C311" t="str">
        <f>"CONF-"&amp;TEXT(us_core_reqs[[#This Row],[ID*]], "0000")</f>
        <v>CONF-0310</v>
      </c>
      <c r="D311" s="11" t="s">
        <v>636</v>
      </c>
      <c r="E311" t="str">
        <f>SUBSTITUTE(us_core_reqs[[#This Row],[URL*]], "https://hl7.org/fhir/us/core/STU8/","")</f>
        <v>StructureDefinition-us-core-careplan.html#mandatory-and-must-support-data-elements</v>
      </c>
      <c r="F311" s="11" t="s">
        <v>1974</v>
      </c>
      <c r="G311" t="s">
        <v>32</v>
      </c>
      <c r="I311" t="s">
        <v>30</v>
      </c>
      <c r="J311" t="s">
        <v>1171</v>
      </c>
      <c r="K311" t="s">
        <v>1171</v>
      </c>
      <c r="L311" t="s">
        <v>1173</v>
      </c>
      <c r="M311" t="s">
        <v>1171</v>
      </c>
      <c r="N311" t="s">
        <v>1171</v>
      </c>
      <c r="O311" t="s">
        <v>1171</v>
      </c>
      <c r="P311" t="s">
        <v>1171</v>
      </c>
      <c r="Q311" t="s">
        <v>1171</v>
      </c>
      <c r="R311" t="str">
        <f>_xlfn.TEXTBEFORE(_xlfn.TEXTAFTER(us_core_reqs[[#This Row],[URL*]],"/",-1),".")</f>
        <v>StructureDefinition-us-core-careplan</v>
      </c>
      <c r="S311" t="str">
        <f>_xlfn.TEXTAFTER(us_core_reqs[[#This Row],[URL*]],"#",-1)</f>
        <v>mandatory-and-must-support-data-elements</v>
      </c>
      <c r="T311" t="str">
        <f>SUBSTITUTE(SUBSTITUTE(PROPER(SUBSTITUTE(us_core_reqs[[#This Row],[Page]], "-", " "))&amp;": "&amp;PROPER(SUBSTITUTE(us_core_reqs[[#This Row],[Section]], "-", " ")),"Us ","US "), "Uscdi", "USCDI")</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68" x14ac:dyDescent="0.2">
      <c r="A312" t="s">
        <v>1171</v>
      </c>
      <c r="B312" t="s">
        <v>1484</v>
      </c>
      <c r="C312" t="str">
        <f>"CONF-"&amp;TEXT(us_core_reqs[[#This Row],[ID*]], "0000")</f>
        <v>CONF-0311</v>
      </c>
      <c r="D312" s="11" t="s">
        <v>636</v>
      </c>
      <c r="E312" t="str">
        <f>SUBSTITUTE(us_core_reqs[[#This Row],[URL*]], "https://hl7.org/fhir/us/core/STU8/","")</f>
        <v>StructureDefinition-us-core-careplan.html#mandatory-and-must-support-data-elements</v>
      </c>
      <c r="F312" s="11" t="s">
        <v>1975</v>
      </c>
      <c r="G312" t="s">
        <v>32</v>
      </c>
      <c r="I312" t="s">
        <v>30</v>
      </c>
      <c r="J312" t="s">
        <v>1171</v>
      </c>
      <c r="K312" t="s">
        <v>1171</v>
      </c>
      <c r="L312" t="s">
        <v>1173</v>
      </c>
      <c r="M312" t="s">
        <v>1171</v>
      </c>
      <c r="N312" t="s">
        <v>1171</v>
      </c>
      <c r="O312" t="s">
        <v>1171</v>
      </c>
      <c r="P312" t="s">
        <v>1171</v>
      </c>
      <c r="Q312" t="s">
        <v>1171</v>
      </c>
      <c r="R312" t="str">
        <f>_xlfn.TEXTBEFORE(_xlfn.TEXTAFTER(us_core_reqs[[#This Row],[URL*]],"/",-1),".")</f>
        <v>StructureDefinition-us-core-careplan</v>
      </c>
      <c r="S312" t="str">
        <f>_xlfn.TEXTAFTER(us_core_reqs[[#This Row],[URL*]],"#",-1)</f>
        <v>mandatory-and-must-support-data-elements</v>
      </c>
      <c r="T312" t="str">
        <f>SUBSTITUTE(SUBSTITUTE(PROPER(SUBSTITUTE(us_core_reqs[[#This Row],[Page]], "-", " "))&amp;": "&amp;PROPER(SUBSTITUTE(us_core_reqs[[#This Row],[Section]], "-", " ")),"Us ","US "), "Uscdi", "USCDI")</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68" x14ac:dyDescent="0.2">
      <c r="A313" t="s">
        <v>1171</v>
      </c>
      <c r="B313" t="s">
        <v>1485</v>
      </c>
      <c r="C313" t="str">
        <f>"CONF-"&amp;TEXT(us_core_reqs[[#This Row],[ID*]], "0000")</f>
        <v>CONF-0312</v>
      </c>
      <c r="D313" s="11" t="s">
        <v>636</v>
      </c>
      <c r="E313" t="str">
        <f>SUBSTITUTE(us_core_reqs[[#This Row],[URL*]], "https://hl7.org/fhir/us/core/STU8/","")</f>
        <v>StructureDefinition-us-core-careplan.html#mandatory-and-must-support-data-elements</v>
      </c>
      <c r="F313" s="11" t="s">
        <v>2075</v>
      </c>
      <c r="G313" t="s">
        <v>35</v>
      </c>
      <c r="I313" t="s">
        <v>30</v>
      </c>
      <c r="J313" t="s">
        <v>1171</v>
      </c>
      <c r="K313" t="s">
        <v>1171</v>
      </c>
      <c r="L313" t="s">
        <v>1173</v>
      </c>
      <c r="M313" t="s">
        <v>1171</v>
      </c>
      <c r="N313" t="s">
        <v>1171</v>
      </c>
      <c r="O313" t="s">
        <v>1171</v>
      </c>
      <c r="P313" t="s">
        <v>1171</v>
      </c>
      <c r="Q313" t="s">
        <v>1171</v>
      </c>
      <c r="R313" t="str">
        <f>_xlfn.TEXTBEFORE(_xlfn.TEXTAFTER(us_core_reqs[[#This Row],[URL*]],"/",-1),".")</f>
        <v>StructureDefinition-us-core-careplan</v>
      </c>
      <c r="S313" t="str">
        <f>_xlfn.TEXTAFTER(us_core_reqs[[#This Row],[URL*]],"#",-1)</f>
        <v>mandatory-and-must-support-data-elements</v>
      </c>
      <c r="T313" t="str">
        <f>SUBSTITUTE(SUBSTITUTE(PROPER(SUBSTITUTE(us_core_reqs[[#This Row],[Page]], "-", " "))&amp;": "&amp;PROPER(SUBSTITUTE(us_core_reqs[[#This Row],[Section]], "-", " ")),"Us ","US "), "Uscdi", "USCDI")</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68" x14ac:dyDescent="0.2">
      <c r="A314" t="s">
        <v>1171</v>
      </c>
      <c r="B314" t="s">
        <v>1486</v>
      </c>
      <c r="C314" t="str">
        <f>"CONF-"&amp;TEXT(us_core_reqs[[#This Row],[ID*]], "0000")</f>
        <v>CONF-0313</v>
      </c>
      <c r="D314" s="11" t="s">
        <v>863</v>
      </c>
      <c r="E314" t="str">
        <f>SUBSTITUTE(us_core_reqs[[#This Row],[URL*]], "https://hl7.org/fhir/us/core/STU8/","")</f>
        <v>StructureDefinition-us-core-careteam.html#mandatory-and-must-support-data-elements</v>
      </c>
      <c r="F314" s="11" t="s">
        <v>2143</v>
      </c>
      <c r="G314" t="s">
        <v>29</v>
      </c>
      <c r="I314" t="s">
        <v>30</v>
      </c>
      <c r="J314" t="s">
        <v>1171</v>
      </c>
      <c r="K314" t="s">
        <v>1171</v>
      </c>
      <c r="L314" t="s">
        <v>1176</v>
      </c>
      <c r="M314" t="s">
        <v>339</v>
      </c>
      <c r="N314" t="s">
        <v>1171</v>
      </c>
      <c r="O314" t="s">
        <v>1171</v>
      </c>
      <c r="P314" t="s">
        <v>1171</v>
      </c>
      <c r="Q314" t="s">
        <v>1171</v>
      </c>
      <c r="R314" t="str">
        <f>_xlfn.TEXTBEFORE(_xlfn.TEXTAFTER(us_core_reqs[[#This Row],[URL*]],"/",-1),".")</f>
        <v>StructureDefinition-us-core-careteam</v>
      </c>
      <c r="S314" t="str">
        <f>_xlfn.TEXTAFTER(us_core_reqs[[#This Row],[URL*]],"#",-1)</f>
        <v>mandatory-and-must-support-data-elements</v>
      </c>
      <c r="T314" t="str">
        <f>SUBSTITUTE(SUBSTITUTE(PROPER(SUBSTITUTE(us_core_reqs[[#This Row],[Page]], "-", " "))&amp;": "&amp;PROPER(SUBSTITUTE(us_core_reqs[[#This Row],[Section]], "-", " ")),"Us ","US "), "Uscdi", "USCDI")</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1487</v>
      </c>
      <c r="C315" t="str">
        <f>"CONF-"&amp;TEXT(us_core_reqs[[#This Row],[ID*]], "0000")</f>
        <v>CONF-0314</v>
      </c>
      <c r="D315" s="11" t="s">
        <v>863</v>
      </c>
      <c r="E315" t="str">
        <f>SUBSTITUTE(us_core_reqs[[#This Row],[URL*]], "https://hl7.org/fhir/us/core/STU8/","")</f>
        <v>StructureDefinition-us-core-careteam.html#mandatory-and-must-support-data-elements</v>
      </c>
      <c r="F315" s="11" t="s">
        <v>1899</v>
      </c>
      <c r="G315" t="s">
        <v>29</v>
      </c>
      <c r="I315" t="s">
        <v>58</v>
      </c>
      <c r="J315" t="s">
        <v>1171</v>
      </c>
      <c r="K315" t="s">
        <v>1171</v>
      </c>
      <c r="L315" t="s">
        <v>1173</v>
      </c>
      <c r="M315" t="s">
        <v>1171</v>
      </c>
      <c r="N315" t="s">
        <v>1171</v>
      </c>
      <c r="O315" t="s">
        <v>1171</v>
      </c>
      <c r="P315" t="s">
        <v>1171</v>
      </c>
      <c r="Q315" t="s">
        <v>1171</v>
      </c>
      <c r="R315" t="str">
        <f>_xlfn.TEXTBEFORE(_xlfn.TEXTAFTER(us_core_reqs[[#This Row],[URL*]],"/",-1),".")</f>
        <v>StructureDefinition-us-core-careteam</v>
      </c>
      <c r="S315" t="str">
        <f>_xlfn.TEXTAFTER(us_core_reqs[[#This Row],[URL*]],"#",-1)</f>
        <v>mandatory-and-must-support-data-elements</v>
      </c>
      <c r="T315" t="str">
        <f>SUBSTITUTE(SUBSTITUTE(PROPER(SUBSTITUTE(us_core_reqs[[#This Row],[Page]], "-", " "))&amp;": "&amp;PROPER(SUBSTITUTE(us_core_reqs[[#This Row],[Section]], "-", " ")),"Us ","US "), "Uscdi", "USCDI")</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1488</v>
      </c>
      <c r="C316" t="str">
        <f>"CONF-"&amp;TEXT(us_core_reqs[[#This Row],[ID*]], "0000")</f>
        <v>CONF-0315</v>
      </c>
      <c r="D316" s="11" t="s">
        <v>863</v>
      </c>
      <c r="E316" t="str">
        <f>SUBSTITUTE(us_core_reqs[[#This Row],[URL*]], "https://hl7.org/fhir/us/core/STU8/","")</f>
        <v>StructureDefinition-us-core-careteam.html#mandatory-and-must-support-data-elements</v>
      </c>
      <c r="F316" s="11" t="s">
        <v>2144</v>
      </c>
      <c r="G316" t="s">
        <v>29</v>
      </c>
      <c r="I316" t="s">
        <v>58</v>
      </c>
      <c r="J316" t="s">
        <v>1171</v>
      </c>
      <c r="K316" t="s">
        <v>1171</v>
      </c>
      <c r="L316" t="s">
        <v>1173</v>
      </c>
      <c r="M316" t="s">
        <v>1171</v>
      </c>
      <c r="N316" t="s">
        <v>1171</v>
      </c>
      <c r="O316" t="s">
        <v>1171</v>
      </c>
      <c r="P316" t="s">
        <v>1171</v>
      </c>
      <c r="Q316" t="s">
        <v>1171</v>
      </c>
      <c r="R316" t="str">
        <f>_xlfn.TEXTBEFORE(_xlfn.TEXTAFTER(us_core_reqs[[#This Row],[URL*]],"/",-1),".")</f>
        <v>StructureDefinition-us-core-careteam</v>
      </c>
      <c r="S316" t="str">
        <f>_xlfn.TEXTAFTER(us_core_reqs[[#This Row],[URL*]],"#",-1)</f>
        <v>mandatory-and-must-support-data-elements</v>
      </c>
      <c r="T316" t="str">
        <f>SUBSTITUTE(SUBSTITUTE(PROPER(SUBSTITUTE(us_core_reqs[[#This Row],[Page]], "-", " "))&amp;": "&amp;PROPER(SUBSTITUTE(us_core_reqs[[#This Row],[Section]], "-", " ")),"Us ","US "), "Uscdi", "USCDI")</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1489</v>
      </c>
      <c r="C317" t="str">
        <f>"CONF-"&amp;TEXT(us_core_reqs[[#This Row],[ID*]], "0000")</f>
        <v>CONF-0316</v>
      </c>
      <c r="D317" s="11" t="s">
        <v>863</v>
      </c>
      <c r="E317" t="str">
        <f>SUBSTITUTE(us_core_reqs[[#This Row],[URL*]], "https://hl7.org/fhir/us/core/STU8/","")</f>
        <v>StructureDefinition-us-core-careteam.html#mandatory-and-must-support-data-elements</v>
      </c>
      <c r="F317" s="11" t="s">
        <v>2145</v>
      </c>
      <c r="G317" t="s">
        <v>29</v>
      </c>
      <c r="I317" t="s">
        <v>58</v>
      </c>
      <c r="J317" t="s">
        <v>1171</v>
      </c>
      <c r="K317" t="s">
        <v>1171</v>
      </c>
      <c r="L317" t="s">
        <v>1173</v>
      </c>
      <c r="M317" t="s">
        <v>1171</v>
      </c>
      <c r="N317" t="s">
        <v>1171</v>
      </c>
      <c r="O317" t="s">
        <v>1171</v>
      </c>
      <c r="P317" t="s">
        <v>1171</v>
      </c>
      <c r="Q317" t="s">
        <v>1171</v>
      </c>
      <c r="R317" t="str">
        <f>_xlfn.TEXTBEFORE(_xlfn.TEXTAFTER(us_core_reqs[[#This Row],[URL*]],"/",-1),".")</f>
        <v>StructureDefinition-us-core-careteam</v>
      </c>
      <c r="S317" t="str">
        <f>_xlfn.TEXTAFTER(us_core_reqs[[#This Row],[URL*]],"#",-1)</f>
        <v>mandatory-and-must-support-data-elements</v>
      </c>
      <c r="T317" t="str">
        <f>SUBSTITUTE(SUBSTITUTE(PROPER(SUBSTITUTE(us_core_reqs[[#This Row],[Page]], "-", " "))&amp;": "&amp;PROPER(SUBSTITUTE(us_core_reqs[[#This Row],[Section]], "-", " ")),"Us ","US "), "Uscdi", "USCDI")</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102" x14ac:dyDescent="0.2">
      <c r="A318" t="s">
        <v>1171</v>
      </c>
      <c r="B318" t="s">
        <v>1490</v>
      </c>
      <c r="C318" t="str">
        <f>"CONF-"&amp;TEXT(us_core_reqs[[#This Row],[ID*]], "0000")</f>
        <v>CONF-0317</v>
      </c>
      <c r="D318" s="11" t="s">
        <v>863</v>
      </c>
      <c r="E318" t="str">
        <f>SUBSTITUTE(us_core_reqs[[#This Row],[URL*]], "https://hl7.org/fhir/us/core/STU8/","")</f>
        <v>StructureDefinition-us-core-careteam.html#mandatory-and-must-support-data-elements</v>
      </c>
      <c r="F318" s="11" t="s">
        <v>1976</v>
      </c>
      <c r="G318" t="s">
        <v>32</v>
      </c>
      <c r="I318" t="s">
        <v>30</v>
      </c>
      <c r="J318" t="s">
        <v>1171</v>
      </c>
      <c r="K318" t="s">
        <v>1171</v>
      </c>
      <c r="L318" t="s">
        <v>1173</v>
      </c>
      <c r="M318" t="s">
        <v>1171</v>
      </c>
      <c r="N318" t="s">
        <v>1171</v>
      </c>
      <c r="O318" t="s">
        <v>1171</v>
      </c>
      <c r="P318" t="s">
        <v>1171</v>
      </c>
      <c r="Q318" t="s">
        <v>1171</v>
      </c>
      <c r="R318" t="str">
        <f>_xlfn.TEXTBEFORE(_xlfn.TEXTAFTER(us_core_reqs[[#This Row],[URL*]],"/",-1),".")</f>
        <v>StructureDefinition-us-core-careteam</v>
      </c>
      <c r="S318" t="str">
        <f>_xlfn.TEXTAFTER(us_core_reqs[[#This Row],[URL*]],"#",-1)</f>
        <v>mandatory-and-must-support-data-elements</v>
      </c>
      <c r="T318" t="str">
        <f>SUBSTITUTE(SUBSTITUTE(PROPER(SUBSTITUTE(us_core_reqs[[#This Row],[Page]], "-", " "))&amp;": "&amp;PROPER(SUBSTITUTE(us_core_reqs[[#This Row],[Section]], "-", " ")),"Us ","US "), "Uscdi", "USCDI")</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85" x14ac:dyDescent="0.2">
      <c r="A319" t="s">
        <v>1171</v>
      </c>
      <c r="B319" t="s">
        <v>1491</v>
      </c>
      <c r="C319" t="str">
        <f>"CONF-"&amp;TEXT(us_core_reqs[[#This Row],[ID*]], "0000")</f>
        <v>CONF-0318</v>
      </c>
      <c r="D319" s="11" t="s">
        <v>863</v>
      </c>
      <c r="E319" t="str">
        <f>SUBSTITUTE(us_core_reqs[[#This Row],[URL*]], "https://hl7.org/fhir/us/core/STU8/","")</f>
        <v>StructureDefinition-us-core-careteam.html#mandatory-and-must-support-data-elements</v>
      </c>
      <c r="F319" s="11" t="s">
        <v>2216</v>
      </c>
      <c r="G319" t="s">
        <v>29</v>
      </c>
      <c r="I319" t="s">
        <v>30</v>
      </c>
      <c r="J319" t="s">
        <v>1171</v>
      </c>
      <c r="K319" t="s">
        <v>1171</v>
      </c>
      <c r="L319" t="s">
        <v>1173</v>
      </c>
      <c r="M319" t="s">
        <v>1171</v>
      </c>
      <c r="N319" t="s">
        <v>1171</v>
      </c>
      <c r="O319" t="s">
        <v>1171</v>
      </c>
      <c r="P319" t="s">
        <v>1171</v>
      </c>
      <c r="Q319" t="s">
        <v>1171</v>
      </c>
      <c r="R319" t="str">
        <f>_xlfn.TEXTBEFORE(_xlfn.TEXTAFTER(us_core_reqs[[#This Row],[URL*]],"/",-1),".")</f>
        <v>StructureDefinition-us-core-careteam</v>
      </c>
      <c r="S319" t="str">
        <f>_xlfn.TEXTAFTER(us_core_reqs[[#This Row],[URL*]],"#",-1)</f>
        <v>mandatory-and-must-support-data-elements</v>
      </c>
      <c r="T319" t="str">
        <f>SUBSTITUTE(SUBSTITUTE(PROPER(SUBSTITUTE(us_core_reqs[[#This Row],[Page]], "-", " "))&amp;": "&amp;PROPER(SUBSTITUTE(us_core_reqs[[#This Row],[Section]], "-", " ")),"Us ","US "), "Uscdi", "USCDI")</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85" x14ac:dyDescent="0.2">
      <c r="A320" t="s">
        <v>1171</v>
      </c>
      <c r="B320" t="s">
        <v>1492</v>
      </c>
      <c r="C320" t="str">
        <f>"CONF-"&amp;TEXT(us_core_reqs[[#This Row],[ID*]], "0000")</f>
        <v>CONF-0319</v>
      </c>
      <c r="D320" s="11" t="s">
        <v>863</v>
      </c>
      <c r="E320" t="str">
        <f>SUBSTITUTE(us_core_reqs[[#This Row],[URL*]], "https://hl7.org/fhir/us/core/STU8/","")</f>
        <v>StructureDefinition-us-core-careteam.html#mandatory-and-must-support-data-elements</v>
      </c>
      <c r="F320" s="11" t="s">
        <v>2217</v>
      </c>
      <c r="G320" t="s">
        <v>29</v>
      </c>
      <c r="I320" t="s">
        <v>30</v>
      </c>
      <c r="J320" t="s">
        <v>1171</v>
      </c>
      <c r="K320" t="s">
        <v>1171</v>
      </c>
      <c r="L320" t="s">
        <v>1173</v>
      </c>
      <c r="M320" t="s">
        <v>1171</v>
      </c>
      <c r="N320" t="s">
        <v>1171</v>
      </c>
      <c r="O320" t="s">
        <v>1171</v>
      </c>
      <c r="P320" t="s">
        <v>1171</v>
      </c>
      <c r="Q320" t="s">
        <v>1171</v>
      </c>
      <c r="R320" t="str">
        <f>_xlfn.TEXTBEFORE(_xlfn.TEXTAFTER(us_core_reqs[[#This Row],[URL*]],"/",-1),".")</f>
        <v>StructureDefinition-us-core-careteam</v>
      </c>
      <c r="S320" t="str">
        <f>_xlfn.TEXTAFTER(us_core_reqs[[#This Row],[URL*]],"#",-1)</f>
        <v>mandatory-and-must-support-data-elements</v>
      </c>
      <c r="T320" t="str">
        <f>SUBSTITUTE(SUBSTITUTE(PROPER(SUBSTITUTE(us_core_reqs[[#This Row],[Page]], "-", " "))&amp;": "&amp;PROPER(SUBSTITUTE(us_core_reqs[[#This Row],[Section]], "-", " ")),"Us ","US "), "Uscdi", "USCDI")</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68" x14ac:dyDescent="0.2">
      <c r="A321" t="s">
        <v>1171</v>
      </c>
      <c r="B321" t="s">
        <v>1493</v>
      </c>
      <c r="C321" t="str">
        <f>"CONF-"&amp;TEXT(us_core_reqs[[#This Row],[ID*]], "0000")</f>
        <v>CONF-0320</v>
      </c>
      <c r="D321" s="11" t="s">
        <v>637</v>
      </c>
      <c r="E321" t="str">
        <f>SUBSTITUTE(us_core_reqs[[#This Row],[URL*]], "https://hl7.org/fhir/us/core/STU8/","")</f>
        <v>StructureDefinition-us-core-condition-encounter-diagnosis.html#mandatory-and-must-support-data-elements</v>
      </c>
      <c r="F321" s="11" t="s">
        <v>1977</v>
      </c>
      <c r="G321" t="s">
        <v>32</v>
      </c>
      <c r="H321" t="s">
        <v>2071</v>
      </c>
      <c r="I321" t="s">
        <v>30</v>
      </c>
      <c r="J321" t="s">
        <v>1171</v>
      </c>
      <c r="K321" t="s">
        <v>1171</v>
      </c>
      <c r="L321" t="s">
        <v>1176</v>
      </c>
      <c r="M321" t="s">
        <v>346</v>
      </c>
      <c r="N321" t="s">
        <v>1171</v>
      </c>
      <c r="O321" t="s">
        <v>1171</v>
      </c>
      <c r="P321" t="s">
        <v>1171</v>
      </c>
      <c r="Q321" t="s">
        <v>1171</v>
      </c>
      <c r="R321" t="str">
        <f>_xlfn.TEXTBEFORE(_xlfn.TEXTAFTER(us_core_reqs[[#This Row],[URL*]],"/",-1),".")</f>
        <v>StructureDefinition-us-core-condition-encounter-diagnosis</v>
      </c>
      <c r="S321" t="str">
        <f>_xlfn.TEXTAFTER(us_core_reqs[[#This Row],[URL*]],"#",-1)</f>
        <v>mandatory-and-must-support-data-elements</v>
      </c>
      <c r="T321" t="str">
        <f>SUBSTITUTE(SUBSTITUTE(PROPER(SUBSTITUTE(us_core_reqs[[#This Row],[Page]], "-", " "))&amp;": "&amp;PROPER(SUBSTITUTE(us_core_reqs[[#This Row],[Section]], "-", " ")),"Us ","US "), "Uscdi", "USCDI")</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102" x14ac:dyDescent="0.2">
      <c r="A322" t="s">
        <v>1171</v>
      </c>
      <c r="B322" t="s">
        <v>1494</v>
      </c>
      <c r="C322" t="str">
        <f>"CONF-"&amp;TEXT(us_core_reqs[[#This Row],[ID*]], "0000")</f>
        <v>CONF-0321</v>
      </c>
      <c r="D322" s="11" t="s">
        <v>865</v>
      </c>
      <c r="E322" t="str">
        <f>SUBSTITUTE(us_core_reqs[[#This Row],[URL*]], "https://hl7.org/fhir/us/core/STU8/","")</f>
        <v>StructureDefinition-us-core-condition-encounter-diagnosis.html#mandatory-and-must-support-data-elements, StructureDefinition-us-core-condition-problems-health-concerns.html#mandatory-and-must-support-data-elements</v>
      </c>
      <c r="F322" s="11" t="s">
        <v>1907</v>
      </c>
      <c r="G322" t="s">
        <v>29</v>
      </c>
      <c r="I322" t="s">
        <v>30</v>
      </c>
      <c r="J322" t="s">
        <v>1171</v>
      </c>
      <c r="K322" t="s">
        <v>1171</v>
      </c>
      <c r="L322" t="s">
        <v>1176</v>
      </c>
      <c r="M322" t="s">
        <v>348</v>
      </c>
      <c r="N322" t="s">
        <v>1171</v>
      </c>
      <c r="O322" t="s">
        <v>1171</v>
      </c>
      <c r="P322" t="s">
        <v>1171</v>
      </c>
      <c r="Q322" t="s">
        <v>1171</v>
      </c>
      <c r="R322" t="str">
        <f>_xlfn.TEXTBEFORE(_xlfn.TEXTAFTER(us_core_reqs[[#This Row],[URL*]],"/",-1),".")</f>
        <v>StructureDefinition-us-core-condition-problems-health-concerns</v>
      </c>
      <c r="S322" t="str">
        <f>_xlfn.TEXTAFTER(us_core_reqs[[#This Row],[URL*]],"#",-1)</f>
        <v>mandatory-and-must-support-data-elements</v>
      </c>
      <c r="T322" t="str">
        <f>SUBSTITUTE(SUBSTITUTE(PROPER(SUBSTITUTE(us_core_reqs[[#This Row],[Page]], "-", " "))&amp;": "&amp;PROPER(SUBSTITUTE(us_core_reqs[[#This Row],[Section]], "-", " ")),"Us ","US "), "Uscdi", "USCDI")</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102" x14ac:dyDescent="0.2">
      <c r="A323" t="s">
        <v>1171</v>
      </c>
      <c r="B323" t="s">
        <v>1495</v>
      </c>
      <c r="C323" t="str">
        <f>"CONF-"&amp;TEXT(us_core_reqs[[#This Row],[ID*]], "0000")</f>
        <v>CONF-0322</v>
      </c>
      <c r="D323" s="11" t="s">
        <v>865</v>
      </c>
      <c r="E323" t="str">
        <f>SUBSTITUTE(us_core_reqs[[#This Row],[URL*]], "https://hl7.org/fhir/us/core/STU8/","")</f>
        <v>StructureDefinition-us-core-condition-encounter-diagnosis.html#mandatory-and-must-support-data-elements, StructureDefinition-us-core-condition-problems-health-concerns.html#mandatory-and-must-support-data-elements</v>
      </c>
      <c r="F323" s="11" t="s">
        <v>2057</v>
      </c>
      <c r="G323" t="s">
        <v>35</v>
      </c>
      <c r="I323" t="s">
        <v>30</v>
      </c>
      <c r="J323" t="s">
        <v>1171</v>
      </c>
      <c r="K323" t="s">
        <v>1171</v>
      </c>
      <c r="L323" t="s">
        <v>1176</v>
      </c>
      <c r="M323" t="s">
        <v>350</v>
      </c>
      <c r="N323" t="s">
        <v>1171</v>
      </c>
      <c r="O323" t="s">
        <v>1171</v>
      </c>
      <c r="P323" t="s">
        <v>1171</v>
      </c>
      <c r="Q323" t="s">
        <v>1171</v>
      </c>
      <c r="R323" t="str">
        <f>_xlfn.TEXTBEFORE(_xlfn.TEXTAFTER(us_core_reqs[[#This Row],[URL*]],"/",-1),".")</f>
        <v>StructureDefinition-us-core-condition-problems-health-concerns</v>
      </c>
      <c r="S323" t="str">
        <f>_xlfn.TEXTAFTER(us_core_reqs[[#This Row],[URL*]],"#",-1)</f>
        <v>mandatory-and-must-support-data-elements</v>
      </c>
      <c r="T323" t="str">
        <f>SUBSTITUTE(SUBSTITUTE(PROPER(SUBSTITUTE(us_core_reqs[[#This Row],[Page]], "-", " "))&amp;": "&amp;PROPER(SUBSTITUTE(us_core_reqs[[#This Row],[Section]], "-", " ")),"Us ","US "), "Uscdi", "USCDI")</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102" x14ac:dyDescent="0.2">
      <c r="A324" t="s">
        <v>1171</v>
      </c>
      <c r="B324" t="s">
        <v>1496</v>
      </c>
      <c r="C324" t="str">
        <f>"CONF-"&amp;TEXT(us_core_reqs[[#This Row],[ID*]], "0000")</f>
        <v>CONF-0323</v>
      </c>
      <c r="D324" s="11" t="s">
        <v>865</v>
      </c>
      <c r="E324" t="str">
        <f>SUBSTITUTE(us_core_reqs[[#This Row],[URL*]], "https://hl7.org/fhir/us/core/STU8/","")</f>
        <v>StructureDefinition-us-core-condition-encounter-diagnosis.html#mandatory-and-must-support-data-elements, StructureDefinition-us-core-condition-problems-health-concerns.html#mandatory-and-must-support-data-elements</v>
      </c>
      <c r="F324" s="11" t="s">
        <v>1978</v>
      </c>
      <c r="G324" t="s">
        <v>32</v>
      </c>
      <c r="I324" t="s">
        <v>30</v>
      </c>
      <c r="J324" t="s">
        <v>1171</v>
      </c>
      <c r="K324" t="s">
        <v>1171</v>
      </c>
      <c r="L324" t="s">
        <v>1173</v>
      </c>
      <c r="M324" t="s">
        <v>1171</v>
      </c>
      <c r="N324" t="s">
        <v>1171</v>
      </c>
      <c r="O324" t="s">
        <v>1171</v>
      </c>
      <c r="P324" t="s">
        <v>1171</v>
      </c>
      <c r="Q324" t="s">
        <v>1171</v>
      </c>
      <c r="R324" t="str">
        <f>_xlfn.TEXTBEFORE(_xlfn.TEXTAFTER(us_core_reqs[[#This Row],[URL*]],"/",-1),".")</f>
        <v>StructureDefinition-us-core-condition-problems-health-concerns</v>
      </c>
      <c r="S324" t="str">
        <f>_xlfn.TEXTAFTER(us_core_reqs[[#This Row],[URL*]],"#",-1)</f>
        <v>mandatory-and-must-support-data-elements</v>
      </c>
      <c r="T324" t="str">
        <f>SUBSTITUTE(SUBSTITUTE(PROPER(SUBSTITUTE(us_core_reqs[[#This Row],[Page]], "-", " "))&amp;": "&amp;PROPER(SUBSTITUTE(us_core_reqs[[#This Row],[Section]], "-", " ")),"Us ","US "), "Uscdi", "USCDI")</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51" x14ac:dyDescent="0.2">
      <c r="A325" t="s">
        <v>1171</v>
      </c>
      <c r="B325" t="s">
        <v>1497</v>
      </c>
      <c r="C325" t="str">
        <f>"CONF-"&amp;TEXT(us_core_reqs[[#This Row],[ID*]], "0000")</f>
        <v>CONF-0324</v>
      </c>
      <c r="D325" s="11" t="s">
        <v>637</v>
      </c>
      <c r="E325" t="str">
        <f>SUBSTITUTE(us_core_reqs[[#This Row],[URL*]], "https://hl7.org/fhir/us/core/STU8/","")</f>
        <v>StructureDefinition-us-core-condition-encounter-diagnosis.html#mandatory-and-must-support-data-elements</v>
      </c>
      <c r="F325" s="11" t="s">
        <v>1979</v>
      </c>
      <c r="G325" t="s">
        <v>32</v>
      </c>
      <c r="I325" t="s">
        <v>30</v>
      </c>
      <c r="J325" t="s">
        <v>1171</v>
      </c>
      <c r="K325" t="s">
        <v>1171</v>
      </c>
      <c r="L325" t="s">
        <v>1173</v>
      </c>
      <c r="M325" t="s">
        <v>1171</v>
      </c>
      <c r="N325" t="s">
        <v>1171</v>
      </c>
      <c r="O325" t="s">
        <v>1171</v>
      </c>
      <c r="P325" t="s">
        <v>1171</v>
      </c>
      <c r="Q325" t="s">
        <v>1171</v>
      </c>
      <c r="R325" t="str">
        <f>_xlfn.TEXTBEFORE(_xlfn.TEXTAFTER(us_core_reqs[[#This Row],[URL*]],"/",-1),".")</f>
        <v>StructureDefinition-us-core-condition-encounter-diagnosis</v>
      </c>
      <c r="S325" t="str">
        <f>_xlfn.TEXTAFTER(us_core_reqs[[#This Row],[URL*]],"#",-1)</f>
        <v>mandatory-and-must-support-data-elements</v>
      </c>
      <c r="T325" t="str">
        <f>SUBSTITUTE(SUBSTITUTE(PROPER(SUBSTITUTE(us_core_reqs[[#This Row],[Page]], "-", " "))&amp;": "&amp;PROPER(SUBSTITUTE(us_core_reqs[[#This Row],[Section]], "-", " ")),"Us ","US "), "Uscdi", "USCDI")</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102" x14ac:dyDescent="0.2">
      <c r="A326" t="s">
        <v>1171</v>
      </c>
      <c r="B326" t="s">
        <v>1498</v>
      </c>
      <c r="C326" t="str">
        <f>"CONF-"&amp;TEXT(us_core_reqs[[#This Row],[ID*]], "0000")</f>
        <v>CONF-0325</v>
      </c>
      <c r="D326" s="11" t="s">
        <v>865</v>
      </c>
      <c r="E326" t="str">
        <f>SUBSTITUTE(us_core_reqs[[#This Row],[URL*]], "https://hl7.org/fhir/us/core/STU8/","")</f>
        <v>StructureDefinition-us-core-condition-encounter-diagnosis.html#mandatory-and-must-support-data-elements, StructureDefinition-us-core-condition-problems-health-concerns.html#mandatory-and-must-support-data-elements</v>
      </c>
      <c r="F326" s="11" t="s">
        <v>2146</v>
      </c>
      <c r="G326" t="s">
        <v>64</v>
      </c>
      <c r="I326" t="s">
        <v>30</v>
      </c>
      <c r="J326" t="s">
        <v>1171</v>
      </c>
      <c r="K326" t="s">
        <v>1171</v>
      </c>
      <c r="L326" t="s">
        <v>1173</v>
      </c>
      <c r="M326" t="s">
        <v>1171</v>
      </c>
      <c r="N326" t="s">
        <v>1171</v>
      </c>
      <c r="O326" t="s">
        <v>1171</v>
      </c>
      <c r="P326" t="s">
        <v>1171</v>
      </c>
      <c r="Q326" t="s">
        <v>1171</v>
      </c>
      <c r="R326" t="str">
        <f>_xlfn.TEXTBEFORE(_xlfn.TEXTAFTER(us_core_reqs[[#This Row],[URL*]],"/",-1),".")</f>
        <v>StructureDefinition-us-core-condition-problems-health-concerns</v>
      </c>
      <c r="S326" t="str">
        <f>_xlfn.TEXTAFTER(us_core_reqs[[#This Row],[URL*]],"#",-1)</f>
        <v>mandatory-and-must-support-data-elements</v>
      </c>
      <c r="T326" t="str">
        <f>SUBSTITUTE(SUBSTITUTE(PROPER(SUBSTITUTE(us_core_reqs[[#This Row],[Page]], "-", " "))&amp;": "&amp;PROPER(SUBSTITUTE(us_core_reqs[[#This Row],[Section]], "-", " ")),"Us ","US "), "Uscdi", "USCDI")</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102" x14ac:dyDescent="0.2">
      <c r="A327" t="s">
        <v>1171</v>
      </c>
      <c r="B327" t="s">
        <v>1499</v>
      </c>
      <c r="C327" t="str">
        <f>"CONF-"&amp;TEXT(us_core_reqs[[#This Row],[ID*]], "0000")</f>
        <v>CONF-0326</v>
      </c>
      <c r="D327" s="11" t="s">
        <v>865</v>
      </c>
      <c r="E327" t="str">
        <f>SUBSTITUTE(us_core_reqs[[#This Row],[URL*]], "https://hl7.org/fhir/us/core/STU8/","")</f>
        <v>StructureDefinition-us-core-condition-encounter-diagnosis.html#mandatory-and-must-support-data-elements, StructureDefinition-us-core-condition-problems-health-concerns.html#mandatory-and-must-support-data-elements</v>
      </c>
      <c r="F327" s="11" t="s">
        <v>2147</v>
      </c>
      <c r="G327" t="s">
        <v>64</v>
      </c>
      <c r="I327" t="s">
        <v>30</v>
      </c>
      <c r="J327" t="s">
        <v>1171</v>
      </c>
      <c r="K327" t="s">
        <v>1171</v>
      </c>
      <c r="L327" t="s">
        <v>1176</v>
      </c>
      <c r="M327" t="s">
        <v>1044</v>
      </c>
      <c r="N327" t="s">
        <v>1171</v>
      </c>
      <c r="O327" t="s">
        <v>1171</v>
      </c>
      <c r="P327" t="s">
        <v>1171</v>
      </c>
      <c r="Q327" t="s">
        <v>1171</v>
      </c>
      <c r="R327" t="str">
        <f>_xlfn.TEXTBEFORE(_xlfn.TEXTAFTER(us_core_reqs[[#This Row],[URL*]],"/",-1),".")</f>
        <v>StructureDefinition-us-core-condition-problems-health-concerns</v>
      </c>
      <c r="S327" t="str">
        <f>_xlfn.TEXTAFTER(us_core_reqs[[#This Row],[URL*]],"#",-1)</f>
        <v>mandatory-and-must-support-data-elements</v>
      </c>
      <c r="T327" t="str">
        <f>SUBSTITUTE(SUBSTITUTE(PROPER(SUBSTITUTE(us_core_reqs[[#This Row],[Page]], "-", " "))&amp;": "&amp;PROPER(SUBSTITUTE(us_core_reqs[[#This Row],[Section]], "-", " ")),"Us ","US "), "Uscdi", "USCDI")</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102" x14ac:dyDescent="0.2">
      <c r="A328" t="s">
        <v>1171</v>
      </c>
      <c r="B328" t="s">
        <v>1500</v>
      </c>
      <c r="C328" t="str">
        <f>"CONF-"&amp;TEXT(us_core_reqs[[#This Row],[ID*]], "0000")</f>
        <v>CONF-0327</v>
      </c>
      <c r="D328" s="11" t="s">
        <v>865</v>
      </c>
      <c r="E328" t="str">
        <f>SUBSTITUTE(us_core_reqs[[#This Row],[URL*]], "https://hl7.org/fhir/us/core/STU8/","")</f>
        <v>StructureDefinition-us-core-condition-encounter-diagnosis.html#mandatory-and-must-support-data-elements, StructureDefinition-us-core-condition-problems-health-concerns.html#mandatory-and-must-support-data-elements</v>
      </c>
      <c r="F328" s="11" t="s">
        <v>2148</v>
      </c>
      <c r="G328" t="s">
        <v>64</v>
      </c>
      <c r="I328" t="s">
        <v>58</v>
      </c>
      <c r="J328" t="s">
        <v>1171</v>
      </c>
      <c r="K328" t="s">
        <v>1171</v>
      </c>
      <c r="L328" t="s">
        <v>1173</v>
      </c>
      <c r="M328" t="s">
        <v>1171</v>
      </c>
      <c r="N328" t="s">
        <v>1171</v>
      </c>
      <c r="O328" t="s">
        <v>1171</v>
      </c>
      <c r="P328" t="s">
        <v>1171</v>
      </c>
      <c r="Q328" t="s">
        <v>1171</v>
      </c>
      <c r="R328" t="str">
        <f>_xlfn.TEXTBEFORE(_xlfn.TEXTAFTER(us_core_reqs[[#This Row],[URL*]],"/",-1),".")</f>
        <v>StructureDefinition-us-core-condition-problems-health-concerns</v>
      </c>
      <c r="S328" t="str">
        <f>_xlfn.TEXTAFTER(us_core_reqs[[#This Row],[URL*]],"#",-1)</f>
        <v>mandatory-and-must-support-data-elements</v>
      </c>
      <c r="T328" t="str">
        <f>SUBSTITUTE(SUBSTITUTE(PROPER(SUBSTITUTE(us_core_reqs[[#This Row],[Page]], "-", " "))&amp;": "&amp;PROPER(SUBSTITUTE(us_core_reqs[[#This Row],[Section]], "-", " ")),"Us ","US "), "Uscdi", "USCDI")</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102" x14ac:dyDescent="0.2">
      <c r="A329" t="s">
        <v>1171</v>
      </c>
      <c r="B329" t="s">
        <v>1501</v>
      </c>
      <c r="C329" t="str">
        <f>"CONF-"&amp;TEXT(us_core_reqs[[#This Row],[ID*]], "0000")</f>
        <v>CONF-0328</v>
      </c>
      <c r="D329" s="11" t="s">
        <v>865</v>
      </c>
      <c r="E329" t="str">
        <f>SUBSTITUTE(us_core_reqs[[#This Row],[URL*]], "https://hl7.org/fhir/us/core/STU8/","")</f>
        <v>StructureDefinition-us-core-condition-encounter-diagnosis.html#mandatory-and-must-support-data-elements, StructureDefinition-us-core-condition-problems-health-concerns.html#mandatory-and-must-support-data-elements</v>
      </c>
      <c r="F329" s="11" t="s">
        <v>2149</v>
      </c>
      <c r="G329" t="s">
        <v>64</v>
      </c>
      <c r="I329" t="s">
        <v>58</v>
      </c>
      <c r="J329" t="s">
        <v>1171</v>
      </c>
      <c r="K329" t="s">
        <v>1171</v>
      </c>
      <c r="L329" t="s">
        <v>1173</v>
      </c>
      <c r="M329" t="s">
        <v>1171</v>
      </c>
      <c r="N329" t="s">
        <v>1171</v>
      </c>
      <c r="O329" t="s">
        <v>1171</v>
      </c>
      <c r="P329" t="s">
        <v>1171</v>
      </c>
      <c r="Q329" t="s">
        <v>1171</v>
      </c>
      <c r="R329" t="str">
        <f>_xlfn.TEXTBEFORE(_xlfn.TEXTAFTER(us_core_reqs[[#This Row],[URL*]],"/",-1),".")</f>
        <v>StructureDefinition-us-core-condition-problems-health-concerns</v>
      </c>
      <c r="S329" t="str">
        <f>_xlfn.TEXTAFTER(us_core_reqs[[#This Row],[URL*]],"#",-1)</f>
        <v>mandatory-and-must-support-data-elements</v>
      </c>
      <c r="T329" t="str">
        <f>SUBSTITUTE(SUBSTITUTE(PROPER(SUBSTITUTE(us_core_reqs[[#This Row],[Page]], "-", " "))&amp;": "&amp;PROPER(SUBSTITUTE(us_core_reqs[[#This Row],[Section]], "-", " ")),"Us ","US "), "Uscdi", "USCDI")</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102" x14ac:dyDescent="0.2">
      <c r="A330" t="s">
        <v>1171</v>
      </c>
      <c r="B330" t="s">
        <v>1502</v>
      </c>
      <c r="C330" t="str">
        <f>"CONF-"&amp;TEXT(us_core_reqs[[#This Row],[ID*]], "0000")</f>
        <v>CONF-0329</v>
      </c>
      <c r="D330" s="11" t="s">
        <v>865</v>
      </c>
      <c r="E330" t="str">
        <f>SUBSTITUTE(us_core_reqs[[#This Row],[URL*]], "https://hl7.org/fhir/us/core/STU8/","")</f>
        <v>StructureDefinition-us-core-condition-encounter-diagnosis.html#mandatory-and-must-support-data-elements, StructureDefinition-us-core-condition-problems-health-concerns.html#mandatory-and-must-support-data-elements</v>
      </c>
      <c r="F330" s="11" t="s">
        <v>2150</v>
      </c>
      <c r="G330" t="s">
        <v>64</v>
      </c>
      <c r="I330" t="s">
        <v>58</v>
      </c>
      <c r="J330" t="s">
        <v>1171</v>
      </c>
      <c r="K330" t="s">
        <v>1171</v>
      </c>
      <c r="L330" t="s">
        <v>1173</v>
      </c>
      <c r="M330" t="s">
        <v>1171</v>
      </c>
      <c r="N330" t="s">
        <v>1171</v>
      </c>
      <c r="O330" t="s">
        <v>1171</v>
      </c>
      <c r="P330" t="s">
        <v>1171</v>
      </c>
      <c r="Q330" t="s">
        <v>1171</v>
      </c>
      <c r="R330" t="str">
        <f>_xlfn.TEXTBEFORE(_xlfn.TEXTAFTER(us_core_reqs[[#This Row],[URL*]],"/",-1),".")</f>
        <v>StructureDefinition-us-core-condition-problems-health-concerns</v>
      </c>
      <c r="S330" t="str">
        <f>_xlfn.TEXTAFTER(us_core_reqs[[#This Row],[URL*]],"#",-1)</f>
        <v>mandatory-and-must-support-data-elements</v>
      </c>
      <c r="T330" t="str">
        <f>SUBSTITUTE(SUBSTITUTE(PROPER(SUBSTITUTE(us_core_reqs[[#This Row],[Page]], "-", " "))&amp;": "&amp;PROPER(SUBSTITUTE(us_core_reqs[[#This Row],[Section]], "-", " ")),"Us ","US "), "Uscdi", "USCDI")</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68" x14ac:dyDescent="0.2">
      <c r="A331" t="s">
        <v>1171</v>
      </c>
      <c r="B331" t="s">
        <v>1503</v>
      </c>
      <c r="C331" t="str">
        <f>"CONF-"&amp;TEXT(us_core_reqs[[#This Row],[ID*]], "0000")</f>
        <v>CONF-0330</v>
      </c>
      <c r="D331" s="11" t="s">
        <v>638</v>
      </c>
      <c r="E331" t="str">
        <f>SUBSTITUTE(us_core_reqs[[#This Row],[URL*]], "https://hl7.org/fhir/us/core/STU8/","")</f>
        <v>StructureDefinition-us-core-condition-problems-health-concerns.html#mandatory-and-must-support-data-elements</v>
      </c>
      <c r="F331" s="11" t="s">
        <v>1980</v>
      </c>
      <c r="G331" t="s">
        <v>32</v>
      </c>
      <c r="H331" t="s">
        <v>2071</v>
      </c>
      <c r="I331" t="s">
        <v>30</v>
      </c>
      <c r="J331" t="s">
        <v>1171</v>
      </c>
      <c r="K331" t="s">
        <v>1171</v>
      </c>
      <c r="L331" t="s">
        <v>1176</v>
      </c>
      <c r="M331" t="s">
        <v>352</v>
      </c>
      <c r="N331" t="s">
        <v>1171</v>
      </c>
      <c r="O331" t="s">
        <v>1171</v>
      </c>
      <c r="P331" t="s">
        <v>1171</v>
      </c>
      <c r="Q331" t="s">
        <v>1171</v>
      </c>
      <c r="R331" t="str">
        <f>_xlfn.TEXTBEFORE(_xlfn.TEXTAFTER(us_core_reqs[[#This Row],[URL*]],"/",-1),".")</f>
        <v>StructureDefinition-us-core-condition-problems-health-concerns</v>
      </c>
      <c r="S331" t="str">
        <f>_xlfn.TEXTAFTER(us_core_reqs[[#This Row],[URL*]],"#",-1)</f>
        <v>mandatory-and-must-support-data-elements</v>
      </c>
      <c r="T331" t="str">
        <f>SUBSTITUTE(SUBSTITUTE(PROPER(SUBSTITUTE(us_core_reqs[[#This Row],[Page]], "-", " "))&amp;": "&amp;PROPER(SUBSTITUTE(us_core_reqs[[#This Row],[Section]], "-", " ")),"Us ","US "), "Uscdi", "USCDI")</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51" x14ac:dyDescent="0.2">
      <c r="A332" t="s">
        <v>1171</v>
      </c>
      <c r="B332" t="s">
        <v>1504</v>
      </c>
      <c r="C332" t="str">
        <f>"CONF-"&amp;TEXT(us_core_reqs[[#This Row],[ID*]], "0000")</f>
        <v>CONF-0331</v>
      </c>
      <c r="D332" s="11" t="s">
        <v>638</v>
      </c>
      <c r="E332" t="str">
        <f>SUBSTITUTE(us_core_reqs[[#This Row],[URL*]], "https://hl7.org/fhir/us/core/STU8/","")</f>
        <v>StructureDefinition-us-core-condition-problems-health-concerns.html#mandatory-and-must-support-data-elements</v>
      </c>
      <c r="F332" s="11" t="s">
        <v>1981</v>
      </c>
      <c r="G332" t="s">
        <v>32</v>
      </c>
      <c r="I332" t="s">
        <v>30</v>
      </c>
      <c r="J332" t="s">
        <v>1171</v>
      </c>
      <c r="K332" t="s">
        <v>1171</v>
      </c>
      <c r="L332" t="s">
        <v>1176</v>
      </c>
      <c r="M332" t="s">
        <v>353</v>
      </c>
      <c r="N332" t="s">
        <v>1171</v>
      </c>
      <c r="O332" t="s">
        <v>1171</v>
      </c>
      <c r="P332" t="s">
        <v>1171</v>
      </c>
      <c r="Q332" t="s">
        <v>1171</v>
      </c>
      <c r="R332" t="str">
        <f>_xlfn.TEXTBEFORE(_xlfn.TEXTAFTER(us_core_reqs[[#This Row],[URL*]],"/",-1),".")</f>
        <v>StructureDefinition-us-core-condition-problems-health-concerns</v>
      </c>
      <c r="S332" t="str">
        <f>_xlfn.TEXTAFTER(us_core_reqs[[#This Row],[URL*]],"#",-1)</f>
        <v>mandatory-and-must-support-data-elements</v>
      </c>
      <c r="T332" t="str">
        <f>SUBSTITUTE(SUBSTITUTE(PROPER(SUBSTITUTE(us_core_reqs[[#This Row],[Page]], "-", " "))&amp;": "&amp;PROPER(SUBSTITUTE(us_core_reqs[[#This Row],[Section]], "-", " ")),"Us ","US "), "Uscdi", "USCDI")</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51" x14ac:dyDescent="0.2">
      <c r="A333" t="s">
        <v>1171</v>
      </c>
      <c r="B333" t="s">
        <v>1505</v>
      </c>
      <c r="C333" t="str">
        <f>"CONF-"&amp;TEXT(us_core_reqs[[#This Row],[ID*]], "0000")</f>
        <v>CONF-0332</v>
      </c>
      <c r="D333" s="11" t="s">
        <v>638</v>
      </c>
      <c r="E333" t="str">
        <f>SUBSTITUTE(us_core_reqs[[#This Row],[URL*]], "https://hl7.org/fhir/us/core/STU8/","")</f>
        <v>StructureDefinition-us-core-condition-problems-health-concerns.html#mandatory-and-must-support-data-elements</v>
      </c>
      <c r="F333" s="11" t="s">
        <v>1982</v>
      </c>
      <c r="G333" t="s">
        <v>32</v>
      </c>
      <c r="I333" t="s">
        <v>30</v>
      </c>
      <c r="J333" t="s">
        <v>1171</v>
      </c>
      <c r="K333" t="s">
        <v>1171</v>
      </c>
      <c r="L333" t="s">
        <v>1173</v>
      </c>
      <c r="M333" t="s">
        <v>1171</v>
      </c>
      <c r="N333" t="s">
        <v>1171</v>
      </c>
      <c r="O333" t="s">
        <v>1171</v>
      </c>
      <c r="P333" t="s">
        <v>1171</v>
      </c>
      <c r="Q333" t="s">
        <v>1171</v>
      </c>
      <c r="R333" t="str">
        <f>_xlfn.TEXTBEFORE(_xlfn.TEXTAFTER(us_core_reqs[[#This Row],[URL*]],"/",-1),".")</f>
        <v>StructureDefinition-us-core-condition-problems-health-concerns</v>
      </c>
      <c r="S333" t="str">
        <f>_xlfn.TEXTAFTER(us_core_reqs[[#This Row],[URL*]],"#",-1)</f>
        <v>mandatory-and-must-support-data-elements</v>
      </c>
      <c r="T333" t="str">
        <f>SUBSTITUTE(SUBSTITUTE(PROPER(SUBSTITUTE(us_core_reqs[[#This Row],[Page]], "-", " "))&amp;": "&amp;PROPER(SUBSTITUTE(us_core_reqs[[#This Row],[Section]], "-", " ")),"Us ","US "), "Uscdi", "USCDI")</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51" x14ac:dyDescent="0.2">
      <c r="A334" t="s">
        <v>1171</v>
      </c>
      <c r="B334" t="s">
        <v>1506</v>
      </c>
      <c r="C334" t="str">
        <f>"CONF-"&amp;TEXT(us_core_reqs[[#This Row],[ID*]], "0000")</f>
        <v>CONF-0333</v>
      </c>
      <c r="D334" s="11" t="s">
        <v>638</v>
      </c>
      <c r="E334" t="str">
        <f>SUBSTITUTE(us_core_reqs[[#This Row],[URL*]], "https://hl7.org/fhir/us/core/STU8/","")</f>
        <v>StructureDefinition-us-core-condition-problems-health-concerns.html#mandatory-and-must-support-data-elements</v>
      </c>
      <c r="F334" s="11" t="s">
        <v>2072</v>
      </c>
      <c r="G334" t="s">
        <v>32</v>
      </c>
      <c r="I334" t="s">
        <v>30</v>
      </c>
      <c r="J334" t="s">
        <v>1171</v>
      </c>
      <c r="K334" t="s">
        <v>1171</v>
      </c>
      <c r="L334" t="s">
        <v>1173</v>
      </c>
      <c r="M334" t="s">
        <v>1171</v>
      </c>
      <c r="N334" t="s">
        <v>1171</v>
      </c>
      <c r="O334" t="s">
        <v>1171</v>
      </c>
      <c r="P334" t="s">
        <v>1171</v>
      </c>
      <c r="Q334" t="s">
        <v>1171</v>
      </c>
      <c r="R334" t="str">
        <f>_xlfn.TEXTBEFORE(_xlfn.TEXTAFTER(us_core_reqs[[#This Row],[URL*]],"/",-1),".")</f>
        <v>StructureDefinition-us-core-condition-problems-health-concerns</v>
      </c>
      <c r="S334" t="str">
        <f>_xlfn.TEXTAFTER(us_core_reqs[[#This Row],[URL*]],"#",-1)</f>
        <v>mandatory-and-must-support-data-elements</v>
      </c>
      <c r="T334" t="str">
        <f>SUBSTITUTE(SUBSTITUTE(PROPER(SUBSTITUTE(us_core_reqs[[#This Row],[Page]], "-", " "))&amp;": "&amp;PROPER(SUBSTITUTE(us_core_reqs[[#This Row],[Section]], "-", " ")),"Us ","US "), "Uscdi", "USCDI")</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68" x14ac:dyDescent="0.2">
      <c r="A335" t="s">
        <v>1171</v>
      </c>
      <c r="B335" t="s">
        <v>1507</v>
      </c>
      <c r="C335" t="str">
        <f>"CONF-"&amp;TEXT(us_core_reqs[[#This Row],[ID*]], "0000")</f>
        <v>CONF-0334</v>
      </c>
      <c r="D335" s="11" t="s">
        <v>639</v>
      </c>
      <c r="E335" t="str">
        <f>SUBSTITUTE(us_core_reqs[[#This Row],[URL*]], "https://hl7.org/fhir/us/core/STU8/","")</f>
        <v>StructureDefinition-us-core-coverage.html#mandatory-and-must-support-data-elements</v>
      </c>
      <c r="F335" s="11" t="s">
        <v>2076</v>
      </c>
      <c r="G335" t="s">
        <v>35</v>
      </c>
      <c r="I335" t="s">
        <v>30</v>
      </c>
      <c r="J335" t="s">
        <v>1171</v>
      </c>
      <c r="K335" t="s">
        <v>1171</v>
      </c>
      <c r="L335" t="s">
        <v>1173</v>
      </c>
      <c r="M335" t="s">
        <v>1171</v>
      </c>
      <c r="N335" t="s">
        <v>1171</v>
      </c>
      <c r="O335" t="s">
        <v>1171</v>
      </c>
      <c r="P335" t="s">
        <v>1171</v>
      </c>
      <c r="Q335" t="s">
        <v>1171</v>
      </c>
      <c r="R335" t="str">
        <f>_xlfn.TEXTBEFORE(_xlfn.TEXTAFTER(us_core_reqs[[#This Row],[URL*]],"/",-1),".")</f>
        <v>StructureDefinition-us-core-coverage</v>
      </c>
      <c r="S335" t="str">
        <f>_xlfn.TEXTAFTER(us_core_reqs[[#This Row],[URL*]],"#",-1)</f>
        <v>mandatory-and-must-support-data-elements</v>
      </c>
      <c r="T335" t="str">
        <f>SUBSTITUTE(SUBSTITUTE(PROPER(SUBSTITUTE(us_core_reqs[[#This Row],[Page]], "-", " "))&amp;": "&amp;PROPER(SUBSTITUTE(us_core_reqs[[#This Row],[Section]], "-", " ")),"Us ","US "), "Uscdi", "USCDI")</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1508</v>
      </c>
      <c r="C336" t="str">
        <f>"CONF-"&amp;TEXT(us_core_reqs[[#This Row],[ID*]], "0000")</f>
        <v>CONF-0335</v>
      </c>
      <c r="D336" s="11" t="s">
        <v>639</v>
      </c>
      <c r="E336" t="str">
        <f>SUBSTITUTE(us_core_reqs[[#This Row],[URL*]], "https://hl7.org/fhir/us/core/STU8/","")</f>
        <v>StructureDefinition-us-core-coverage.html#mandatory-and-must-support-data-elements</v>
      </c>
      <c r="F336" s="11" t="s">
        <v>355</v>
      </c>
      <c r="G336" t="s">
        <v>32</v>
      </c>
      <c r="I336" t="s">
        <v>30</v>
      </c>
      <c r="J336" t="s">
        <v>1171</v>
      </c>
      <c r="K336" t="s">
        <v>1171</v>
      </c>
      <c r="L336" t="s">
        <v>1173</v>
      </c>
      <c r="M336" t="s">
        <v>1171</v>
      </c>
      <c r="N336" t="s">
        <v>1171</v>
      </c>
      <c r="O336" t="s">
        <v>1171</v>
      </c>
      <c r="P336" t="s">
        <v>1171</v>
      </c>
      <c r="Q336" t="s">
        <v>1171</v>
      </c>
      <c r="R336" t="str">
        <f>_xlfn.TEXTBEFORE(_xlfn.TEXTAFTER(us_core_reqs[[#This Row],[URL*]],"/",-1),".")</f>
        <v>StructureDefinition-us-core-coverage</v>
      </c>
      <c r="S336" t="str">
        <f>_xlfn.TEXTAFTER(us_core_reqs[[#This Row],[URL*]],"#",-1)</f>
        <v>mandatory-and-must-support-data-elements</v>
      </c>
      <c r="T336" t="str">
        <f>SUBSTITUTE(SUBSTITUTE(PROPER(SUBSTITUTE(us_core_reqs[[#This Row],[Page]], "-", " "))&amp;": "&amp;PROPER(SUBSTITUTE(us_core_reqs[[#This Row],[Section]], "-", " ")),"Us ","US "), "Uscdi", "USCDI")</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51" x14ac:dyDescent="0.2">
      <c r="A337" t="s">
        <v>1171</v>
      </c>
      <c r="B337" t="s">
        <v>1509</v>
      </c>
      <c r="C337" t="str">
        <f>"CONF-"&amp;TEXT(us_core_reqs[[#This Row],[ID*]], "0000")</f>
        <v>CONF-0336</v>
      </c>
      <c r="D337" s="11" t="s">
        <v>639</v>
      </c>
      <c r="E337" t="str">
        <f>SUBSTITUTE(us_core_reqs[[#This Row],[URL*]], "https://hl7.org/fhir/us/core/STU8/","")</f>
        <v>StructureDefinition-us-core-coverage.html#mandatory-and-must-support-data-elements</v>
      </c>
      <c r="F337" s="11" t="s">
        <v>356</v>
      </c>
      <c r="G337" t="s">
        <v>32</v>
      </c>
      <c r="I337" t="s">
        <v>30</v>
      </c>
      <c r="J337" t="s">
        <v>1171</v>
      </c>
      <c r="K337" t="s">
        <v>1171</v>
      </c>
      <c r="L337" t="s">
        <v>1173</v>
      </c>
      <c r="M337" t="s">
        <v>1171</v>
      </c>
      <c r="N337" t="s">
        <v>1171</v>
      </c>
      <c r="O337" t="s">
        <v>1171</v>
      </c>
      <c r="P337" t="s">
        <v>1171</v>
      </c>
      <c r="Q337" t="s">
        <v>1171</v>
      </c>
      <c r="R337" t="str">
        <f>_xlfn.TEXTBEFORE(_xlfn.TEXTAFTER(us_core_reqs[[#This Row],[URL*]],"/",-1),".")</f>
        <v>StructureDefinition-us-core-coverage</v>
      </c>
      <c r="S337" t="str">
        <f>_xlfn.TEXTAFTER(us_core_reqs[[#This Row],[URL*]],"#",-1)</f>
        <v>mandatory-and-must-support-data-elements</v>
      </c>
      <c r="T337" t="str">
        <f>SUBSTITUTE(SUBSTITUTE(PROPER(SUBSTITUTE(us_core_reqs[[#This Row],[Page]], "-", " "))&amp;": "&amp;PROPER(SUBSTITUTE(us_core_reqs[[#This Row],[Section]], "-", " ")),"Us ","US "), "Uscdi", "USCDI")</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51" x14ac:dyDescent="0.2">
      <c r="A338" t="s">
        <v>1171</v>
      </c>
      <c r="B338" t="s">
        <v>1510</v>
      </c>
      <c r="C338" t="str">
        <f>"CONF-"&amp;TEXT(us_core_reqs[[#This Row],[ID*]], "0000")</f>
        <v>CONF-0337</v>
      </c>
      <c r="D338" s="11" t="s">
        <v>639</v>
      </c>
      <c r="E338" t="str">
        <f>SUBSTITUTE(us_core_reqs[[#This Row],[URL*]], "https://hl7.org/fhir/us/core/STU8/","")</f>
        <v>StructureDefinition-us-core-coverage.html#mandatory-and-must-support-data-elements</v>
      </c>
      <c r="F338" s="11" t="s">
        <v>357</v>
      </c>
      <c r="G338" t="s">
        <v>32</v>
      </c>
      <c r="I338" t="s">
        <v>30</v>
      </c>
      <c r="J338" t="s">
        <v>1171</v>
      </c>
      <c r="K338" t="s">
        <v>1171</v>
      </c>
      <c r="L338" t="s">
        <v>1173</v>
      </c>
      <c r="M338" t="s">
        <v>1171</v>
      </c>
      <c r="N338" t="s">
        <v>1171</v>
      </c>
      <c r="O338" t="s">
        <v>1171</v>
      </c>
      <c r="P338" t="s">
        <v>1171</v>
      </c>
      <c r="Q338" t="s">
        <v>1171</v>
      </c>
      <c r="R338" t="str">
        <f>_xlfn.TEXTBEFORE(_xlfn.TEXTAFTER(us_core_reqs[[#This Row],[URL*]],"/",-1),".")</f>
        <v>StructureDefinition-us-core-coverage</v>
      </c>
      <c r="S338" t="str">
        <f>_xlfn.TEXTAFTER(us_core_reqs[[#This Row],[URL*]],"#",-1)</f>
        <v>mandatory-and-must-support-data-elements</v>
      </c>
      <c r="T338" t="str">
        <f>SUBSTITUTE(SUBSTITUTE(PROPER(SUBSTITUTE(us_core_reqs[[#This Row],[Page]], "-", " "))&amp;": "&amp;PROPER(SUBSTITUTE(us_core_reqs[[#This Row],[Section]], "-", " ")),"Us ","US "), "Uscdi", "USCDI")</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1511</v>
      </c>
      <c r="C339" t="str">
        <f>"CONF-"&amp;TEXT(us_core_reqs[[#This Row],[ID*]], "0000")</f>
        <v>CONF-0338</v>
      </c>
      <c r="D339" s="11" t="s">
        <v>639</v>
      </c>
      <c r="E339" t="str">
        <f>SUBSTITUTE(us_core_reqs[[#This Row],[URL*]], "https://hl7.org/fhir/us/core/STU8/","")</f>
        <v>StructureDefinition-us-core-coverage.html#mandatory-and-must-support-data-elements</v>
      </c>
      <c r="F339" s="11" t="s">
        <v>358</v>
      </c>
      <c r="G339" t="s">
        <v>32</v>
      </c>
      <c r="I339" t="s">
        <v>30</v>
      </c>
      <c r="J339" t="s">
        <v>1171</v>
      </c>
      <c r="K339" t="s">
        <v>1171</v>
      </c>
      <c r="L339" t="s">
        <v>1173</v>
      </c>
      <c r="M339" t="s">
        <v>1171</v>
      </c>
      <c r="N339" t="s">
        <v>1171</v>
      </c>
      <c r="O339" t="s">
        <v>1171</v>
      </c>
      <c r="P339" t="s">
        <v>1171</v>
      </c>
      <c r="Q339" t="s">
        <v>1171</v>
      </c>
      <c r="R339" t="str">
        <f>_xlfn.TEXTBEFORE(_xlfn.TEXTAFTER(us_core_reqs[[#This Row],[URL*]],"/",-1),".")</f>
        <v>StructureDefinition-us-core-coverage</v>
      </c>
      <c r="S339" t="str">
        <f>_xlfn.TEXTAFTER(us_core_reqs[[#This Row],[URL*]],"#",-1)</f>
        <v>mandatory-and-must-support-data-elements</v>
      </c>
      <c r="T339" t="str">
        <f>SUBSTITUTE(SUBSTITUTE(PROPER(SUBSTITUTE(us_core_reqs[[#This Row],[Page]], "-", " "))&amp;": "&amp;PROPER(SUBSTITUTE(us_core_reqs[[#This Row],[Section]], "-", " ")),"Us ","US "), "Uscdi", "USCDI")</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68" x14ac:dyDescent="0.2">
      <c r="A340" t="s">
        <v>1171</v>
      </c>
      <c r="B340" t="s">
        <v>1512</v>
      </c>
      <c r="C340" t="str">
        <f>"CONF-"&amp;TEXT(us_core_reqs[[#This Row],[ID*]], "0000")</f>
        <v>CONF-0339</v>
      </c>
      <c r="D340" s="11" t="s">
        <v>639</v>
      </c>
      <c r="E340" t="str">
        <f>SUBSTITUTE(us_core_reqs[[#This Row],[URL*]], "https://hl7.org/fhir/us/core/STU8/","")</f>
        <v>StructureDefinition-us-core-coverage.html#mandatory-and-must-support-data-elements</v>
      </c>
      <c r="F340" s="11" t="s">
        <v>359</v>
      </c>
      <c r="G340" t="s">
        <v>32</v>
      </c>
      <c r="I340" t="s">
        <v>30</v>
      </c>
      <c r="J340" t="s">
        <v>1171</v>
      </c>
      <c r="K340" t="s">
        <v>1171</v>
      </c>
      <c r="L340" t="s">
        <v>1176</v>
      </c>
      <c r="M340" t="s">
        <v>360</v>
      </c>
      <c r="N340" t="s">
        <v>1171</v>
      </c>
      <c r="O340" t="s">
        <v>1171</v>
      </c>
      <c r="P340" t="s">
        <v>1171</v>
      </c>
      <c r="Q340" t="s">
        <v>1171</v>
      </c>
      <c r="R340" t="str">
        <f>_xlfn.TEXTBEFORE(_xlfn.TEXTAFTER(us_core_reqs[[#This Row],[URL*]],"/",-1),".")</f>
        <v>StructureDefinition-us-core-coverage</v>
      </c>
      <c r="S340" t="str">
        <f>_xlfn.TEXTAFTER(us_core_reqs[[#This Row],[URL*]],"#",-1)</f>
        <v>mandatory-and-must-support-data-elements</v>
      </c>
      <c r="T340" t="str">
        <f>SUBSTITUTE(SUBSTITUTE(PROPER(SUBSTITUTE(us_core_reqs[[#This Row],[Page]], "-", " "))&amp;": "&amp;PROPER(SUBSTITUTE(us_core_reqs[[#This Row],[Section]], "-", " ")),"Us ","US "), "Uscdi", "USCDI")</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51" x14ac:dyDescent="0.2">
      <c r="A341" t="s">
        <v>1171</v>
      </c>
      <c r="B341" t="s">
        <v>1513</v>
      </c>
      <c r="C341" t="str">
        <f>"CONF-"&amp;TEXT(us_core_reqs[[#This Row],[ID*]], "0000")</f>
        <v>CONF-0340</v>
      </c>
      <c r="D341" s="11" t="s">
        <v>867</v>
      </c>
      <c r="E341" t="str">
        <f>SUBSTITUTE(us_core_reqs[[#This Row],[URL*]], "https://hl7.org/fhir/us/core/STU8/","")</f>
        <v>StructureDefinition-us-core-implantable-device.html#mandatory-and-must-support-data-elements</v>
      </c>
      <c r="F341" s="11" t="s">
        <v>361</v>
      </c>
      <c r="G341" t="s">
        <v>32</v>
      </c>
      <c r="I341" t="s">
        <v>30</v>
      </c>
      <c r="J341" t="s">
        <v>1171</v>
      </c>
      <c r="K341" t="s">
        <v>1171</v>
      </c>
      <c r="L341" t="s">
        <v>1173</v>
      </c>
      <c r="M341" t="s">
        <v>1171</v>
      </c>
      <c r="N341" t="s">
        <v>1171</v>
      </c>
      <c r="O341" t="s">
        <v>1171</v>
      </c>
      <c r="P341" t="s">
        <v>1171</v>
      </c>
      <c r="Q341" t="s">
        <v>1171</v>
      </c>
      <c r="R341" t="str">
        <f>_xlfn.TEXTBEFORE(_xlfn.TEXTAFTER(us_core_reqs[[#This Row],[URL*]],"/",-1),".")</f>
        <v>StructureDefinition-us-core-implantable-device</v>
      </c>
      <c r="S341" t="str">
        <f>_xlfn.TEXTAFTER(us_core_reqs[[#This Row],[URL*]],"#",-1)</f>
        <v>mandatory-and-must-support-data-elements</v>
      </c>
      <c r="T341" t="str">
        <f>SUBSTITUTE(SUBSTITUTE(PROPER(SUBSTITUTE(us_core_reqs[[#This Row],[Page]], "-", " "))&amp;": "&amp;PROPER(SUBSTITUTE(us_core_reqs[[#This Row],[Section]], "-", " ")),"Us ","US "), "Uscdi", "USCDI")</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51" x14ac:dyDescent="0.2">
      <c r="A342" t="s">
        <v>1171</v>
      </c>
      <c r="B342" t="s">
        <v>1514</v>
      </c>
      <c r="C342" t="str">
        <f>"CONF-"&amp;TEXT(us_core_reqs[[#This Row],[ID*]], "0000")</f>
        <v>CONF-0341</v>
      </c>
      <c r="D342" s="11" t="s">
        <v>867</v>
      </c>
      <c r="E342" t="str">
        <f>SUBSTITUTE(us_core_reqs[[#This Row],[URL*]], "https://hl7.org/fhir/us/core/STU8/","")</f>
        <v>StructureDefinition-us-core-implantable-device.html#mandatory-and-must-support-data-elements</v>
      </c>
      <c r="F342" s="11" t="s">
        <v>362</v>
      </c>
      <c r="G342" t="s">
        <v>32</v>
      </c>
      <c r="I342" t="s">
        <v>30</v>
      </c>
      <c r="J342" t="s">
        <v>1171</v>
      </c>
      <c r="K342" t="s">
        <v>1171</v>
      </c>
      <c r="L342" t="s">
        <v>1173</v>
      </c>
      <c r="M342" t="s">
        <v>1171</v>
      </c>
      <c r="N342" t="s">
        <v>1171</v>
      </c>
      <c r="O342" t="s">
        <v>1171</v>
      </c>
      <c r="P342" t="s">
        <v>1171</v>
      </c>
      <c r="Q342" t="s">
        <v>1171</v>
      </c>
      <c r="R342" t="str">
        <f>_xlfn.TEXTBEFORE(_xlfn.TEXTAFTER(us_core_reqs[[#This Row],[URL*]],"/",-1),".")</f>
        <v>StructureDefinition-us-core-implantable-device</v>
      </c>
      <c r="S342" t="str">
        <f>_xlfn.TEXTAFTER(us_core_reqs[[#This Row],[URL*]],"#",-1)</f>
        <v>mandatory-and-must-support-data-elements</v>
      </c>
      <c r="T342" t="str">
        <f>SUBSTITUTE(SUBSTITUTE(PROPER(SUBSTITUTE(us_core_reqs[[#This Row],[Page]], "-", " "))&amp;": "&amp;PROPER(SUBSTITUTE(us_core_reqs[[#This Row],[Section]], "-", " ")),"Us ","US "), "Uscdi", "USCDI")</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51" x14ac:dyDescent="0.2">
      <c r="A343" t="s">
        <v>1171</v>
      </c>
      <c r="B343" t="s">
        <v>1515</v>
      </c>
      <c r="C343" t="str">
        <f>"CONF-"&amp;TEXT(us_core_reqs[[#This Row],[ID*]], "0000")</f>
        <v>CONF-0342</v>
      </c>
      <c r="D343" s="11" t="s">
        <v>867</v>
      </c>
      <c r="E343" t="str">
        <f>SUBSTITUTE(us_core_reqs[[#This Row],[URL*]], "https://hl7.org/fhir/us/core/STU8/","")</f>
        <v>StructureDefinition-us-core-implantable-device.html#mandatory-and-must-support-data-elements</v>
      </c>
      <c r="F343" s="11" t="s">
        <v>1908</v>
      </c>
      <c r="G343" t="s">
        <v>29</v>
      </c>
      <c r="I343" t="s">
        <v>30</v>
      </c>
      <c r="J343" t="s">
        <v>1171</v>
      </c>
      <c r="K343" t="s">
        <v>1171</v>
      </c>
      <c r="L343" t="s">
        <v>1173</v>
      </c>
      <c r="M343" t="s">
        <v>1171</v>
      </c>
      <c r="N343" t="s">
        <v>1171</v>
      </c>
      <c r="O343" t="s">
        <v>1171</v>
      </c>
      <c r="P343" t="s">
        <v>1171</v>
      </c>
      <c r="Q343" t="s">
        <v>1171</v>
      </c>
      <c r="R343" t="str">
        <f>_xlfn.TEXTBEFORE(_xlfn.TEXTAFTER(us_core_reqs[[#This Row],[URL*]],"/",-1),".")</f>
        <v>StructureDefinition-us-core-implantable-device</v>
      </c>
      <c r="S343" t="str">
        <f>_xlfn.TEXTAFTER(us_core_reqs[[#This Row],[URL*]],"#",-1)</f>
        <v>mandatory-and-must-support-data-elements</v>
      </c>
      <c r="T343" t="str">
        <f>SUBSTITUTE(SUBSTITUTE(PROPER(SUBSTITUTE(us_core_reqs[[#This Row],[Page]], "-", " "))&amp;": "&amp;PROPER(SUBSTITUTE(us_core_reqs[[#This Row],[Section]], "-", " ")),"Us ","US "), "Uscdi", "USCDI")</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51" x14ac:dyDescent="0.2">
      <c r="A344" t="s">
        <v>1171</v>
      </c>
      <c r="B344" t="s">
        <v>1516</v>
      </c>
      <c r="C344" t="str">
        <f>"CONF-"&amp;TEXT(us_core_reqs[[#This Row],[ID*]], "0000")</f>
        <v>CONF-0343</v>
      </c>
      <c r="D344" s="11" t="s">
        <v>867</v>
      </c>
      <c r="E344" t="str">
        <f>SUBSTITUTE(us_core_reqs[[#This Row],[URL*]], "https://hl7.org/fhir/us/core/STU8/","")</f>
        <v>StructureDefinition-us-core-implantable-device.html#mandatory-and-must-support-data-elements</v>
      </c>
      <c r="F344" s="11" t="s">
        <v>2093</v>
      </c>
      <c r="G344" t="s">
        <v>29</v>
      </c>
      <c r="I344" t="s">
        <v>30</v>
      </c>
      <c r="J344" t="s">
        <v>1171</v>
      </c>
      <c r="K344" t="s">
        <v>1171</v>
      </c>
      <c r="L344" t="s">
        <v>1173</v>
      </c>
      <c r="M344" t="s">
        <v>1171</v>
      </c>
      <c r="N344" t="s">
        <v>1171</v>
      </c>
      <c r="O344" t="s">
        <v>1171</v>
      </c>
      <c r="P344" t="s">
        <v>1171</v>
      </c>
      <c r="Q344" t="s">
        <v>1171</v>
      </c>
      <c r="R344" t="str">
        <f>_xlfn.TEXTBEFORE(_xlfn.TEXTAFTER(us_core_reqs[[#This Row],[URL*]],"/",-1),".")</f>
        <v>StructureDefinition-us-core-implantable-device</v>
      </c>
      <c r="S344" t="str">
        <f>_xlfn.TEXTAFTER(us_core_reqs[[#This Row],[URL*]],"#",-1)</f>
        <v>mandatory-and-must-support-data-elements</v>
      </c>
      <c r="T344" t="str">
        <f>SUBSTITUTE(SUBSTITUTE(PROPER(SUBSTITUTE(us_core_reqs[[#This Row],[Page]], "-", " "))&amp;": "&amp;PROPER(SUBSTITUTE(us_core_reqs[[#This Row],[Section]], "-", " ")),"Us ","US "), "Uscdi", "USCDI")</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68" x14ac:dyDescent="0.2">
      <c r="A345" t="s">
        <v>1171</v>
      </c>
      <c r="B345" t="s">
        <v>1517</v>
      </c>
      <c r="C345" t="str">
        <f>"CONF-"&amp;TEXT(us_core_reqs[[#This Row],[ID*]], "0000")</f>
        <v>CONF-0344</v>
      </c>
      <c r="D345" s="11" t="s">
        <v>867</v>
      </c>
      <c r="E345" t="str">
        <f>SUBSTITUTE(us_core_reqs[[#This Row],[URL*]], "https://hl7.org/fhir/us/core/STU8/","")</f>
        <v>StructureDefinition-us-core-implantable-device.html#mandatory-and-must-support-data-elements</v>
      </c>
      <c r="F345" s="11" t="s">
        <v>1983</v>
      </c>
      <c r="G345" t="s">
        <v>32</v>
      </c>
      <c r="I345" t="s">
        <v>30</v>
      </c>
      <c r="J345" t="s">
        <v>1171</v>
      </c>
      <c r="K345" t="s">
        <v>1171</v>
      </c>
      <c r="L345" t="s">
        <v>1176</v>
      </c>
      <c r="M345" t="s">
        <v>366</v>
      </c>
      <c r="N345" t="s">
        <v>1171</v>
      </c>
      <c r="O345" t="s">
        <v>1171</v>
      </c>
      <c r="P345" t="s">
        <v>1171</v>
      </c>
      <c r="Q345" t="s">
        <v>1171</v>
      </c>
      <c r="R345" t="str">
        <f>_xlfn.TEXTBEFORE(_xlfn.TEXTAFTER(us_core_reqs[[#This Row],[URL*]],"/",-1),".")</f>
        <v>StructureDefinition-us-core-implantable-device</v>
      </c>
      <c r="S345" t="str">
        <f>_xlfn.TEXTAFTER(us_core_reqs[[#This Row],[URL*]],"#",-1)</f>
        <v>mandatory-and-must-support-data-elements</v>
      </c>
      <c r="T345" t="str">
        <f>SUBSTITUTE(SUBSTITUTE(PROPER(SUBSTITUTE(us_core_reqs[[#This Row],[Page]], "-", " "))&amp;": "&amp;PROPER(SUBSTITUTE(us_core_reqs[[#This Row],[Section]], "-", " ")),"Us ","US "), "Uscdi", "USCDI")</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1518</v>
      </c>
      <c r="C346" t="str">
        <f>"CONF-"&amp;TEXT(us_core_reqs[[#This Row],[ID*]], "0000")</f>
        <v>CONF-0345</v>
      </c>
      <c r="D346" s="11" t="s">
        <v>867</v>
      </c>
      <c r="E346" t="str">
        <f>SUBSTITUTE(us_core_reqs[[#This Row],[URL*]], "https://hl7.org/fhir/us/core/STU8/","")</f>
        <v>StructureDefinition-us-core-implantable-device.html#mandatory-and-must-support-data-elements</v>
      </c>
      <c r="F346" s="11" t="s">
        <v>1984</v>
      </c>
      <c r="G346" t="s">
        <v>32</v>
      </c>
      <c r="I346" t="s">
        <v>30</v>
      </c>
      <c r="J346" t="s">
        <v>1171</v>
      </c>
      <c r="K346" t="s">
        <v>1171</v>
      </c>
      <c r="L346" t="s">
        <v>1176</v>
      </c>
      <c r="M346" t="s">
        <v>368</v>
      </c>
      <c r="N346" t="s">
        <v>1171</v>
      </c>
      <c r="O346" t="s">
        <v>1171</v>
      </c>
      <c r="P346" t="s">
        <v>1171</v>
      </c>
      <c r="Q346" t="s">
        <v>1171</v>
      </c>
      <c r="R346" t="str">
        <f>_xlfn.TEXTBEFORE(_xlfn.TEXTAFTER(us_core_reqs[[#This Row],[URL*]],"/",-1),".")</f>
        <v>StructureDefinition-us-core-implantable-device</v>
      </c>
      <c r="S346" t="str">
        <f>_xlfn.TEXTAFTER(us_core_reqs[[#This Row],[URL*]],"#",-1)</f>
        <v>mandatory-and-must-support-data-elements</v>
      </c>
      <c r="T346" t="str">
        <f>SUBSTITUTE(SUBSTITUTE(PROPER(SUBSTITUTE(us_core_reqs[[#This Row],[Page]], "-", " "))&amp;": "&amp;PROPER(SUBSTITUTE(us_core_reqs[[#This Row],[Section]], "-", " ")),"Us ","US "), "Uscdi", "USCDI")</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51" x14ac:dyDescent="0.2">
      <c r="A347" t="s">
        <v>1171</v>
      </c>
      <c r="B347" t="s">
        <v>1519</v>
      </c>
      <c r="C347" t="str">
        <f>"CONF-"&amp;TEXT(us_core_reqs[[#This Row],[ID*]], "0000")</f>
        <v>CONF-0346</v>
      </c>
      <c r="D347" s="11" t="s">
        <v>867</v>
      </c>
      <c r="E347" t="str">
        <f>SUBSTITUTE(us_core_reqs[[#This Row],[URL*]], "https://hl7.org/fhir/us/core/STU8/","")</f>
        <v>StructureDefinition-us-core-implantable-device.html#mandatory-and-must-support-data-elements</v>
      </c>
      <c r="F347" s="11" t="s">
        <v>937</v>
      </c>
      <c r="G347" t="s">
        <v>32</v>
      </c>
      <c r="I347" t="s">
        <v>30</v>
      </c>
      <c r="J347" t="s">
        <v>1171</v>
      </c>
      <c r="K347" t="s">
        <v>1171</v>
      </c>
      <c r="L347" t="s">
        <v>1173</v>
      </c>
      <c r="M347" t="s">
        <v>1171</v>
      </c>
      <c r="N347" t="s">
        <v>1171</v>
      </c>
      <c r="O347" t="s">
        <v>1171</v>
      </c>
      <c r="P347" t="s">
        <v>1171</v>
      </c>
      <c r="Q347" t="s">
        <v>1171</v>
      </c>
      <c r="R347" t="str">
        <f>_xlfn.TEXTBEFORE(_xlfn.TEXTAFTER(us_core_reqs[[#This Row],[URL*]],"/",-1),".")</f>
        <v>StructureDefinition-us-core-implantable-device</v>
      </c>
      <c r="S347" t="str">
        <f>_xlfn.TEXTAFTER(us_core_reqs[[#This Row],[URL*]],"#",-1)</f>
        <v>mandatory-and-must-support-data-elements</v>
      </c>
      <c r="T347" t="str">
        <f>SUBSTITUTE(SUBSTITUTE(PROPER(SUBSTITUTE(us_core_reqs[[#This Row],[Page]], "-", " "))&amp;": "&amp;PROPER(SUBSTITUTE(us_core_reqs[[#This Row],[Section]], "-", " ")),"Us ","US "), "Uscdi", "USCDI")</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51" x14ac:dyDescent="0.2">
      <c r="A348" t="s">
        <v>1171</v>
      </c>
      <c r="B348" t="s">
        <v>1520</v>
      </c>
      <c r="C348" t="str">
        <f>"CONF-"&amp;TEXT(us_core_reqs[[#This Row],[ID*]], "0000")</f>
        <v>CONF-0347</v>
      </c>
      <c r="D348" s="11" t="s">
        <v>867</v>
      </c>
      <c r="E348" t="str">
        <f>SUBSTITUTE(us_core_reqs[[#This Row],[URL*]], "https://hl7.org/fhir/us/core/STU8/","")</f>
        <v>StructureDefinition-us-core-implantable-device.html#mandatory-and-must-support-data-elements</v>
      </c>
      <c r="F348" s="11" t="s">
        <v>2077</v>
      </c>
      <c r="G348" t="s">
        <v>35</v>
      </c>
      <c r="I348" t="s">
        <v>30</v>
      </c>
      <c r="J348" t="s">
        <v>1171</v>
      </c>
      <c r="K348" t="s">
        <v>1171</v>
      </c>
      <c r="L348" t="s">
        <v>1173</v>
      </c>
      <c r="M348" t="s">
        <v>1171</v>
      </c>
      <c r="N348" t="s">
        <v>1171</v>
      </c>
      <c r="O348" t="s">
        <v>1171</v>
      </c>
      <c r="P348" t="s">
        <v>1171</v>
      </c>
      <c r="Q348" t="s">
        <v>1171</v>
      </c>
      <c r="R348" t="str">
        <f>_xlfn.TEXTBEFORE(_xlfn.TEXTAFTER(us_core_reqs[[#This Row],[URL*]],"/",-1),".")</f>
        <v>StructureDefinition-us-core-implantable-device</v>
      </c>
      <c r="S348" t="str">
        <f>_xlfn.TEXTAFTER(us_core_reqs[[#This Row],[URL*]],"#",-1)</f>
        <v>mandatory-and-must-support-data-elements</v>
      </c>
      <c r="T348" t="str">
        <f>SUBSTITUTE(SUBSTITUTE(PROPER(SUBSTITUTE(us_core_reqs[[#This Row],[Page]], "-", " "))&amp;": "&amp;PROPER(SUBSTITUTE(us_core_reqs[[#This Row],[Section]], "-", " ")),"Us ","US "), "Uscdi", "USCDI")</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51" x14ac:dyDescent="0.2">
      <c r="A349" t="s">
        <v>1171</v>
      </c>
      <c r="B349" t="s">
        <v>1521</v>
      </c>
      <c r="C349" t="str">
        <f>"CONF-"&amp;TEXT(us_core_reqs[[#This Row],[ID*]], "0000")</f>
        <v>CONF-0348</v>
      </c>
      <c r="D349" s="11" t="s">
        <v>867</v>
      </c>
      <c r="E349" t="str">
        <f>SUBSTITUTE(us_core_reqs[[#This Row],[URL*]], "https://hl7.org/fhir/us/core/STU8/","")</f>
        <v>StructureDefinition-us-core-implantable-device.html#mandatory-and-must-support-data-elements</v>
      </c>
      <c r="F349" s="11" t="s">
        <v>2078</v>
      </c>
      <c r="G349" t="s">
        <v>35</v>
      </c>
      <c r="I349" t="s">
        <v>30</v>
      </c>
      <c r="J349" t="s">
        <v>1171</v>
      </c>
      <c r="K349" t="s">
        <v>1171</v>
      </c>
      <c r="L349" t="s">
        <v>1173</v>
      </c>
      <c r="M349" t="s">
        <v>1171</v>
      </c>
      <c r="N349" t="s">
        <v>1171</v>
      </c>
      <c r="O349" t="s">
        <v>1171</v>
      </c>
      <c r="P349" t="s">
        <v>1171</v>
      </c>
      <c r="Q349" t="s">
        <v>1171</v>
      </c>
      <c r="R349" t="str">
        <f>_xlfn.TEXTBEFORE(_xlfn.TEXTAFTER(us_core_reqs[[#This Row],[URL*]],"/",-1),".")</f>
        <v>StructureDefinition-us-core-implantable-device</v>
      </c>
      <c r="S349" t="str">
        <f>_xlfn.TEXTAFTER(us_core_reqs[[#This Row],[URL*]],"#",-1)</f>
        <v>mandatory-and-must-support-data-elements</v>
      </c>
      <c r="T349" t="str">
        <f>SUBSTITUTE(SUBSTITUTE(PROPER(SUBSTITUTE(us_core_reqs[[#This Row],[Page]], "-", " "))&amp;": "&amp;PROPER(SUBSTITUTE(us_core_reqs[[#This Row],[Section]], "-", " ")),"Us ","US "), "Uscdi", "USCDI")</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51" x14ac:dyDescent="0.2">
      <c r="A350" t="s">
        <v>1171</v>
      </c>
      <c r="B350" t="s">
        <v>1522</v>
      </c>
      <c r="C350" t="str">
        <f>"CONF-"&amp;TEXT(us_core_reqs[[#This Row],[ID*]], "0000")</f>
        <v>CONF-0349</v>
      </c>
      <c r="D350" s="11" t="s">
        <v>867</v>
      </c>
      <c r="E350" t="str">
        <f>SUBSTITUTE(us_core_reqs[[#This Row],[URL*]], "https://hl7.org/fhir/us/core/STU8/","")</f>
        <v>StructureDefinition-us-core-implantable-device.html#mandatory-and-must-support-data-elements</v>
      </c>
      <c r="F350" s="11" t="s">
        <v>2079</v>
      </c>
      <c r="G350" t="s">
        <v>35</v>
      </c>
      <c r="I350" t="s">
        <v>30</v>
      </c>
      <c r="J350" t="s">
        <v>1171</v>
      </c>
      <c r="K350" t="s">
        <v>1171</v>
      </c>
      <c r="L350" t="s">
        <v>1173</v>
      </c>
      <c r="M350" t="s">
        <v>1171</v>
      </c>
      <c r="N350" t="s">
        <v>1171</v>
      </c>
      <c r="O350" t="s">
        <v>1171</v>
      </c>
      <c r="P350" t="s">
        <v>1171</v>
      </c>
      <c r="Q350" t="s">
        <v>1171</v>
      </c>
      <c r="R350" t="str">
        <f>_xlfn.TEXTBEFORE(_xlfn.TEXTAFTER(us_core_reqs[[#This Row],[URL*]],"/",-1),".")</f>
        <v>StructureDefinition-us-core-implantable-device</v>
      </c>
      <c r="S350" t="str">
        <f>_xlfn.TEXTAFTER(us_core_reqs[[#This Row],[URL*]],"#",-1)</f>
        <v>mandatory-and-must-support-data-elements</v>
      </c>
      <c r="T350" t="str">
        <f>SUBSTITUTE(SUBSTITUTE(PROPER(SUBSTITUTE(us_core_reqs[[#This Row],[Page]], "-", " "))&amp;": "&amp;PROPER(SUBSTITUTE(us_core_reqs[[#This Row],[Section]], "-", " ")),"Us ","US "), "Uscdi", "USCDI")</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51" x14ac:dyDescent="0.2">
      <c r="A351" t="s">
        <v>1171</v>
      </c>
      <c r="B351" t="s">
        <v>1523</v>
      </c>
      <c r="C351" t="str">
        <f>"CONF-"&amp;TEXT(us_core_reqs[[#This Row],[ID*]], "0000")</f>
        <v>CONF-0350</v>
      </c>
      <c r="D351" s="11" t="s">
        <v>867</v>
      </c>
      <c r="E351" t="str">
        <f>SUBSTITUTE(us_core_reqs[[#This Row],[URL*]], "https://hl7.org/fhir/us/core/STU8/","")</f>
        <v>StructureDefinition-us-core-implantable-device.html#mandatory-and-must-support-data-elements</v>
      </c>
      <c r="F351" s="11" t="s">
        <v>2080</v>
      </c>
      <c r="G351" t="s">
        <v>35</v>
      </c>
      <c r="I351" t="s">
        <v>30</v>
      </c>
      <c r="J351" t="s">
        <v>1171</v>
      </c>
      <c r="K351" t="s">
        <v>1171</v>
      </c>
      <c r="L351" t="s">
        <v>1173</v>
      </c>
      <c r="M351" t="s">
        <v>1171</v>
      </c>
      <c r="N351" t="s">
        <v>1171</v>
      </c>
      <c r="O351" t="s">
        <v>1171</v>
      </c>
      <c r="P351" t="s">
        <v>1171</v>
      </c>
      <c r="Q351" t="s">
        <v>1171</v>
      </c>
      <c r="R351" t="str">
        <f>_xlfn.TEXTBEFORE(_xlfn.TEXTAFTER(us_core_reqs[[#This Row],[URL*]],"/",-1),".")</f>
        <v>StructureDefinition-us-core-implantable-device</v>
      </c>
      <c r="S351" t="str">
        <f>_xlfn.TEXTAFTER(us_core_reqs[[#This Row],[URL*]],"#",-1)</f>
        <v>mandatory-and-must-support-data-elements</v>
      </c>
      <c r="T351" t="str">
        <f>SUBSTITUTE(SUBSTITUTE(PROPER(SUBSTITUTE(us_core_reqs[[#This Row],[Page]], "-", " "))&amp;": "&amp;PROPER(SUBSTITUTE(us_core_reqs[[#This Row],[Section]], "-", " ")),"Us ","US "), "Uscdi", "USCDI")</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51" x14ac:dyDescent="0.2">
      <c r="A352" t="s">
        <v>1171</v>
      </c>
      <c r="B352" t="s">
        <v>1524</v>
      </c>
      <c r="C352" t="str">
        <f>"CONF-"&amp;TEXT(us_core_reqs[[#This Row],[ID*]], "0000")</f>
        <v>CONF-0351</v>
      </c>
      <c r="D352" s="11" t="s">
        <v>867</v>
      </c>
      <c r="E352" t="str">
        <f>SUBSTITUTE(us_core_reqs[[#This Row],[URL*]], "https://hl7.org/fhir/us/core/STU8/","")</f>
        <v>StructureDefinition-us-core-implantable-device.html#mandatory-and-must-support-data-elements</v>
      </c>
      <c r="F352" s="11" t="s">
        <v>2058</v>
      </c>
      <c r="G352" t="s">
        <v>35</v>
      </c>
      <c r="I352" t="s">
        <v>30</v>
      </c>
      <c r="J352" t="s">
        <v>1171</v>
      </c>
      <c r="K352" t="s">
        <v>1171</v>
      </c>
      <c r="L352" t="s">
        <v>1173</v>
      </c>
      <c r="M352" t="s">
        <v>1171</v>
      </c>
      <c r="N352" t="s">
        <v>1171</v>
      </c>
      <c r="O352" t="s">
        <v>1171</v>
      </c>
      <c r="P352" t="s">
        <v>1171</v>
      </c>
      <c r="Q352" t="s">
        <v>1171</v>
      </c>
      <c r="R352" t="str">
        <f>_xlfn.TEXTBEFORE(_xlfn.TEXTAFTER(us_core_reqs[[#This Row],[URL*]],"/",-1),".")</f>
        <v>StructureDefinition-us-core-implantable-device</v>
      </c>
      <c r="S352" t="str">
        <f>_xlfn.TEXTAFTER(us_core_reqs[[#This Row],[URL*]],"#",-1)</f>
        <v>mandatory-and-must-support-data-elements</v>
      </c>
      <c r="T352" t="str">
        <f>SUBSTITUTE(SUBSTITUTE(PROPER(SUBSTITUTE(us_core_reqs[[#This Row],[Page]], "-", " "))&amp;": "&amp;PROPER(SUBSTITUTE(us_core_reqs[[#This Row],[Section]], "-", " ")),"Us ","US "), "Uscdi", "USCDI")</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51" x14ac:dyDescent="0.2">
      <c r="A353" t="s">
        <v>1171</v>
      </c>
      <c r="B353" t="s">
        <v>1525</v>
      </c>
      <c r="C353" t="str">
        <f>"CONF-"&amp;TEXT(us_core_reqs[[#This Row],[ID*]], "0000")</f>
        <v>CONF-0352</v>
      </c>
      <c r="D353" s="11" t="s">
        <v>867</v>
      </c>
      <c r="E353" t="str">
        <f>SUBSTITUTE(us_core_reqs[[#This Row],[URL*]], "https://hl7.org/fhir/us/core/STU8/","")</f>
        <v>StructureDefinition-us-core-implantable-device.html#mandatory-and-must-support-data-elements</v>
      </c>
      <c r="F353" s="11" t="s">
        <v>2059</v>
      </c>
      <c r="G353" t="s">
        <v>35</v>
      </c>
      <c r="I353" t="s">
        <v>30</v>
      </c>
      <c r="J353" t="s">
        <v>1171</v>
      </c>
      <c r="K353" t="s">
        <v>1171</v>
      </c>
      <c r="L353" t="s">
        <v>1173</v>
      </c>
      <c r="M353" t="s">
        <v>1171</v>
      </c>
      <c r="N353" t="s">
        <v>1171</v>
      </c>
      <c r="O353" t="s">
        <v>1171</v>
      </c>
      <c r="P353" t="s">
        <v>1171</v>
      </c>
      <c r="Q353" t="s">
        <v>1171</v>
      </c>
      <c r="R353" t="str">
        <f>_xlfn.TEXTBEFORE(_xlfn.TEXTAFTER(us_core_reqs[[#This Row],[URL*]],"/",-1),".")</f>
        <v>StructureDefinition-us-core-implantable-device</v>
      </c>
      <c r="S353" t="str">
        <f>_xlfn.TEXTAFTER(us_core_reqs[[#This Row],[URL*]],"#",-1)</f>
        <v>mandatory-and-must-support-data-elements</v>
      </c>
      <c r="T353" t="str">
        <f>SUBSTITUTE(SUBSTITUTE(PROPER(SUBSTITUTE(us_core_reqs[[#This Row],[Page]], "-", " "))&amp;": "&amp;PROPER(SUBSTITUTE(us_core_reqs[[#This Row],[Section]], "-", " ")),"Us ","US "), "Uscdi", "USCDI")</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51" x14ac:dyDescent="0.2">
      <c r="A354" t="s">
        <v>1171</v>
      </c>
      <c r="B354" t="s">
        <v>1526</v>
      </c>
      <c r="C354" t="str">
        <f>"CONF-"&amp;TEXT(us_core_reqs[[#This Row],[ID*]], "0000")</f>
        <v>CONF-0353</v>
      </c>
      <c r="D354" s="11" t="s">
        <v>867</v>
      </c>
      <c r="E354" t="str">
        <f>SUBSTITUTE(us_core_reqs[[#This Row],[URL*]], "https://hl7.org/fhir/us/core/STU8/","")</f>
        <v>StructureDefinition-us-core-implantable-device.html#mandatory-and-must-support-data-elements</v>
      </c>
      <c r="F354" s="11" t="s">
        <v>2060</v>
      </c>
      <c r="G354" t="s">
        <v>35</v>
      </c>
      <c r="I354" t="s">
        <v>30</v>
      </c>
      <c r="J354" t="s">
        <v>1171</v>
      </c>
      <c r="K354" t="s">
        <v>1171</v>
      </c>
      <c r="L354" t="s">
        <v>1173</v>
      </c>
      <c r="M354" t="s">
        <v>1171</v>
      </c>
      <c r="N354" t="s">
        <v>1171</v>
      </c>
      <c r="O354" t="s">
        <v>1171</v>
      </c>
      <c r="P354" t="s">
        <v>1171</v>
      </c>
      <c r="Q354" t="s">
        <v>1171</v>
      </c>
      <c r="R354" t="str">
        <f>_xlfn.TEXTBEFORE(_xlfn.TEXTAFTER(us_core_reqs[[#This Row],[URL*]],"/",-1),".")</f>
        <v>StructureDefinition-us-core-implantable-device</v>
      </c>
      <c r="S354" t="str">
        <f>_xlfn.TEXTAFTER(us_core_reqs[[#This Row],[URL*]],"#",-1)</f>
        <v>mandatory-and-must-support-data-elements</v>
      </c>
      <c r="T354" t="str">
        <f>SUBSTITUTE(SUBSTITUTE(PROPER(SUBSTITUTE(us_core_reqs[[#This Row],[Page]], "-", " "))&amp;": "&amp;PROPER(SUBSTITUTE(us_core_reqs[[#This Row],[Section]], "-", " ")),"Us ","US "), "Uscdi", "USCDI")</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51" x14ac:dyDescent="0.2">
      <c r="A355" t="s">
        <v>1171</v>
      </c>
      <c r="B355" t="s">
        <v>1527</v>
      </c>
      <c r="C355" t="str">
        <f>"CONF-"&amp;TEXT(us_core_reqs[[#This Row],[ID*]], "0000")</f>
        <v>CONF-0354</v>
      </c>
      <c r="D355" s="11" t="s">
        <v>867</v>
      </c>
      <c r="E355" t="str">
        <f>SUBSTITUTE(us_core_reqs[[#This Row],[URL*]], "https://hl7.org/fhir/us/core/STU8/","")</f>
        <v>StructureDefinition-us-core-implantable-device.html#mandatory-and-must-support-data-elements</v>
      </c>
      <c r="F355" s="11" t="s">
        <v>2061</v>
      </c>
      <c r="G355" t="s">
        <v>35</v>
      </c>
      <c r="I355" t="s">
        <v>30</v>
      </c>
      <c r="J355" t="s">
        <v>1171</v>
      </c>
      <c r="K355" t="s">
        <v>1171</v>
      </c>
      <c r="L355" t="s">
        <v>1173</v>
      </c>
      <c r="M355" t="s">
        <v>1171</v>
      </c>
      <c r="N355" t="s">
        <v>1171</v>
      </c>
      <c r="O355" t="s">
        <v>1171</v>
      </c>
      <c r="P355" t="s">
        <v>1171</v>
      </c>
      <c r="Q355" t="s">
        <v>1171</v>
      </c>
      <c r="R355" t="str">
        <f>_xlfn.TEXTBEFORE(_xlfn.TEXTAFTER(us_core_reqs[[#This Row],[URL*]],"/",-1),".")</f>
        <v>StructureDefinition-us-core-implantable-device</v>
      </c>
      <c r="S355" t="str">
        <f>_xlfn.TEXTAFTER(us_core_reqs[[#This Row],[URL*]],"#",-1)</f>
        <v>mandatory-and-must-support-data-elements</v>
      </c>
      <c r="T355" t="str">
        <f>SUBSTITUTE(SUBSTITUTE(PROPER(SUBSTITUTE(us_core_reqs[[#This Row],[Page]], "-", " "))&amp;": "&amp;PROPER(SUBSTITUTE(us_core_reqs[[#This Row],[Section]], "-", " ")),"Us ","US "), "Uscdi", "USCDI")</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51" x14ac:dyDescent="0.2">
      <c r="A356" t="s">
        <v>1171</v>
      </c>
      <c r="B356" t="s">
        <v>1528</v>
      </c>
      <c r="C356" t="str">
        <f>"CONF-"&amp;TEXT(us_core_reqs[[#This Row],[ID*]], "0000")</f>
        <v>CONF-0355</v>
      </c>
      <c r="D356" s="11" t="s">
        <v>867</v>
      </c>
      <c r="E356" t="str">
        <f>SUBSTITUTE(us_core_reqs[[#This Row],[URL*]], "https://hl7.org/fhir/us/core/STU8/","")</f>
        <v>StructureDefinition-us-core-implantable-device.html#mandatory-and-must-support-data-elements</v>
      </c>
      <c r="F356" s="11" t="s">
        <v>2062</v>
      </c>
      <c r="G356" t="s">
        <v>35</v>
      </c>
      <c r="I356" t="s">
        <v>30</v>
      </c>
      <c r="J356" t="s">
        <v>1171</v>
      </c>
      <c r="K356" t="s">
        <v>1171</v>
      </c>
      <c r="L356" t="s">
        <v>1173</v>
      </c>
      <c r="M356" t="s">
        <v>1171</v>
      </c>
      <c r="N356" t="s">
        <v>1171</v>
      </c>
      <c r="O356" t="s">
        <v>1171</v>
      </c>
      <c r="P356" t="s">
        <v>1171</v>
      </c>
      <c r="Q356" t="s">
        <v>1171</v>
      </c>
      <c r="R356" t="str">
        <f>_xlfn.TEXTBEFORE(_xlfn.TEXTAFTER(us_core_reqs[[#This Row],[URL*]],"/",-1),".")</f>
        <v>StructureDefinition-us-core-implantable-device</v>
      </c>
      <c r="S356" t="str">
        <f>_xlfn.TEXTAFTER(us_core_reqs[[#This Row],[URL*]],"#",-1)</f>
        <v>mandatory-and-must-support-data-elements</v>
      </c>
      <c r="T356" t="str">
        <f>SUBSTITUTE(SUBSTITUTE(PROPER(SUBSTITUTE(us_core_reqs[[#This Row],[Page]], "-", " "))&amp;": "&amp;PROPER(SUBSTITUTE(us_core_reqs[[#This Row],[Section]], "-", " ")),"Us ","US "), "Uscdi", "USCDI")</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85" x14ac:dyDescent="0.2">
      <c r="A357" t="s">
        <v>1171</v>
      </c>
      <c r="B357" t="s">
        <v>1529</v>
      </c>
      <c r="C357" t="str">
        <f>"CONF-"&amp;TEXT(us_core_reqs[[#This Row],[ID*]], "0000")</f>
        <v>CONF-0356</v>
      </c>
      <c r="D357" s="11" t="s">
        <v>868</v>
      </c>
      <c r="E357" t="str">
        <f>SUBSTITUTE(us_core_reqs[[#This Row],[URL*]], "https://hl7.org/fhir/us/core/STU8/","")</f>
        <v>StructureDefinition-us-core-diagnosticreport-lab.html#mandatory-and-must-support-data-elements, StructureDefinition-us-core-diagnosticreport-note.html#mandatory-and-must-support-data-elements</v>
      </c>
      <c r="F357" s="11" t="s">
        <v>2094</v>
      </c>
      <c r="G357" t="s">
        <v>29</v>
      </c>
      <c r="I357" t="s">
        <v>30</v>
      </c>
      <c r="J357" t="s">
        <v>1171</v>
      </c>
      <c r="K357" t="s">
        <v>1171</v>
      </c>
      <c r="L357" t="s">
        <v>1176</v>
      </c>
      <c r="M357" t="s">
        <v>379</v>
      </c>
      <c r="N357" t="s">
        <v>1171</v>
      </c>
      <c r="O357" t="s">
        <v>1171</v>
      </c>
      <c r="P357" t="s">
        <v>1171</v>
      </c>
      <c r="Q357" t="s">
        <v>1171</v>
      </c>
      <c r="R357" t="str">
        <f>_xlfn.TEXTBEFORE(_xlfn.TEXTAFTER(us_core_reqs[[#This Row],[URL*]],"/",-1),".")</f>
        <v>StructureDefinition-us-core-diagnosticreport-note</v>
      </c>
      <c r="S357" t="str">
        <f>_xlfn.TEXTAFTER(us_core_reqs[[#This Row],[URL*]],"#",-1)</f>
        <v>mandatory-and-must-support-data-elements</v>
      </c>
      <c r="T357" t="str">
        <f>SUBSTITUTE(SUBSTITUTE(PROPER(SUBSTITUTE(us_core_reqs[[#This Row],[Page]], "-", " "))&amp;": "&amp;PROPER(SUBSTITUTE(us_core_reqs[[#This Row],[Section]], "-", " ")),"Us ","US "), "Uscdi", "USCDI")</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51" x14ac:dyDescent="0.2">
      <c r="A358" t="s">
        <v>1171</v>
      </c>
      <c r="B358" t="s">
        <v>1530</v>
      </c>
      <c r="C358" t="str">
        <f>"CONF-"&amp;TEXT(us_core_reqs[[#This Row],[ID*]], "0000")</f>
        <v>CONF-0357</v>
      </c>
      <c r="D358" s="11" t="s">
        <v>640</v>
      </c>
      <c r="E358" t="str">
        <f>SUBSTITUTE(us_core_reqs[[#This Row],[URL*]], "https://hl7.org/fhir/us/core/STU8/","")</f>
        <v>StructureDefinition-us-core-diagnosticreport-lab.html#mandatory-and-must-support-data-elements</v>
      </c>
      <c r="F358" s="11" t="s">
        <v>2095</v>
      </c>
      <c r="G358" t="s">
        <v>29</v>
      </c>
      <c r="I358" t="s">
        <v>30</v>
      </c>
      <c r="J358" t="s">
        <v>1171</v>
      </c>
      <c r="K358" t="s">
        <v>1171</v>
      </c>
      <c r="L358" t="s">
        <v>1176</v>
      </c>
      <c r="M358" t="s">
        <v>381</v>
      </c>
      <c r="N358" t="s">
        <v>1171</v>
      </c>
      <c r="O358" t="s">
        <v>1171</v>
      </c>
      <c r="P358" t="s">
        <v>1171</v>
      </c>
      <c r="Q358" t="s">
        <v>1171</v>
      </c>
      <c r="R358" t="str">
        <f>_xlfn.TEXTBEFORE(_xlfn.TEXTAFTER(us_core_reqs[[#This Row],[URL*]],"/",-1),".")</f>
        <v>StructureDefinition-us-core-diagnosticreport-lab</v>
      </c>
      <c r="S358" t="str">
        <f>_xlfn.TEXTAFTER(us_core_reqs[[#This Row],[URL*]],"#",-1)</f>
        <v>mandatory-and-must-support-data-elements</v>
      </c>
      <c r="T358" t="str">
        <f>SUBSTITUTE(SUBSTITUTE(PROPER(SUBSTITUTE(us_core_reqs[[#This Row],[Page]], "-", " "))&amp;": "&amp;PROPER(SUBSTITUTE(us_core_reqs[[#This Row],[Section]], "-", " ")),"Us ","US "), "Uscdi", "USCDI")</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51" x14ac:dyDescent="0.2">
      <c r="A359" t="s">
        <v>1171</v>
      </c>
      <c r="B359" t="s">
        <v>1531</v>
      </c>
      <c r="C359" t="str">
        <f>"CONF-"&amp;TEXT(us_core_reqs[[#This Row],[ID*]], "0000")</f>
        <v>CONF-0358</v>
      </c>
      <c r="D359" s="11" t="s">
        <v>640</v>
      </c>
      <c r="E359" t="str">
        <f>SUBSTITUTE(us_core_reqs[[#This Row],[URL*]], "https://hl7.org/fhir/us/core/STU8/","")</f>
        <v>StructureDefinition-us-core-diagnosticreport-lab.html#mandatory-and-must-support-data-elements</v>
      </c>
      <c r="F359" s="11" t="s">
        <v>1985</v>
      </c>
      <c r="G359" t="s">
        <v>32</v>
      </c>
      <c r="I359" t="s">
        <v>30</v>
      </c>
      <c r="J359" t="s">
        <v>1171</v>
      </c>
      <c r="K359" t="s">
        <v>1171</v>
      </c>
      <c r="L359" t="s">
        <v>1173</v>
      </c>
      <c r="M359" t="s">
        <v>1171</v>
      </c>
      <c r="N359" t="s">
        <v>1171</v>
      </c>
      <c r="O359" t="s">
        <v>1171</v>
      </c>
      <c r="P359" t="s">
        <v>1171</v>
      </c>
      <c r="Q359" t="s">
        <v>1171</v>
      </c>
      <c r="R359" t="str">
        <f>_xlfn.TEXTBEFORE(_xlfn.TEXTAFTER(us_core_reqs[[#This Row],[URL*]],"/",-1),".")</f>
        <v>StructureDefinition-us-core-diagnosticreport-lab</v>
      </c>
      <c r="S359" t="str">
        <f>_xlfn.TEXTAFTER(us_core_reqs[[#This Row],[URL*]],"#",-1)</f>
        <v>mandatory-and-must-support-data-elements</v>
      </c>
      <c r="T359" t="str">
        <f>SUBSTITUTE(SUBSTITUTE(PROPER(SUBSTITUTE(us_core_reqs[[#This Row],[Page]], "-", " "))&amp;": "&amp;PROPER(SUBSTITUTE(us_core_reqs[[#This Row],[Section]], "-", " ")),"Us ","US "), "Uscdi", "USCDI")</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51" x14ac:dyDescent="0.2">
      <c r="A360" t="s">
        <v>1171</v>
      </c>
      <c r="B360" t="s">
        <v>1532</v>
      </c>
      <c r="C360" t="str">
        <f>"CONF-"&amp;TEXT(us_core_reqs[[#This Row],[ID*]], "0000")</f>
        <v>CONF-0359</v>
      </c>
      <c r="D360" s="11" t="s">
        <v>640</v>
      </c>
      <c r="E360" t="str">
        <f>SUBSTITUTE(us_core_reqs[[#This Row],[URL*]], "https://hl7.org/fhir/us/core/STU8/","")</f>
        <v>StructureDefinition-us-core-diagnosticreport-lab.html#mandatory-and-must-support-data-elements</v>
      </c>
      <c r="F360" s="11" t="s">
        <v>1986</v>
      </c>
      <c r="G360" t="s">
        <v>32</v>
      </c>
      <c r="I360" t="s">
        <v>30</v>
      </c>
      <c r="J360" t="s">
        <v>1171</v>
      </c>
      <c r="K360" t="s">
        <v>1171</v>
      </c>
      <c r="L360" t="s">
        <v>1173</v>
      </c>
      <c r="M360" t="s">
        <v>1171</v>
      </c>
      <c r="N360" t="s">
        <v>1171</v>
      </c>
      <c r="O360" t="s">
        <v>1171</v>
      </c>
      <c r="P360" t="s">
        <v>1171</v>
      </c>
      <c r="Q360" t="s">
        <v>1171</v>
      </c>
      <c r="R360" t="str">
        <f>_xlfn.TEXTBEFORE(_xlfn.TEXTAFTER(us_core_reqs[[#This Row],[URL*]],"/",-1),".")</f>
        <v>StructureDefinition-us-core-diagnosticreport-lab</v>
      </c>
      <c r="S360" t="str">
        <f>_xlfn.TEXTAFTER(us_core_reqs[[#This Row],[URL*]],"#",-1)</f>
        <v>mandatory-and-must-support-data-elements</v>
      </c>
      <c r="T360" t="str">
        <f>SUBSTITUTE(SUBSTITUTE(PROPER(SUBSTITUTE(us_core_reqs[[#This Row],[Page]], "-", " "))&amp;": "&amp;PROPER(SUBSTITUTE(us_core_reqs[[#This Row],[Section]], "-", " ")),"Us ","US "), "Uscdi", "USCDI")</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51" x14ac:dyDescent="0.2">
      <c r="A361" t="s">
        <v>1171</v>
      </c>
      <c r="B361" t="s">
        <v>1533</v>
      </c>
      <c r="C361" t="str">
        <f>"CONF-"&amp;TEXT(us_core_reqs[[#This Row],[ID*]], "0000")</f>
        <v>CONF-0360</v>
      </c>
      <c r="D361" s="11" t="s">
        <v>641</v>
      </c>
      <c r="E361" t="str">
        <f>SUBSTITUTE(us_core_reqs[[#This Row],[URL*]], "https://hl7.org/fhir/us/core/STU8/","")</f>
        <v>StructureDefinition-us-core-diagnosticreport-note.html#mandatory-and-must-support-data-elements</v>
      </c>
      <c r="F361" s="11" t="s">
        <v>382</v>
      </c>
      <c r="G361" t="s">
        <v>29</v>
      </c>
      <c r="I361" t="s">
        <v>30</v>
      </c>
      <c r="J361" t="s">
        <v>1171</v>
      </c>
      <c r="K361" t="s">
        <v>1171</v>
      </c>
      <c r="L361" t="s">
        <v>1173</v>
      </c>
      <c r="M361" t="s">
        <v>1171</v>
      </c>
      <c r="N361" t="s">
        <v>1171</v>
      </c>
      <c r="O361" t="s">
        <v>1171</v>
      </c>
      <c r="P361" t="s">
        <v>1171</v>
      </c>
      <c r="Q361" t="s">
        <v>1171</v>
      </c>
      <c r="R361" t="str">
        <f>_xlfn.TEXTBEFORE(_xlfn.TEXTAFTER(us_core_reqs[[#This Row],[URL*]],"/",-1),".")</f>
        <v>StructureDefinition-us-core-diagnosticreport-note</v>
      </c>
      <c r="S361" t="str">
        <f>_xlfn.TEXTAFTER(us_core_reqs[[#This Row],[URL*]],"#",-1)</f>
        <v>mandatory-and-must-support-data-elements</v>
      </c>
      <c r="T361" t="str">
        <f>SUBSTITUTE(SUBSTITUTE(PROPER(SUBSTITUTE(us_core_reqs[[#This Row],[Page]], "-", " "))&amp;": "&amp;PROPER(SUBSTITUTE(us_core_reqs[[#This Row],[Section]], "-", " ")),"Us ","US "), "Uscdi", "USCDI")</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51" x14ac:dyDescent="0.2">
      <c r="A362" t="s">
        <v>1171</v>
      </c>
      <c r="B362" t="s">
        <v>1534</v>
      </c>
      <c r="C362" t="str">
        <f>"CONF-"&amp;TEXT(us_core_reqs[[#This Row],[ID*]], "0000")</f>
        <v>CONF-0361</v>
      </c>
      <c r="D362" s="11" t="s">
        <v>641</v>
      </c>
      <c r="E362" t="str">
        <f>SUBSTITUTE(us_core_reqs[[#This Row],[URL*]], "https://hl7.org/fhir/us/core/STU8/","")</f>
        <v>StructureDefinition-us-core-diagnosticreport-note.html#mandatory-and-must-support-data-elements</v>
      </c>
      <c r="F362" s="11" t="s">
        <v>383</v>
      </c>
      <c r="G362" t="s">
        <v>35</v>
      </c>
      <c r="I362" t="s">
        <v>30</v>
      </c>
      <c r="J362" t="s">
        <v>1171</v>
      </c>
      <c r="K362" t="s">
        <v>1171</v>
      </c>
      <c r="L362" t="s">
        <v>1173</v>
      </c>
      <c r="M362" t="s">
        <v>1171</v>
      </c>
      <c r="N362" t="s">
        <v>1171</v>
      </c>
      <c r="O362" t="s">
        <v>1171</v>
      </c>
      <c r="P362" t="s">
        <v>1171</v>
      </c>
      <c r="Q362" t="s">
        <v>1171</v>
      </c>
      <c r="R362" t="str">
        <f>_xlfn.TEXTBEFORE(_xlfn.TEXTAFTER(us_core_reqs[[#This Row],[URL*]],"/",-1),".")</f>
        <v>StructureDefinition-us-core-diagnosticreport-note</v>
      </c>
      <c r="S362" t="str">
        <f>_xlfn.TEXTAFTER(us_core_reqs[[#This Row],[URL*]],"#",-1)</f>
        <v>mandatory-and-must-support-data-elements</v>
      </c>
      <c r="T362" t="str">
        <f>SUBSTITUTE(SUBSTITUTE(PROPER(SUBSTITUTE(us_core_reqs[[#This Row],[Page]], "-", " "))&amp;": "&amp;PROPER(SUBSTITUTE(us_core_reqs[[#This Row],[Section]], "-", " ")),"Us ","US "), "Uscdi", "USCDI")</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51" x14ac:dyDescent="0.2">
      <c r="A363" t="s">
        <v>1171</v>
      </c>
      <c r="B363" t="s">
        <v>1535</v>
      </c>
      <c r="C363" t="str">
        <f>"CONF-"&amp;TEXT(us_core_reqs[[#This Row],[ID*]], "0000")</f>
        <v>CONF-0362</v>
      </c>
      <c r="D363" s="11" t="s">
        <v>641</v>
      </c>
      <c r="E363" t="str">
        <f>SUBSTITUTE(us_core_reqs[[#This Row],[URL*]], "https://hl7.org/fhir/us/core/STU8/","")</f>
        <v>StructureDefinition-us-core-diagnosticreport-note.html#mandatory-and-must-support-data-elements</v>
      </c>
      <c r="F363" s="11" t="s">
        <v>1045</v>
      </c>
      <c r="G363" t="s">
        <v>35</v>
      </c>
      <c r="I363" t="s">
        <v>30</v>
      </c>
      <c r="J363" t="s">
        <v>1171</v>
      </c>
      <c r="K363" t="s">
        <v>1171</v>
      </c>
      <c r="L363" t="s">
        <v>1173</v>
      </c>
      <c r="M363" t="s">
        <v>1171</v>
      </c>
      <c r="N363" t="s">
        <v>1171</v>
      </c>
      <c r="O363" t="s">
        <v>1171</v>
      </c>
      <c r="P363" t="s">
        <v>1171</v>
      </c>
      <c r="Q363" t="s">
        <v>1171</v>
      </c>
      <c r="R363" t="str">
        <f>_xlfn.TEXTBEFORE(_xlfn.TEXTAFTER(us_core_reqs[[#This Row],[URL*]],"/",-1),".")</f>
        <v>StructureDefinition-us-core-diagnosticreport-note</v>
      </c>
      <c r="S363" t="str">
        <f>_xlfn.TEXTAFTER(us_core_reqs[[#This Row],[URL*]],"#",-1)</f>
        <v>mandatory-and-must-support-data-elements</v>
      </c>
      <c r="T363" t="str">
        <f>SUBSTITUTE(SUBSTITUTE(PROPER(SUBSTITUTE(us_core_reqs[[#This Row],[Page]], "-", " "))&amp;": "&amp;PROPER(SUBSTITUTE(us_core_reqs[[#This Row],[Section]], "-", " ")),"Us ","US "), "Uscdi", "USCDI")</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51" x14ac:dyDescent="0.2">
      <c r="A364" t="s">
        <v>1171</v>
      </c>
      <c r="B364" t="s">
        <v>1536</v>
      </c>
      <c r="C364" t="str">
        <f>"CONF-"&amp;TEXT(us_core_reqs[[#This Row],[ID*]], "0000")</f>
        <v>CONF-0363</v>
      </c>
      <c r="D364" s="11" t="s">
        <v>641</v>
      </c>
      <c r="E364" t="str">
        <f>SUBSTITUTE(us_core_reqs[[#This Row],[URL*]], "https://hl7.org/fhir/us/core/STU8/","")</f>
        <v>StructureDefinition-us-core-diagnosticreport-note.html#mandatory-and-must-support-data-elements</v>
      </c>
      <c r="F364" s="11" t="s">
        <v>1046</v>
      </c>
      <c r="G364" t="s">
        <v>64</v>
      </c>
      <c r="I364" t="s">
        <v>30</v>
      </c>
      <c r="J364" t="s">
        <v>1171</v>
      </c>
      <c r="K364" t="s">
        <v>1171</v>
      </c>
      <c r="L364" t="s">
        <v>1173</v>
      </c>
      <c r="M364" t="s">
        <v>1171</v>
      </c>
      <c r="N364" t="s">
        <v>1171</v>
      </c>
      <c r="O364" t="s">
        <v>1171</v>
      </c>
      <c r="P364" t="s">
        <v>1171</v>
      </c>
      <c r="Q364" t="s">
        <v>1171</v>
      </c>
      <c r="R364" t="str">
        <f>_xlfn.TEXTBEFORE(_xlfn.TEXTAFTER(us_core_reqs[[#This Row],[URL*]],"/",-1),".")</f>
        <v>StructureDefinition-us-core-diagnosticreport-note</v>
      </c>
      <c r="S364" t="str">
        <f>_xlfn.TEXTAFTER(us_core_reqs[[#This Row],[URL*]],"#",-1)</f>
        <v>mandatory-and-must-support-data-elements</v>
      </c>
      <c r="T364" t="str">
        <f>SUBSTITUTE(SUBSTITUTE(PROPER(SUBSTITUTE(us_core_reqs[[#This Row],[Page]], "-", " "))&amp;": "&amp;PROPER(SUBSTITUTE(us_core_reqs[[#This Row],[Section]], "-", " ")),"Us ","US "), "Uscdi", "USCDI")</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85" x14ac:dyDescent="0.2">
      <c r="A365" t="s">
        <v>1171</v>
      </c>
      <c r="B365" t="s">
        <v>1537</v>
      </c>
      <c r="C365" t="str">
        <f>"CONF-"&amp;TEXT(us_core_reqs[[#This Row],[ID*]], "0000")</f>
        <v>CONF-0364</v>
      </c>
      <c r="D365" s="11" t="s">
        <v>641</v>
      </c>
      <c r="E365" t="str">
        <f>SUBSTITUTE(us_core_reqs[[#This Row],[URL*]], "https://hl7.org/fhir/us/core/STU8/","")</f>
        <v>StructureDefinition-us-core-diagnosticreport-note.html#mandatory-and-must-support-data-elements</v>
      </c>
      <c r="F365" s="11" t="s">
        <v>1987</v>
      </c>
      <c r="G365" t="s">
        <v>32</v>
      </c>
      <c r="I365" t="s">
        <v>30</v>
      </c>
      <c r="J365" t="s">
        <v>1171</v>
      </c>
      <c r="K365" t="s">
        <v>1171</v>
      </c>
      <c r="L365" t="s">
        <v>1176</v>
      </c>
      <c r="M365" t="s">
        <v>385</v>
      </c>
      <c r="N365" t="s">
        <v>1171</v>
      </c>
      <c r="O365" t="s">
        <v>1171</v>
      </c>
      <c r="P365" t="s">
        <v>1171</v>
      </c>
      <c r="Q365" t="s">
        <v>1171</v>
      </c>
      <c r="R365" t="str">
        <f>_xlfn.TEXTBEFORE(_xlfn.TEXTAFTER(us_core_reqs[[#This Row],[URL*]],"/",-1),".")</f>
        <v>StructureDefinition-us-core-diagnosticreport-note</v>
      </c>
      <c r="S365" t="str">
        <f>_xlfn.TEXTAFTER(us_core_reqs[[#This Row],[URL*]],"#",-1)</f>
        <v>mandatory-and-must-support-data-elements</v>
      </c>
      <c r="T365" t="str">
        <f>SUBSTITUTE(SUBSTITUTE(PROPER(SUBSTITUTE(us_core_reqs[[#This Row],[Page]], "-", " "))&amp;": "&amp;PROPER(SUBSTITUTE(us_core_reqs[[#This Row],[Section]], "-", " ")),"Us ","US "), "Uscdi", "USCDI")</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85" x14ac:dyDescent="0.2">
      <c r="A366" t="s">
        <v>1171</v>
      </c>
      <c r="B366" t="s">
        <v>1538</v>
      </c>
      <c r="C366" t="str">
        <f>"CONF-"&amp;TEXT(us_core_reqs[[#This Row],[ID*]], "0000")</f>
        <v>CONF-0365</v>
      </c>
      <c r="D366" s="11" t="s">
        <v>869</v>
      </c>
      <c r="E366" t="str">
        <f>SUBSTITUTE(us_core_reqs[[#This Row],[URL*]], "https://hl7.org/fhir/us/core/STU8/","")</f>
        <v>StructureDefinition-us-core-documentreference.html#mandatory-and-must-support-data-elements</v>
      </c>
      <c r="F366" s="11" t="s">
        <v>763</v>
      </c>
      <c r="G366" t="s">
        <v>29</v>
      </c>
      <c r="I366" t="s">
        <v>30</v>
      </c>
      <c r="J366" t="s">
        <v>1171</v>
      </c>
      <c r="K366" t="s">
        <v>1171</v>
      </c>
      <c r="L366" t="s">
        <v>1173</v>
      </c>
      <c r="M366" t="s">
        <v>1171</v>
      </c>
      <c r="N366" t="s">
        <v>1171</v>
      </c>
      <c r="O366" t="s">
        <v>1171</v>
      </c>
      <c r="P366" t="s">
        <v>1171</v>
      </c>
      <c r="Q366" t="s">
        <v>1171</v>
      </c>
      <c r="R366" t="str">
        <f>_xlfn.TEXTBEFORE(_xlfn.TEXTAFTER(us_core_reqs[[#This Row],[URL*]],"/",-1),".")</f>
        <v>StructureDefinition-us-core-documentreference</v>
      </c>
      <c r="S366" t="str">
        <f>_xlfn.TEXTAFTER(us_core_reqs[[#This Row],[URL*]],"#",-1)</f>
        <v>mandatory-and-must-support-data-elements</v>
      </c>
      <c r="T366" t="str">
        <f>SUBSTITUTE(SUBSTITUTE(PROPER(SUBSTITUTE(us_core_reqs[[#This Row],[Page]], "-", " "))&amp;": "&amp;PROPER(SUBSTITUTE(us_core_reqs[[#This Row],[Section]], "-", " ")),"Us ","US "), "Uscdi", "USCDI")</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68" x14ac:dyDescent="0.2">
      <c r="A367" t="s">
        <v>1171</v>
      </c>
      <c r="B367" t="s">
        <v>1539</v>
      </c>
      <c r="C367" t="str">
        <f>"CONF-"&amp;TEXT(us_core_reqs[[#This Row],[ID*]], "0000")</f>
        <v>CONF-0366</v>
      </c>
      <c r="D367" s="11" t="s">
        <v>869</v>
      </c>
      <c r="E367" t="str">
        <f>SUBSTITUTE(us_core_reqs[[#This Row],[URL*]], "https://hl7.org/fhir/us/core/STU8/","")</f>
        <v>StructureDefinition-us-core-documentreference.html#mandatory-and-must-support-data-elements</v>
      </c>
      <c r="F367" s="11" t="s">
        <v>870</v>
      </c>
      <c r="G367" t="s">
        <v>35</v>
      </c>
      <c r="I367" t="s">
        <v>30</v>
      </c>
      <c r="J367" t="s">
        <v>1171</v>
      </c>
      <c r="K367" t="s">
        <v>1171</v>
      </c>
      <c r="L367" t="s">
        <v>1173</v>
      </c>
      <c r="M367" t="s">
        <v>1171</v>
      </c>
      <c r="N367" t="s">
        <v>1171</v>
      </c>
      <c r="O367" t="s">
        <v>1171</v>
      </c>
      <c r="P367" t="s">
        <v>1171</v>
      </c>
      <c r="Q367" t="s">
        <v>1171</v>
      </c>
      <c r="R367" t="str">
        <f>_xlfn.TEXTBEFORE(_xlfn.TEXTAFTER(us_core_reqs[[#This Row],[URL*]],"/",-1),".")</f>
        <v>StructureDefinition-us-core-documentreference</v>
      </c>
      <c r="S367" t="str">
        <f>_xlfn.TEXTAFTER(us_core_reqs[[#This Row],[URL*]],"#",-1)</f>
        <v>mandatory-and-must-support-data-elements</v>
      </c>
      <c r="T367" t="str">
        <f>SUBSTITUTE(SUBSTITUTE(PROPER(SUBSTITUTE(us_core_reqs[[#This Row],[Page]], "-", " "))&amp;": "&amp;PROPER(SUBSTITUTE(us_core_reqs[[#This Row],[Section]], "-", " ")),"Us ","US "), "Uscdi", "USCDI")</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102" x14ac:dyDescent="0.2">
      <c r="A368" t="s">
        <v>1171</v>
      </c>
      <c r="B368" t="s">
        <v>1540</v>
      </c>
      <c r="C368" t="str">
        <f>"CONF-"&amp;TEXT(us_core_reqs[[#This Row],[ID*]], "0000")</f>
        <v>CONF-0367</v>
      </c>
      <c r="D368" s="11" t="s">
        <v>869</v>
      </c>
      <c r="E368" t="str">
        <f>SUBSTITUTE(us_core_reqs[[#This Row],[URL*]], "https://hl7.org/fhir/us/core/STU8/","")</f>
        <v>StructureDefinition-us-core-documentreference.html#mandatory-and-must-support-data-elements</v>
      </c>
      <c r="F368" s="11" t="s">
        <v>387</v>
      </c>
      <c r="G368" t="s">
        <v>35</v>
      </c>
      <c r="I368" t="s">
        <v>30</v>
      </c>
      <c r="J368" t="s">
        <v>1171</v>
      </c>
      <c r="K368" t="s">
        <v>1171</v>
      </c>
      <c r="L368" t="s">
        <v>1173</v>
      </c>
      <c r="M368" t="s">
        <v>1171</v>
      </c>
      <c r="N368" t="s">
        <v>1171</v>
      </c>
      <c r="O368" t="s">
        <v>1171</v>
      </c>
      <c r="P368" t="s">
        <v>1171</v>
      </c>
      <c r="Q368" t="s">
        <v>1171</v>
      </c>
      <c r="R368" t="str">
        <f>_xlfn.TEXTBEFORE(_xlfn.TEXTAFTER(us_core_reqs[[#This Row],[URL*]],"/",-1),".")</f>
        <v>StructureDefinition-us-core-documentreference</v>
      </c>
      <c r="S368" t="str">
        <f>_xlfn.TEXTAFTER(us_core_reqs[[#This Row],[URL*]],"#",-1)</f>
        <v>mandatory-and-must-support-data-elements</v>
      </c>
      <c r="T368" t="str">
        <f>SUBSTITUTE(SUBSTITUTE(PROPER(SUBSTITUTE(us_core_reqs[[#This Row],[Page]], "-", " "))&amp;": "&amp;PROPER(SUBSTITUTE(us_core_reqs[[#This Row],[Section]], "-", " ")),"Us ","US "), "Uscdi", "USCDI")</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85" x14ac:dyDescent="0.2">
      <c r="A369" t="s">
        <v>1171</v>
      </c>
      <c r="B369" t="s">
        <v>1541</v>
      </c>
      <c r="C369" t="str">
        <f>"CONF-"&amp;TEXT(us_core_reqs[[#This Row],[ID*]], "0000")</f>
        <v>CONF-0368</v>
      </c>
      <c r="D369" s="11" t="s">
        <v>869</v>
      </c>
      <c r="E369" t="str">
        <f>SUBSTITUTE(us_core_reqs[[#This Row],[URL*]], "https://hl7.org/fhir/us/core/STU8/","")</f>
        <v>StructureDefinition-us-core-documentreference.html#mandatory-and-must-support-data-elements</v>
      </c>
      <c r="F369" s="11" t="s">
        <v>2151</v>
      </c>
      <c r="G369" t="s">
        <v>29</v>
      </c>
      <c r="I369" t="s">
        <v>30</v>
      </c>
      <c r="J369" t="s">
        <v>1171</v>
      </c>
      <c r="K369" t="s">
        <v>1171</v>
      </c>
      <c r="L369" t="s">
        <v>1176</v>
      </c>
      <c r="M369" t="s">
        <v>388</v>
      </c>
      <c r="N369" t="s">
        <v>1171</v>
      </c>
      <c r="O369" t="s">
        <v>1171</v>
      </c>
      <c r="P369" t="s">
        <v>1171</v>
      </c>
      <c r="Q369" t="s">
        <v>1171</v>
      </c>
      <c r="R369" t="str">
        <f>_xlfn.TEXTBEFORE(_xlfn.TEXTAFTER(us_core_reqs[[#This Row],[URL*]],"/",-1),".")</f>
        <v>StructureDefinition-us-core-documentreference</v>
      </c>
      <c r="S369" t="str">
        <f>_xlfn.TEXTAFTER(us_core_reqs[[#This Row],[URL*]],"#",-1)</f>
        <v>mandatory-and-must-support-data-elements</v>
      </c>
      <c r="T369" t="str">
        <f>SUBSTITUTE(SUBSTITUTE(PROPER(SUBSTITUTE(us_core_reqs[[#This Row],[Page]], "-", " "))&amp;": "&amp;PROPER(SUBSTITUTE(us_core_reqs[[#This Row],[Section]], "-", " ")),"Us ","US "), "Uscdi", "USCDI")</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51" x14ac:dyDescent="0.2">
      <c r="A370" t="s">
        <v>1171</v>
      </c>
      <c r="B370" t="s">
        <v>1542</v>
      </c>
      <c r="C370" t="str">
        <f>"CONF-"&amp;TEXT(us_core_reqs[[#This Row],[ID*]], "0000")</f>
        <v>CONF-0369</v>
      </c>
      <c r="D370" s="11" t="s">
        <v>869</v>
      </c>
      <c r="E370" t="str">
        <f>SUBSTITUTE(us_core_reqs[[#This Row],[URL*]], "https://hl7.org/fhir/us/core/STU8/","")</f>
        <v>StructureDefinition-us-core-documentreference.html#mandatory-and-must-support-data-elements</v>
      </c>
      <c r="F370" s="11" t="s">
        <v>2152</v>
      </c>
      <c r="G370" t="s">
        <v>29</v>
      </c>
      <c r="I370" t="s">
        <v>58</v>
      </c>
      <c r="J370" t="s">
        <v>1171</v>
      </c>
      <c r="K370" t="s">
        <v>1171</v>
      </c>
      <c r="L370" t="s">
        <v>1173</v>
      </c>
      <c r="M370" t="s">
        <v>1171</v>
      </c>
      <c r="N370" t="s">
        <v>1171</v>
      </c>
      <c r="O370" t="s">
        <v>1171</v>
      </c>
      <c r="P370" t="s">
        <v>1171</v>
      </c>
      <c r="Q370" t="s">
        <v>1171</v>
      </c>
      <c r="R370" t="str">
        <f>_xlfn.TEXTBEFORE(_xlfn.TEXTAFTER(us_core_reqs[[#This Row],[URL*]],"/",-1),".")</f>
        <v>StructureDefinition-us-core-documentreference</v>
      </c>
      <c r="S370" t="str">
        <f>_xlfn.TEXTAFTER(us_core_reqs[[#This Row],[URL*]],"#",-1)</f>
        <v>mandatory-and-must-support-data-elements</v>
      </c>
      <c r="T370" t="str">
        <f>SUBSTITUTE(SUBSTITUTE(PROPER(SUBSTITUTE(us_core_reqs[[#This Row],[Page]], "-", " "))&amp;": "&amp;PROPER(SUBSTITUTE(us_core_reqs[[#This Row],[Section]], "-", " ")),"Us ","US "), "Uscdi", "USCDI")</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51" x14ac:dyDescent="0.2">
      <c r="A371" t="s">
        <v>1171</v>
      </c>
      <c r="B371" t="s">
        <v>1543</v>
      </c>
      <c r="C371" t="str">
        <f>"CONF-"&amp;TEXT(us_core_reqs[[#This Row],[ID*]], "0000")</f>
        <v>CONF-0370</v>
      </c>
      <c r="D371" s="11" t="s">
        <v>869</v>
      </c>
      <c r="E371" t="str">
        <f>SUBSTITUTE(us_core_reqs[[#This Row],[URL*]], "https://hl7.org/fhir/us/core/STU8/","")</f>
        <v>StructureDefinition-us-core-documentreference.html#mandatory-and-must-support-data-elements</v>
      </c>
      <c r="F371" s="11" t="s">
        <v>2153</v>
      </c>
      <c r="G371" t="s">
        <v>29</v>
      </c>
      <c r="I371" t="s">
        <v>58</v>
      </c>
      <c r="J371" t="s">
        <v>1171</v>
      </c>
      <c r="K371" t="s">
        <v>1171</v>
      </c>
      <c r="L371" t="s">
        <v>1173</v>
      </c>
      <c r="M371" t="s">
        <v>1171</v>
      </c>
      <c r="N371" t="s">
        <v>1171</v>
      </c>
      <c r="O371" t="s">
        <v>1171</v>
      </c>
      <c r="P371" t="s">
        <v>1171</v>
      </c>
      <c r="Q371" t="s">
        <v>1171</v>
      </c>
      <c r="R371" t="str">
        <f>_xlfn.TEXTBEFORE(_xlfn.TEXTAFTER(us_core_reqs[[#This Row],[URL*]],"/",-1),".")</f>
        <v>StructureDefinition-us-core-documentreference</v>
      </c>
      <c r="S371" t="str">
        <f>_xlfn.TEXTAFTER(us_core_reqs[[#This Row],[URL*]],"#",-1)</f>
        <v>mandatory-and-must-support-data-elements</v>
      </c>
      <c r="T371" t="str">
        <f>SUBSTITUTE(SUBSTITUTE(PROPER(SUBSTITUTE(us_core_reqs[[#This Row],[Page]], "-", " "))&amp;": "&amp;PROPER(SUBSTITUTE(us_core_reqs[[#This Row],[Section]], "-", " ")),"Us ","US "), "Uscdi", "USCDI")</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51" x14ac:dyDescent="0.2">
      <c r="A372" t="s">
        <v>1171</v>
      </c>
      <c r="B372" t="s">
        <v>1544</v>
      </c>
      <c r="C372" t="str">
        <f>"CONF-"&amp;TEXT(us_core_reqs[[#This Row],[ID*]], "0000")</f>
        <v>CONF-0371</v>
      </c>
      <c r="D372" s="11" t="s">
        <v>869</v>
      </c>
      <c r="E372" t="str">
        <f>SUBSTITUTE(us_core_reqs[[#This Row],[URL*]], "https://hl7.org/fhir/us/core/STU8/","")</f>
        <v>StructureDefinition-us-core-documentreference.html#mandatory-and-must-support-data-elements</v>
      </c>
      <c r="F372" s="11" t="s">
        <v>2046</v>
      </c>
      <c r="G372" t="s">
        <v>64</v>
      </c>
      <c r="I372" t="s">
        <v>30</v>
      </c>
      <c r="J372" t="s">
        <v>1171</v>
      </c>
      <c r="K372" t="s">
        <v>1171</v>
      </c>
      <c r="L372" t="s">
        <v>1173</v>
      </c>
      <c r="M372" t="s">
        <v>1171</v>
      </c>
      <c r="N372" t="s">
        <v>1171</v>
      </c>
      <c r="O372" t="s">
        <v>1171</v>
      </c>
      <c r="P372" t="s">
        <v>1171</v>
      </c>
      <c r="Q372" t="s">
        <v>1171</v>
      </c>
      <c r="R372" t="str">
        <f>_xlfn.TEXTBEFORE(_xlfn.TEXTAFTER(us_core_reqs[[#This Row],[URL*]],"/",-1),".")</f>
        <v>StructureDefinition-us-core-documentreference</v>
      </c>
      <c r="S372" t="str">
        <f>_xlfn.TEXTAFTER(us_core_reqs[[#This Row],[URL*]],"#",-1)</f>
        <v>mandatory-and-must-support-data-elements</v>
      </c>
      <c r="T372" t="str">
        <f>SUBSTITUTE(SUBSTITUTE(PROPER(SUBSTITUTE(us_core_reqs[[#This Row],[Page]], "-", " "))&amp;": "&amp;PROPER(SUBSTITUTE(us_core_reqs[[#This Row],[Section]], "-", " ")),"Us ","US "), "Uscdi", "USCDI")</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51" x14ac:dyDescent="0.2">
      <c r="A373" t="s">
        <v>1171</v>
      </c>
      <c r="B373" t="s">
        <v>1545</v>
      </c>
      <c r="C373" t="str">
        <f>"CONF-"&amp;TEXT(us_core_reqs[[#This Row],[ID*]], "0000")</f>
        <v>CONF-0372</v>
      </c>
      <c r="D373" s="11" t="s">
        <v>869</v>
      </c>
      <c r="E373" t="str">
        <f>SUBSTITUTE(us_core_reqs[[#This Row],[URL*]], "https://hl7.org/fhir/us/core/STU8/","")</f>
        <v>StructureDefinition-us-core-documentreference.html#mandatory-and-must-support-data-elements</v>
      </c>
      <c r="F373" s="11" t="s">
        <v>1909</v>
      </c>
      <c r="G373" t="s">
        <v>29</v>
      </c>
      <c r="I373" t="s">
        <v>30</v>
      </c>
      <c r="J373" t="s">
        <v>1171</v>
      </c>
      <c r="K373" t="s">
        <v>1171</v>
      </c>
      <c r="L373" t="s">
        <v>1173</v>
      </c>
      <c r="M373" t="s">
        <v>1171</v>
      </c>
      <c r="N373" t="s">
        <v>1171</v>
      </c>
      <c r="O373" t="s">
        <v>1171</v>
      </c>
      <c r="P373" t="s">
        <v>1171</v>
      </c>
      <c r="Q373" t="s">
        <v>1171</v>
      </c>
      <c r="R373" t="str">
        <f>_xlfn.TEXTBEFORE(_xlfn.TEXTAFTER(us_core_reqs[[#This Row],[URL*]],"/",-1),".")</f>
        <v>StructureDefinition-us-core-documentreference</v>
      </c>
      <c r="S373" t="str">
        <f>_xlfn.TEXTAFTER(us_core_reqs[[#This Row],[URL*]],"#",-1)</f>
        <v>mandatory-and-must-support-data-elements</v>
      </c>
      <c r="T373" t="str">
        <f>SUBSTITUTE(SUBSTITUTE(PROPER(SUBSTITUTE(us_core_reqs[[#This Row],[Page]], "-", " "))&amp;": "&amp;PROPER(SUBSTITUTE(us_core_reqs[[#This Row],[Section]], "-", " ")),"Us ","US "), "Uscdi", "USCDI")</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51" x14ac:dyDescent="0.2">
      <c r="A374" t="s">
        <v>1171</v>
      </c>
      <c r="B374" t="s">
        <v>1546</v>
      </c>
      <c r="C374" t="str">
        <f>"CONF-"&amp;TEXT(us_core_reqs[[#This Row],[ID*]], "0000")</f>
        <v>CONF-0373</v>
      </c>
      <c r="D374" s="11" t="s">
        <v>869</v>
      </c>
      <c r="E374" t="str">
        <f>SUBSTITUTE(us_core_reqs[[#This Row],[URL*]], "https://hl7.org/fhir/us/core/STU8/","")</f>
        <v>StructureDefinition-us-core-documentreference.html#mandatory-and-must-support-data-elements</v>
      </c>
      <c r="F374" s="11" t="s">
        <v>2118</v>
      </c>
      <c r="G374" t="s">
        <v>1833</v>
      </c>
      <c r="I374" t="s">
        <v>30</v>
      </c>
      <c r="J374" t="s">
        <v>1171</v>
      </c>
      <c r="K374" t="s">
        <v>1171</v>
      </c>
      <c r="L374" t="s">
        <v>1173</v>
      </c>
      <c r="M374" t="s">
        <v>1171</v>
      </c>
      <c r="N374" t="s">
        <v>1171</v>
      </c>
      <c r="O374" t="s">
        <v>1171</v>
      </c>
      <c r="P374" t="s">
        <v>1171</v>
      </c>
      <c r="Q374" t="s">
        <v>1171</v>
      </c>
      <c r="R374" t="str">
        <f>_xlfn.TEXTBEFORE(_xlfn.TEXTAFTER(us_core_reqs[[#This Row],[URL*]],"/",-1),".")</f>
        <v>StructureDefinition-us-core-documentreference</v>
      </c>
      <c r="S374" t="str">
        <f>_xlfn.TEXTAFTER(us_core_reqs[[#This Row],[URL*]],"#",-1)</f>
        <v>mandatory-and-must-support-data-elements</v>
      </c>
      <c r="T374" t="str">
        <f>SUBSTITUTE(SUBSTITUTE(PROPER(SUBSTITUTE(us_core_reqs[[#This Row],[Page]], "-", " "))&amp;": "&amp;PROPER(SUBSTITUTE(us_core_reqs[[#This Row],[Section]], "-", " ")),"Us ","US "), "Uscdi", "USCDI")</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85" x14ac:dyDescent="0.2">
      <c r="A375" t="s">
        <v>1171</v>
      </c>
      <c r="B375" t="s">
        <v>1547</v>
      </c>
      <c r="C375" t="str">
        <f>"CONF-"&amp;TEXT(us_core_reqs[[#This Row],[ID*]], "0000")</f>
        <v>CONF-0374</v>
      </c>
      <c r="D375" s="11" t="s">
        <v>869</v>
      </c>
      <c r="E375" t="str">
        <f>SUBSTITUTE(us_core_reqs[[#This Row],[URL*]], "https://hl7.org/fhir/us/core/STU8/","")</f>
        <v>StructureDefinition-us-core-documentreference.html#mandatory-and-must-support-data-elements</v>
      </c>
      <c r="F375" s="11" t="s">
        <v>2096</v>
      </c>
      <c r="G375" t="s">
        <v>29</v>
      </c>
      <c r="I375" t="s">
        <v>30</v>
      </c>
      <c r="J375" t="s">
        <v>1171</v>
      </c>
      <c r="K375" t="s">
        <v>1171</v>
      </c>
      <c r="L375" t="s">
        <v>1173</v>
      </c>
      <c r="M375" t="s">
        <v>1171</v>
      </c>
      <c r="N375" t="s">
        <v>1171</v>
      </c>
      <c r="O375" t="s">
        <v>1171</v>
      </c>
      <c r="P375" t="s">
        <v>1171</v>
      </c>
      <c r="Q375" t="s">
        <v>1171</v>
      </c>
      <c r="R375" t="str">
        <f>_xlfn.TEXTBEFORE(_xlfn.TEXTAFTER(us_core_reqs[[#This Row],[URL*]],"/",-1),".")</f>
        <v>StructureDefinition-us-core-documentreference</v>
      </c>
      <c r="S375" t="str">
        <f>_xlfn.TEXTAFTER(us_core_reqs[[#This Row],[URL*]],"#",-1)</f>
        <v>mandatory-and-must-support-data-elements</v>
      </c>
      <c r="T375" t="str">
        <f>SUBSTITUTE(SUBSTITUTE(PROPER(SUBSTITUTE(us_core_reqs[[#This Row],[Page]], "-", " "))&amp;": "&amp;PROPER(SUBSTITUTE(us_core_reqs[[#This Row],[Section]], "-", " ")),"Us ","US "), "Uscdi", "USCDI")</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68" x14ac:dyDescent="0.2">
      <c r="A376" t="s">
        <v>1171</v>
      </c>
      <c r="B376" t="s">
        <v>1548</v>
      </c>
      <c r="C376" t="str">
        <f>"CONF-"&amp;TEXT(us_core_reqs[[#This Row],[ID*]], "0000")</f>
        <v>CONF-0375</v>
      </c>
      <c r="D376" s="11" t="s">
        <v>765</v>
      </c>
      <c r="E376" t="str">
        <f>SUBSTITUTE(us_core_reqs[[#This Row],[URL*]], "https://hl7.org/fhir/us/core/STU8/","")</f>
        <v>StructureDefinition-us-core-encounter.html#mandatory-and-must-support-data-elements</v>
      </c>
      <c r="F376" s="11" t="s">
        <v>2154</v>
      </c>
      <c r="G376" t="s">
        <v>29</v>
      </c>
      <c r="I376" t="s">
        <v>30</v>
      </c>
      <c r="J376" t="s">
        <v>1171</v>
      </c>
      <c r="K376" t="s">
        <v>1171</v>
      </c>
      <c r="L376" t="s">
        <v>1176</v>
      </c>
      <c r="M376" t="s">
        <v>393</v>
      </c>
      <c r="N376" t="s">
        <v>1171</v>
      </c>
      <c r="O376" t="s">
        <v>1171</v>
      </c>
      <c r="P376" t="s">
        <v>1171</v>
      </c>
      <c r="Q376" t="s">
        <v>1171</v>
      </c>
      <c r="R376" t="str">
        <f>_xlfn.TEXTBEFORE(_xlfn.TEXTAFTER(us_core_reqs[[#This Row],[URL*]],"/",-1),".")</f>
        <v>StructureDefinition-us-core-encounter</v>
      </c>
      <c r="S376" t="str">
        <f>_xlfn.TEXTAFTER(us_core_reqs[[#This Row],[URL*]],"#",-1)</f>
        <v>mandatory-and-must-support-data-elements</v>
      </c>
      <c r="T376" t="str">
        <f>SUBSTITUTE(SUBSTITUTE(PROPER(SUBSTITUTE(us_core_reqs[[#This Row],[Page]], "-", " "))&amp;": "&amp;PROPER(SUBSTITUTE(us_core_reqs[[#This Row],[Section]], "-", " ")),"Us ","US "), "Uscdi", "USCDI")</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1549</v>
      </c>
      <c r="C377" t="str">
        <f>"CONF-"&amp;TEXT(us_core_reqs[[#This Row],[ID*]], "0000")</f>
        <v>CONF-0376</v>
      </c>
      <c r="D377" s="11" t="s">
        <v>765</v>
      </c>
      <c r="E377" t="str">
        <f>SUBSTITUTE(us_core_reqs[[#This Row],[URL*]], "https://hl7.org/fhir/us/core/STU8/","")</f>
        <v>StructureDefinition-us-core-encounter.html#mandatory-and-must-support-data-elements</v>
      </c>
      <c r="F377" s="11" t="s">
        <v>2155</v>
      </c>
      <c r="G377" t="s">
        <v>29</v>
      </c>
      <c r="I377" t="s">
        <v>58</v>
      </c>
      <c r="J377" t="s">
        <v>1171</v>
      </c>
      <c r="K377" t="s">
        <v>1171</v>
      </c>
      <c r="L377" t="s">
        <v>1173</v>
      </c>
      <c r="M377" t="s">
        <v>394</v>
      </c>
      <c r="N377" t="s">
        <v>1171</v>
      </c>
      <c r="O377" t="s">
        <v>1171</v>
      </c>
      <c r="P377" t="s">
        <v>1171</v>
      </c>
      <c r="Q377" t="s">
        <v>1171</v>
      </c>
      <c r="R377" t="str">
        <f>_xlfn.TEXTBEFORE(_xlfn.TEXTAFTER(us_core_reqs[[#This Row],[URL*]],"/",-1),".")</f>
        <v>StructureDefinition-us-core-encounter</v>
      </c>
      <c r="S377" t="str">
        <f>_xlfn.TEXTAFTER(us_core_reqs[[#This Row],[URL*]],"#",-1)</f>
        <v>mandatory-and-must-support-data-elements</v>
      </c>
      <c r="T377" t="str">
        <f>SUBSTITUTE(SUBSTITUTE(PROPER(SUBSTITUTE(us_core_reqs[[#This Row],[Page]], "-", " "))&amp;": "&amp;PROPER(SUBSTITUTE(us_core_reqs[[#This Row],[Section]], "-", " ")),"Us ","US "), "Uscdi", "USCDI")</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1550</v>
      </c>
      <c r="C378" t="str">
        <f>"CONF-"&amp;TEXT(us_core_reqs[[#This Row],[ID*]], "0000")</f>
        <v>CONF-0377</v>
      </c>
      <c r="D378" s="11" t="s">
        <v>765</v>
      </c>
      <c r="E378" t="str">
        <f>SUBSTITUTE(us_core_reqs[[#This Row],[URL*]], "https://hl7.org/fhir/us/core/STU8/","")</f>
        <v>StructureDefinition-us-core-encounter.html#mandatory-and-must-support-data-elements</v>
      </c>
      <c r="F378" s="11" t="s">
        <v>2156</v>
      </c>
      <c r="G378" t="s">
        <v>29</v>
      </c>
      <c r="I378" t="s">
        <v>58</v>
      </c>
      <c r="J378" t="s">
        <v>1171</v>
      </c>
      <c r="K378" t="s">
        <v>1171</v>
      </c>
      <c r="L378" t="s">
        <v>1173</v>
      </c>
      <c r="M378" t="s">
        <v>1171</v>
      </c>
      <c r="N378" t="s">
        <v>1171</v>
      </c>
      <c r="O378" t="s">
        <v>1171</v>
      </c>
      <c r="P378" t="s">
        <v>1171</v>
      </c>
      <c r="Q378" t="s">
        <v>1171</v>
      </c>
      <c r="R378" t="str">
        <f>_xlfn.TEXTBEFORE(_xlfn.TEXTAFTER(us_core_reqs[[#This Row],[URL*]],"/",-1),".")</f>
        <v>StructureDefinition-us-core-encounter</v>
      </c>
      <c r="S378" t="str">
        <f>_xlfn.TEXTAFTER(us_core_reqs[[#This Row],[URL*]],"#",-1)</f>
        <v>mandatory-and-must-support-data-elements</v>
      </c>
      <c r="T378" t="str">
        <f>SUBSTITUTE(SUBSTITUTE(PROPER(SUBSTITUTE(us_core_reqs[[#This Row],[Page]], "-", " "))&amp;": "&amp;PROPER(SUBSTITUTE(us_core_reqs[[#This Row],[Section]], "-", " ")),"Us ","US "), "Uscdi", "USCDI")</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51" x14ac:dyDescent="0.2">
      <c r="A379" t="s">
        <v>1171</v>
      </c>
      <c r="B379" t="s">
        <v>1551</v>
      </c>
      <c r="C379" t="str">
        <f>"CONF-"&amp;TEXT(us_core_reqs[[#This Row],[ID*]], "0000")</f>
        <v>CONF-0378</v>
      </c>
      <c r="D379" s="11" t="s">
        <v>765</v>
      </c>
      <c r="E379" t="str">
        <f>SUBSTITUTE(us_core_reqs[[#This Row],[URL*]], "https://hl7.org/fhir/us/core/STU8/","")</f>
        <v>StructureDefinition-us-core-encounter.html#mandatory-and-must-support-data-elements</v>
      </c>
      <c r="F379" s="11" t="s">
        <v>1988</v>
      </c>
      <c r="G379" t="s">
        <v>32</v>
      </c>
      <c r="I379" t="s">
        <v>30</v>
      </c>
      <c r="J379" t="s">
        <v>1171</v>
      </c>
      <c r="K379" t="s">
        <v>1171</v>
      </c>
      <c r="L379" t="s">
        <v>1176</v>
      </c>
      <c r="M379" t="s">
        <v>396</v>
      </c>
      <c r="N379" t="s">
        <v>1171</v>
      </c>
      <c r="O379" t="s">
        <v>1171</v>
      </c>
      <c r="P379" t="s">
        <v>1171</v>
      </c>
      <c r="Q379" t="s">
        <v>1171</v>
      </c>
      <c r="R379" t="str">
        <f>_xlfn.TEXTBEFORE(_xlfn.TEXTAFTER(us_core_reqs[[#This Row],[URL*]],"/",-1),".")</f>
        <v>StructureDefinition-us-core-encounter</v>
      </c>
      <c r="S379" t="str">
        <f>_xlfn.TEXTAFTER(us_core_reqs[[#This Row],[URL*]],"#",-1)</f>
        <v>mandatory-and-must-support-data-elements</v>
      </c>
      <c r="T379" t="str">
        <f>SUBSTITUTE(SUBSTITUTE(PROPER(SUBSTITUTE(us_core_reqs[[#This Row],[Page]], "-", " "))&amp;": "&amp;PROPER(SUBSTITUTE(us_core_reqs[[#This Row],[Section]], "-", " ")),"Us ","US "), "Uscdi", "USCDI")</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68" x14ac:dyDescent="0.2">
      <c r="A380" t="s">
        <v>1171</v>
      </c>
      <c r="B380" t="s">
        <v>1552</v>
      </c>
      <c r="C380" t="str">
        <f>"CONF-"&amp;TEXT(us_core_reqs[[#This Row],[ID*]], "0000")</f>
        <v>CONF-0379</v>
      </c>
      <c r="D380" s="11" t="s">
        <v>765</v>
      </c>
      <c r="E380" t="str">
        <f>SUBSTITUTE(us_core_reqs[[#This Row],[URL*]], "https://hl7.org/fhir/us/core/STU8/","")</f>
        <v>StructureDefinition-us-core-encounter.html#mandatory-and-must-support-data-elements</v>
      </c>
      <c r="F380" s="11" t="s">
        <v>2157</v>
      </c>
      <c r="G380" t="s">
        <v>29</v>
      </c>
      <c r="I380" t="s">
        <v>30</v>
      </c>
      <c r="J380" t="s">
        <v>1171</v>
      </c>
      <c r="K380" t="s">
        <v>1171</v>
      </c>
      <c r="L380" t="s">
        <v>1176</v>
      </c>
      <c r="M380" t="s">
        <v>397</v>
      </c>
      <c r="N380" t="s">
        <v>1171</v>
      </c>
      <c r="O380" t="s">
        <v>1171</v>
      </c>
      <c r="P380" t="s">
        <v>1171</v>
      </c>
      <c r="Q380" t="s">
        <v>1171</v>
      </c>
      <c r="R380" t="str">
        <f>_xlfn.TEXTBEFORE(_xlfn.TEXTAFTER(us_core_reqs[[#This Row],[URL*]],"/",-1),".")</f>
        <v>StructureDefinition-us-core-encounter</v>
      </c>
      <c r="S380" t="str">
        <f>_xlfn.TEXTAFTER(us_core_reqs[[#This Row],[URL*]],"#",-1)</f>
        <v>mandatory-and-must-support-data-elements</v>
      </c>
      <c r="T380" t="str">
        <f>SUBSTITUTE(SUBSTITUTE(PROPER(SUBSTITUTE(us_core_reqs[[#This Row],[Page]], "-", " "))&amp;": "&amp;PROPER(SUBSTITUTE(us_core_reqs[[#This Row],[Section]], "-", " ")),"Us ","US "), "Uscdi", "USCDI")</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1553</v>
      </c>
      <c r="C381" t="str">
        <f>"CONF-"&amp;TEXT(us_core_reqs[[#This Row],[ID*]], "0000")</f>
        <v>CONF-0380</v>
      </c>
      <c r="D381" s="11" t="s">
        <v>765</v>
      </c>
      <c r="E381" t="str">
        <f>SUBSTITUTE(us_core_reqs[[#This Row],[URL*]], "https://hl7.org/fhir/us/core/STU8/","")</f>
        <v>StructureDefinition-us-core-encounter.html#mandatory-and-must-support-data-elements</v>
      </c>
      <c r="F381" s="11" t="s">
        <v>2158</v>
      </c>
      <c r="G381" t="s">
        <v>29</v>
      </c>
      <c r="I381" t="s">
        <v>58</v>
      </c>
      <c r="J381" t="s">
        <v>1171</v>
      </c>
      <c r="K381" t="s">
        <v>1171</v>
      </c>
      <c r="L381" t="s">
        <v>1173</v>
      </c>
      <c r="M381" t="s">
        <v>1171</v>
      </c>
      <c r="N381" t="s">
        <v>1171</v>
      </c>
      <c r="O381" t="s">
        <v>1171</v>
      </c>
      <c r="P381" t="s">
        <v>1171</v>
      </c>
      <c r="Q381" t="s">
        <v>1171</v>
      </c>
      <c r="R381" t="str">
        <f>_xlfn.TEXTBEFORE(_xlfn.TEXTAFTER(us_core_reqs[[#This Row],[URL*]],"/",-1),".")</f>
        <v>StructureDefinition-us-core-encounter</v>
      </c>
      <c r="S381" t="str">
        <f>_xlfn.TEXTAFTER(us_core_reqs[[#This Row],[URL*]],"#",-1)</f>
        <v>mandatory-and-must-support-data-elements</v>
      </c>
      <c r="T381" t="str">
        <f>SUBSTITUTE(SUBSTITUTE(PROPER(SUBSTITUTE(us_core_reqs[[#This Row],[Page]], "-", " "))&amp;": "&amp;PROPER(SUBSTITUTE(us_core_reqs[[#This Row],[Section]], "-", " ")),"Us ","US "), "Uscdi", "USCDI")</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1554</v>
      </c>
      <c r="C382" t="str">
        <f>"CONF-"&amp;TEXT(us_core_reqs[[#This Row],[ID*]], "0000")</f>
        <v>CONF-0381</v>
      </c>
      <c r="D382" s="11" t="s">
        <v>765</v>
      </c>
      <c r="E382" t="str">
        <f>SUBSTITUTE(us_core_reqs[[#This Row],[URL*]], "https://hl7.org/fhir/us/core/STU8/","")</f>
        <v>StructureDefinition-us-core-encounter.html#mandatory-and-must-support-data-elements</v>
      </c>
      <c r="F382" s="11" t="s">
        <v>2159</v>
      </c>
      <c r="G382" t="s">
        <v>29</v>
      </c>
      <c r="I382" t="s">
        <v>58</v>
      </c>
      <c r="J382" t="s">
        <v>1171</v>
      </c>
      <c r="K382" t="s">
        <v>1171</v>
      </c>
      <c r="L382" t="s">
        <v>1173</v>
      </c>
      <c r="M382" t="s">
        <v>1171</v>
      </c>
      <c r="N382" t="s">
        <v>1171</v>
      </c>
      <c r="O382" t="s">
        <v>1171</v>
      </c>
      <c r="P382" t="s">
        <v>1171</v>
      </c>
      <c r="Q382" t="s">
        <v>1171</v>
      </c>
      <c r="R382" t="str">
        <f>_xlfn.TEXTBEFORE(_xlfn.TEXTAFTER(us_core_reqs[[#This Row],[URL*]],"/",-1),".")</f>
        <v>StructureDefinition-us-core-encounter</v>
      </c>
      <c r="S382" t="str">
        <f>_xlfn.TEXTAFTER(us_core_reqs[[#This Row],[URL*]],"#",-1)</f>
        <v>mandatory-and-must-support-data-elements</v>
      </c>
      <c r="T382" t="str">
        <f>SUBSTITUTE(SUBSTITUTE(PROPER(SUBSTITUTE(us_core_reqs[[#This Row],[Page]], "-", " "))&amp;": "&amp;PROPER(SUBSTITUTE(us_core_reqs[[#This Row],[Section]], "-", " ")),"Us ","US "), "Uscdi", "USCDI")</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68" x14ac:dyDescent="0.2">
      <c r="A383" t="s">
        <v>1171</v>
      </c>
      <c r="B383" t="s">
        <v>1555</v>
      </c>
      <c r="C383" t="str">
        <f>"CONF-"&amp;TEXT(us_core_reqs[[#This Row],[ID*]], "0000")</f>
        <v>CONF-0382</v>
      </c>
      <c r="D383" s="11" t="s">
        <v>871</v>
      </c>
      <c r="E383" t="str">
        <f>SUBSTITUTE(us_core_reqs[[#This Row],[URL*]], "https://hl7.org/fhir/us/core/STU8/","")</f>
        <v>StructureDefinition-us-core-encounter.html#mandatory-and-must-support-data-elements, StructureDefinition-us-core-location.html#mandatory-and-must-support-data-elements</v>
      </c>
      <c r="F383" s="11" t="s">
        <v>1989</v>
      </c>
      <c r="G383" t="s">
        <v>29</v>
      </c>
      <c r="I383" t="s">
        <v>30</v>
      </c>
      <c r="J383" t="s">
        <v>1171</v>
      </c>
      <c r="K383" t="s">
        <v>1171</v>
      </c>
      <c r="L383" t="s">
        <v>1176</v>
      </c>
      <c r="M383" t="s">
        <v>399</v>
      </c>
      <c r="N383" t="s">
        <v>1171</v>
      </c>
      <c r="O383" t="s">
        <v>1171</v>
      </c>
      <c r="P383" t="s">
        <v>1171</v>
      </c>
      <c r="Q383" t="s">
        <v>1171</v>
      </c>
      <c r="R383" t="str">
        <f>_xlfn.TEXTBEFORE(_xlfn.TEXTAFTER(us_core_reqs[[#This Row],[URL*]],"/",-1),".")</f>
        <v>StructureDefinition-us-core-location</v>
      </c>
      <c r="S383" t="str">
        <f>_xlfn.TEXTAFTER(us_core_reqs[[#This Row],[URL*]],"#",-1)</f>
        <v>mandatory-and-must-support-data-elements</v>
      </c>
      <c r="T383" t="str">
        <f>SUBSTITUTE(SUBSTITUTE(PROPER(SUBSTITUTE(us_core_reqs[[#This Row],[Page]], "-", " "))&amp;": "&amp;PROPER(SUBSTITUTE(us_core_reqs[[#This Row],[Section]], "-", " ")),"Us ","US "), "Uscdi", "USCDI")</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68" x14ac:dyDescent="0.2">
      <c r="A384" t="s">
        <v>1171</v>
      </c>
      <c r="B384" t="s">
        <v>1556</v>
      </c>
      <c r="C384" t="str">
        <f>"CONF-"&amp;TEXT(us_core_reqs[[#This Row],[ID*]], "0000")</f>
        <v>CONF-0383</v>
      </c>
      <c r="D384" s="11" t="s">
        <v>871</v>
      </c>
      <c r="E384" t="str">
        <f>SUBSTITUTE(us_core_reqs[[#This Row],[URL*]], "https://hl7.org/fhir/us/core/STU8/","")</f>
        <v>StructureDefinition-us-core-encounter.html#mandatory-and-must-support-data-elements, StructureDefinition-us-core-location.html#mandatory-and-must-support-data-elements</v>
      </c>
      <c r="F384" s="11" t="s">
        <v>1910</v>
      </c>
      <c r="G384" t="s">
        <v>29</v>
      </c>
      <c r="I384" t="s">
        <v>30</v>
      </c>
      <c r="J384" t="s">
        <v>1171</v>
      </c>
      <c r="K384" t="s">
        <v>1171</v>
      </c>
      <c r="L384" t="s">
        <v>1176</v>
      </c>
      <c r="M384" t="s">
        <v>399</v>
      </c>
      <c r="N384" t="s">
        <v>1171</v>
      </c>
      <c r="O384" t="s">
        <v>1171</v>
      </c>
      <c r="P384" t="s">
        <v>1171</v>
      </c>
      <c r="Q384" t="s">
        <v>1171</v>
      </c>
      <c r="R384" t="str">
        <f>_xlfn.TEXTBEFORE(_xlfn.TEXTAFTER(us_core_reqs[[#This Row],[URL*]],"/",-1),".")</f>
        <v>StructureDefinition-us-core-location</v>
      </c>
      <c r="S384" t="str">
        <f>_xlfn.TEXTAFTER(us_core_reqs[[#This Row],[URL*]],"#",-1)</f>
        <v>mandatory-and-must-support-data-elements</v>
      </c>
      <c r="T384" t="str">
        <f>SUBSTITUTE(SUBSTITUTE(PROPER(SUBSTITUTE(us_core_reqs[[#This Row],[Page]], "-", " "))&amp;": "&amp;PROPER(SUBSTITUTE(us_core_reqs[[#This Row],[Section]], "-", " ")),"Us ","US "), "Uscdi", "USCDI")</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85" x14ac:dyDescent="0.2">
      <c r="A385" t="s">
        <v>1171</v>
      </c>
      <c r="B385" t="s">
        <v>1557</v>
      </c>
      <c r="C385" t="str">
        <f>"CONF-"&amp;TEXT(us_core_reqs[[#This Row],[ID*]], "0000")</f>
        <v>CONF-0384</v>
      </c>
      <c r="D385" s="11" t="s">
        <v>871</v>
      </c>
      <c r="E385" t="str">
        <f>SUBSTITUTE(us_core_reqs[[#This Row],[URL*]], "https://hl7.org/fhir/us/core/STU8/","")</f>
        <v>StructureDefinition-us-core-encounter.html#mandatory-and-must-support-data-elements, StructureDefinition-us-core-location.html#mandatory-and-must-support-data-elements</v>
      </c>
      <c r="F385" s="11" t="s">
        <v>2063</v>
      </c>
      <c r="G385" t="s">
        <v>35</v>
      </c>
      <c r="I385" t="s">
        <v>30</v>
      </c>
      <c r="J385" t="s">
        <v>1171</v>
      </c>
      <c r="K385" t="s">
        <v>1171</v>
      </c>
      <c r="L385" t="s">
        <v>1176</v>
      </c>
      <c r="M385" t="s">
        <v>399</v>
      </c>
      <c r="N385" t="s">
        <v>1171</v>
      </c>
      <c r="O385" t="s">
        <v>1171</v>
      </c>
      <c r="P385" t="s">
        <v>1171</v>
      </c>
      <c r="Q385" t="s">
        <v>1171</v>
      </c>
      <c r="R385" t="str">
        <f>_xlfn.TEXTBEFORE(_xlfn.TEXTAFTER(us_core_reqs[[#This Row],[URL*]],"/",-1),".")</f>
        <v>StructureDefinition-us-core-location</v>
      </c>
      <c r="S385" t="str">
        <f>_xlfn.TEXTAFTER(us_core_reqs[[#This Row],[URL*]],"#",-1)</f>
        <v>mandatory-and-must-support-data-elements</v>
      </c>
      <c r="T385" t="str">
        <f>SUBSTITUTE(SUBSTITUTE(PROPER(SUBSTITUTE(us_core_reqs[[#This Row],[Page]], "-", " "))&amp;": "&amp;PROPER(SUBSTITUTE(us_core_reqs[[#This Row],[Section]], "-", " ")),"Us ","US "), "Uscdi", "USCDI")</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1558</v>
      </c>
      <c r="C386" t="str">
        <f>"CONF-"&amp;TEXT(us_core_reqs[[#This Row],[ID*]], "0000")</f>
        <v>CONF-0385</v>
      </c>
      <c r="D386" s="11" t="s">
        <v>765</v>
      </c>
      <c r="E386" t="str">
        <f>SUBSTITUTE(us_core_reqs[[#This Row],[URL*]], "https://hl7.org/fhir/us/core/STU8/","")</f>
        <v>StructureDefinition-us-core-encounter.html#mandatory-and-must-support-data-elements</v>
      </c>
      <c r="F386" s="11" t="s">
        <v>1990</v>
      </c>
      <c r="G386" t="s">
        <v>32</v>
      </c>
      <c r="I386" t="s">
        <v>30</v>
      </c>
      <c r="J386" t="s">
        <v>1171</v>
      </c>
      <c r="K386" t="s">
        <v>1171</v>
      </c>
      <c r="L386" t="s">
        <v>1173</v>
      </c>
      <c r="M386" t="s">
        <v>1171</v>
      </c>
      <c r="N386" t="s">
        <v>1171</v>
      </c>
      <c r="O386" t="s">
        <v>1171</v>
      </c>
      <c r="P386" t="s">
        <v>1171</v>
      </c>
      <c r="Q386" t="s">
        <v>1171</v>
      </c>
      <c r="R386" t="str">
        <f>_xlfn.TEXTBEFORE(_xlfn.TEXTAFTER(us_core_reqs[[#This Row],[URL*]],"/",-1),".")</f>
        <v>StructureDefinition-us-core-encounter</v>
      </c>
      <c r="S386" t="str">
        <f>_xlfn.TEXTAFTER(us_core_reqs[[#This Row],[URL*]],"#",-1)</f>
        <v>mandatory-and-must-support-data-elements</v>
      </c>
      <c r="T386" t="str">
        <f>SUBSTITUTE(SUBSTITUTE(PROPER(SUBSTITUTE(us_core_reqs[[#This Row],[Page]], "-", " "))&amp;": "&amp;PROPER(SUBSTITUTE(us_core_reqs[[#This Row],[Section]], "-", " ")),"Us ","US "), "Uscdi", "USCDI")</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51" x14ac:dyDescent="0.2">
      <c r="A387" t="s">
        <v>1171</v>
      </c>
      <c r="B387" t="s">
        <v>1559</v>
      </c>
      <c r="C387" t="str">
        <f>"CONF-"&amp;TEXT(us_core_reqs[[#This Row],[ID*]], "0000")</f>
        <v>CONF-0386</v>
      </c>
      <c r="D387" s="11" t="s">
        <v>765</v>
      </c>
      <c r="E387" t="str">
        <f>SUBSTITUTE(us_core_reqs[[#This Row],[URL*]], "https://hl7.org/fhir/us/core/STU8/","")</f>
        <v>StructureDefinition-us-core-encounter.html#mandatory-and-must-support-data-elements</v>
      </c>
      <c r="F387" s="11" t="s">
        <v>1991</v>
      </c>
      <c r="G387" t="s">
        <v>32</v>
      </c>
      <c r="I387" t="s">
        <v>30</v>
      </c>
      <c r="J387" t="s">
        <v>1171</v>
      </c>
      <c r="K387" t="s">
        <v>1171</v>
      </c>
      <c r="L387" t="s">
        <v>1173</v>
      </c>
      <c r="M387" t="s">
        <v>1171</v>
      </c>
      <c r="N387" t="s">
        <v>1171</v>
      </c>
      <c r="O387" t="s">
        <v>1171</v>
      </c>
      <c r="P387" t="s">
        <v>1171</v>
      </c>
      <c r="Q387" t="s">
        <v>1171</v>
      </c>
      <c r="R387" t="str">
        <f>_xlfn.TEXTBEFORE(_xlfn.TEXTAFTER(us_core_reqs[[#This Row],[URL*]],"/",-1),".")</f>
        <v>StructureDefinition-us-core-encounter</v>
      </c>
      <c r="S387" t="str">
        <f>_xlfn.TEXTAFTER(us_core_reqs[[#This Row],[URL*]],"#",-1)</f>
        <v>mandatory-and-must-support-data-elements</v>
      </c>
      <c r="T387" t="str">
        <f>SUBSTITUTE(SUBSTITUTE(PROPER(SUBSTITUTE(us_core_reqs[[#This Row],[Page]], "-", " "))&amp;": "&amp;PROPER(SUBSTITUTE(us_core_reqs[[#This Row],[Section]], "-", " ")),"Us ","US "), "Uscdi", "USCDI")</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51" x14ac:dyDescent="0.2">
      <c r="A388" t="s">
        <v>1171</v>
      </c>
      <c r="B388" t="s">
        <v>1560</v>
      </c>
      <c r="C388" t="str">
        <f>"CONF-"&amp;TEXT(us_core_reqs[[#This Row],[ID*]], "0000")</f>
        <v>CONF-0387</v>
      </c>
      <c r="D388" s="11" t="s">
        <v>872</v>
      </c>
      <c r="E388" t="str">
        <f>SUBSTITUTE(us_core_reqs[[#This Row],[URL*]], "https://hl7.org/fhir/us/core/STU8/","")</f>
        <v>StructureDefinition-us-core-goal.html#mandatory-and-must-support-data-elements</v>
      </c>
      <c r="F388" s="11" t="s">
        <v>2160</v>
      </c>
      <c r="G388" t="s">
        <v>29</v>
      </c>
      <c r="I388" t="s">
        <v>30</v>
      </c>
      <c r="J388" t="s">
        <v>1171</v>
      </c>
      <c r="K388" t="s">
        <v>1171</v>
      </c>
      <c r="L388" t="s">
        <v>1176</v>
      </c>
      <c r="M388" t="s">
        <v>1171</v>
      </c>
      <c r="N388" t="s">
        <v>1171</v>
      </c>
      <c r="O388" t="s">
        <v>1171</v>
      </c>
      <c r="P388" t="s">
        <v>1171</v>
      </c>
      <c r="Q388" t="s">
        <v>1171</v>
      </c>
      <c r="R388" t="str">
        <f>_xlfn.TEXTBEFORE(_xlfn.TEXTAFTER(us_core_reqs[[#This Row],[URL*]],"/",-1),".")</f>
        <v>StructureDefinition-us-core-goal</v>
      </c>
      <c r="S388" t="str">
        <f>_xlfn.TEXTAFTER(us_core_reqs[[#This Row],[URL*]],"#",-1)</f>
        <v>mandatory-and-must-support-data-elements</v>
      </c>
      <c r="T388" t="str">
        <f>SUBSTITUTE(SUBSTITUTE(PROPER(SUBSTITUTE(us_core_reqs[[#This Row],[Page]], "-", " "))&amp;": "&amp;PROPER(SUBSTITUTE(us_core_reqs[[#This Row],[Section]], "-", " ")),"Us ","US "), "Uscdi", "USCDI")</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1561</v>
      </c>
      <c r="C389" t="str">
        <f>"CONF-"&amp;TEXT(us_core_reqs[[#This Row],[ID*]], "0000")</f>
        <v>CONF-0388</v>
      </c>
      <c r="D389" s="11" t="s">
        <v>872</v>
      </c>
      <c r="E389" t="str">
        <f>SUBSTITUTE(us_core_reqs[[#This Row],[URL*]], "https://hl7.org/fhir/us/core/STU8/","")</f>
        <v>StructureDefinition-us-core-goal.html#mandatory-and-must-support-data-elements</v>
      </c>
      <c r="F389" s="11" t="s">
        <v>2161</v>
      </c>
      <c r="G389" t="s">
        <v>29</v>
      </c>
      <c r="I389" t="s">
        <v>58</v>
      </c>
      <c r="J389" t="s">
        <v>1171</v>
      </c>
      <c r="K389" t="s">
        <v>1171</v>
      </c>
      <c r="L389" t="s">
        <v>1173</v>
      </c>
      <c r="M389" t="s">
        <v>1171</v>
      </c>
      <c r="N389" t="s">
        <v>1171</v>
      </c>
      <c r="O389" t="s">
        <v>1171</v>
      </c>
      <c r="P389" t="s">
        <v>1171</v>
      </c>
      <c r="Q389" t="s">
        <v>1171</v>
      </c>
      <c r="R389" t="str">
        <f>_xlfn.TEXTBEFORE(_xlfn.TEXTAFTER(us_core_reqs[[#This Row],[URL*]],"/",-1),".")</f>
        <v>StructureDefinition-us-core-goal</v>
      </c>
      <c r="S389" t="str">
        <f>_xlfn.TEXTAFTER(us_core_reqs[[#This Row],[URL*]],"#",-1)</f>
        <v>mandatory-and-must-support-data-elements</v>
      </c>
      <c r="T389" t="str">
        <f>SUBSTITUTE(SUBSTITUTE(PROPER(SUBSTITUTE(us_core_reqs[[#This Row],[Page]], "-", " "))&amp;": "&amp;PROPER(SUBSTITUTE(us_core_reqs[[#This Row],[Section]], "-", " ")),"Us ","US "), "Uscdi", "USCDI")</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1562</v>
      </c>
      <c r="C390" t="str">
        <f>"CONF-"&amp;TEXT(us_core_reqs[[#This Row],[ID*]], "0000")</f>
        <v>CONF-0389</v>
      </c>
      <c r="D390" s="11" t="s">
        <v>872</v>
      </c>
      <c r="E390" t="str">
        <f>SUBSTITUTE(us_core_reqs[[#This Row],[URL*]], "https://hl7.org/fhir/us/core/STU8/","")</f>
        <v>StructureDefinition-us-core-goal.html#mandatory-and-must-support-data-elements</v>
      </c>
      <c r="F390" s="11" t="s">
        <v>2162</v>
      </c>
      <c r="G390" t="s">
        <v>29</v>
      </c>
      <c r="I390" t="s">
        <v>58</v>
      </c>
      <c r="J390" t="s">
        <v>1171</v>
      </c>
      <c r="K390" t="s">
        <v>1171</v>
      </c>
      <c r="L390" t="s">
        <v>1173</v>
      </c>
      <c r="M390" t="s">
        <v>1171</v>
      </c>
      <c r="N390" t="s">
        <v>1171</v>
      </c>
      <c r="O390" t="s">
        <v>1171</v>
      </c>
      <c r="P390" t="s">
        <v>1171</v>
      </c>
      <c r="Q390" t="s">
        <v>1171</v>
      </c>
      <c r="R390" t="str">
        <f>_xlfn.TEXTBEFORE(_xlfn.TEXTAFTER(us_core_reqs[[#This Row],[URL*]],"/",-1),".")</f>
        <v>StructureDefinition-us-core-goal</v>
      </c>
      <c r="S390" t="str">
        <f>_xlfn.TEXTAFTER(us_core_reqs[[#This Row],[URL*]],"#",-1)</f>
        <v>mandatory-and-must-support-data-elements</v>
      </c>
      <c r="T390" t="str">
        <f>SUBSTITUTE(SUBSTITUTE(PROPER(SUBSTITUTE(us_core_reqs[[#This Row],[Page]], "-", " "))&amp;": "&amp;PROPER(SUBSTITUTE(us_core_reqs[[#This Row],[Section]], "-", " ")),"Us ","US "), "Uscdi", "USCDI")</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51" x14ac:dyDescent="0.2">
      <c r="A391" t="s">
        <v>1171</v>
      </c>
      <c r="B391" t="s">
        <v>1563</v>
      </c>
      <c r="C391" t="str">
        <f>"CONF-"&amp;TEXT(us_core_reqs[[#This Row],[ID*]], "0000")</f>
        <v>CONF-0390</v>
      </c>
      <c r="D391" s="11" t="s">
        <v>773</v>
      </c>
      <c r="E391" t="str">
        <f>SUBSTITUTE(us_core_reqs[[#This Row],[URL*]], "https://hl7.org/fhir/us/core/STU8/","")</f>
        <v>StructureDefinition-us-core-immunization.html#mandatory-and-must-support-data-elements</v>
      </c>
      <c r="F391" s="11" t="s">
        <v>402</v>
      </c>
      <c r="G391" t="s">
        <v>29</v>
      </c>
      <c r="I391" t="s">
        <v>30</v>
      </c>
      <c r="J391" t="s">
        <v>1171</v>
      </c>
      <c r="K391" t="s">
        <v>1171</v>
      </c>
      <c r="L391" t="s">
        <v>1173</v>
      </c>
      <c r="M391" t="s">
        <v>1171</v>
      </c>
      <c r="N391" t="s">
        <v>1171</v>
      </c>
      <c r="O391" t="s">
        <v>1171</v>
      </c>
      <c r="P391" t="s">
        <v>1171</v>
      </c>
      <c r="Q391" t="s">
        <v>1171</v>
      </c>
      <c r="R391" t="str">
        <f>_xlfn.TEXTBEFORE(_xlfn.TEXTAFTER(us_core_reqs[[#This Row],[URL*]],"/",-1),".")</f>
        <v>StructureDefinition-us-core-immunization</v>
      </c>
      <c r="S391" t="str">
        <f>_xlfn.TEXTAFTER(us_core_reqs[[#This Row],[URL*]],"#",-1)</f>
        <v>mandatory-and-must-support-data-elements</v>
      </c>
      <c r="T391" t="str">
        <f>SUBSTITUTE(SUBSTITUTE(PROPER(SUBSTITUTE(us_core_reqs[[#This Row],[Page]], "-", " "))&amp;": "&amp;PROPER(SUBSTITUTE(us_core_reqs[[#This Row],[Section]], "-", " ")),"Us ","US "), "Uscdi", "USCDI")</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68" x14ac:dyDescent="0.2">
      <c r="A392" t="s">
        <v>1171</v>
      </c>
      <c r="B392" t="s">
        <v>1564</v>
      </c>
      <c r="C392" t="str">
        <f>"CONF-"&amp;TEXT(us_core_reqs[[#This Row],[ID*]], "0000")</f>
        <v>CONF-0391</v>
      </c>
      <c r="D392" s="11" t="s">
        <v>773</v>
      </c>
      <c r="E392" t="str">
        <f>SUBSTITUTE(us_core_reqs[[#This Row],[URL*]], "https://hl7.org/fhir/us/core/STU8/","")</f>
        <v>StructureDefinition-us-core-immunization.html#mandatory-and-must-support-data-elements</v>
      </c>
      <c r="F392" s="11" t="s">
        <v>403</v>
      </c>
      <c r="G392" t="s">
        <v>29</v>
      </c>
      <c r="I392" t="s">
        <v>30</v>
      </c>
      <c r="J392" t="s">
        <v>1171</v>
      </c>
      <c r="K392" t="s">
        <v>1171</v>
      </c>
      <c r="L392" t="s">
        <v>1176</v>
      </c>
      <c r="M392" t="s">
        <v>404</v>
      </c>
      <c r="N392" t="s">
        <v>1171</v>
      </c>
      <c r="O392" t="s">
        <v>1171</v>
      </c>
      <c r="P392" t="s">
        <v>1171</v>
      </c>
      <c r="Q392" t="s">
        <v>1171</v>
      </c>
      <c r="R392" t="str">
        <f>_xlfn.TEXTBEFORE(_xlfn.TEXTAFTER(us_core_reqs[[#This Row],[URL*]],"/",-1),".")</f>
        <v>StructureDefinition-us-core-immunization</v>
      </c>
      <c r="S392" t="str">
        <f>_xlfn.TEXTAFTER(us_core_reqs[[#This Row],[URL*]],"#",-1)</f>
        <v>mandatory-and-must-support-data-elements</v>
      </c>
      <c r="T392" t="str">
        <f>SUBSTITUTE(SUBSTITUTE(PROPER(SUBSTITUTE(us_core_reqs[[#This Row],[Page]], "-", " "))&amp;": "&amp;PROPER(SUBSTITUTE(us_core_reqs[[#This Row],[Section]], "-", " ")),"Us ","US "), "Uscdi", "USCDI")</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102" x14ac:dyDescent="0.2">
      <c r="A393" t="s">
        <v>1171</v>
      </c>
      <c r="B393" t="s">
        <v>1565</v>
      </c>
      <c r="C393" t="str">
        <f>"CONF-"&amp;TEXT(us_core_reqs[[#This Row],[ID*]], "0000")</f>
        <v>CONF-0392</v>
      </c>
      <c r="D393" s="11" t="s">
        <v>773</v>
      </c>
      <c r="E393" t="str">
        <f>SUBSTITUTE(us_core_reqs[[#This Row],[URL*]], "https://hl7.org/fhir/us/core/STU8/","")</f>
        <v>StructureDefinition-us-core-immunization.html#mandatory-and-must-support-data-elements</v>
      </c>
      <c r="F393" s="11" t="s">
        <v>1992</v>
      </c>
      <c r="G393" t="s">
        <v>32</v>
      </c>
      <c r="I393" t="s">
        <v>30</v>
      </c>
      <c r="J393" t="s">
        <v>1171</v>
      </c>
      <c r="K393" t="s">
        <v>1171</v>
      </c>
      <c r="L393" t="s">
        <v>1173</v>
      </c>
      <c r="M393" t="s">
        <v>1171</v>
      </c>
      <c r="N393" t="s">
        <v>1171</v>
      </c>
      <c r="O393" t="s">
        <v>1171</v>
      </c>
      <c r="P393" t="s">
        <v>1171</v>
      </c>
      <c r="Q393" t="s">
        <v>1171</v>
      </c>
      <c r="R393" t="str">
        <f>_xlfn.TEXTBEFORE(_xlfn.TEXTAFTER(us_core_reqs[[#This Row],[URL*]],"/",-1),".")</f>
        <v>StructureDefinition-us-core-immunization</v>
      </c>
      <c r="S393" t="str">
        <f>_xlfn.TEXTAFTER(us_core_reqs[[#This Row],[URL*]],"#",-1)</f>
        <v>mandatory-and-must-support-data-elements</v>
      </c>
      <c r="T393" t="str">
        <f>SUBSTITUTE(SUBSTITUTE(PROPER(SUBSTITUTE(us_core_reqs[[#This Row],[Page]], "-", " "))&amp;": "&amp;PROPER(SUBSTITUTE(us_core_reqs[[#This Row],[Section]], "-", " ")),"Us ","US "), "Uscdi", "USCDI")</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51" x14ac:dyDescent="0.2">
      <c r="A394" t="s">
        <v>1171</v>
      </c>
      <c r="B394" t="s">
        <v>1566</v>
      </c>
      <c r="C394" t="str">
        <f>"CONF-"&amp;TEXT(us_core_reqs[[#This Row],[ID*]], "0000")</f>
        <v>CONF-0393</v>
      </c>
      <c r="D394" s="11" t="s">
        <v>773</v>
      </c>
      <c r="E394" t="str">
        <f>SUBSTITUTE(us_core_reqs[[#This Row],[URL*]], "https://hl7.org/fhir/us/core/STU8/","")</f>
        <v>StructureDefinition-us-core-immunization.html#mandatory-and-must-support-data-elements</v>
      </c>
      <c r="F394" s="11" t="s">
        <v>406</v>
      </c>
      <c r="G394" t="s">
        <v>32</v>
      </c>
      <c r="I394" t="s">
        <v>30</v>
      </c>
      <c r="J394" t="s">
        <v>1171</v>
      </c>
      <c r="K394" t="s">
        <v>1171</v>
      </c>
      <c r="L394" t="s">
        <v>1173</v>
      </c>
      <c r="M394" t="s">
        <v>1171</v>
      </c>
      <c r="N394" t="s">
        <v>1171</v>
      </c>
      <c r="O394" t="s">
        <v>1171</v>
      </c>
      <c r="P394" t="s">
        <v>1171</v>
      </c>
      <c r="Q394" t="s">
        <v>1171</v>
      </c>
      <c r="R394" t="str">
        <f>_xlfn.TEXTBEFORE(_xlfn.TEXTAFTER(us_core_reqs[[#This Row],[URL*]],"/",-1),".")</f>
        <v>StructureDefinition-us-core-immunization</v>
      </c>
      <c r="S394" t="str">
        <f>_xlfn.TEXTAFTER(us_core_reqs[[#This Row],[URL*]],"#",-1)</f>
        <v>mandatory-and-must-support-data-elements</v>
      </c>
      <c r="T394" t="str">
        <f>SUBSTITUTE(SUBSTITUTE(PROPER(SUBSTITUTE(us_core_reqs[[#This Row],[Page]], "-", " "))&amp;": "&amp;PROPER(SUBSTITUTE(us_core_reqs[[#This Row],[Section]], "-", " ")),"Us ","US "), "Uscdi", "USCDI")</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51" x14ac:dyDescent="0.2">
      <c r="A395" t="s">
        <v>1171</v>
      </c>
      <c r="B395" t="s">
        <v>1567</v>
      </c>
      <c r="C395" t="str">
        <f>"CONF-"&amp;TEXT(us_core_reqs[[#This Row],[ID*]], "0000")</f>
        <v>CONF-0394</v>
      </c>
      <c r="D395" s="11" t="s">
        <v>773</v>
      </c>
      <c r="E395" t="str">
        <f>SUBSTITUTE(us_core_reqs[[#This Row],[URL*]], "https://hl7.org/fhir/us/core/STU8/","")</f>
        <v>StructureDefinition-us-core-immunization.html#mandatory-and-must-support-data-elements</v>
      </c>
      <c r="F395" s="11" t="s">
        <v>407</v>
      </c>
      <c r="G395" t="s">
        <v>32</v>
      </c>
      <c r="I395" t="s">
        <v>30</v>
      </c>
      <c r="J395" t="s">
        <v>1171</v>
      </c>
      <c r="K395" t="s">
        <v>1171</v>
      </c>
      <c r="L395" t="s">
        <v>1173</v>
      </c>
      <c r="M395" t="s">
        <v>1171</v>
      </c>
      <c r="N395" t="s">
        <v>1171</v>
      </c>
      <c r="O395" t="s">
        <v>1171</v>
      </c>
      <c r="P395" t="s">
        <v>1171</v>
      </c>
      <c r="Q395" t="s">
        <v>1171</v>
      </c>
      <c r="R395" t="str">
        <f>_xlfn.TEXTBEFORE(_xlfn.TEXTAFTER(us_core_reqs[[#This Row],[URL*]],"/",-1),".")</f>
        <v>StructureDefinition-us-core-immunization</v>
      </c>
      <c r="S395" t="str">
        <f>_xlfn.TEXTAFTER(us_core_reqs[[#This Row],[URL*]],"#",-1)</f>
        <v>mandatory-and-must-support-data-elements</v>
      </c>
      <c r="T395" t="str">
        <f>SUBSTITUTE(SUBSTITUTE(PROPER(SUBSTITUTE(us_core_reqs[[#This Row],[Page]], "-", " "))&amp;": "&amp;PROPER(SUBSTITUTE(us_core_reqs[[#This Row],[Section]], "-", " ")),"Us ","US "), "Uscdi", "USCDI")</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102" x14ac:dyDescent="0.2">
      <c r="A396" t="s">
        <v>1171</v>
      </c>
      <c r="B396" t="s">
        <v>1568</v>
      </c>
      <c r="C396" t="str">
        <f>"CONF-"&amp;TEXT(us_core_reqs[[#This Row],[ID*]], "0000")</f>
        <v>CONF-0395</v>
      </c>
      <c r="D396" s="11" t="s">
        <v>873</v>
      </c>
      <c r="E396" t="str">
        <f>SUBSTITUTE(us_core_reqs[[#This Row],[URL*]], "https://hl7.org/fhir/us/core/STU8/","")</f>
        <v>StructureDefinition-us-core-location.html#mandatory-and-must-support-data-elements</v>
      </c>
      <c r="F396" s="11" t="s">
        <v>1993</v>
      </c>
      <c r="G396" t="s">
        <v>32</v>
      </c>
      <c r="I396" t="s">
        <v>30</v>
      </c>
      <c r="J396" t="s">
        <v>1171</v>
      </c>
      <c r="K396" t="s">
        <v>1171</v>
      </c>
      <c r="L396" t="s">
        <v>1173</v>
      </c>
      <c r="M396" t="s">
        <v>1171</v>
      </c>
      <c r="N396" t="s">
        <v>1171</v>
      </c>
      <c r="O396" t="s">
        <v>1171</v>
      </c>
      <c r="P396" t="s">
        <v>1171</v>
      </c>
      <c r="Q396" t="s">
        <v>1171</v>
      </c>
      <c r="R396" t="str">
        <f>_xlfn.TEXTBEFORE(_xlfn.TEXTAFTER(us_core_reqs[[#This Row],[URL*]],"/",-1),".")</f>
        <v>StructureDefinition-us-core-location</v>
      </c>
      <c r="S396" t="str">
        <f>_xlfn.TEXTAFTER(us_core_reqs[[#This Row],[URL*]],"#",-1)</f>
        <v>mandatory-and-must-support-data-elements</v>
      </c>
      <c r="T396" t="str">
        <f>SUBSTITUTE(SUBSTITUTE(PROPER(SUBSTITUTE(us_core_reqs[[#This Row],[Page]], "-", " "))&amp;": "&amp;PROPER(SUBSTITUTE(us_core_reqs[[#This Row],[Section]], "-", " ")),"Us ","US "), "Uscdi", "USCDI")</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102" x14ac:dyDescent="0.2">
      <c r="A397" t="s">
        <v>1171</v>
      </c>
      <c r="B397" t="s">
        <v>1569</v>
      </c>
      <c r="C397" t="str">
        <f>"CONF-"&amp;TEXT(us_core_reqs[[#This Row],[ID*]], "0000")</f>
        <v>CONF-0396</v>
      </c>
      <c r="D397" s="11" t="s">
        <v>873</v>
      </c>
      <c r="E397" t="str">
        <f>SUBSTITUTE(us_core_reqs[[#This Row],[URL*]], "https://hl7.org/fhir/us/core/STU8/","")</f>
        <v>StructureDefinition-us-core-location.html#mandatory-and-must-support-data-elements</v>
      </c>
      <c r="F397" s="11" t="s">
        <v>1994</v>
      </c>
      <c r="G397" t="s">
        <v>32</v>
      </c>
      <c r="I397" t="s">
        <v>30</v>
      </c>
      <c r="J397" t="s">
        <v>1171</v>
      </c>
      <c r="K397" t="s">
        <v>1171</v>
      </c>
      <c r="L397" t="s">
        <v>1173</v>
      </c>
      <c r="M397" t="s">
        <v>1171</v>
      </c>
      <c r="N397" t="s">
        <v>1171</v>
      </c>
      <c r="O397" t="s">
        <v>1171</v>
      </c>
      <c r="P397" t="s">
        <v>1171</v>
      </c>
      <c r="Q397" t="s">
        <v>1171</v>
      </c>
      <c r="R397" t="str">
        <f>_xlfn.TEXTBEFORE(_xlfn.TEXTAFTER(us_core_reqs[[#This Row],[URL*]],"/",-1),".")</f>
        <v>StructureDefinition-us-core-location</v>
      </c>
      <c r="S397" t="str">
        <f>_xlfn.TEXTAFTER(us_core_reqs[[#This Row],[URL*]],"#",-1)</f>
        <v>mandatory-and-must-support-data-elements</v>
      </c>
      <c r="T397" t="str">
        <f>SUBSTITUTE(SUBSTITUTE(PROPER(SUBSTITUTE(us_core_reqs[[#This Row],[Page]], "-", " "))&amp;": "&amp;PROPER(SUBSTITUTE(us_core_reqs[[#This Row],[Section]], "-", " ")),"Us ","US "), "Uscdi", "USCDI")</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85" x14ac:dyDescent="0.2">
      <c r="A398" t="s">
        <v>1171</v>
      </c>
      <c r="B398" t="s">
        <v>1570</v>
      </c>
      <c r="C398" t="str">
        <f>"CONF-"&amp;TEXT(us_core_reqs[[#This Row],[ID*]], "0000")</f>
        <v>CONF-0397</v>
      </c>
      <c r="D398" s="11" t="s">
        <v>874</v>
      </c>
      <c r="E398" t="str">
        <f>SUBSTITUTE(us_core_reqs[[#This Row],[URL*]], "https://hl7.org/fhir/us/core/STU8/","")</f>
        <v>StructureDefinition-us-core-medicationdispense.html#mandatory-and-must-support-data-elements, StructureDefinition-us-core-medicationrequest.html#mandatory-and-must-support-data-elements</v>
      </c>
      <c r="F398" s="11" t="s">
        <v>410</v>
      </c>
      <c r="G398" t="s">
        <v>29</v>
      </c>
      <c r="I398" t="s">
        <v>30</v>
      </c>
      <c r="J398" t="s">
        <v>1171</v>
      </c>
      <c r="K398" t="s">
        <v>1171</v>
      </c>
      <c r="L398" t="s">
        <v>1176</v>
      </c>
      <c r="M398" t="s">
        <v>411</v>
      </c>
      <c r="N398" t="s">
        <v>1171</v>
      </c>
      <c r="O398" t="s">
        <v>1171</v>
      </c>
      <c r="P398" t="s">
        <v>1171</v>
      </c>
      <c r="Q398" t="s">
        <v>1171</v>
      </c>
      <c r="R398" t="str">
        <f>_xlfn.TEXTBEFORE(_xlfn.TEXTAFTER(us_core_reqs[[#This Row],[URL*]],"/",-1),".")</f>
        <v>StructureDefinition-us-core-medicationrequest</v>
      </c>
      <c r="S398" t="str">
        <f>_xlfn.TEXTAFTER(us_core_reqs[[#This Row],[URL*]],"#",-1)</f>
        <v>mandatory-and-must-support-data-elements</v>
      </c>
      <c r="T398" t="str">
        <f>SUBSTITUTE(SUBSTITUTE(PROPER(SUBSTITUTE(us_core_reqs[[#This Row],[Page]], "-", " "))&amp;": "&amp;PROPER(SUBSTITUTE(us_core_reqs[[#This Row],[Section]], "-", " ")),"Us ","US "), "Uscdi", "USCDI")</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85" x14ac:dyDescent="0.2">
      <c r="A399" t="s">
        <v>1171</v>
      </c>
      <c r="B399" t="s">
        <v>1571</v>
      </c>
      <c r="C399" t="str">
        <f>"CONF-"&amp;TEXT(us_core_reqs[[#This Row],[ID*]], "0000")</f>
        <v>CONF-0398</v>
      </c>
      <c r="D399" s="11" t="s">
        <v>874</v>
      </c>
      <c r="E399" t="str">
        <f>SUBSTITUTE(us_core_reqs[[#This Row],[URL*]], "https://hl7.org/fhir/us/core/STU8/","")</f>
        <v>StructureDefinition-us-core-medicationdispense.html#mandatory-and-must-support-data-elements, StructureDefinition-us-core-medicationrequest.html#mandatory-and-must-support-data-elements</v>
      </c>
      <c r="F399" s="11" t="s">
        <v>412</v>
      </c>
      <c r="G399" t="s">
        <v>35</v>
      </c>
      <c r="I399" t="s">
        <v>30</v>
      </c>
      <c r="J399" t="s">
        <v>1171</v>
      </c>
      <c r="K399" t="s">
        <v>1171</v>
      </c>
      <c r="L399" t="s">
        <v>1176</v>
      </c>
      <c r="M399" t="s">
        <v>411</v>
      </c>
      <c r="N399" t="s">
        <v>1171</v>
      </c>
      <c r="O399" t="s">
        <v>1171</v>
      </c>
      <c r="P399" t="s">
        <v>1171</v>
      </c>
      <c r="Q399" t="s">
        <v>1171</v>
      </c>
      <c r="R399" t="str">
        <f>_xlfn.TEXTBEFORE(_xlfn.TEXTAFTER(us_core_reqs[[#This Row],[URL*]],"/",-1),".")</f>
        <v>StructureDefinition-us-core-medicationrequest</v>
      </c>
      <c r="S399" t="str">
        <f>_xlfn.TEXTAFTER(us_core_reqs[[#This Row],[URL*]],"#",-1)</f>
        <v>mandatory-and-must-support-data-elements</v>
      </c>
      <c r="T399" t="str">
        <f>SUBSTITUTE(SUBSTITUTE(PROPER(SUBSTITUTE(us_core_reqs[[#This Row],[Page]], "-", " "))&amp;": "&amp;PROPER(SUBSTITUTE(us_core_reqs[[#This Row],[Section]], "-", " ")),"Us ","US "), "Uscdi", "USCDI")</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85" x14ac:dyDescent="0.2">
      <c r="A400" t="s">
        <v>1171</v>
      </c>
      <c r="B400" t="s">
        <v>1572</v>
      </c>
      <c r="C400" t="str">
        <f>"CONF-"&amp;TEXT(us_core_reqs[[#This Row],[ID*]], "0000")</f>
        <v>CONF-0399</v>
      </c>
      <c r="D400" s="11" t="s">
        <v>874</v>
      </c>
      <c r="E400" t="str">
        <f>SUBSTITUTE(us_core_reqs[[#This Row],[URL*]], "https://hl7.org/fhir/us/core/STU8/","")</f>
        <v>StructureDefinition-us-core-medicationdispense.html#mandatory-and-must-support-data-elements, StructureDefinition-us-core-medicationrequest.html#mandatory-and-must-support-data-elements</v>
      </c>
      <c r="F400" s="11" t="s">
        <v>413</v>
      </c>
      <c r="G400" t="s">
        <v>35</v>
      </c>
      <c r="I400" t="s">
        <v>30</v>
      </c>
      <c r="J400" t="s">
        <v>1171</v>
      </c>
      <c r="K400" t="s">
        <v>1171</v>
      </c>
      <c r="L400" t="s">
        <v>1173</v>
      </c>
      <c r="M400" t="s">
        <v>1171</v>
      </c>
      <c r="N400" t="s">
        <v>1171</v>
      </c>
      <c r="O400" t="s">
        <v>1171</v>
      </c>
      <c r="P400" t="s">
        <v>1171</v>
      </c>
      <c r="Q400" t="s">
        <v>1171</v>
      </c>
      <c r="R400" t="str">
        <f>_xlfn.TEXTBEFORE(_xlfn.TEXTAFTER(us_core_reqs[[#This Row],[URL*]],"/",-1),".")</f>
        <v>StructureDefinition-us-core-medicationrequest</v>
      </c>
      <c r="S400" t="str">
        <f>_xlfn.TEXTAFTER(us_core_reqs[[#This Row],[URL*]],"#",-1)</f>
        <v>mandatory-and-must-support-data-elements</v>
      </c>
      <c r="T400" t="str">
        <f>SUBSTITUTE(SUBSTITUTE(PROPER(SUBSTITUTE(us_core_reqs[[#This Row],[Page]], "-", " "))&amp;": "&amp;PROPER(SUBSTITUTE(us_core_reqs[[#This Row],[Section]], "-", " ")),"Us ","US "), "Uscdi", "USCDI")</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85" x14ac:dyDescent="0.2">
      <c r="A401" t="s">
        <v>1171</v>
      </c>
      <c r="B401" t="s">
        <v>1573</v>
      </c>
      <c r="C401" t="str">
        <f>"CONF-"&amp;TEXT(us_core_reqs[[#This Row],[ID*]], "0000")</f>
        <v>CONF-0400</v>
      </c>
      <c r="D401" s="11" t="s">
        <v>874</v>
      </c>
      <c r="E401" t="str">
        <f>SUBSTITUTE(us_core_reqs[[#This Row],[URL*]], "https://hl7.org/fhir/us/core/STU8/","")</f>
        <v>StructureDefinition-us-core-medicationdispense.html#mandatory-and-must-support-data-elements, StructureDefinition-us-core-medicationrequest.html#mandatory-and-must-support-data-elements</v>
      </c>
      <c r="F401" s="11" t="s">
        <v>414</v>
      </c>
      <c r="G401" t="s">
        <v>35</v>
      </c>
      <c r="I401" t="s">
        <v>30</v>
      </c>
      <c r="J401" t="s">
        <v>1171</v>
      </c>
      <c r="K401" t="s">
        <v>1171</v>
      </c>
      <c r="L401" t="s">
        <v>1173</v>
      </c>
      <c r="M401" t="s">
        <v>1171</v>
      </c>
      <c r="N401" t="s">
        <v>1171</v>
      </c>
      <c r="O401" t="s">
        <v>1171</v>
      </c>
      <c r="P401" t="s">
        <v>1171</v>
      </c>
      <c r="Q401" t="s">
        <v>1171</v>
      </c>
      <c r="R401" t="str">
        <f>_xlfn.TEXTBEFORE(_xlfn.TEXTAFTER(us_core_reqs[[#This Row],[URL*]],"/",-1),".")</f>
        <v>StructureDefinition-us-core-medicationrequest</v>
      </c>
      <c r="S401" t="str">
        <f>_xlfn.TEXTAFTER(us_core_reqs[[#This Row],[URL*]],"#",-1)</f>
        <v>mandatory-and-must-support-data-elements</v>
      </c>
      <c r="T401" t="str">
        <f>SUBSTITUTE(SUBSTITUTE(PROPER(SUBSTITUTE(us_core_reqs[[#This Row],[Page]], "-", " "))&amp;": "&amp;PROPER(SUBSTITUTE(us_core_reqs[[#This Row],[Section]], "-", " ")),"Us ","US "), "Uscdi", "USCDI")</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85" x14ac:dyDescent="0.2">
      <c r="A402" t="s">
        <v>1171</v>
      </c>
      <c r="B402" t="s">
        <v>1574</v>
      </c>
      <c r="C402" t="str">
        <f>"CONF-"&amp;TEXT(us_core_reqs[[#This Row],[ID*]], "0000")</f>
        <v>CONF-0401</v>
      </c>
      <c r="D402" s="11" t="s">
        <v>874</v>
      </c>
      <c r="E402" t="str">
        <f>SUBSTITUTE(us_core_reqs[[#This Row],[URL*]], "https://hl7.org/fhir/us/core/STU8/","")</f>
        <v>StructureDefinition-us-core-medicationdispense.html#mandatory-and-must-support-data-elements, StructureDefinition-us-core-medicationrequest.html#mandatory-and-must-support-data-elements</v>
      </c>
      <c r="F402" s="11" t="s">
        <v>2163</v>
      </c>
      <c r="G402" t="s">
        <v>29</v>
      </c>
      <c r="I402" t="s">
        <v>30</v>
      </c>
      <c r="J402" t="s">
        <v>1171</v>
      </c>
      <c r="K402" t="s">
        <v>1171</v>
      </c>
      <c r="L402" t="s">
        <v>1176</v>
      </c>
      <c r="M402" t="s">
        <v>415</v>
      </c>
      <c r="N402" t="s">
        <v>1171</v>
      </c>
      <c r="O402" t="s">
        <v>1171</v>
      </c>
      <c r="P402" t="s">
        <v>1171</v>
      </c>
      <c r="Q402" t="s">
        <v>1171</v>
      </c>
      <c r="R402" t="str">
        <f>_xlfn.TEXTBEFORE(_xlfn.TEXTAFTER(us_core_reqs[[#This Row],[URL*]],"/",-1),".")</f>
        <v>StructureDefinition-us-core-medicationrequest</v>
      </c>
      <c r="S402" t="str">
        <f>_xlfn.TEXTAFTER(us_core_reqs[[#This Row],[URL*]],"#",-1)</f>
        <v>mandatory-and-must-support-data-elements</v>
      </c>
      <c r="T402" t="str">
        <f>SUBSTITUTE(SUBSTITUTE(PROPER(SUBSTITUTE(us_core_reqs[[#This Row],[Page]], "-", " "))&amp;": "&amp;PROPER(SUBSTITUTE(us_core_reqs[[#This Row],[Section]], "-", " ")),"Us ","US "), "Uscdi", "USCDI")</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85" x14ac:dyDescent="0.2">
      <c r="A403" t="s">
        <v>1171</v>
      </c>
      <c r="B403" t="s">
        <v>1575</v>
      </c>
      <c r="C403" t="str">
        <f>"CONF-"&amp;TEXT(us_core_reqs[[#This Row],[ID*]], "0000")</f>
        <v>CONF-0402</v>
      </c>
      <c r="D403" s="11" t="s">
        <v>874</v>
      </c>
      <c r="E403" t="str">
        <f>SUBSTITUTE(us_core_reqs[[#This Row],[URL*]], "https://hl7.org/fhir/us/core/STU8/","")</f>
        <v>StructureDefinition-us-core-medicationdispense.html#mandatory-and-must-support-data-elements, StructureDefinition-us-core-medicationrequest.html#mandatory-and-must-support-data-elements</v>
      </c>
      <c r="F403" s="11" t="s">
        <v>2164</v>
      </c>
      <c r="G403" t="s">
        <v>29</v>
      </c>
      <c r="I403" t="s">
        <v>30</v>
      </c>
      <c r="J403" t="s">
        <v>1171</v>
      </c>
      <c r="K403" t="s">
        <v>1171</v>
      </c>
      <c r="L403" t="s">
        <v>1176</v>
      </c>
      <c r="M403" t="s">
        <v>416</v>
      </c>
      <c r="N403" t="s">
        <v>1171</v>
      </c>
      <c r="O403" t="s">
        <v>1171</v>
      </c>
      <c r="P403" t="s">
        <v>1171</v>
      </c>
      <c r="Q403" t="s">
        <v>1171</v>
      </c>
      <c r="R403" t="str">
        <f>_xlfn.TEXTBEFORE(_xlfn.TEXTAFTER(us_core_reqs[[#This Row],[URL*]],"/",-1),".")</f>
        <v>StructureDefinition-us-core-medicationrequest</v>
      </c>
      <c r="S403" t="str">
        <f>_xlfn.TEXTAFTER(us_core_reqs[[#This Row],[URL*]],"#",-1)</f>
        <v>mandatory-and-must-support-data-elements</v>
      </c>
      <c r="T403" t="str">
        <f>SUBSTITUTE(SUBSTITUTE(PROPER(SUBSTITUTE(us_core_reqs[[#This Row],[Page]], "-", " "))&amp;": "&amp;PROPER(SUBSTITUTE(us_core_reqs[[#This Row],[Section]], "-", " ")),"Us ","US "), "Uscdi", "USCDI")</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85" x14ac:dyDescent="0.2">
      <c r="A404" t="s">
        <v>1171</v>
      </c>
      <c r="B404" t="s">
        <v>1576</v>
      </c>
      <c r="C404" t="str">
        <f>"CONF-"&amp;TEXT(us_core_reqs[[#This Row],[ID*]], "0000")</f>
        <v>CONF-0403</v>
      </c>
      <c r="D404" s="11" t="s">
        <v>874</v>
      </c>
      <c r="E404" t="str">
        <f>SUBSTITUTE(us_core_reqs[[#This Row],[URL*]], "https://hl7.org/fhir/us/core/STU8/","")</f>
        <v>StructureDefinition-us-core-medicationdispense.html#mandatory-and-must-support-data-elements, StructureDefinition-us-core-medicationrequest.html#mandatory-and-must-support-data-elements</v>
      </c>
      <c r="F404" s="11" t="s">
        <v>2165</v>
      </c>
      <c r="G404" t="s">
        <v>29</v>
      </c>
      <c r="I404" t="s">
        <v>58</v>
      </c>
      <c r="J404" t="s">
        <v>1171</v>
      </c>
      <c r="K404" t="s">
        <v>1171</v>
      </c>
      <c r="L404" t="s">
        <v>1173</v>
      </c>
      <c r="M404" t="s">
        <v>1171</v>
      </c>
      <c r="N404" t="s">
        <v>1171</v>
      </c>
      <c r="O404" t="s">
        <v>1171</v>
      </c>
      <c r="P404" t="s">
        <v>1171</v>
      </c>
      <c r="Q404" t="s">
        <v>1171</v>
      </c>
      <c r="R404" t="str">
        <f>_xlfn.TEXTBEFORE(_xlfn.TEXTAFTER(us_core_reqs[[#This Row],[URL*]],"/",-1),".")</f>
        <v>StructureDefinition-us-core-medicationrequest</v>
      </c>
      <c r="S404" t="str">
        <f>_xlfn.TEXTAFTER(us_core_reqs[[#This Row],[URL*]],"#",-1)</f>
        <v>mandatory-and-must-support-data-elements</v>
      </c>
      <c r="T404" t="str">
        <f>SUBSTITUTE(SUBSTITUTE(PROPER(SUBSTITUTE(us_core_reqs[[#This Row],[Page]], "-", " "))&amp;": "&amp;PROPER(SUBSTITUTE(us_core_reqs[[#This Row],[Section]], "-", " ")),"Us ","US "), "Uscdi", "USCDI")</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85" x14ac:dyDescent="0.2">
      <c r="A405" t="s">
        <v>1171</v>
      </c>
      <c r="B405" t="s">
        <v>1577</v>
      </c>
      <c r="C405" t="str">
        <f>"CONF-"&amp;TEXT(us_core_reqs[[#This Row],[ID*]], "0000")</f>
        <v>CONF-0404</v>
      </c>
      <c r="D405" s="11" t="s">
        <v>874</v>
      </c>
      <c r="E405" t="str">
        <f>SUBSTITUTE(us_core_reqs[[#This Row],[URL*]], "https://hl7.org/fhir/us/core/STU8/","")</f>
        <v>StructureDefinition-us-core-medicationdispense.html#mandatory-and-must-support-data-elements, StructureDefinition-us-core-medicationrequest.html#mandatory-and-must-support-data-elements</v>
      </c>
      <c r="F405" s="11" t="s">
        <v>2166</v>
      </c>
      <c r="G405" t="s">
        <v>29</v>
      </c>
      <c r="I405" t="s">
        <v>58</v>
      </c>
      <c r="J405" t="s">
        <v>1171</v>
      </c>
      <c r="K405" t="s">
        <v>1171</v>
      </c>
      <c r="L405" t="s">
        <v>1173</v>
      </c>
      <c r="M405" t="s">
        <v>1171</v>
      </c>
      <c r="N405" t="s">
        <v>1171</v>
      </c>
      <c r="O405" t="s">
        <v>1171</v>
      </c>
      <c r="P405" t="s">
        <v>1171</v>
      </c>
      <c r="Q405" t="s">
        <v>1171</v>
      </c>
      <c r="R405" t="str">
        <f>_xlfn.TEXTBEFORE(_xlfn.TEXTAFTER(us_core_reqs[[#This Row],[URL*]],"/",-1),".")</f>
        <v>StructureDefinition-us-core-medicationrequest</v>
      </c>
      <c r="S405" t="str">
        <f>_xlfn.TEXTAFTER(us_core_reqs[[#This Row],[URL*]],"#",-1)</f>
        <v>mandatory-and-must-support-data-elements</v>
      </c>
      <c r="T405" t="str">
        <f>SUBSTITUTE(SUBSTITUTE(PROPER(SUBSTITUTE(us_core_reqs[[#This Row],[Page]], "-", " "))&amp;": "&amp;PROPER(SUBSTITUTE(us_core_reqs[[#This Row],[Section]], "-", " ")),"Us ","US "), "Uscdi", "USCDI")</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85" x14ac:dyDescent="0.2">
      <c r="A406" t="s">
        <v>1171</v>
      </c>
      <c r="B406" t="s">
        <v>1578</v>
      </c>
      <c r="C406" t="str">
        <f>"CONF-"&amp;TEXT(us_core_reqs[[#This Row],[ID*]], "0000")</f>
        <v>CONF-0405</v>
      </c>
      <c r="D406" s="11" t="s">
        <v>775</v>
      </c>
      <c r="E406" t="str">
        <f>SUBSTITUTE(us_core_reqs[[#This Row],[URL*]], "https://hl7.org/fhir/us/core/STU8/","")</f>
        <v>StructureDefinition-us-core-medicationrequest.html#mandatory-and-must-support-data-elements</v>
      </c>
      <c r="F406" s="11" t="s">
        <v>2167</v>
      </c>
      <c r="G406" t="s">
        <v>29</v>
      </c>
      <c r="I406" t="s">
        <v>30</v>
      </c>
      <c r="J406" t="s">
        <v>1171</v>
      </c>
      <c r="K406" t="s">
        <v>1171</v>
      </c>
      <c r="L406" t="s">
        <v>1176</v>
      </c>
      <c r="M406" t="s">
        <v>404</v>
      </c>
      <c r="N406" t="s">
        <v>1171</v>
      </c>
      <c r="O406" t="s">
        <v>1171</v>
      </c>
      <c r="P406" t="s">
        <v>1171</v>
      </c>
      <c r="Q406" t="s">
        <v>1171</v>
      </c>
      <c r="R406" t="str">
        <f>_xlfn.TEXTBEFORE(_xlfn.TEXTAFTER(us_core_reqs[[#This Row],[URL*]],"/",-1),".")</f>
        <v>StructureDefinition-us-core-medicationrequest</v>
      </c>
      <c r="S406" t="str">
        <f>_xlfn.TEXTAFTER(us_core_reqs[[#This Row],[URL*]],"#",-1)</f>
        <v>mandatory-and-must-support-data-elements</v>
      </c>
      <c r="T406" t="str">
        <f>SUBSTITUTE(SUBSTITUTE(PROPER(SUBSTITUTE(us_core_reqs[[#This Row],[Page]], "-", " "))&amp;": "&amp;PROPER(SUBSTITUTE(us_core_reqs[[#This Row],[Section]], "-", " ")),"Us ","US "), "Uscdi", "USCDI")</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85" x14ac:dyDescent="0.2">
      <c r="A407" t="s">
        <v>1171</v>
      </c>
      <c r="B407" t="s">
        <v>1579</v>
      </c>
      <c r="C407" t="str">
        <f>"CONF-"&amp;TEXT(us_core_reqs[[#This Row],[ID*]], "0000")</f>
        <v>CONF-0406</v>
      </c>
      <c r="D407" s="11" t="s">
        <v>775</v>
      </c>
      <c r="E407" t="str">
        <f>SUBSTITUTE(us_core_reqs[[#This Row],[URL*]], "https://hl7.org/fhir/us/core/STU8/","")</f>
        <v>StructureDefinition-us-core-medicationrequest.html#mandatory-and-must-support-data-elements</v>
      </c>
      <c r="F407" s="11" t="s">
        <v>2168</v>
      </c>
      <c r="G407" t="s">
        <v>29</v>
      </c>
      <c r="I407" t="s">
        <v>30</v>
      </c>
      <c r="J407" t="s">
        <v>1171</v>
      </c>
      <c r="K407" t="s">
        <v>1171</v>
      </c>
      <c r="L407" t="s">
        <v>1176</v>
      </c>
      <c r="M407" t="s">
        <v>404</v>
      </c>
      <c r="N407" t="s">
        <v>1171</v>
      </c>
      <c r="O407" t="s">
        <v>1171</v>
      </c>
      <c r="P407" t="s">
        <v>1171</v>
      </c>
      <c r="Q407" t="s">
        <v>1171</v>
      </c>
      <c r="R407" t="str">
        <f>_xlfn.TEXTBEFORE(_xlfn.TEXTAFTER(us_core_reqs[[#This Row],[URL*]],"/",-1),".")</f>
        <v>StructureDefinition-us-core-medicationrequest</v>
      </c>
      <c r="S407" t="str">
        <f>_xlfn.TEXTAFTER(us_core_reqs[[#This Row],[URL*]],"#",-1)</f>
        <v>mandatory-and-must-support-data-elements</v>
      </c>
      <c r="T407" t="str">
        <f>SUBSTITUTE(SUBSTITUTE(PROPER(SUBSTITUTE(us_core_reqs[[#This Row],[Page]], "-", " "))&amp;": "&amp;PROPER(SUBSTITUTE(us_core_reqs[[#This Row],[Section]], "-", " ")),"Us ","US "), "Uscdi", "USCDI")</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51" x14ac:dyDescent="0.2">
      <c r="A408" t="s">
        <v>1171</v>
      </c>
      <c r="B408" t="s">
        <v>1580</v>
      </c>
      <c r="C408" t="str">
        <f>"CONF-"&amp;TEXT(us_core_reqs[[#This Row],[ID*]], "0000")</f>
        <v>CONF-0407</v>
      </c>
      <c r="D408" s="11" t="s">
        <v>775</v>
      </c>
      <c r="E408" t="str">
        <f>SUBSTITUTE(us_core_reqs[[#This Row],[URL*]], "https://hl7.org/fhir/us/core/STU8/","")</f>
        <v>StructureDefinition-us-core-medicationrequest.html#mandatory-and-must-support-data-elements</v>
      </c>
      <c r="F408" s="11" t="s">
        <v>1995</v>
      </c>
      <c r="G408" t="s">
        <v>32</v>
      </c>
      <c r="I408" t="s">
        <v>30</v>
      </c>
      <c r="J408" t="s">
        <v>1171</v>
      </c>
      <c r="K408" t="s">
        <v>1171</v>
      </c>
      <c r="L408" t="s">
        <v>1173</v>
      </c>
      <c r="M408" t="s">
        <v>1171</v>
      </c>
      <c r="N408" t="s">
        <v>1171</v>
      </c>
      <c r="O408" t="s">
        <v>1171</v>
      </c>
      <c r="P408" t="s">
        <v>1171</v>
      </c>
      <c r="Q408" t="s">
        <v>1171</v>
      </c>
      <c r="R408" t="str">
        <f>_xlfn.TEXTBEFORE(_xlfn.TEXTAFTER(us_core_reqs[[#This Row],[URL*]],"/",-1),".")</f>
        <v>StructureDefinition-us-core-medicationrequest</v>
      </c>
      <c r="S408" t="str">
        <f>_xlfn.TEXTAFTER(us_core_reqs[[#This Row],[URL*]],"#",-1)</f>
        <v>mandatory-and-must-support-data-elements</v>
      </c>
      <c r="T408" t="str">
        <f>SUBSTITUTE(SUBSTITUTE(PROPER(SUBSTITUTE(us_core_reqs[[#This Row],[Page]], "-", " "))&amp;": "&amp;PROPER(SUBSTITUTE(us_core_reqs[[#This Row],[Section]], "-", " ")),"Us ","US "), "Uscdi", "USCDI")</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68" x14ac:dyDescent="0.2">
      <c r="A409" t="s">
        <v>1171</v>
      </c>
      <c r="B409" t="s">
        <v>1581</v>
      </c>
      <c r="C409" t="str">
        <f>"CONF-"&amp;TEXT(us_core_reqs[[#This Row],[ID*]], "0000")</f>
        <v>CONF-0408</v>
      </c>
      <c r="D409" s="11" t="s">
        <v>775</v>
      </c>
      <c r="E409" t="str">
        <f>SUBSTITUTE(us_core_reqs[[#This Row],[URL*]], "https://hl7.org/fhir/us/core/STU8/","")</f>
        <v>StructureDefinition-us-core-medicationrequest.html#mandatory-and-must-support-data-elements</v>
      </c>
      <c r="F409" s="11" t="s">
        <v>2169</v>
      </c>
      <c r="G409" t="s">
        <v>29</v>
      </c>
      <c r="I409" t="s">
        <v>30</v>
      </c>
      <c r="J409" t="s">
        <v>1171</v>
      </c>
      <c r="K409" t="s">
        <v>1171</v>
      </c>
      <c r="L409" t="s">
        <v>1176</v>
      </c>
      <c r="M409" t="s">
        <v>418</v>
      </c>
      <c r="N409" t="s">
        <v>1171</v>
      </c>
      <c r="O409" t="s">
        <v>1171</v>
      </c>
      <c r="P409" t="s">
        <v>1171</v>
      </c>
      <c r="Q409" t="s">
        <v>1171</v>
      </c>
      <c r="R409" t="str">
        <f>_xlfn.TEXTBEFORE(_xlfn.TEXTAFTER(us_core_reqs[[#This Row],[URL*]],"/",-1),".")</f>
        <v>StructureDefinition-us-core-medicationrequest</v>
      </c>
      <c r="S409" t="str">
        <f>_xlfn.TEXTAFTER(us_core_reqs[[#This Row],[URL*]],"#",-1)</f>
        <v>mandatory-and-must-support-data-elements</v>
      </c>
      <c r="T409" t="str">
        <f>SUBSTITUTE(SUBSTITUTE(PROPER(SUBSTITUTE(us_core_reqs[[#This Row],[Page]], "-", " "))&amp;": "&amp;PROPER(SUBSTITUTE(us_core_reqs[[#This Row],[Section]], "-", " ")),"Us ","US "), "Uscdi", "USCDI")</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51" x14ac:dyDescent="0.2">
      <c r="A410" t="s">
        <v>1171</v>
      </c>
      <c r="B410" t="s">
        <v>1582</v>
      </c>
      <c r="C410" t="str">
        <f>"CONF-"&amp;TEXT(us_core_reqs[[#This Row],[ID*]], "0000")</f>
        <v>CONF-0409</v>
      </c>
      <c r="D410" s="11" t="s">
        <v>775</v>
      </c>
      <c r="E410" t="str">
        <f>SUBSTITUTE(us_core_reqs[[#This Row],[URL*]], "https://hl7.org/fhir/us/core/STU8/","")</f>
        <v>StructureDefinition-us-core-medicationrequest.html#mandatory-and-must-support-data-elements</v>
      </c>
      <c r="F410" s="11" t="s">
        <v>2170</v>
      </c>
      <c r="G410" t="s">
        <v>29</v>
      </c>
      <c r="I410" t="s">
        <v>58</v>
      </c>
      <c r="J410" t="s">
        <v>1171</v>
      </c>
      <c r="K410" t="s">
        <v>1171</v>
      </c>
      <c r="L410" t="s">
        <v>1173</v>
      </c>
      <c r="M410" t="s">
        <v>1171</v>
      </c>
      <c r="N410" t="s">
        <v>1171</v>
      </c>
      <c r="O410" t="s">
        <v>1171</v>
      </c>
      <c r="P410" t="s">
        <v>1171</v>
      </c>
      <c r="Q410" t="s">
        <v>1171</v>
      </c>
      <c r="R410" t="str">
        <f>_xlfn.TEXTBEFORE(_xlfn.TEXTAFTER(us_core_reqs[[#This Row],[URL*]],"/",-1),".")</f>
        <v>StructureDefinition-us-core-medicationrequest</v>
      </c>
      <c r="S410" t="str">
        <f>_xlfn.TEXTAFTER(us_core_reqs[[#This Row],[URL*]],"#",-1)</f>
        <v>mandatory-and-must-support-data-elements</v>
      </c>
      <c r="T410" t="str">
        <f>SUBSTITUTE(SUBSTITUTE(PROPER(SUBSTITUTE(us_core_reqs[[#This Row],[Page]], "-", " "))&amp;": "&amp;PROPER(SUBSTITUTE(us_core_reqs[[#This Row],[Section]], "-", " ")),"Us ","US "), "Uscdi", "USCDI")</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51" x14ac:dyDescent="0.2">
      <c r="A411" t="s">
        <v>1171</v>
      </c>
      <c r="B411" t="s">
        <v>1583</v>
      </c>
      <c r="C411" t="str">
        <f>"CONF-"&amp;TEXT(us_core_reqs[[#This Row],[ID*]], "0000")</f>
        <v>CONF-0410</v>
      </c>
      <c r="D411" s="11" t="s">
        <v>775</v>
      </c>
      <c r="E411" t="str">
        <f>SUBSTITUTE(us_core_reqs[[#This Row],[URL*]], "https://hl7.org/fhir/us/core/STU8/","")</f>
        <v>StructureDefinition-us-core-medicationrequest.html#mandatory-and-must-support-data-elements</v>
      </c>
      <c r="F411" s="11" t="s">
        <v>2171</v>
      </c>
      <c r="G411" t="s">
        <v>29</v>
      </c>
      <c r="I411" t="s">
        <v>58</v>
      </c>
      <c r="J411" t="s">
        <v>1171</v>
      </c>
      <c r="K411" t="s">
        <v>1171</v>
      </c>
      <c r="L411" t="s">
        <v>1173</v>
      </c>
      <c r="M411" t="s">
        <v>1171</v>
      </c>
      <c r="N411" t="s">
        <v>1171</v>
      </c>
      <c r="O411" t="s">
        <v>1171</v>
      </c>
      <c r="P411" t="s">
        <v>1171</v>
      </c>
      <c r="Q411" t="s">
        <v>1171</v>
      </c>
      <c r="R411" t="str">
        <f>_xlfn.TEXTBEFORE(_xlfn.TEXTAFTER(us_core_reqs[[#This Row],[URL*]],"/",-1),".")</f>
        <v>StructureDefinition-us-core-medicationrequest</v>
      </c>
      <c r="S411" t="str">
        <f>_xlfn.TEXTAFTER(us_core_reqs[[#This Row],[URL*]],"#",-1)</f>
        <v>mandatory-and-must-support-data-elements</v>
      </c>
      <c r="T411" t="str">
        <f>SUBSTITUTE(SUBSTITUTE(PROPER(SUBSTITUTE(us_core_reqs[[#This Row],[Page]], "-", " "))&amp;": "&amp;PROPER(SUBSTITUTE(us_core_reqs[[#This Row],[Section]], "-", " ")),"Us ","US "), "Uscdi", "USCDI")</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102" x14ac:dyDescent="0.2">
      <c r="A412" t="s">
        <v>1171</v>
      </c>
      <c r="B412" t="s">
        <v>1584</v>
      </c>
      <c r="C412" t="str">
        <f>"CONF-"&amp;TEXT(us_core_reqs[[#This Row],[ID*]], "0000")</f>
        <v>CONF-0411</v>
      </c>
      <c r="D412" s="11" t="s">
        <v>775</v>
      </c>
      <c r="E412" t="str">
        <f>SUBSTITUTE(us_core_reqs[[#This Row],[URL*]], "https://hl7.org/fhir/us/core/STU8/","")</f>
        <v>StructureDefinition-us-core-medicationrequest.html#mandatory-and-must-support-data-elements</v>
      </c>
      <c r="F412" s="11" t="s">
        <v>2172</v>
      </c>
      <c r="G412" t="s">
        <v>29</v>
      </c>
      <c r="I412" t="s">
        <v>30</v>
      </c>
      <c r="J412" t="s">
        <v>1171</v>
      </c>
      <c r="K412" t="s">
        <v>1171</v>
      </c>
      <c r="L412" t="s">
        <v>1176</v>
      </c>
      <c r="M412" t="s">
        <v>1057</v>
      </c>
      <c r="N412" t="s">
        <v>1171</v>
      </c>
      <c r="O412" t="s">
        <v>1171</v>
      </c>
      <c r="P412" t="s">
        <v>1171</v>
      </c>
      <c r="Q412" t="s">
        <v>1171</v>
      </c>
      <c r="R412" t="str">
        <f>_xlfn.TEXTBEFORE(_xlfn.TEXTAFTER(us_core_reqs[[#This Row],[URL*]],"/",-1),".")</f>
        <v>StructureDefinition-us-core-medicationrequest</v>
      </c>
      <c r="S412" t="str">
        <f>_xlfn.TEXTAFTER(us_core_reqs[[#This Row],[URL*]],"#",-1)</f>
        <v>mandatory-and-must-support-data-elements</v>
      </c>
      <c r="T412" t="str">
        <f>SUBSTITUTE(SUBSTITUTE(PROPER(SUBSTITUTE(us_core_reqs[[#This Row],[Page]], "-", " "))&amp;": "&amp;PROPER(SUBSTITUTE(us_core_reqs[[#This Row],[Section]], "-", " ")),"Us ","US "), "Uscdi", "USCDI")</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51" x14ac:dyDescent="0.2">
      <c r="A413" t="s">
        <v>1171</v>
      </c>
      <c r="B413" t="s">
        <v>1585</v>
      </c>
      <c r="C413" t="str">
        <f>"CONF-"&amp;TEXT(us_core_reqs[[#This Row],[ID*]], "0000")</f>
        <v>CONF-0412</v>
      </c>
      <c r="D413" s="11" t="s">
        <v>775</v>
      </c>
      <c r="E413" t="str">
        <f>SUBSTITUTE(us_core_reqs[[#This Row],[URL*]], "https://hl7.org/fhir/us/core/STU8/","")</f>
        <v>StructureDefinition-us-core-medicationrequest.html#mandatory-and-must-support-data-elements</v>
      </c>
      <c r="F413" s="11" t="s">
        <v>2173</v>
      </c>
      <c r="G413" t="s">
        <v>29</v>
      </c>
      <c r="I413" t="s">
        <v>58</v>
      </c>
      <c r="J413" t="s">
        <v>1171</v>
      </c>
      <c r="K413" t="s">
        <v>1171</v>
      </c>
      <c r="L413" t="s">
        <v>1176</v>
      </c>
      <c r="M413" t="s">
        <v>404</v>
      </c>
      <c r="N413" t="s">
        <v>1171</v>
      </c>
      <c r="O413" t="s">
        <v>1171</v>
      </c>
      <c r="P413" t="s">
        <v>1171</v>
      </c>
      <c r="Q413" t="s">
        <v>1171</v>
      </c>
      <c r="R413" t="str">
        <f>_xlfn.TEXTBEFORE(_xlfn.TEXTAFTER(us_core_reqs[[#This Row],[URL*]],"/",-1),".")</f>
        <v>StructureDefinition-us-core-medicationrequest</v>
      </c>
      <c r="S413" t="str">
        <f>_xlfn.TEXTAFTER(us_core_reqs[[#This Row],[URL*]],"#",-1)</f>
        <v>mandatory-and-must-support-data-elements</v>
      </c>
      <c r="T413" t="str">
        <f>SUBSTITUTE(SUBSTITUTE(PROPER(SUBSTITUTE(us_core_reqs[[#This Row],[Page]], "-", " "))&amp;": "&amp;PROPER(SUBSTITUTE(us_core_reqs[[#This Row],[Section]], "-", " ")),"Us ","US "), "Uscdi", "USCDI")</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51" x14ac:dyDescent="0.2">
      <c r="A414" t="s">
        <v>1171</v>
      </c>
      <c r="B414" t="s">
        <v>1586</v>
      </c>
      <c r="C414" t="str">
        <f>"CONF-"&amp;TEXT(us_core_reqs[[#This Row],[ID*]], "0000")</f>
        <v>CONF-0413</v>
      </c>
      <c r="D414" s="11" t="s">
        <v>775</v>
      </c>
      <c r="E414" t="str">
        <f>SUBSTITUTE(us_core_reqs[[#This Row],[URL*]], "https://hl7.org/fhir/us/core/STU8/","")</f>
        <v>StructureDefinition-us-core-medicationrequest.html#mandatory-and-must-support-data-elements</v>
      </c>
      <c r="F414" s="11" t="s">
        <v>2174</v>
      </c>
      <c r="G414" t="s">
        <v>29</v>
      </c>
      <c r="I414" t="s">
        <v>58</v>
      </c>
      <c r="J414" t="s">
        <v>1171</v>
      </c>
      <c r="K414" t="s">
        <v>1171</v>
      </c>
      <c r="L414" t="s">
        <v>1176</v>
      </c>
      <c r="M414" t="s">
        <v>404</v>
      </c>
      <c r="N414" t="s">
        <v>1171</v>
      </c>
      <c r="O414" t="s">
        <v>1171</v>
      </c>
      <c r="P414" t="s">
        <v>1171</v>
      </c>
      <c r="Q414" t="s">
        <v>1171</v>
      </c>
      <c r="R414" t="str">
        <f>_xlfn.TEXTBEFORE(_xlfn.TEXTAFTER(us_core_reqs[[#This Row],[URL*]],"/",-1),".")</f>
        <v>StructureDefinition-us-core-medicationrequest</v>
      </c>
      <c r="S414" t="str">
        <f>_xlfn.TEXTAFTER(us_core_reqs[[#This Row],[URL*]],"#",-1)</f>
        <v>mandatory-and-must-support-data-elements</v>
      </c>
      <c r="T414" t="str">
        <f>SUBSTITUTE(SUBSTITUTE(PROPER(SUBSTITUTE(us_core_reqs[[#This Row],[Page]], "-", " "))&amp;": "&amp;PROPER(SUBSTITUTE(us_core_reqs[[#This Row],[Section]], "-", " ")),"Us ","US "), "Uscdi", "USCDI")</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68" x14ac:dyDescent="0.2">
      <c r="A415" t="s">
        <v>1171</v>
      </c>
      <c r="B415" t="s">
        <v>1587</v>
      </c>
      <c r="C415" t="str">
        <f>"CONF-"&amp;TEXT(us_core_reqs[[#This Row],[ID*]], "0000")</f>
        <v>CONF-0414</v>
      </c>
      <c r="D415" s="11" t="s">
        <v>775</v>
      </c>
      <c r="E415" t="str">
        <f>SUBSTITUTE(us_core_reqs[[#This Row],[URL*]], "https://hl7.org/fhir/us/core/STU8/","")</f>
        <v>StructureDefinition-us-core-medicationrequest.html#mandatory-and-must-support-data-elements</v>
      </c>
      <c r="F415" s="11" t="s">
        <v>2175</v>
      </c>
      <c r="G415" t="s">
        <v>29</v>
      </c>
      <c r="I415" t="s">
        <v>30</v>
      </c>
      <c r="J415" t="s">
        <v>1171</v>
      </c>
      <c r="K415" t="s">
        <v>1171</v>
      </c>
      <c r="L415" t="s">
        <v>1176</v>
      </c>
      <c r="M415" t="s">
        <v>419</v>
      </c>
      <c r="N415" t="s">
        <v>1171</v>
      </c>
      <c r="O415" t="s">
        <v>1171</v>
      </c>
      <c r="P415" t="s">
        <v>1171</v>
      </c>
      <c r="Q415" t="s">
        <v>1171</v>
      </c>
      <c r="R415" t="str">
        <f>_xlfn.TEXTBEFORE(_xlfn.TEXTAFTER(us_core_reqs[[#This Row],[URL*]],"/",-1),".")</f>
        <v>StructureDefinition-us-core-medicationrequest</v>
      </c>
      <c r="S415" t="str">
        <f>_xlfn.TEXTAFTER(us_core_reqs[[#This Row],[URL*]],"#",-1)</f>
        <v>mandatory-and-must-support-data-elements</v>
      </c>
      <c r="T415" t="str">
        <f>SUBSTITUTE(SUBSTITUTE(PROPER(SUBSTITUTE(us_core_reqs[[#This Row],[Page]], "-", " "))&amp;": "&amp;PROPER(SUBSTITUTE(us_core_reqs[[#This Row],[Section]], "-", " ")),"Us ","US "), "Uscdi", "USCDI")</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51" x14ac:dyDescent="0.2">
      <c r="A416" t="s">
        <v>1171</v>
      </c>
      <c r="B416" t="s">
        <v>1588</v>
      </c>
      <c r="C416" t="str">
        <f>"CONF-"&amp;TEXT(us_core_reqs[[#This Row],[ID*]], "0000")</f>
        <v>CONF-0415</v>
      </c>
      <c r="D416" s="11" t="s">
        <v>775</v>
      </c>
      <c r="E416" t="str">
        <f>SUBSTITUTE(us_core_reqs[[#This Row],[URL*]], "https://hl7.org/fhir/us/core/STU8/","")</f>
        <v>StructureDefinition-us-core-medicationrequest.html#mandatory-and-must-support-data-elements</v>
      </c>
      <c r="F416" s="11" t="s">
        <v>2176</v>
      </c>
      <c r="G416" t="s">
        <v>29</v>
      </c>
      <c r="I416" t="s">
        <v>58</v>
      </c>
      <c r="J416" t="s">
        <v>1171</v>
      </c>
      <c r="K416" t="s">
        <v>1171</v>
      </c>
      <c r="L416" t="s">
        <v>1176</v>
      </c>
      <c r="M416" t="s">
        <v>404</v>
      </c>
      <c r="N416" t="s">
        <v>1171</v>
      </c>
      <c r="O416" t="s">
        <v>1171</v>
      </c>
      <c r="P416" t="s">
        <v>1171</v>
      </c>
      <c r="Q416" t="s">
        <v>1171</v>
      </c>
      <c r="R416" t="str">
        <f>_xlfn.TEXTBEFORE(_xlfn.TEXTAFTER(us_core_reqs[[#This Row],[URL*]],"/",-1),".")</f>
        <v>StructureDefinition-us-core-medicationrequest</v>
      </c>
      <c r="S416" t="str">
        <f>_xlfn.TEXTAFTER(us_core_reqs[[#This Row],[URL*]],"#",-1)</f>
        <v>mandatory-and-must-support-data-elements</v>
      </c>
      <c r="T416" t="str">
        <f>SUBSTITUTE(SUBSTITUTE(PROPER(SUBSTITUTE(us_core_reqs[[#This Row],[Page]], "-", " "))&amp;": "&amp;PROPER(SUBSTITUTE(us_core_reqs[[#This Row],[Section]], "-", " ")),"Us ","US "), "Uscdi", "USCDI")</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85" x14ac:dyDescent="0.2">
      <c r="A417" t="s">
        <v>1171</v>
      </c>
      <c r="B417" t="s">
        <v>1589</v>
      </c>
      <c r="C417" t="str">
        <f>"CONF-"&amp;TEXT(us_core_reqs[[#This Row],[ID*]], "0000")</f>
        <v>CONF-0416</v>
      </c>
      <c r="D417" s="11" t="s">
        <v>775</v>
      </c>
      <c r="E417" t="str">
        <f>SUBSTITUTE(us_core_reqs[[#This Row],[URL*]], "https://hl7.org/fhir/us/core/STU8/","")</f>
        <v>StructureDefinition-us-core-medicationrequest.html#mandatory-and-must-support-data-elements</v>
      </c>
      <c r="F417" s="11" t="s">
        <v>1996</v>
      </c>
      <c r="G417" t="s">
        <v>32</v>
      </c>
      <c r="I417" t="s">
        <v>30</v>
      </c>
      <c r="J417" t="s">
        <v>1171</v>
      </c>
      <c r="K417" t="s">
        <v>1171</v>
      </c>
      <c r="L417" t="s">
        <v>1176</v>
      </c>
      <c r="M417" t="s">
        <v>404</v>
      </c>
      <c r="N417" t="s">
        <v>1171</v>
      </c>
      <c r="O417" t="s">
        <v>1171</v>
      </c>
      <c r="P417" t="s">
        <v>1171</v>
      </c>
      <c r="Q417" t="s">
        <v>1171</v>
      </c>
      <c r="R417" t="str">
        <f>_xlfn.TEXTBEFORE(_xlfn.TEXTAFTER(us_core_reqs[[#This Row],[URL*]],"/",-1),".")</f>
        <v>StructureDefinition-us-core-medicationrequest</v>
      </c>
      <c r="S417" t="str">
        <f>_xlfn.TEXTAFTER(us_core_reqs[[#This Row],[URL*]],"#",-1)</f>
        <v>mandatory-and-must-support-data-elements</v>
      </c>
      <c r="T417" t="str">
        <f>SUBSTITUTE(SUBSTITUTE(PROPER(SUBSTITUTE(us_core_reqs[[#This Row],[Page]], "-", " "))&amp;": "&amp;PROPER(SUBSTITUTE(us_core_reqs[[#This Row],[Section]], "-", " ")),"Us ","US "), "Uscdi", "USCDI")</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51" x14ac:dyDescent="0.2">
      <c r="A418" t="s">
        <v>1171</v>
      </c>
      <c r="B418" t="s">
        <v>1590</v>
      </c>
      <c r="C418" t="str">
        <f>"CONF-"&amp;TEXT(us_core_reqs[[#This Row],[ID*]], "0000")</f>
        <v>CONF-0417</v>
      </c>
      <c r="D418" s="11" t="s">
        <v>775</v>
      </c>
      <c r="E418" t="str">
        <f>SUBSTITUTE(us_core_reqs[[#This Row],[URL*]], "https://hl7.org/fhir/us/core/STU8/","")</f>
        <v>StructureDefinition-us-core-medicationrequest.html#mandatory-and-must-support-data-elements</v>
      </c>
      <c r="F418" s="11" t="s">
        <v>1997</v>
      </c>
      <c r="G418" t="s">
        <v>32</v>
      </c>
      <c r="I418" t="s">
        <v>30</v>
      </c>
      <c r="J418" t="s">
        <v>1171</v>
      </c>
      <c r="K418" t="s">
        <v>1171</v>
      </c>
      <c r="L418" t="s">
        <v>1173</v>
      </c>
      <c r="M418" t="s">
        <v>1171</v>
      </c>
      <c r="N418" t="s">
        <v>1171</v>
      </c>
      <c r="O418" t="s">
        <v>1171</v>
      </c>
      <c r="P418" t="s">
        <v>1171</v>
      </c>
      <c r="Q418" t="s">
        <v>1171</v>
      </c>
      <c r="R418" t="str">
        <f>_xlfn.TEXTBEFORE(_xlfn.TEXTAFTER(us_core_reqs[[#This Row],[URL*]],"/",-1),".")</f>
        <v>StructureDefinition-us-core-medicationrequest</v>
      </c>
      <c r="S418" t="str">
        <f>_xlfn.TEXTAFTER(us_core_reqs[[#This Row],[URL*]],"#",-1)</f>
        <v>mandatory-and-must-support-data-elements</v>
      </c>
      <c r="T418" t="str">
        <f>SUBSTITUTE(SUBSTITUTE(PROPER(SUBSTITUTE(us_core_reqs[[#This Row],[Page]], "-", " "))&amp;": "&amp;PROPER(SUBSTITUTE(us_core_reqs[[#This Row],[Section]], "-", " ")),"Us ","US "), "Uscdi", "USCDI")</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51" x14ac:dyDescent="0.2">
      <c r="A419" t="s">
        <v>1171</v>
      </c>
      <c r="B419" t="s">
        <v>1591</v>
      </c>
      <c r="C419" t="str">
        <f>"CONF-"&amp;TEXT(us_core_reqs[[#This Row],[ID*]], "0000")</f>
        <v>CONF-0418</v>
      </c>
      <c r="D419" s="11" t="s">
        <v>775</v>
      </c>
      <c r="E419" t="str">
        <f>SUBSTITUTE(us_core_reqs[[#This Row],[URL*]], "https://hl7.org/fhir/us/core/STU8/","")</f>
        <v>StructureDefinition-us-core-medicationrequest.html#mandatory-and-must-support-data-elements</v>
      </c>
      <c r="F419" s="11" t="s">
        <v>1911</v>
      </c>
      <c r="G419" t="s">
        <v>64</v>
      </c>
      <c r="I419" t="s">
        <v>30</v>
      </c>
      <c r="J419" t="s">
        <v>1171</v>
      </c>
      <c r="K419" t="s">
        <v>1107</v>
      </c>
      <c r="L419" t="s">
        <v>1173</v>
      </c>
      <c r="M419" t="s">
        <v>1171</v>
      </c>
      <c r="N419" t="s">
        <v>1171</v>
      </c>
      <c r="O419" t="s">
        <v>1171</v>
      </c>
      <c r="P419" t="s">
        <v>1171</v>
      </c>
      <c r="Q419" t="s">
        <v>1171</v>
      </c>
      <c r="R419" t="str">
        <f>_xlfn.TEXTBEFORE(_xlfn.TEXTAFTER(us_core_reqs[[#This Row],[URL*]],"/",-1),".")</f>
        <v>StructureDefinition-us-core-medicationrequest</v>
      </c>
      <c r="S419" t="str">
        <f>_xlfn.TEXTAFTER(us_core_reqs[[#This Row],[URL*]],"#",-1)</f>
        <v>mandatory-and-must-support-data-elements</v>
      </c>
      <c r="T419" t="str">
        <f>SUBSTITUTE(SUBSTITUTE(PROPER(SUBSTITUTE(us_core_reqs[[#This Row],[Page]], "-", " "))&amp;": "&amp;PROPER(SUBSTITUTE(us_core_reqs[[#This Row],[Section]], "-", " ")),"Us ","US "), "Uscdi", "USCDI")</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136" x14ac:dyDescent="0.2">
      <c r="A420" t="s">
        <v>1171</v>
      </c>
      <c r="B420" t="s">
        <v>1592</v>
      </c>
      <c r="C420" t="str">
        <f>"CONF-"&amp;TEXT(us_core_reqs[[#This Row],[ID*]], "0000")</f>
        <v>CONF-0419</v>
      </c>
      <c r="D420" s="11" t="s">
        <v>876</v>
      </c>
      <c r="E420"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0" s="11" t="s">
        <v>2064</v>
      </c>
      <c r="G420" t="s">
        <v>35</v>
      </c>
      <c r="I420" t="s">
        <v>30</v>
      </c>
      <c r="J420" t="s">
        <v>1171</v>
      </c>
      <c r="K420" t="s">
        <v>1171</v>
      </c>
      <c r="L420" t="s">
        <v>1173</v>
      </c>
      <c r="M420" t="s">
        <v>1171</v>
      </c>
      <c r="N420" t="s">
        <v>1171</v>
      </c>
      <c r="O420" t="s">
        <v>1171</v>
      </c>
      <c r="P420" t="s">
        <v>1171</v>
      </c>
      <c r="Q420" t="s">
        <v>1171</v>
      </c>
      <c r="R420" t="str">
        <f>_xlfn.TEXTBEFORE(_xlfn.TEXTAFTER(us_core_reqs[[#This Row],[URL*]],"/",-1),".")</f>
        <v>StructureDefinition-us-core-treatment-intervention-preference</v>
      </c>
      <c r="S420" t="str">
        <f>_xlfn.TEXTAFTER(us_core_reqs[[#This Row],[URL*]],"#",-1)</f>
        <v>mandatory-and-must-support-data-elements</v>
      </c>
      <c r="T420" t="str">
        <f>SUBSTITUTE(SUBSTITUTE(PROPER(SUBSTITUTE(us_core_reqs[[#This Row],[Page]], "-", " "))&amp;": "&amp;PROPER(SUBSTITUTE(us_core_reqs[[#This Row],[Section]], "-", " ")),"Us ","US "), "Uscdi", "USCDI")</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136" x14ac:dyDescent="0.2">
      <c r="A421" t="s">
        <v>1171</v>
      </c>
      <c r="B421" t="s">
        <v>1593</v>
      </c>
      <c r="C421" t="str">
        <f>"CONF-"&amp;TEXT(us_core_reqs[[#This Row],[ID*]], "0000")</f>
        <v>CONF-0420</v>
      </c>
      <c r="D421" s="11" t="s">
        <v>876</v>
      </c>
      <c r="E421"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1" s="11" t="s">
        <v>1998</v>
      </c>
      <c r="G421" t="s">
        <v>32</v>
      </c>
      <c r="I421" t="s">
        <v>30</v>
      </c>
      <c r="J421" t="s">
        <v>1171</v>
      </c>
      <c r="K421" t="s">
        <v>1171</v>
      </c>
      <c r="L421" t="s">
        <v>1173</v>
      </c>
      <c r="M421" t="s">
        <v>1171</v>
      </c>
      <c r="N421" t="s">
        <v>1171</v>
      </c>
      <c r="O421" t="s">
        <v>1171</v>
      </c>
      <c r="P421" t="s">
        <v>1171</v>
      </c>
      <c r="Q421" t="s">
        <v>1171</v>
      </c>
      <c r="R421" t="str">
        <f>_xlfn.TEXTBEFORE(_xlfn.TEXTAFTER(us_core_reqs[[#This Row],[URL*]],"/",-1),".")</f>
        <v>StructureDefinition-us-core-treatment-intervention-preference</v>
      </c>
      <c r="S421" t="str">
        <f>_xlfn.TEXTAFTER(us_core_reqs[[#This Row],[URL*]],"#",-1)</f>
        <v>mandatory-and-must-support-data-elements</v>
      </c>
      <c r="T421" t="str">
        <f>SUBSTITUTE(SUBSTITUTE(PROPER(SUBSTITUTE(us_core_reqs[[#This Row],[Page]], "-", " "))&amp;": "&amp;PROPER(SUBSTITUTE(us_core_reqs[[#This Row],[Section]], "-", " ")),"Us ","US "), "Uscdi", "USCDI")</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68" x14ac:dyDescent="0.2">
      <c r="A422" t="s">
        <v>1171</v>
      </c>
      <c r="B422" t="s">
        <v>1594</v>
      </c>
      <c r="C422" t="str">
        <f>"CONF-"&amp;TEXT(us_core_reqs[[#This Row],[ID*]], "0000")</f>
        <v>CONF-0421</v>
      </c>
      <c r="D422" s="11" t="s">
        <v>635</v>
      </c>
      <c r="E422" t="str">
        <f>SUBSTITUTE(us_core_reqs[[#This Row],[URL*]], "https://hl7.org/fhir/us/core/STU8/","")</f>
        <v>StructureDefinition-us-core-average-blood-pressure.html#mandatory-and-must-support-data-elements</v>
      </c>
      <c r="F422" s="11" t="s">
        <v>2097</v>
      </c>
      <c r="G422" t="s">
        <v>29</v>
      </c>
      <c r="I422" t="s">
        <v>30</v>
      </c>
      <c r="J422" t="s">
        <v>1171</v>
      </c>
      <c r="K422" t="s">
        <v>1171</v>
      </c>
      <c r="L422" t="s">
        <v>1176</v>
      </c>
      <c r="M422" t="s">
        <v>425</v>
      </c>
      <c r="N422" t="s">
        <v>1171</v>
      </c>
      <c r="O422" t="s">
        <v>1171</v>
      </c>
      <c r="P422" t="s">
        <v>1171</v>
      </c>
      <c r="Q422" t="s">
        <v>1171</v>
      </c>
      <c r="R422" t="str">
        <f>_xlfn.TEXTBEFORE(_xlfn.TEXTAFTER(us_core_reqs[[#This Row],[URL*]],"/",-1),".")</f>
        <v>StructureDefinition-us-core-average-blood-pressure</v>
      </c>
      <c r="S422" t="str">
        <f>_xlfn.TEXTAFTER(us_core_reqs[[#This Row],[URL*]],"#",-1)</f>
        <v>mandatory-and-must-support-data-elements</v>
      </c>
      <c r="T422" t="str">
        <f>SUBSTITUTE(SUBSTITUTE(PROPER(SUBSTITUTE(us_core_reqs[[#This Row],[Page]], "-", " "))&amp;": "&amp;PROPER(SUBSTITUTE(us_core_reqs[[#This Row],[Section]], "-", " ")),"Us ","US "), "Uscdi", "USCDI")</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51" x14ac:dyDescent="0.2">
      <c r="A423" t="s">
        <v>1171</v>
      </c>
      <c r="B423" t="s">
        <v>1595</v>
      </c>
      <c r="C423" t="str">
        <f>"CONF-"&amp;TEXT(us_core_reqs[[#This Row],[ID*]], "0000")</f>
        <v>CONF-0422</v>
      </c>
      <c r="D423" s="11" t="s">
        <v>877</v>
      </c>
      <c r="E423" t="str">
        <f>SUBSTITUTE(us_core_reqs[[#This Row],[URL*]], "https://hl7.org/fhir/us/core/STU8/","")</f>
        <v>StructureDefinition-us-core-care-experience-preference.html#mandatory-and-must-support-data-elements</v>
      </c>
      <c r="F423" s="11" t="s">
        <v>1999</v>
      </c>
      <c r="G423" t="s">
        <v>32</v>
      </c>
      <c r="I423" t="s">
        <v>30</v>
      </c>
      <c r="J423" t="s">
        <v>1171</v>
      </c>
      <c r="K423" t="s">
        <v>1171</v>
      </c>
      <c r="L423" t="s">
        <v>1176</v>
      </c>
      <c r="M423" t="s">
        <v>427</v>
      </c>
      <c r="N423" t="s">
        <v>1171</v>
      </c>
      <c r="O423" t="s">
        <v>1171</v>
      </c>
      <c r="P423" t="s">
        <v>1171</v>
      </c>
      <c r="Q423" t="s">
        <v>1171</v>
      </c>
      <c r="R423" t="str">
        <f>_xlfn.TEXTBEFORE(_xlfn.TEXTAFTER(us_core_reqs[[#This Row],[URL*]],"/",-1),".")</f>
        <v>StructureDefinition-us-core-care-experience-preference</v>
      </c>
      <c r="S423" t="str">
        <f>_xlfn.TEXTAFTER(us_core_reqs[[#This Row],[URL*]],"#",-1)</f>
        <v>mandatory-and-must-support-data-elements</v>
      </c>
      <c r="T423" t="str">
        <f>SUBSTITUTE(SUBSTITUTE(PROPER(SUBSTITUTE(us_core_reqs[[#This Row],[Page]], "-", " "))&amp;": "&amp;PROPER(SUBSTITUTE(us_core_reqs[[#This Row],[Section]], "-", " ")),"Us ","US "), "Uscdi", "USCDI")</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51" x14ac:dyDescent="0.2">
      <c r="A424" t="s">
        <v>1171</v>
      </c>
      <c r="B424" t="s">
        <v>1596</v>
      </c>
      <c r="C424" t="str">
        <f>"CONF-"&amp;TEXT(us_core_reqs[[#This Row],[ID*]], "0000")</f>
        <v>CONF-0423</v>
      </c>
      <c r="D424" s="11" t="s">
        <v>428</v>
      </c>
      <c r="E424" t="str">
        <f>SUBSTITUTE(us_core_reqs[[#This Row],[URL*]], "https://hl7.org/fhir/us/core/STU8/","")</f>
        <v>https://hl7.org/fhir/us/core/StructureDefinition-us-core-observation-clinical-result.html#mandatory-and-must-support-data-elements</v>
      </c>
      <c r="F424" s="11" t="s">
        <v>2000</v>
      </c>
      <c r="G424" t="s">
        <v>32</v>
      </c>
      <c r="I424" t="s">
        <v>30</v>
      </c>
      <c r="J424" t="s">
        <v>1171</v>
      </c>
      <c r="K424" t="s">
        <v>1171</v>
      </c>
      <c r="L424" t="s">
        <v>1176</v>
      </c>
      <c r="M424" t="s">
        <v>430</v>
      </c>
      <c r="N424" t="s">
        <v>1171</v>
      </c>
      <c r="O424" t="s">
        <v>1171</v>
      </c>
      <c r="P424" t="s">
        <v>1171</v>
      </c>
      <c r="Q424" t="s">
        <v>1171</v>
      </c>
      <c r="R424" t="str">
        <f>_xlfn.TEXTBEFORE(_xlfn.TEXTAFTER(us_core_reqs[[#This Row],[URL*]],"/",-1),".")</f>
        <v>StructureDefinition-us-core-observation-clinical-result</v>
      </c>
      <c r="S424" t="str">
        <f>_xlfn.TEXTAFTER(us_core_reqs[[#This Row],[URL*]],"#",-1)</f>
        <v>mandatory-and-must-support-data-elements</v>
      </c>
      <c r="T424" t="str">
        <f>SUBSTITUTE(SUBSTITUTE(PROPER(SUBSTITUTE(us_core_reqs[[#This Row],[Page]], "-", " "))&amp;": "&amp;PROPER(SUBSTITUTE(us_core_reqs[[#This Row],[Section]], "-", " ")),"Us ","US "), "Uscdi", "USCDI")</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85" x14ac:dyDescent="0.2">
      <c r="A425" t="s">
        <v>1171</v>
      </c>
      <c r="B425" t="s">
        <v>1597</v>
      </c>
      <c r="C425" t="str">
        <f>"CONF-"&amp;TEXT(us_core_reqs[[#This Row],[ID*]], "0000")</f>
        <v>CONF-0424</v>
      </c>
      <c r="D425" s="11" t="s">
        <v>431</v>
      </c>
      <c r="E425" t="str">
        <f>SUBSTITUTE(us_core_reqs[[#This Row],[URL*]], "https://hl7.org/fhir/us/core/STU8/","")</f>
        <v>https://hl7.org/fhir/us/core/StructureDefinition-us-core-observation-clinical-result.html#mandatory-and-must-support-data-elements, https://hl7.org/fhir/us/core/StructureDefinition-us-core-observation-lab.html#mandatory-and-must-support-data-elements</v>
      </c>
      <c r="F425" s="11" t="s">
        <v>2001</v>
      </c>
      <c r="G425" t="s">
        <v>32</v>
      </c>
      <c r="I425" t="s">
        <v>30</v>
      </c>
      <c r="J425" t="s">
        <v>1171</v>
      </c>
      <c r="K425" t="s">
        <v>1171</v>
      </c>
      <c r="L425" t="s">
        <v>1176</v>
      </c>
      <c r="M425" t="s">
        <v>433</v>
      </c>
      <c r="N425" t="s">
        <v>1171</v>
      </c>
      <c r="O425" t="s">
        <v>1171</v>
      </c>
      <c r="P425" t="s">
        <v>1171</v>
      </c>
      <c r="Q425" t="s">
        <v>1171</v>
      </c>
      <c r="R425" t="str">
        <f>_xlfn.TEXTBEFORE(_xlfn.TEXTAFTER(us_core_reqs[[#This Row],[URL*]],"/",-1),".")</f>
        <v>StructureDefinition-us-core-observation-lab</v>
      </c>
      <c r="S425" t="str">
        <f>_xlfn.TEXTAFTER(us_core_reqs[[#This Row],[URL*]],"#",-1)</f>
        <v>mandatory-and-must-support-data-elements</v>
      </c>
      <c r="T425" t="str">
        <f>SUBSTITUTE(SUBSTITUTE(PROPER(SUBSTITUTE(us_core_reqs[[#This Row],[Page]], "-", " "))&amp;": "&amp;PROPER(SUBSTITUTE(us_core_reqs[[#This Row],[Section]], "-", " ")),"Us ","US "), "Uscdi", "USCDI")</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70" x14ac:dyDescent="0.2">
      <c r="A426" t="s">
        <v>1171</v>
      </c>
      <c r="B426" t="s">
        <v>1598</v>
      </c>
      <c r="C426" t="str">
        <f>"CONF-"&amp;TEXT(us_core_reqs[[#This Row],[ID*]], "0000")</f>
        <v>CONF-0425</v>
      </c>
      <c r="D426" s="11" t="s">
        <v>434</v>
      </c>
      <c r="E426"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v>
      </c>
      <c r="F426" s="11" t="s">
        <v>2223</v>
      </c>
      <c r="G426" t="s">
        <v>29</v>
      </c>
      <c r="I426" t="s">
        <v>30</v>
      </c>
      <c r="J426" t="s">
        <v>1171</v>
      </c>
      <c r="K426" t="s">
        <v>1171</v>
      </c>
      <c r="L426" t="s">
        <v>1176</v>
      </c>
      <c r="M426" t="s">
        <v>436</v>
      </c>
      <c r="N426" t="s">
        <v>1171</v>
      </c>
      <c r="O426" t="s">
        <v>1171</v>
      </c>
      <c r="P426" t="s">
        <v>1171</v>
      </c>
      <c r="Q426" t="s">
        <v>1171</v>
      </c>
      <c r="R426" t="str">
        <f>_xlfn.TEXTBEFORE(_xlfn.TEXTAFTER(us_core_reqs[[#This Row],[URL*]],"/",-1),".")</f>
        <v>StructureDefinition-us-core-observation-lab</v>
      </c>
      <c r="S426" t="str">
        <f>_xlfn.TEXTAFTER(us_core_reqs[[#This Row],[URL*]],"#",-1)</f>
        <v>mandatory-and-must-support-data-elements</v>
      </c>
      <c r="T426" t="str">
        <f>SUBSTITUTE(SUBSTITUTE(PROPER(SUBSTITUTE(us_core_reqs[[#This Row],[Page]], "-", " "))&amp;": "&amp;PROPER(SUBSTITUTE(us_core_reqs[[#This Row],[Section]], "-", " ")),"Us ","US "), "Uscdi", "USCDI")</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53" x14ac:dyDescent="0.2">
      <c r="A427" t="s">
        <v>1171</v>
      </c>
      <c r="B427" t="s">
        <v>1599</v>
      </c>
      <c r="C427" t="str">
        <f>"CONF-"&amp;TEXT(us_core_reqs[[#This Row],[ID*]], "0000")</f>
        <v>CONF-0426</v>
      </c>
      <c r="D427" s="11" t="s">
        <v>878</v>
      </c>
      <c r="E427"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7" s="11" t="s">
        <v>437</v>
      </c>
      <c r="G427" t="s">
        <v>35</v>
      </c>
      <c r="I427" t="s">
        <v>30</v>
      </c>
      <c r="J427" t="s">
        <v>1171</v>
      </c>
      <c r="K427" t="s">
        <v>1171</v>
      </c>
      <c r="L427" t="s">
        <v>1176</v>
      </c>
      <c r="M427" t="s">
        <v>438</v>
      </c>
      <c r="N427" t="s">
        <v>1171</v>
      </c>
      <c r="O427" t="s">
        <v>1171</v>
      </c>
      <c r="P427" t="s">
        <v>1171</v>
      </c>
      <c r="Q427" t="s">
        <v>1171</v>
      </c>
      <c r="R427" t="str">
        <f>_xlfn.TEXTBEFORE(_xlfn.TEXTAFTER(us_core_reqs[[#This Row],[URL*]],"/",-1),".")</f>
        <v>StructureDefinition-us-core-vital-signs</v>
      </c>
      <c r="S427" t="str">
        <f>_xlfn.TEXTAFTER(us_core_reqs[[#This Row],[URL*]],"#",-1)</f>
        <v>mandatory-and-must-support-data-elements</v>
      </c>
      <c r="T427" t="str">
        <f>SUBSTITUTE(SUBSTITUTE(PROPER(SUBSTITUTE(us_core_reqs[[#This Row],[Page]], "-", " "))&amp;": "&amp;PROPER(SUBSTITUTE(us_core_reqs[[#This Row],[Section]], "-", " ")),"Us ","US "), "Uscdi", "USCDI")</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53" x14ac:dyDescent="0.2">
      <c r="A428" t="s">
        <v>1171</v>
      </c>
      <c r="B428" t="s">
        <v>1600</v>
      </c>
      <c r="C428" t="str">
        <f>"CONF-"&amp;TEXT(us_core_reqs[[#This Row],[ID*]], "0000")</f>
        <v>CONF-0427</v>
      </c>
      <c r="D428" s="11" t="s">
        <v>878</v>
      </c>
      <c r="E428"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8" s="11" t="s">
        <v>2224</v>
      </c>
      <c r="G428" t="s">
        <v>29</v>
      </c>
      <c r="I428" t="s">
        <v>30</v>
      </c>
      <c r="J428" t="s">
        <v>1171</v>
      </c>
      <c r="K428" t="s">
        <v>1171</v>
      </c>
      <c r="L428" t="s">
        <v>1176</v>
      </c>
      <c r="M428" t="s">
        <v>440</v>
      </c>
      <c r="N428" t="s">
        <v>1171</v>
      </c>
      <c r="O428" t="s">
        <v>1171</v>
      </c>
      <c r="P428" t="s">
        <v>1171</v>
      </c>
      <c r="Q428" t="s">
        <v>1171</v>
      </c>
      <c r="R428" t="str">
        <f>_xlfn.TEXTBEFORE(_xlfn.TEXTAFTER(us_core_reqs[[#This Row],[URL*]],"/",-1),".")</f>
        <v>StructureDefinition-us-core-vital-signs</v>
      </c>
      <c r="S428" t="str">
        <f>_xlfn.TEXTAFTER(us_core_reqs[[#This Row],[URL*]],"#",-1)</f>
        <v>mandatory-and-must-support-data-elements</v>
      </c>
      <c r="T428" t="str">
        <f>SUBSTITUTE(SUBSTITUTE(PROPER(SUBSTITUTE(us_core_reqs[[#This Row],[Page]], "-", " "))&amp;": "&amp;PROPER(SUBSTITUTE(us_core_reqs[[#This Row],[Section]], "-", " ")),"Us ","US "), "Uscdi", "USCDI")</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53" x14ac:dyDescent="0.2">
      <c r="A429" t="s">
        <v>1171</v>
      </c>
      <c r="B429" t="s">
        <v>1601</v>
      </c>
      <c r="C429" t="str">
        <f>"CONF-"&amp;TEXT(us_core_reqs[[#This Row],[ID*]], "0000")</f>
        <v>CONF-0428</v>
      </c>
      <c r="D429" s="11" t="s">
        <v>878</v>
      </c>
      <c r="E429"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9" s="11" t="s">
        <v>2065</v>
      </c>
      <c r="G429" t="s">
        <v>35</v>
      </c>
      <c r="I429" t="s">
        <v>30</v>
      </c>
      <c r="J429" t="s">
        <v>1171</v>
      </c>
      <c r="K429" t="s">
        <v>1171</v>
      </c>
      <c r="L429" t="s">
        <v>1176</v>
      </c>
      <c r="M429" t="s">
        <v>442</v>
      </c>
      <c r="N429" t="s">
        <v>1171</v>
      </c>
      <c r="O429" t="s">
        <v>1171</v>
      </c>
      <c r="P429" t="s">
        <v>1171</v>
      </c>
      <c r="Q429" t="s">
        <v>1171</v>
      </c>
      <c r="R429" t="str">
        <f>_xlfn.TEXTBEFORE(_xlfn.TEXTAFTER(us_core_reqs[[#This Row],[URL*]],"/",-1),".")</f>
        <v>StructureDefinition-us-core-vital-signs</v>
      </c>
      <c r="S429" t="str">
        <f>_xlfn.TEXTAFTER(us_core_reqs[[#This Row],[URL*]],"#",-1)</f>
        <v>mandatory-and-must-support-data-elements</v>
      </c>
      <c r="T429" t="str">
        <f>SUBSTITUTE(SUBSTITUTE(PROPER(SUBSTITUTE(us_core_reqs[[#This Row],[Page]], "-", " "))&amp;": "&amp;PROPER(SUBSTITUTE(us_core_reqs[[#This Row],[Section]], "-", " ")),"Us ","US "), "Uscdi", "USCDI")</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53" x14ac:dyDescent="0.2">
      <c r="A430" t="s">
        <v>1171</v>
      </c>
      <c r="B430" t="s">
        <v>1602</v>
      </c>
      <c r="C430" t="str">
        <f>"CONF-"&amp;TEXT(us_core_reqs[[#This Row],[ID*]], "0000")</f>
        <v>CONF-0429</v>
      </c>
      <c r="D430" s="11" t="s">
        <v>878</v>
      </c>
      <c r="E430"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30" s="11" t="s">
        <v>443</v>
      </c>
      <c r="G430" t="s">
        <v>35</v>
      </c>
      <c r="I430" t="s">
        <v>30</v>
      </c>
      <c r="J430" t="s">
        <v>1171</v>
      </c>
      <c r="K430" t="s">
        <v>1171</v>
      </c>
      <c r="L430" t="s">
        <v>1176</v>
      </c>
      <c r="M430" t="s">
        <v>444</v>
      </c>
      <c r="N430" t="s">
        <v>1171</v>
      </c>
      <c r="O430" t="s">
        <v>1171</v>
      </c>
      <c r="P430" t="s">
        <v>1171</v>
      </c>
      <c r="Q430" t="s">
        <v>1171</v>
      </c>
      <c r="R430" t="str">
        <f>_xlfn.TEXTBEFORE(_xlfn.TEXTAFTER(us_core_reqs[[#This Row],[URL*]],"/",-1),".")</f>
        <v>StructureDefinition-us-core-vital-signs</v>
      </c>
      <c r="S430" t="str">
        <f>_xlfn.TEXTAFTER(us_core_reqs[[#This Row],[URL*]],"#",-1)</f>
        <v>mandatory-and-must-support-data-elements</v>
      </c>
      <c r="T430" t="str">
        <f>SUBSTITUTE(SUBSTITUTE(PROPER(SUBSTITUTE(us_core_reqs[[#This Row],[Page]], "-", " "))&amp;": "&amp;PROPER(SUBSTITUTE(us_core_reqs[[#This Row],[Section]], "-", " ")),"Us ","US "), "Uscdi", "USCDI")</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51" x14ac:dyDescent="0.2">
      <c r="A431" t="s">
        <v>1171</v>
      </c>
      <c r="B431" t="s">
        <v>1603</v>
      </c>
      <c r="C431" t="str">
        <f>"CONF-"&amp;TEXT(us_core_reqs[[#This Row],[ID*]], "0000")</f>
        <v>CONF-0430</v>
      </c>
      <c r="D431" s="11" t="s">
        <v>445</v>
      </c>
      <c r="E431" t="str">
        <f>SUBSTITUTE(us_core_reqs[[#This Row],[URL*]], "https://hl7.org/fhir/us/core/STU8/","")</f>
        <v>https://hl7.org/fhir/us/core/StructureDefinition-us-core-observation-lab.html#mandatory-and-must-support-data-elements</v>
      </c>
      <c r="F431" s="11" t="s">
        <v>2002</v>
      </c>
      <c r="G431" t="s">
        <v>32</v>
      </c>
      <c r="I431" t="s">
        <v>30</v>
      </c>
      <c r="J431" t="s">
        <v>1171</v>
      </c>
      <c r="K431" t="s">
        <v>1171</v>
      </c>
      <c r="L431" t="s">
        <v>1176</v>
      </c>
      <c r="M431" t="s">
        <v>446</v>
      </c>
      <c r="N431" t="s">
        <v>1171</v>
      </c>
      <c r="O431" t="s">
        <v>1171</v>
      </c>
      <c r="P431" t="s">
        <v>1171</v>
      </c>
      <c r="Q431" t="s">
        <v>1171</v>
      </c>
      <c r="R431" t="str">
        <f>_xlfn.TEXTBEFORE(_xlfn.TEXTAFTER(us_core_reqs[[#This Row],[URL*]],"/",-1),".")</f>
        <v>StructureDefinition-us-core-observation-lab</v>
      </c>
      <c r="S431" t="str">
        <f>_xlfn.TEXTAFTER(us_core_reqs[[#This Row],[URL*]],"#",-1)</f>
        <v>mandatory-and-must-support-data-elements</v>
      </c>
      <c r="T431" t="str">
        <f>SUBSTITUTE(SUBSTITUTE(PROPER(SUBSTITUTE(us_core_reqs[[#This Row],[Page]], "-", " "))&amp;": "&amp;PROPER(SUBSTITUTE(us_core_reqs[[#This Row],[Section]], "-", " ")),"Us ","US "), "Uscdi", "USCDI")</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68" x14ac:dyDescent="0.2">
      <c r="A432" t="s">
        <v>1171</v>
      </c>
      <c r="B432" t="s">
        <v>1604</v>
      </c>
      <c r="C432" t="str">
        <f>"CONF-"&amp;TEXT(us_core_reqs[[#This Row],[ID*]], "0000")</f>
        <v>CONF-0431</v>
      </c>
      <c r="D432" s="11" t="s">
        <v>445</v>
      </c>
      <c r="E432" t="str">
        <f>SUBSTITUTE(us_core_reqs[[#This Row],[URL*]], "https://hl7.org/fhir/us/core/STU8/","")</f>
        <v>https://hl7.org/fhir/us/core/StructureDefinition-us-core-observation-lab.html#mandatory-and-must-support-data-elements</v>
      </c>
      <c r="F432" s="11" t="s">
        <v>2003</v>
      </c>
      <c r="G432" t="s">
        <v>32</v>
      </c>
      <c r="I432" t="s">
        <v>30</v>
      </c>
      <c r="J432" t="s">
        <v>1171</v>
      </c>
      <c r="K432" t="s">
        <v>1171</v>
      </c>
      <c r="L432" t="s">
        <v>1176</v>
      </c>
      <c r="M432" t="s">
        <v>446</v>
      </c>
      <c r="N432" t="s">
        <v>1171</v>
      </c>
      <c r="O432" t="s">
        <v>1171</v>
      </c>
      <c r="P432" t="s">
        <v>1171</v>
      </c>
      <c r="Q432" t="s">
        <v>1171</v>
      </c>
      <c r="R432" t="str">
        <f>_xlfn.TEXTBEFORE(_xlfn.TEXTAFTER(us_core_reqs[[#This Row],[URL*]],"/",-1),".")</f>
        <v>StructureDefinition-us-core-observation-lab</v>
      </c>
      <c r="S432" t="str">
        <f>_xlfn.TEXTAFTER(us_core_reqs[[#This Row],[URL*]],"#",-1)</f>
        <v>mandatory-and-must-support-data-elements</v>
      </c>
      <c r="T432" t="str">
        <f>SUBSTITUTE(SUBSTITUTE(PROPER(SUBSTITUTE(us_core_reqs[[#This Row],[Page]], "-", " "))&amp;": "&amp;PROPER(SUBSTITUTE(us_core_reqs[[#This Row],[Section]], "-", " ")),"Us ","US "), "Uscdi", "USCDI")</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51" x14ac:dyDescent="0.2">
      <c r="A433" t="s">
        <v>1171</v>
      </c>
      <c r="B433" t="s">
        <v>1605</v>
      </c>
      <c r="C433" t="str">
        <f>"CONF-"&amp;TEXT(us_core_reqs[[#This Row],[ID*]], "0000")</f>
        <v>CONF-0432</v>
      </c>
      <c r="D433" s="11" t="s">
        <v>447</v>
      </c>
      <c r="E433" t="str">
        <f>SUBSTITUTE(us_core_reqs[[#This Row],[URL*]], "https://hl7.org/fhir/us/core/STU8/","")</f>
        <v>https://hl7.org/fhir/us/core/StructureDefinition-us-core-observation-occupation.html#mandatory-and-must-support-data-elements</v>
      </c>
      <c r="F433" s="11" t="s">
        <v>1059</v>
      </c>
      <c r="G433" t="s">
        <v>29</v>
      </c>
      <c r="I433" t="s">
        <v>30</v>
      </c>
      <c r="J433" t="s">
        <v>1171</v>
      </c>
      <c r="K433" t="s">
        <v>1171</v>
      </c>
      <c r="L433" t="s">
        <v>1176</v>
      </c>
      <c r="M433" t="s">
        <v>448</v>
      </c>
      <c r="N433" t="s">
        <v>1171</v>
      </c>
      <c r="O433" t="s">
        <v>1171</v>
      </c>
      <c r="P433" t="s">
        <v>1171</v>
      </c>
      <c r="Q433" t="s">
        <v>1171</v>
      </c>
      <c r="R433" t="str">
        <f>_xlfn.TEXTBEFORE(_xlfn.TEXTAFTER(us_core_reqs[[#This Row],[URL*]],"/",-1),".")</f>
        <v>StructureDefinition-us-core-observation-occupation</v>
      </c>
      <c r="S433" t="str">
        <f>_xlfn.TEXTAFTER(us_core_reqs[[#This Row],[URL*]],"#",-1)</f>
        <v>mandatory-and-must-support-data-elements</v>
      </c>
      <c r="T433" t="str">
        <f>SUBSTITUTE(SUBSTITUTE(PROPER(SUBSTITUTE(us_core_reqs[[#This Row],[Page]], "-", " "))&amp;": "&amp;PROPER(SUBSTITUTE(us_core_reqs[[#This Row],[Section]], "-", " ")),"Us ","US "), "Uscdi", "USCDI")</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68" x14ac:dyDescent="0.2">
      <c r="A434" t="s">
        <v>1171</v>
      </c>
      <c r="B434" t="s">
        <v>1606</v>
      </c>
      <c r="C434" t="str">
        <f>"CONF-"&amp;TEXT(us_core_reqs[[#This Row],[ID*]], "0000")</f>
        <v>CONF-0433</v>
      </c>
      <c r="D434" s="11" t="s">
        <v>447</v>
      </c>
      <c r="E434" t="str">
        <f>SUBSTITUTE(us_core_reqs[[#This Row],[URL*]], "https://hl7.org/fhir/us/core/STU8/","")</f>
        <v>https://hl7.org/fhir/us/core/StructureDefinition-us-core-observation-occupation.html#mandatory-and-must-support-data-elements</v>
      </c>
      <c r="F434" s="11" t="s">
        <v>1060</v>
      </c>
      <c r="G434" t="s">
        <v>29</v>
      </c>
      <c r="I434" t="s">
        <v>30</v>
      </c>
      <c r="J434" t="s">
        <v>1171</v>
      </c>
      <c r="K434" t="s">
        <v>1171</v>
      </c>
      <c r="L434" t="s">
        <v>1173</v>
      </c>
      <c r="M434" t="s">
        <v>1171</v>
      </c>
      <c r="N434" t="s">
        <v>1171</v>
      </c>
      <c r="O434" t="s">
        <v>1171</v>
      </c>
      <c r="P434" t="s">
        <v>1171</v>
      </c>
      <c r="Q434" t="s">
        <v>1171</v>
      </c>
      <c r="R434" t="str">
        <f>_xlfn.TEXTBEFORE(_xlfn.TEXTAFTER(us_core_reqs[[#This Row],[URL*]],"/",-1),".")</f>
        <v>StructureDefinition-us-core-observation-occupation</v>
      </c>
      <c r="S434" t="str">
        <f>_xlfn.TEXTAFTER(us_core_reqs[[#This Row],[URL*]],"#",-1)</f>
        <v>mandatory-and-must-support-data-elements</v>
      </c>
      <c r="T434" t="str">
        <f>SUBSTITUTE(SUBSTITUTE(PROPER(SUBSTITUTE(us_core_reqs[[#This Row],[Page]], "-", " "))&amp;": "&amp;PROPER(SUBSTITUTE(us_core_reqs[[#This Row],[Section]], "-", " ")),"Us ","US "), "Uscdi", "USCDI")</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51" x14ac:dyDescent="0.2">
      <c r="A435" t="s">
        <v>1171</v>
      </c>
      <c r="B435" t="s">
        <v>1607</v>
      </c>
      <c r="C435" t="str">
        <f>"CONF-"&amp;TEXT(us_core_reqs[[#This Row],[ID*]], "0000")</f>
        <v>CONF-0434</v>
      </c>
      <c r="D435" s="11" t="s">
        <v>447</v>
      </c>
      <c r="E435" t="str">
        <f>SUBSTITUTE(us_core_reqs[[#This Row],[URL*]], "https://hl7.org/fhir/us/core/STU8/","")</f>
        <v>https://hl7.org/fhir/us/core/StructureDefinition-us-core-observation-occupation.html#mandatory-and-must-support-data-elements</v>
      </c>
      <c r="F435" s="11" t="s">
        <v>1061</v>
      </c>
      <c r="G435" t="s">
        <v>29</v>
      </c>
      <c r="I435" t="s">
        <v>30</v>
      </c>
      <c r="J435" t="s">
        <v>1171</v>
      </c>
      <c r="K435" t="s">
        <v>1171</v>
      </c>
      <c r="L435" t="s">
        <v>1173</v>
      </c>
      <c r="M435" t="s">
        <v>1171</v>
      </c>
      <c r="N435" t="s">
        <v>1171</v>
      </c>
      <c r="O435" t="s">
        <v>1171</v>
      </c>
      <c r="P435" t="s">
        <v>1171</v>
      </c>
      <c r="Q435" t="s">
        <v>1171</v>
      </c>
      <c r="R435" t="str">
        <f>_xlfn.TEXTBEFORE(_xlfn.TEXTAFTER(us_core_reqs[[#This Row],[URL*]],"/",-1),".")</f>
        <v>StructureDefinition-us-core-observation-occupation</v>
      </c>
      <c r="S435" t="str">
        <f>_xlfn.TEXTAFTER(us_core_reqs[[#This Row],[URL*]],"#",-1)</f>
        <v>mandatory-and-must-support-data-elements</v>
      </c>
      <c r="T435" t="str">
        <f>SUBSTITUTE(SUBSTITUTE(PROPER(SUBSTITUTE(us_core_reqs[[#This Row],[Page]], "-", " "))&amp;": "&amp;PROPER(SUBSTITUTE(us_core_reqs[[#This Row],[Section]], "-", " ")),"Us ","US "), "Uscdi", "USCDI")</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68" x14ac:dyDescent="0.2">
      <c r="A436" t="s">
        <v>1171</v>
      </c>
      <c r="B436" t="s">
        <v>1608</v>
      </c>
      <c r="C436" t="str">
        <f>"CONF-"&amp;TEXT(us_core_reqs[[#This Row],[ID*]], "0000")</f>
        <v>CONF-0435</v>
      </c>
      <c r="D436" s="11" t="s">
        <v>449</v>
      </c>
      <c r="E436" t="str">
        <f>SUBSTITUTE(us_core_reqs[[#This Row],[URL*]], "https://hl7.org/fhir/us/core/STU8/","")</f>
        <v>https://hl7.org/fhir/us/core/StructureDefinition-us-core-observation-pregnancyintent.html#mandatory-and-must-support-data-elements</v>
      </c>
      <c r="F436" s="11" t="s">
        <v>1062</v>
      </c>
      <c r="G436" t="s">
        <v>29</v>
      </c>
      <c r="I436" t="s">
        <v>30</v>
      </c>
      <c r="J436" t="s">
        <v>1171</v>
      </c>
      <c r="K436" t="s">
        <v>1171</v>
      </c>
      <c r="L436" t="s">
        <v>1173</v>
      </c>
      <c r="M436" t="s">
        <v>1171</v>
      </c>
      <c r="N436" t="s">
        <v>1171</v>
      </c>
      <c r="O436" t="s">
        <v>1171</v>
      </c>
      <c r="P436" t="s">
        <v>1171</v>
      </c>
      <c r="Q436" t="s">
        <v>1171</v>
      </c>
      <c r="R436" t="str">
        <f>_xlfn.TEXTBEFORE(_xlfn.TEXTAFTER(us_core_reqs[[#This Row],[URL*]],"/",-1),".")</f>
        <v>StructureDefinition-us-core-observation-pregnancyintent</v>
      </c>
      <c r="S436" t="str">
        <f>_xlfn.TEXTAFTER(us_core_reqs[[#This Row],[URL*]],"#",-1)</f>
        <v>mandatory-and-must-support-data-elements</v>
      </c>
      <c r="T436" t="str">
        <f>SUBSTITUTE(SUBSTITUTE(PROPER(SUBSTITUTE(us_core_reqs[[#This Row],[Page]], "-", " "))&amp;": "&amp;PROPER(SUBSTITUTE(us_core_reqs[[#This Row],[Section]], "-", " ")),"Us ","US "), "Uscdi", "USCDI")</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68" x14ac:dyDescent="0.2">
      <c r="A437" t="s">
        <v>1171</v>
      </c>
      <c r="B437" t="s">
        <v>1609</v>
      </c>
      <c r="C437" t="str">
        <f>"CONF-"&amp;TEXT(us_core_reqs[[#This Row],[ID*]], "0000")</f>
        <v>CONF-0436</v>
      </c>
      <c r="D437" s="11" t="s">
        <v>450</v>
      </c>
      <c r="E437" t="str">
        <f>SUBSTITUTE(us_core_reqs[[#This Row],[URL*]], "https://hl7.org/fhir/us/core/STU8/","")</f>
        <v>https://hl7.org/fhir/us/core/StructureDefinition-us-core-observation-pregnancystatus.html#mandatory-and-must-support-data-elements</v>
      </c>
      <c r="F437" s="11" t="s">
        <v>1063</v>
      </c>
      <c r="G437" t="s">
        <v>29</v>
      </c>
      <c r="I437" t="s">
        <v>30</v>
      </c>
      <c r="J437" t="s">
        <v>1171</v>
      </c>
      <c r="K437" t="s">
        <v>1171</v>
      </c>
      <c r="L437" t="s">
        <v>1173</v>
      </c>
      <c r="M437" t="s">
        <v>1171</v>
      </c>
      <c r="N437" t="s">
        <v>1171</v>
      </c>
      <c r="O437" t="s">
        <v>1171</v>
      </c>
      <c r="P437" t="s">
        <v>1171</v>
      </c>
      <c r="Q437" t="s">
        <v>1171</v>
      </c>
      <c r="R437" t="str">
        <f>_xlfn.TEXTBEFORE(_xlfn.TEXTAFTER(us_core_reqs[[#This Row],[URL*]],"/",-1),".")</f>
        <v>StructureDefinition-us-core-observation-pregnancystatus</v>
      </c>
      <c r="S437" t="str">
        <f>_xlfn.TEXTAFTER(us_core_reqs[[#This Row],[URL*]],"#",-1)</f>
        <v>mandatory-and-must-support-data-elements</v>
      </c>
      <c r="T437" t="str">
        <f>SUBSTITUTE(SUBSTITUTE(PROPER(SUBSTITUTE(us_core_reqs[[#This Row],[Page]], "-", " "))&amp;": "&amp;PROPER(SUBSTITUTE(us_core_reqs[[#This Row],[Section]], "-", " ")),"Us ","US "), "Uscdi", "USCDI")</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51" x14ac:dyDescent="0.2">
      <c r="A438" t="s">
        <v>1171</v>
      </c>
      <c r="B438" t="s">
        <v>1610</v>
      </c>
      <c r="C438" t="str">
        <f>"CONF-"&amp;TEXT(us_core_reqs[[#This Row],[ID*]], "0000")</f>
        <v>CONF-0437</v>
      </c>
      <c r="D438" s="11" t="s">
        <v>451</v>
      </c>
      <c r="E438" t="str">
        <f>SUBSTITUTE(us_core_reqs[[#This Row],[URL*]], "https://hl7.org/fhir/us/core/STU8/","")</f>
        <v>https://hl7.org/fhir/us/core/StructureDefinition-us-core-observation-screening-assessment.html#mandatory-and-must-support-data-elements</v>
      </c>
      <c r="F438" s="11" t="s">
        <v>2004</v>
      </c>
      <c r="G438" t="s">
        <v>32</v>
      </c>
      <c r="I438" t="s">
        <v>30</v>
      </c>
      <c r="J438" t="s">
        <v>1171</v>
      </c>
      <c r="K438" t="s">
        <v>1171</v>
      </c>
      <c r="L438" t="s">
        <v>1176</v>
      </c>
      <c r="M438" t="s">
        <v>453</v>
      </c>
      <c r="N438" t="s">
        <v>1171</v>
      </c>
      <c r="O438" t="s">
        <v>1171</v>
      </c>
      <c r="P438" t="s">
        <v>1171</v>
      </c>
      <c r="Q438" t="s">
        <v>1171</v>
      </c>
      <c r="R438" t="str">
        <f>_xlfn.TEXTBEFORE(_xlfn.TEXTAFTER(us_core_reqs[[#This Row],[URL*]],"/",-1),".")</f>
        <v>StructureDefinition-us-core-observation-screening-assessment</v>
      </c>
      <c r="S438" t="str">
        <f>_xlfn.TEXTAFTER(us_core_reqs[[#This Row],[URL*]],"#",-1)</f>
        <v>mandatory-and-must-support-data-elements</v>
      </c>
      <c r="T438" t="str">
        <f>SUBSTITUTE(SUBSTITUTE(PROPER(SUBSTITUTE(us_core_reqs[[#This Row],[Page]], "-", " "))&amp;": "&amp;PROPER(SUBSTITUTE(us_core_reqs[[#This Row],[Section]], "-", " ")),"Us ","US "), "Uscdi", "USCDI")</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102" x14ac:dyDescent="0.2">
      <c r="A439" t="s">
        <v>1171</v>
      </c>
      <c r="B439" t="s">
        <v>1611</v>
      </c>
      <c r="C439" t="str">
        <f>"CONF-"&amp;TEXT(us_core_reqs[[#This Row],[ID*]], "0000")</f>
        <v>CONF-0438</v>
      </c>
      <c r="D439" s="11" t="s">
        <v>451</v>
      </c>
      <c r="E439" t="str">
        <f>SUBSTITUTE(us_core_reqs[[#This Row],[URL*]], "https://hl7.org/fhir/us/core/STU8/","")</f>
        <v>https://hl7.org/fhir/us/core/StructureDefinition-us-core-observation-screening-assessment.html#mandatory-and-must-support-data-elements</v>
      </c>
      <c r="F439" s="11" t="s">
        <v>454</v>
      </c>
      <c r="G439" t="s">
        <v>32</v>
      </c>
      <c r="I439" t="s">
        <v>30</v>
      </c>
      <c r="J439" t="s">
        <v>1171</v>
      </c>
      <c r="K439" t="s">
        <v>1171</v>
      </c>
      <c r="L439" t="s">
        <v>1176</v>
      </c>
      <c r="M439" t="s">
        <v>455</v>
      </c>
      <c r="N439" t="s">
        <v>1171</v>
      </c>
      <c r="O439" t="s">
        <v>1171</v>
      </c>
      <c r="P439" t="s">
        <v>1171</v>
      </c>
      <c r="Q439" t="s">
        <v>1171</v>
      </c>
      <c r="R439" t="str">
        <f>_xlfn.TEXTBEFORE(_xlfn.TEXTAFTER(us_core_reqs[[#This Row],[URL*]],"/",-1),".")</f>
        <v>StructureDefinition-us-core-observation-screening-assessment</v>
      </c>
      <c r="S439" t="str">
        <f>_xlfn.TEXTAFTER(us_core_reqs[[#This Row],[URL*]],"#",-1)</f>
        <v>mandatory-and-must-support-data-elements</v>
      </c>
      <c r="T439" t="str">
        <f>SUBSTITUTE(SUBSTITUTE(PROPER(SUBSTITUTE(us_core_reqs[[#This Row],[Page]], "-", " "))&amp;": "&amp;PROPER(SUBSTITUTE(us_core_reqs[[#This Row],[Section]], "-", " ")),"Us ","US "), "Uscdi", "USCDI")</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1612</v>
      </c>
      <c r="C440" t="str">
        <f>"CONF-"&amp;TEXT(us_core_reqs[[#This Row],[ID*]], "0000")</f>
        <v>CONF-0439</v>
      </c>
      <c r="D440" s="11" t="s">
        <v>451</v>
      </c>
      <c r="E440" t="str">
        <f>SUBSTITUTE(us_core_reqs[[#This Row],[URL*]], "https://hl7.org/fhir/us/core/STU8/","")</f>
        <v>https://hl7.org/fhir/us/core/StructureDefinition-us-core-observation-screening-assessment.html#mandatory-and-must-support-data-elements</v>
      </c>
      <c r="F440" s="11" t="s">
        <v>2177</v>
      </c>
      <c r="G440" t="s">
        <v>29</v>
      </c>
      <c r="I440" t="s">
        <v>30</v>
      </c>
      <c r="J440" t="s">
        <v>1171</v>
      </c>
      <c r="K440" t="s">
        <v>1171</v>
      </c>
      <c r="L440" t="s">
        <v>1176</v>
      </c>
      <c r="M440" t="s">
        <v>1065</v>
      </c>
      <c r="N440" t="s">
        <v>1171</v>
      </c>
      <c r="O440" t="s">
        <v>1171</v>
      </c>
      <c r="P440" t="s">
        <v>1171</v>
      </c>
      <c r="Q440" t="s">
        <v>1171</v>
      </c>
      <c r="R440" t="str">
        <f>_xlfn.TEXTBEFORE(_xlfn.TEXTAFTER(us_core_reqs[[#This Row],[URL*]],"/",-1),".")</f>
        <v>StructureDefinition-us-core-observation-screening-assessment</v>
      </c>
      <c r="S440" t="str">
        <f>_xlfn.TEXTAFTER(us_core_reqs[[#This Row],[URL*]],"#",-1)</f>
        <v>mandatory-and-must-support-data-elements</v>
      </c>
      <c r="T440" t="str">
        <f>SUBSTITUTE(SUBSTITUTE(PROPER(SUBSTITUTE(us_core_reqs[[#This Row],[Page]], "-", " "))&amp;": "&amp;PROPER(SUBSTITUTE(us_core_reqs[[#This Row],[Section]], "-", " ")),"Us ","US "), "Uscdi", "USCDI")</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51" x14ac:dyDescent="0.2">
      <c r="A441" t="s">
        <v>1171</v>
      </c>
      <c r="B441" t="s">
        <v>1613</v>
      </c>
      <c r="C441" t="str">
        <f>"CONF-"&amp;TEXT(us_core_reqs[[#This Row],[ID*]], "0000")</f>
        <v>CONF-0440</v>
      </c>
      <c r="D441" s="11" t="s">
        <v>456</v>
      </c>
      <c r="E441" t="str">
        <f>SUBSTITUTE(us_core_reqs[[#This Row],[URL*]], "https://hl7.org/fhir/us/core/STU8/","")</f>
        <v>https://hl7.org/fhir/us/core/StructureDefinition-us-core-observation-sexual-orientation.html#mandatory-and-must-support-data-elements</v>
      </c>
      <c r="F441" s="11" t="s">
        <v>457</v>
      </c>
      <c r="G441" t="s">
        <v>35</v>
      </c>
      <c r="I441" t="s">
        <v>30</v>
      </c>
      <c r="J441" t="s">
        <v>1171</v>
      </c>
      <c r="K441" t="s">
        <v>1171</v>
      </c>
      <c r="L441" t="s">
        <v>1176</v>
      </c>
      <c r="M441" t="s">
        <v>458</v>
      </c>
      <c r="N441" t="s">
        <v>1171</v>
      </c>
      <c r="O441" t="s">
        <v>1171</v>
      </c>
      <c r="P441" t="s">
        <v>1171</v>
      </c>
      <c r="Q441" t="s">
        <v>1171</v>
      </c>
      <c r="R441" t="str">
        <f>_xlfn.TEXTBEFORE(_xlfn.TEXTAFTER(us_core_reqs[[#This Row],[URL*]],"/",-1),".")</f>
        <v>StructureDefinition-us-core-observation-sexual-orientation</v>
      </c>
      <c r="S441" t="str">
        <f>_xlfn.TEXTAFTER(us_core_reqs[[#This Row],[URL*]],"#",-1)</f>
        <v>mandatory-and-must-support-data-elements</v>
      </c>
      <c r="T441" t="str">
        <f>SUBSTITUTE(SUBSTITUTE(PROPER(SUBSTITUTE(us_core_reqs[[#This Row],[Page]], "-", " "))&amp;": "&amp;PROPER(SUBSTITUTE(us_core_reqs[[#This Row],[Section]], "-", " ")),"Us ","US "), "Uscdi", "USCDI")</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68" x14ac:dyDescent="0.2">
      <c r="A442" t="s">
        <v>1171</v>
      </c>
      <c r="B442" t="s">
        <v>1614</v>
      </c>
      <c r="C442" t="str">
        <f>"CONF-"&amp;TEXT(us_core_reqs[[#This Row],[ID*]], "0000")</f>
        <v>CONF-0441</v>
      </c>
      <c r="D442" s="11" t="s">
        <v>879</v>
      </c>
      <c r="E442" t="str">
        <f>SUBSTITUTE(us_core_reqs[[#This Row],[URL*]], "https://hl7.org/fhir/us/core/STU8/","")</f>
        <v>StructureDefinition-us-core-simple-observation.html#mandatory-and-must-support-data-elements</v>
      </c>
      <c r="F442" s="11" t="s">
        <v>2005</v>
      </c>
      <c r="G442" t="s">
        <v>32</v>
      </c>
      <c r="I442" t="s">
        <v>30</v>
      </c>
      <c r="J442" t="s">
        <v>1171</v>
      </c>
      <c r="K442" t="s">
        <v>1171</v>
      </c>
      <c r="L442" t="s">
        <v>1173</v>
      </c>
      <c r="M442" t="s">
        <v>1171</v>
      </c>
      <c r="N442" t="s">
        <v>1171</v>
      </c>
      <c r="O442" t="s">
        <v>1171</v>
      </c>
      <c r="P442" t="s">
        <v>1171</v>
      </c>
      <c r="Q442" t="s">
        <v>1171</v>
      </c>
      <c r="R442" t="str">
        <f>_xlfn.TEXTBEFORE(_xlfn.TEXTAFTER(us_core_reqs[[#This Row],[URL*]],"/",-1),".")</f>
        <v>StructureDefinition-us-core-simple-observation</v>
      </c>
      <c r="S442" t="str">
        <f>_xlfn.TEXTAFTER(us_core_reqs[[#This Row],[URL*]],"#",-1)</f>
        <v>mandatory-and-must-support-data-elements</v>
      </c>
      <c r="T442" t="str">
        <f>SUBSTITUTE(SUBSTITUTE(PROPER(SUBSTITUTE(us_core_reqs[[#This Row],[Page]], "-", " "))&amp;": "&amp;PROPER(SUBSTITUTE(us_core_reqs[[#This Row],[Section]], "-", " ")),"Us ","US "), "Uscdi", "USCDI")</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51" x14ac:dyDescent="0.2">
      <c r="A443" t="s">
        <v>1171</v>
      </c>
      <c r="B443" t="s">
        <v>1615</v>
      </c>
      <c r="C443" t="str">
        <f>"CONF-"&amp;TEXT(us_core_reqs[[#This Row],[ID*]], "0000")</f>
        <v>CONF-0442</v>
      </c>
      <c r="D443" s="11" t="s">
        <v>879</v>
      </c>
      <c r="E443" t="str">
        <f>SUBSTITUTE(us_core_reqs[[#This Row],[URL*]], "https://hl7.org/fhir/us/core/STU8/","")</f>
        <v>StructureDefinition-us-core-simple-observation.html#mandatory-and-must-support-data-elements</v>
      </c>
      <c r="F443" s="11" t="s">
        <v>2006</v>
      </c>
      <c r="G443" t="s">
        <v>32</v>
      </c>
      <c r="I443" t="s">
        <v>30</v>
      </c>
      <c r="J443" t="s">
        <v>1171</v>
      </c>
      <c r="K443" t="s">
        <v>1171</v>
      </c>
      <c r="L443" t="s">
        <v>1173</v>
      </c>
      <c r="M443" t="s">
        <v>1171</v>
      </c>
      <c r="N443" t="s">
        <v>1171</v>
      </c>
      <c r="O443" t="s">
        <v>1171</v>
      </c>
      <c r="P443" t="s">
        <v>1171</v>
      </c>
      <c r="Q443" t="s">
        <v>1171</v>
      </c>
      <c r="R443" t="str">
        <f>_xlfn.TEXTBEFORE(_xlfn.TEXTAFTER(us_core_reqs[[#This Row],[URL*]],"/",-1),".")</f>
        <v>StructureDefinition-us-core-simple-observation</v>
      </c>
      <c r="S443" t="str">
        <f>_xlfn.TEXTAFTER(us_core_reqs[[#This Row],[URL*]],"#",-1)</f>
        <v>mandatory-and-must-support-data-elements</v>
      </c>
      <c r="T443" t="str">
        <f>SUBSTITUTE(SUBSTITUTE(PROPER(SUBSTITUTE(us_core_reqs[[#This Row],[Page]], "-", " "))&amp;": "&amp;PROPER(SUBSTITUTE(us_core_reqs[[#This Row],[Section]], "-", " ")),"Us ","US "), "Uscdi", "USCDI")</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51" x14ac:dyDescent="0.2">
      <c r="A444" t="s">
        <v>1171</v>
      </c>
      <c r="B444" t="s">
        <v>1616</v>
      </c>
      <c r="C444" t="str">
        <f>"CONF-"&amp;TEXT(us_core_reqs[[#This Row],[ID*]], "0000")</f>
        <v>CONF-0443</v>
      </c>
      <c r="D444" s="11" t="s">
        <v>879</v>
      </c>
      <c r="E444" t="str">
        <f>SUBSTITUTE(us_core_reqs[[#This Row],[URL*]], "https://hl7.org/fhir/us/core/STU8/","")</f>
        <v>StructureDefinition-us-core-simple-observation.html#mandatory-and-must-support-data-elements</v>
      </c>
      <c r="F444" s="11" t="s">
        <v>2007</v>
      </c>
      <c r="G444" t="s">
        <v>32</v>
      </c>
      <c r="I444" t="s">
        <v>30</v>
      </c>
      <c r="J444" t="s">
        <v>1171</v>
      </c>
      <c r="K444" t="s">
        <v>1171</v>
      </c>
      <c r="L444" t="s">
        <v>1173</v>
      </c>
      <c r="M444" t="s">
        <v>1171</v>
      </c>
      <c r="N444" t="s">
        <v>1171</v>
      </c>
      <c r="O444" t="s">
        <v>1171</v>
      </c>
      <c r="P444" t="s">
        <v>1171</v>
      </c>
      <c r="Q444" t="s">
        <v>1171</v>
      </c>
      <c r="R444" t="str">
        <f>_xlfn.TEXTBEFORE(_xlfn.TEXTAFTER(us_core_reqs[[#This Row],[URL*]],"/",-1),".")</f>
        <v>StructureDefinition-us-core-simple-observation</v>
      </c>
      <c r="S444" t="str">
        <f>_xlfn.TEXTAFTER(us_core_reqs[[#This Row],[URL*]],"#",-1)</f>
        <v>mandatory-and-must-support-data-elements</v>
      </c>
      <c r="T444" t="str">
        <f>SUBSTITUTE(SUBSTITUTE(PROPER(SUBSTITUTE(us_core_reqs[[#This Row],[Page]], "-", " "))&amp;": "&amp;PROPER(SUBSTITUTE(us_core_reqs[[#This Row],[Section]], "-", " ")),"Us ","US "), "Uscdi", "USCDI")</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68" x14ac:dyDescent="0.2">
      <c r="A445" t="s">
        <v>1171</v>
      </c>
      <c r="B445" t="s">
        <v>1617</v>
      </c>
      <c r="C445" t="str">
        <f>"CONF-"&amp;TEXT(us_core_reqs[[#This Row],[ID*]], "0000")</f>
        <v>CONF-0444</v>
      </c>
      <c r="D445" s="11" t="s">
        <v>879</v>
      </c>
      <c r="E445" t="str">
        <f>SUBSTITUTE(us_core_reqs[[#This Row],[URL*]], "https://hl7.org/fhir/us/core/STU8/","")</f>
        <v>StructureDefinition-us-core-simple-observation.html#mandatory-and-must-support-data-elements</v>
      </c>
      <c r="F445" s="11" t="s">
        <v>2178</v>
      </c>
      <c r="G445" t="s">
        <v>29</v>
      </c>
      <c r="I445" t="s">
        <v>30</v>
      </c>
      <c r="J445" t="s">
        <v>1171</v>
      </c>
      <c r="K445" t="s">
        <v>1171</v>
      </c>
      <c r="L445" t="s">
        <v>1176</v>
      </c>
      <c r="M445" t="s">
        <v>461</v>
      </c>
      <c r="N445" t="s">
        <v>1171</v>
      </c>
      <c r="O445" t="s">
        <v>1171</v>
      </c>
      <c r="P445" t="s">
        <v>1171</v>
      </c>
      <c r="Q445" t="s">
        <v>1171</v>
      </c>
      <c r="R445" t="str">
        <f>_xlfn.TEXTBEFORE(_xlfn.TEXTAFTER(us_core_reqs[[#This Row],[URL*]],"/",-1),".")</f>
        <v>StructureDefinition-us-core-simple-observation</v>
      </c>
      <c r="S445" t="str">
        <f>_xlfn.TEXTAFTER(us_core_reqs[[#This Row],[URL*]],"#",-1)</f>
        <v>mandatory-and-must-support-data-elements</v>
      </c>
      <c r="T445" t="str">
        <f>SUBSTITUTE(SUBSTITUTE(PROPER(SUBSTITUTE(us_core_reqs[[#This Row],[Page]], "-", " "))&amp;": "&amp;PROPER(SUBSTITUTE(us_core_reqs[[#This Row],[Section]], "-", " ")),"Us ","US "), "Uscdi", "USCDI")</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1618</v>
      </c>
      <c r="C446" t="str">
        <f>"CONF-"&amp;TEXT(us_core_reqs[[#This Row],[ID*]], "0000")</f>
        <v>CONF-0445</v>
      </c>
      <c r="D446" s="11" t="s">
        <v>881</v>
      </c>
      <c r="E446" t="str">
        <f>SUBSTITUTE(us_core_reqs[[#This Row],[URL*]], "https://hl7.org/fhir/us/core/STU8/","")</f>
        <v>StructureDefinition-us-core-treatment-intervention-preference.html#mandatory-and-must-support-data-elements</v>
      </c>
      <c r="F446" s="11" t="s">
        <v>462</v>
      </c>
      <c r="G446" t="s">
        <v>35</v>
      </c>
      <c r="I446" t="s">
        <v>30</v>
      </c>
      <c r="J446" t="s">
        <v>1171</v>
      </c>
      <c r="K446" t="s">
        <v>1171</v>
      </c>
      <c r="L446" t="s">
        <v>1176</v>
      </c>
      <c r="M446" t="s">
        <v>463</v>
      </c>
      <c r="N446" t="s">
        <v>1171</v>
      </c>
      <c r="O446" t="s">
        <v>1171</v>
      </c>
      <c r="P446" t="s">
        <v>1171</v>
      </c>
      <c r="Q446" t="s">
        <v>1171</v>
      </c>
      <c r="R446" t="str">
        <f>_xlfn.TEXTBEFORE(_xlfn.TEXTAFTER(us_core_reqs[[#This Row],[URL*]],"/",-1),".")</f>
        <v>StructureDefinition-us-core-treatment-intervention-preference</v>
      </c>
      <c r="S446" t="str">
        <f>_xlfn.TEXTAFTER(us_core_reqs[[#This Row],[URL*]],"#",-1)</f>
        <v>mandatory-and-must-support-data-elements</v>
      </c>
      <c r="T446" t="str">
        <f>SUBSTITUTE(SUBSTITUTE(PROPER(SUBSTITUTE(us_core_reqs[[#This Row],[Page]], "-", " "))&amp;": "&amp;PROPER(SUBSTITUTE(us_core_reqs[[#This Row],[Section]], "-", " ")),"Us ","US "), "Uscdi", "USCDI")</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51" x14ac:dyDescent="0.2">
      <c r="A447" t="s">
        <v>1171</v>
      </c>
      <c r="B447" t="s">
        <v>1619</v>
      </c>
      <c r="C447" t="str">
        <f>"CONF-"&amp;TEXT(us_core_reqs[[#This Row],[ID*]], "0000")</f>
        <v>CONF-0446</v>
      </c>
      <c r="D447" s="11" t="s">
        <v>881</v>
      </c>
      <c r="E447" t="str">
        <f>SUBSTITUTE(us_core_reqs[[#This Row],[URL*]], "https://hl7.org/fhir/us/core/STU8/","")</f>
        <v>StructureDefinition-us-core-treatment-intervention-preference.html#mandatory-and-must-support-data-elements</v>
      </c>
      <c r="F447" s="11" t="s">
        <v>2008</v>
      </c>
      <c r="G447" t="s">
        <v>32</v>
      </c>
      <c r="I447" t="s">
        <v>30</v>
      </c>
      <c r="J447" t="s">
        <v>1171</v>
      </c>
      <c r="K447" t="s">
        <v>1171</v>
      </c>
      <c r="L447" t="s">
        <v>1176</v>
      </c>
      <c r="M447" t="s">
        <v>465</v>
      </c>
      <c r="N447" t="s">
        <v>1171</v>
      </c>
      <c r="O447" t="s">
        <v>1171</v>
      </c>
      <c r="P447" t="s">
        <v>1171</v>
      </c>
      <c r="Q447" t="s">
        <v>1171</v>
      </c>
      <c r="R447" t="str">
        <f>_xlfn.TEXTBEFORE(_xlfn.TEXTAFTER(us_core_reqs[[#This Row],[URL*]],"/",-1),".")</f>
        <v>StructureDefinition-us-core-treatment-intervention-preference</v>
      </c>
      <c r="S447" t="str">
        <f>_xlfn.TEXTAFTER(us_core_reqs[[#This Row],[URL*]],"#",-1)</f>
        <v>mandatory-and-must-support-data-elements</v>
      </c>
      <c r="T447" t="str">
        <f>SUBSTITUTE(SUBSTITUTE(PROPER(SUBSTITUTE(us_core_reqs[[#This Row],[Page]], "-", " "))&amp;": "&amp;PROPER(SUBSTITUTE(us_core_reqs[[#This Row],[Section]], "-", " ")),"Us ","US "), "Uscdi", "USCDI")</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85" x14ac:dyDescent="0.2">
      <c r="A448" t="s">
        <v>1171</v>
      </c>
      <c r="B448" t="s">
        <v>1620</v>
      </c>
      <c r="C448" t="str">
        <f>"CONF-"&amp;TEXT(us_core_reqs[[#This Row],[ID*]], "0000")</f>
        <v>CONF-0447</v>
      </c>
      <c r="D448" s="11" t="s">
        <v>882</v>
      </c>
      <c r="E448" t="str">
        <f>SUBSTITUTE(us_core_reqs[[#This Row],[URL*]], "https://hl7.org/fhir/us/core/STU8/","")</f>
        <v>StructureDefinition-us-core-vital-signs.html#mandatory-and-must-support-data-elements</v>
      </c>
      <c r="F448" s="11" t="s">
        <v>2066</v>
      </c>
      <c r="G448" t="s">
        <v>35</v>
      </c>
      <c r="I448" t="s">
        <v>30</v>
      </c>
      <c r="J448" t="s">
        <v>1171</v>
      </c>
      <c r="K448" t="s">
        <v>1171</v>
      </c>
      <c r="L448" t="s">
        <v>1173</v>
      </c>
      <c r="M448" t="s">
        <v>1171</v>
      </c>
      <c r="N448" t="s">
        <v>1171</v>
      </c>
      <c r="O448" t="s">
        <v>1171</v>
      </c>
      <c r="P448" t="s">
        <v>1171</v>
      </c>
      <c r="Q448" t="s">
        <v>1171</v>
      </c>
      <c r="R448" t="str">
        <f>_xlfn.TEXTBEFORE(_xlfn.TEXTAFTER(us_core_reqs[[#This Row],[URL*]],"/",-1),".")</f>
        <v>StructureDefinition-us-core-vital-signs</v>
      </c>
      <c r="S448" t="str">
        <f>_xlfn.TEXTAFTER(us_core_reqs[[#This Row],[URL*]],"#",-1)</f>
        <v>mandatory-and-must-support-data-elements</v>
      </c>
      <c r="T448" t="str">
        <f>SUBSTITUTE(SUBSTITUTE(PROPER(SUBSTITUTE(us_core_reqs[[#This Row],[Page]], "-", " "))&amp;": "&amp;PROPER(SUBSTITUTE(us_core_reqs[[#This Row],[Section]], "-", " ")),"Us ","US "), "Uscdi", "USCDI")</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119" x14ac:dyDescent="0.2">
      <c r="A449" t="s">
        <v>1171</v>
      </c>
      <c r="B449" t="s">
        <v>1621</v>
      </c>
      <c r="C449" t="str">
        <f>"CONF-"&amp;TEXT(us_core_reqs[[#This Row],[ID*]], "0000")</f>
        <v>CONF-0448</v>
      </c>
      <c r="D449" s="11" t="s">
        <v>883</v>
      </c>
      <c r="E449" t="str">
        <f>SUBSTITUTE(us_core_reqs[[#This Row],[URL*]], "https://hl7.org/fhir/us/core/STU8/","")</f>
        <v>StructureDefinition-pediatric-bmi-for-age.html#mandatory-and-must-support-data-elements, StructureDefinition-pediatric-weight-for-height.html#mandatory-and-must-support-data-elements, StructureDefinition-head-occipital-frontal-circumference-percentile.html#mandatory-and-must-support-data-elements</v>
      </c>
      <c r="F449" s="11" t="s">
        <v>2009</v>
      </c>
      <c r="G449" t="s">
        <v>32</v>
      </c>
      <c r="I449" t="s">
        <v>30</v>
      </c>
      <c r="J449" t="s">
        <v>1171</v>
      </c>
      <c r="K449" t="s">
        <v>1171</v>
      </c>
      <c r="L449" t="s">
        <v>1173</v>
      </c>
      <c r="M449" t="s">
        <v>1171</v>
      </c>
      <c r="N449" t="s">
        <v>1171</v>
      </c>
      <c r="O449" t="s">
        <v>1171</v>
      </c>
      <c r="P449" t="s">
        <v>1171</v>
      </c>
      <c r="Q449" t="s">
        <v>1171</v>
      </c>
      <c r="R449" t="str">
        <f>_xlfn.TEXTBEFORE(_xlfn.TEXTAFTER(us_core_reqs[[#This Row],[URL*]],"/",-1),".")</f>
        <v>StructureDefinition-head-occipital-frontal-circumference-percentile</v>
      </c>
      <c r="S449" t="str">
        <f>_xlfn.TEXTAFTER(us_core_reqs[[#This Row],[URL*]],"#",-1)</f>
        <v>mandatory-and-must-support-data-elements</v>
      </c>
      <c r="T449" t="str">
        <f>SUBSTITUTE(SUBSTITUTE(PROPER(SUBSTITUTE(us_core_reqs[[#This Row],[Page]], "-", " "))&amp;": "&amp;PROPER(SUBSTITUTE(us_core_reqs[[#This Row],[Section]], "-", " ")),"Us ","US "), "Uscdi", "USCDI")</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68" x14ac:dyDescent="0.2">
      <c r="A450" t="s">
        <v>1171</v>
      </c>
      <c r="B450" t="s">
        <v>1622</v>
      </c>
      <c r="C450" t="str">
        <f>"CONF-"&amp;TEXT(us_core_reqs[[#This Row],[ID*]], "0000")</f>
        <v>CONF-0449</v>
      </c>
      <c r="D450" s="11" t="s">
        <v>884</v>
      </c>
      <c r="E450" t="str">
        <f>SUBSTITUTE(us_core_reqs[[#This Row],[URL*]], "https://hl7.org/fhir/us/core/STU8/","")</f>
        <v>StructureDefinition-us-core-blood-pressure.html#mandatory-and-must-support-data-elements</v>
      </c>
      <c r="F450" s="11" t="s">
        <v>2010</v>
      </c>
      <c r="G450" t="s">
        <v>32</v>
      </c>
      <c r="I450" t="s">
        <v>30</v>
      </c>
      <c r="J450" t="s">
        <v>1171</v>
      </c>
      <c r="K450" t="s">
        <v>1171</v>
      </c>
      <c r="L450" t="s">
        <v>1176</v>
      </c>
      <c r="M450" t="s">
        <v>469</v>
      </c>
      <c r="N450" t="s">
        <v>1171</v>
      </c>
      <c r="O450" t="s">
        <v>1171</v>
      </c>
      <c r="P450" t="s">
        <v>1171</v>
      </c>
      <c r="Q450" t="s">
        <v>1171</v>
      </c>
      <c r="R450" t="str">
        <f>_xlfn.TEXTBEFORE(_xlfn.TEXTAFTER(us_core_reqs[[#This Row],[URL*]],"/",-1),".")</f>
        <v>StructureDefinition-us-core-blood-pressure</v>
      </c>
      <c r="S450" t="str">
        <f>_xlfn.TEXTAFTER(us_core_reqs[[#This Row],[URL*]],"#",-1)</f>
        <v>mandatory-and-must-support-data-elements</v>
      </c>
      <c r="T450" t="str">
        <f>SUBSTITUTE(SUBSTITUTE(PROPER(SUBSTITUTE(us_core_reqs[[#This Row],[Page]], "-", " "))&amp;": "&amp;PROPER(SUBSTITUTE(us_core_reqs[[#This Row],[Section]], "-", " ")),"Us ","US "), "Uscdi", "USCDI")</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85" x14ac:dyDescent="0.2">
      <c r="A451" t="s">
        <v>1171</v>
      </c>
      <c r="B451" t="s">
        <v>1623</v>
      </c>
      <c r="C451" t="str">
        <f>"CONF-"&amp;TEXT(us_core_reqs[[#This Row],[ID*]], "0000")</f>
        <v>CONF-0450</v>
      </c>
      <c r="D451" s="11" t="s">
        <v>884</v>
      </c>
      <c r="E451" t="str">
        <f>SUBSTITUTE(us_core_reqs[[#This Row],[URL*]], "https://hl7.org/fhir/us/core/STU8/","")</f>
        <v>StructureDefinition-us-core-blood-pressure.html#mandatory-and-must-support-data-elements</v>
      </c>
      <c r="F451" s="11" t="s">
        <v>2225</v>
      </c>
      <c r="G451" t="s">
        <v>29</v>
      </c>
      <c r="I451" t="s">
        <v>30</v>
      </c>
      <c r="J451" t="s">
        <v>1171</v>
      </c>
      <c r="K451" t="s">
        <v>1171</v>
      </c>
      <c r="L451" t="s">
        <v>1176</v>
      </c>
      <c r="M451" t="s">
        <v>469</v>
      </c>
      <c r="N451" t="s">
        <v>1171</v>
      </c>
      <c r="O451" t="s">
        <v>1171</v>
      </c>
      <c r="P451" t="s">
        <v>1171</v>
      </c>
      <c r="Q451" t="s">
        <v>1171</v>
      </c>
      <c r="R451" t="str">
        <f>_xlfn.TEXTBEFORE(_xlfn.TEXTAFTER(us_core_reqs[[#This Row],[URL*]],"/",-1),".")</f>
        <v>StructureDefinition-us-core-blood-pressure</v>
      </c>
      <c r="S451" t="str">
        <f>_xlfn.TEXTAFTER(us_core_reqs[[#This Row],[URL*]],"#",-1)</f>
        <v>mandatory-and-must-support-data-elements</v>
      </c>
      <c r="T451" t="str">
        <f>SUBSTITUTE(SUBSTITUTE(PROPER(SUBSTITUTE(us_core_reqs[[#This Row],[Page]], "-", " "))&amp;": "&amp;PROPER(SUBSTITUTE(us_core_reqs[[#This Row],[Section]], "-", " ")),"Us ","US "), "Uscdi", "USCDI")</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85" x14ac:dyDescent="0.2">
      <c r="A452" t="s">
        <v>1171</v>
      </c>
      <c r="B452" t="s">
        <v>1624</v>
      </c>
      <c r="C452" t="str">
        <f>"CONF-"&amp;TEXT(us_core_reqs[[#This Row],[ID*]], "0000")</f>
        <v>CONF-0451</v>
      </c>
      <c r="D452" s="11" t="s">
        <v>884</v>
      </c>
      <c r="E452" t="str">
        <f>SUBSTITUTE(us_core_reqs[[#This Row],[URL*]], "https://hl7.org/fhir/us/core/STU8/","")</f>
        <v>StructureDefinition-us-core-blood-pressure.html#mandatory-and-must-support-data-elements</v>
      </c>
      <c r="F452" s="11" t="s">
        <v>2179</v>
      </c>
      <c r="G452" t="s">
        <v>29</v>
      </c>
      <c r="I452" t="s">
        <v>30</v>
      </c>
      <c r="J452" t="s">
        <v>1171</v>
      </c>
      <c r="K452" t="s">
        <v>1171</v>
      </c>
      <c r="L452" t="s">
        <v>1176</v>
      </c>
      <c r="M452" t="s">
        <v>469</v>
      </c>
      <c r="N452" t="s">
        <v>1171</v>
      </c>
      <c r="O452" t="s">
        <v>1171</v>
      </c>
      <c r="P452" t="s">
        <v>1171</v>
      </c>
      <c r="Q452" t="s">
        <v>1171</v>
      </c>
      <c r="R452" t="str">
        <f>_xlfn.TEXTBEFORE(_xlfn.TEXTAFTER(us_core_reqs[[#This Row],[URL*]],"/",-1),".")</f>
        <v>StructureDefinition-us-core-blood-pressure</v>
      </c>
      <c r="S452" t="str">
        <f>_xlfn.TEXTAFTER(us_core_reqs[[#This Row],[URL*]],"#",-1)</f>
        <v>mandatory-and-must-support-data-elements</v>
      </c>
      <c r="T452" t="str">
        <f>SUBSTITUTE(SUBSTITUTE(PROPER(SUBSTITUTE(us_core_reqs[[#This Row],[Page]], "-", " "))&amp;": "&amp;PROPER(SUBSTITUTE(us_core_reqs[[#This Row],[Section]], "-", " ")),"Us ","US "), "Uscdi", "USCDI")</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68" x14ac:dyDescent="0.2">
      <c r="A453" t="s">
        <v>1171</v>
      </c>
      <c r="B453" t="s">
        <v>1625</v>
      </c>
      <c r="C453" t="str">
        <f>"CONF-"&amp;TEXT(us_core_reqs[[#This Row],[ID*]], "0000")</f>
        <v>CONF-0452</v>
      </c>
      <c r="D453" s="11" t="s">
        <v>885</v>
      </c>
      <c r="E453" t="str">
        <f>SUBSTITUTE(us_core_reqs[[#This Row],[URL*]], "https://hl7.org/fhir/us/core/STU8/","")</f>
        <v>StructureDefinition-us-core-pulse-oximetry.html#mandatory-and-must-support-data-elements</v>
      </c>
      <c r="F453" s="11" t="s">
        <v>471</v>
      </c>
      <c r="G453" t="s">
        <v>35</v>
      </c>
      <c r="I453" t="s">
        <v>30</v>
      </c>
      <c r="J453" t="s">
        <v>1171</v>
      </c>
      <c r="K453" t="s">
        <v>1171</v>
      </c>
      <c r="L453" t="s">
        <v>1176</v>
      </c>
      <c r="M453" t="s">
        <v>472</v>
      </c>
      <c r="N453" t="s">
        <v>1171</v>
      </c>
      <c r="O453" t="s">
        <v>1171</v>
      </c>
      <c r="P453" t="s">
        <v>1171</v>
      </c>
      <c r="Q453" t="s">
        <v>1171</v>
      </c>
      <c r="R453" t="str">
        <f>_xlfn.TEXTBEFORE(_xlfn.TEXTAFTER(us_core_reqs[[#This Row],[URL*]],"/",-1),".")</f>
        <v>StructureDefinition-us-core-pulse-oximetry</v>
      </c>
      <c r="S453" t="str">
        <f>_xlfn.TEXTAFTER(us_core_reqs[[#This Row],[URL*]],"#",-1)</f>
        <v>mandatory-and-must-support-data-elements</v>
      </c>
      <c r="T453" t="str">
        <f>SUBSTITUTE(SUBSTITUTE(PROPER(SUBSTITUTE(us_core_reqs[[#This Row],[Page]], "-", " "))&amp;": "&amp;PROPER(SUBSTITUTE(us_core_reqs[[#This Row],[Section]], "-", " ")),"Us ","US "), "Uscdi", "USCDI")</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68" x14ac:dyDescent="0.2">
      <c r="A454" t="s">
        <v>1171</v>
      </c>
      <c r="B454" t="s">
        <v>1626</v>
      </c>
      <c r="C454" t="str">
        <f>"CONF-"&amp;TEXT(us_core_reqs[[#This Row],[ID*]], "0000")</f>
        <v>CONF-0453</v>
      </c>
      <c r="D454" s="11" t="s">
        <v>885</v>
      </c>
      <c r="E454" t="str">
        <f>SUBSTITUTE(us_core_reqs[[#This Row],[URL*]], "https://hl7.org/fhir/us/core/STU8/","")</f>
        <v>StructureDefinition-us-core-pulse-oximetry.html#mandatory-and-must-support-data-elements</v>
      </c>
      <c r="F454" s="11" t="s">
        <v>2011</v>
      </c>
      <c r="G454" t="s">
        <v>32</v>
      </c>
      <c r="I454" t="s">
        <v>30</v>
      </c>
      <c r="J454" t="s">
        <v>1171</v>
      </c>
      <c r="K454" t="s">
        <v>1171</v>
      </c>
      <c r="L454" t="s">
        <v>1176</v>
      </c>
      <c r="M454" t="s">
        <v>474</v>
      </c>
      <c r="N454" t="s">
        <v>1171</v>
      </c>
      <c r="O454" t="s">
        <v>1171</v>
      </c>
      <c r="P454" t="s">
        <v>1171</v>
      </c>
      <c r="Q454" t="s">
        <v>1171</v>
      </c>
      <c r="R454" t="str">
        <f>_xlfn.TEXTBEFORE(_xlfn.TEXTAFTER(us_core_reqs[[#This Row],[URL*]],"/",-1),".")</f>
        <v>StructureDefinition-us-core-pulse-oximetry</v>
      </c>
      <c r="S454" t="str">
        <f>_xlfn.TEXTAFTER(us_core_reqs[[#This Row],[URL*]],"#",-1)</f>
        <v>mandatory-and-must-support-data-elements</v>
      </c>
      <c r="T454" t="str">
        <f>SUBSTITUTE(SUBSTITUTE(PROPER(SUBSTITUTE(us_core_reqs[[#This Row],[Page]], "-", " "))&amp;": "&amp;PROPER(SUBSTITUTE(us_core_reqs[[#This Row],[Section]], "-", " ")),"Us ","US "), "Uscdi", "USCDI")</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119" x14ac:dyDescent="0.2">
      <c r="A455" t="s">
        <v>1171</v>
      </c>
      <c r="B455" t="s">
        <v>1627</v>
      </c>
      <c r="C455" t="str">
        <f>"CONF-"&amp;TEXT(us_core_reqs[[#This Row],[ID*]], "0000")</f>
        <v>CONF-0454</v>
      </c>
      <c r="D455" s="11" t="s">
        <v>885</v>
      </c>
      <c r="E455" t="str">
        <f>SUBSTITUTE(us_core_reqs[[#This Row],[URL*]], "https://hl7.org/fhir/us/core/STU8/","")</f>
        <v>StructureDefinition-us-core-pulse-oximetry.html#mandatory-and-must-support-data-elements</v>
      </c>
      <c r="F455" s="11" t="s">
        <v>2012</v>
      </c>
      <c r="G455" t="s">
        <v>32</v>
      </c>
      <c r="I455" t="s">
        <v>30</v>
      </c>
      <c r="J455" t="s">
        <v>1171</v>
      </c>
      <c r="K455" t="s">
        <v>1171</v>
      </c>
      <c r="L455" t="s">
        <v>1176</v>
      </c>
      <c r="M455" t="s">
        <v>472</v>
      </c>
      <c r="N455" t="s">
        <v>1171</v>
      </c>
      <c r="O455" t="s">
        <v>1171</v>
      </c>
      <c r="P455" t="s">
        <v>1171</v>
      </c>
      <c r="Q455" t="s">
        <v>1171</v>
      </c>
      <c r="R455" t="str">
        <f>_xlfn.TEXTBEFORE(_xlfn.TEXTAFTER(us_core_reqs[[#This Row],[URL*]],"/",-1),".")</f>
        <v>StructureDefinition-us-core-pulse-oximetry</v>
      </c>
      <c r="S455" t="str">
        <f>_xlfn.TEXTAFTER(us_core_reqs[[#This Row],[URL*]],"#",-1)</f>
        <v>mandatory-and-must-support-data-elements</v>
      </c>
      <c r="T455" t="str">
        <f>SUBSTITUTE(SUBSTITUTE(PROPER(SUBSTITUTE(us_core_reqs[[#This Row],[Page]], "-", " "))&amp;": "&amp;PROPER(SUBSTITUTE(us_core_reqs[[#This Row],[Section]], "-", " ")),"Us ","US "), "Uscdi", "USCDI")</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1628</v>
      </c>
      <c r="C456" t="str">
        <f>"CONF-"&amp;TEXT(us_core_reqs[[#This Row],[ID*]], "0000")</f>
        <v>CONF-0455</v>
      </c>
      <c r="D456" s="11" t="s">
        <v>886</v>
      </c>
      <c r="E456" t="str">
        <f>SUBSTITUTE(us_core_reqs[[#This Row],[URL*]], "https://hl7.org/fhir/us/core/STU8/","")</f>
        <v>StructureDefinition-us-core-organization.html#mandatory-and-must-support-data-elements</v>
      </c>
      <c r="F456" s="11" t="s">
        <v>2180</v>
      </c>
      <c r="G456" t="s">
        <v>29</v>
      </c>
      <c r="I456" t="s">
        <v>30</v>
      </c>
      <c r="J456" t="s">
        <v>1171</v>
      </c>
      <c r="K456" t="s">
        <v>1171</v>
      </c>
      <c r="L456" t="s">
        <v>1173</v>
      </c>
      <c r="M456" t="s">
        <v>1171</v>
      </c>
      <c r="N456" t="s">
        <v>1171</v>
      </c>
      <c r="O456" t="s">
        <v>1171</v>
      </c>
      <c r="P456" t="s">
        <v>1171</v>
      </c>
      <c r="Q456" t="s">
        <v>1171</v>
      </c>
      <c r="R456" t="str">
        <f>_xlfn.TEXTBEFORE(_xlfn.TEXTAFTER(us_core_reqs[[#This Row],[URL*]],"/",-1),".")</f>
        <v>StructureDefinition-us-core-organization</v>
      </c>
      <c r="S456" t="str">
        <f>_xlfn.TEXTAFTER(us_core_reqs[[#This Row],[URL*]],"#",-1)</f>
        <v>mandatory-and-must-support-data-elements</v>
      </c>
      <c r="T456" t="str">
        <f>SUBSTITUTE(SUBSTITUTE(PROPER(SUBSTITUTE(us_core_reqs[[#This Row],[Page]], "-", " "))&amp;": "&amp;PROPER(SUBSTITUTE(us_core_reqs[[#This Row],[Section]], "-", " ")),"Us ","US "), "Uscdi", "USCDI")</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51" x14ac:dyDescent="0.2">
      <c r="A457" t="s">
        <v>1171</v>
      </c>
      <c r="B457" t="s">
        <v>1629</v>
      </c>
      <c r="C457" t="str">
        <f>"CONF-"&amp;TEXT(us_core_reqs[[#This Row],[ID*]], "0000")</f>
        <v>CONF-0456</v>
      </c>
      <c r="D457" s="11" t="s">
        <v>886</v>
      </c>
      <c r="E457" t="str">
        <f>SUBSTITUTE(us_core_reqs[[#This Row],[URL*]], "https://hl7.org/fhir/us/core/STU8/","")</f>
        <v>StructureDefinition-us-core-organization.html#mandatory-and-must-support-data-elements</v>
      </c>
      <c r="F457" s="11" t="s">
        <v>2013</v>
      </c>
      <c r="G457" t="s">
        <v>32</v>
      </c>
      <c r="I457" t="s">
        <v>30</v>
      </c>
      <c r="J457" t="s">
        <v>1171</v>
      </c>
      <c r="K457" t="s">
        <v>1171</v>
      </c>
      <c r="L457" t="s">
        <v>1173</v>
      </c>
      <c r="M457" t="s">
        <v>1171</v>
      </c>
      <c r="N457" t="s">
        <v>1171</v>
      </c>
      <c r="O457" t="s">
        <v>1171</v>
      </c>
      <c r="P457" t="s">
        <v>1171</v>
      </c>
      <c r="Q457" t="s">
        <v>1171</v>
      </c>
      <c r="R457" t="str">
        <f>_xlfn.TEXTBEFORE(_xlfn.TEXTAFTER(us_core_reqs[[#This Row],[URL*]],"/",-1),".")</f>
        <v>StructureDefinition-us-core-organization</v>
      </c>
      <c r="S457" t="str">
        <f>_xlfn.TEXTAFTER(us_core_reqs[[#This Row],[URL*]],"#",-1)</f>
        <v>mandatory-and-must-support-data-elements</v>
      </c>
      <c r="T457" t="str">
        <f>SUBSTITUTE(SUBSTITUTE(PROPER(SUBSTITUTE(us_core_reqs[[#This Row],[Page]], "-", " "))&amp;": "&amp;PROPER(SUBSTITUTE(us_core_reqs[[#This Row],[Section]], "-", " ")),"Us ","US "), "Uscdi", "USCDI")</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1630</v>
      </c>
      <c r="C458" t="str">
        <f>"CONF-"&amp;TEXT(us_core_reqs[[#This Row],[ID*]], "0000")</f>
        <v>CONF-0457</v>
      </c>
      <c r="D458" s="11" t="s">
        <v>886</v>
      </c>
      <c r="E458" t="str">
        <f>SUBSTITUTE(us_core_reqs[[#This Row],[URL*]], "https://hl7.org/fhir/us/core/STU8/","")</f>
        <v>StructureDefinition-us-core-organization.html#mandatory-and-must-support-data-elements</v>
      </c>
      <c r="F458" s="11" t="s">
        <v>2014</v>
      </c>
      <c r="G458" t="s">
        <v>32</v>
      </c>
      <c r="I458" t="s">
        <v>30</v>
      </c>
      <c r="J458" t="s">
        <v>1171</v>
      </c>
      <c r="K458" t="s">
        <v>1171</v>
      </c>
      <c r="L458" t="s">
        <v>1173</v>
      </c>
      <c r="M458" t="s">
        <v>1171</v>
      </c>
      <c r="N458" t="s">
        <v>1171</v>
      </c>
      <c r="O458" t="s">
        <v>1171</v>
      </c>
      <c r="P458" t="s">
        <v>1171</v>
      </c>
      <c r="Q458" t="s">
        <v>1171</v>
      </c>
      <c r="R458" t="str">
        <f>_xlfn.TEXTBEFORE(_xlfn.TEXTAFTER(us_core_reqs[[#This Row],[URL*]],"/",-1),".")</f>
        <v>StructureDefinition-us-core-organization</v>
      </c>
      <c r="S458" t="str">
        <f>_xlfn.TEXTAFTER(us_core_reqs[[#This Row],[URL*]],"#",-1)</f>
        <v>mandatory-and-must-support-data-elements</v>
      </c>
      <c r="T458" t="str">
        <f>SUBSTITUTE(SUBSTITUTE(PROPER(SUBSTITUTE(us_core_reqs[[#This Row],[Page]], "-", " "))&amp;": "&amp;PROPER(SUBSTITUTE(us_core_reqs[[#This Row],[Section]], "-", " ")),"Us ","US "), "Uscdi", "USCDI")</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102" x14ac:dyDescent="0.2">
      <c r="A459" t="s">
        <v>1171</v>
      </c>
      <c r="B459" t="s">
        <v>1631</v>
      </c>
      <c r="C459" t="str">
        <f>"CONF-"&amp;TEXT(us_core_reqs[[#This Row],[ID*]], "0000")</f>
        <v>CONF-0458</v>
      </c>
      <c r="D459" s="11" t="s">
        <v>886</v>
      </c>
      <c r="E459" t="str">
        <f>SUBSTITUTE(us_core_reqs[[#This Row],[URL*]], "https://hl7.org/fhir/us/core/STU8/","")</f>
        <v>StructureDefinition-us-core-organization.html#mandatory-and-must-support-data-elements</v>
      </c>
      <c r="F459" s="11" t="s">
        <v>2015</v>
      </c>
      <c r="G459" t="s">
        <v>32</v>
      </c>
      <c r="I459" t="s">
        <v>30</v>
      </c>
      <c r="J459" t="s">
        <v>1171</v>
      </c>
      <c r="K459" t="s">
        <v>1171</v>
      </c>
      <c r="L459" t="s">
        <v>1173</v>
      </c>
      <c r="M459" t="s">
        <v>1171</v>
      </c>
      <c r="N459" t="s">
        <v>1171</v>
      </c>
      <c r="O459" t="s">
        <v>1171</v>
      </c>
      <c r="P459" t="s">
        <v>1171</v>
      </c>
      <c r="Q459" t="s">
        <v>1171</v>
      </c>
      <c r="R459" t="str">
        <f>_xlfn.TEXTBEFORE(_xlfn.TEXTAFTER(us_core_reqs[[#This Row],[URL*]],"/",-1),".")</f>
        <v>StructureDefinition-us-core-organization</v>
      </c>
      <c r="S459" t="str">
        <f>_xlfn.TEXTAFTER(us_core_reqs[[#This Row],[URL*]],"#",-1)</f>
        <v>mandatory-and-must-support-data-elements</v>
      </c>
      <c r="T459" t="str">
        <f>SUBSTITUTE(SUBSTITUTE(PROPER(SUBSTITUTE(us_core_reqs[[#This Row],[Page]], "-", " "))&amp;": "&amp;PROPER(SUBSTITUTE(us_core_reqs[[#This Row],[Section]], "-", " ")),"Us ","US "), "Uscdi", "USCDI")</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36" x14ac:dyDescent="0.2">
      <c r="A460" t="s">
        <v>1171</v>
      </c>
      <c r="B460" t="s">
        <v>1632</v>
      </c>
      <c r="C460" t="str">
        <f>"CONF-"&amp;TEXT(us_core_reqs[[#This Row],[ID*]], "0000")</f>
        <v>CONF-0459</v>
      </c>
      <c r="D460" s="11" t="s">
        <v>887</v>
      </c>
      <c r="E460" t="str">
        <f>SUBSTITUTE(us_core_reqs[[#This Row],[URL*]], "https://hl7.org/fhir/us/core/STU8/","")</f>
        <v>StructureDefinition-us-core-patient.html#mandatory-and-must-support-data-elements, StructureDefinition-us-core-race.html#profile-specific-implementation-guidance</v>
      </c>
      <c r="F460" s="11" t="s">
        <v>888</v>
      </c>
      <c r="G460" t="s">
        <v>29</v>
      </c>
      <c r="I460" t="s">
        <v>30</v>
      </c>
      <c r="J460" t="s">
        <v>1171</v>
      </c>
      <c r="K460" t="s">
        <v>1171</v>
      </c>
      <c r="L460" t="s">
        <v>1176</v>
      </c>
      <c r="M460" t="s">
        <v>790</v>
      </c>
      <c r="N460" t="s">
        <v>1171</v>
      </c>
      <c r="O460" t="s">
        <v>1171</v>
      </c>
      <c r="P460" t="s">
        <v>1171</v>
      </c>
      <c r="Q460" t="s">
        <v>1171</v>
      </c>
      <c r="R460" t="str">
        <f>_xlfn.TEXTBEFORE(_xlfn.TEXTAFTER(us_core_reqs[[#This Row],[URL*]],"/",-1),".")</f>
        <v>StructureDefinition-us-core-race</v>
      </c>
      <c r="S460" t="str">
        <f>_xlfn.TEXTAFTER(us_core_reqs[[#This Row],[URL*]],"#",-1)</f>
        <v>profile-specific-implementation-guidance</v>
      </c>
      <c r="T460" t="str">
        <f>SUBSTITUTE(SUBSTITUTE(PROPER(SUBSTITUTE(us_core_reqs[[#This Row],[Page]], "-", " "))&amp;": "&amp;PROPER(SUBSTITUTE(us_core_reqs[[#This Row],[Section]], "-", " ")),"Us ","US "), "Uscdi", "USCDI")</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36" x14ac:dyDescent="0.2">
      <c r="A461" t="s">
        <v>1171</v>
      </c>
      <c r="B461" t="s">
        <v>1633</v>
      </c>
      <c r="C461" t="str">
        <f>"CONF-"&amp;TEXT(us_core_reqs[[#This Row],[ID*]], "0000")</f>
        <v>CONF-0460</v>
      </c>
      <c r="D461" s="11" t="s">
        <v>889</v>
      </c>
      <c r="E461" t="str">
        <f>SUBSTITUTE(us_core_reqs[[#This Row],[URL*]], "https://hl7.org/fhir/us/core/STU8/","")</f>
        <v>StructureDefinition-us-core-patient.html#mandatory-and-must-support-data-elements, StructureDefinition-us-core-ethnicity.html#profile-specific-implementation-guidance</v>
      </c>
      <c r="F461" s="11" t="s">
        <v>890</v>
      </c>
      <c r="G461" t="s">
        <v>29</v>
      </c>
      <c r="I461" t="s">
        <v>30</v>
      </c>
      <c r="J461" t="s">
        <v>1171</v>
      </c>
      <c r="K461" t="s">
        <v>1171</v>
      </c>
      <c r="L461" t="s">
        <v>1176</v>
      </c>
      <c r="M461" t="s">
        <v>791</v>
      </c>
      <c r="N461" t="s">
        <v>1171</v>
      </c>
      <c r="O461" t="s">
        <v>1171</v>
      </c>
      <c r="P461" t="s">
        <v>1171</v>
      </c>
      <c r="Q461" t="s">
        <v>1171</v>
      </c>
      <c r="R461" t="str">
        <f>_xlfn.TEXTBEFORE(_xlfn.TEXTAFTER(us_core_reqs[[#This Row],[URL*]],"/",-1),".")</f>
        <v>StructureDefinition-us-core-ethnicity</v>
      </c>
      <c r="S461" t="str">
        <f>_xlfn.TEXTAFTER(us_core_reqs[[#This Row],[URL*]],"#",-1)</f>
        <v>profile-specific-implementation-guidance</v>
      </c>
      <c r="T461" t="str">
        <f>SUBSTITUTE(SUBSTITUTE(PROPER(SUBSTITUTE(us_core_reqs[[#This Row],[Page]], "-", " "))&amp;": "&amp;PROPER(SUBSTITUTE(us_core_reqs[[#This Row],[Section]], "-", " ")),"Us ","US "), "Uscdi", "USCDI")</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136" x14ac:dyDescent="0.2">
      <c r="A462" t="s">
        <v>1171</v>
      </c>
      <c r="B462" t="s">
        <v>1634</v>
      </c>
      <c r="C462" t="str">
        <f>"CONF-"&amp;TEXT(us_core_reqs[[#This Row],[ID*]], "0000")</f>
        <v>CONF-0461</v>
      </c>
      <c r="D462" s="11" t="s">
        <v>887</v>
      </c>
      <c r="E462" t="str">
        <f>SUBSTITUTE(us_core_reqs[[#This Row],[URL*]], "https://hl7.org/fhir/us/core/STU8/","")</f>
        <v>StructureDefinition-us-core-patient.html#mandatory-and-must-support-data-elements, StructureDefinition-us-core-race.html#profile-specific-implementation-guidance</v>
      </c>
      <c r="F462" s="11" t="s">
        <v>2230</v>
      </c>
      <c r="G462" t="s">
        <v>35</v>
      </c>
      <c r="I462" t="s">
        <v>30</v>
      </c>
      <c r="J462" t="s">
        <v>1171</v>
      </c>
      <c r="K462" t="s">
        <v>1171</v>
      </c>
      <c r="L462" t="s">
        <v>1176</v>
      </c>
      <c r="M462" t="s">
        <v>792</v>
      </c>
      <c r="N462" t="s">
        <v>1171</v>
      </c>
      <c r="O462" t="s">
        <v>1171</v>
      </c>
      <c r="P462" t="s">
        <v>1171</v>
      </c>
      <c r="Q462" t="s">
        <v>1171</v>
      </c>
      <c r="R462" t="str">
        <f>_xlfn.TEXTBEFORE(_xlfn.TEXTAFTER(us_core_reqs[[#This Row],[URL*]],"/",-1),".")</f>
        <v>StructureDefinition-us-core-race</v>
      </c>
      <c r="S462" t="str">
        <f>_xlfn.TEXTAFTER(us_core_reqs[[#This Row],[URL*]],"#",-1)</f>
        <v>profile-specific-implementation-guidance</v>
      </c>
      <c r="T462" t="str">
        <f>SUBSTITUTE(SUBSTITUTE(PROPER(SUBSTITUTE(us_core_reqs[[#This Row],[Page]], "-", " "))&amp;": "&amp;PROPER(SUBSTITUTE(us_core_reqs[[#This Row],[Section]], "-", " ")),"Us ","US "), "Uscdi", "USCDI")</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85" x14ac:dyDescent="0.2">
      <c r="A463" t="s">
        <v>1171</v>
      </c>
      <c r="B463" t="s">
        <v>1635</v>
      </c>
      <c r="C463" t="str">
        <f>"CONF-"&amp;TEXT(us_core_reqs[[#This Row],[ID*]], "0000")</f>
        <v>CONF-0462</v>
      </c>
      <c r="D463" s="11" t="s">
        <v>889</v>
      </c>
      <c r="E463" t="str">
        <f>SUBSTITUTE(us_core_reqs[[#This Row],[URL*]], "https://hl7.org/fhir/us/core/STU8/","")</f>
        <v>StructureDefinition-us-core-patient.html#mandatory-and-must-support-data-elements, StructureDefinition-us-core-ethnicity.html#profile-specific-implementation-guidance</v>
      </c>
      <c r="F463" s="11" t="s">
        <v>2226</v>
      </c>
      <c r="G463" t="s">
        <v>35</v>
      </c>
      <c r="I463" t="s">
        <v>30</v>
      </c>
      <c r="J463" t="s">
        <v>1171</v>
      </c>
      <c r="K463" t="s">
        <v>1171</v>
      </c>
      <c r="L463" t="s">
        <v>1176</v>
      </c>
      <c r="M463" t="s">
        <v>791</v>
      </c>
      <c r="N463" t="s">
        <v>1171</v>
      </c>
      <c r="O463" t="s">
        <v>1171</v>
      </c>
      <c r="P463" t="s">
        <v>1171</v>
      </c>
      <c r="Q463" t="s">
        <v>1171</v>
      </c>
      <c r="R463" t="str">
        <f>_xlfn.TEXTBEFORE(_xlfn.TEXTAFTER(us_core_reqs[[#This Row],[URL*]],"/",-1),".")</f>
        <v>StructureDefinition-us-core-ethnicity</v>
      </c>
      <c r="S463" t="str">
        <f>_xlfn.TEXTAFTER(us_core_reqs[[#This Row],[URL*]],"#",-1)</f>
        <v>profile-specific-implementation-guidance</v>
      </c>
      <c r="T463" t="str">
        <f>SUBSTITUTE(SUBSTITUTE(PROPER(SUBSTITUTE(us_core_reqs[[#This Row],[Page]], "-", " "))&amp;": "&amp;PROPER(SUBSTITUTE(us_core_reqs[[#This Row],[Section]], "-", " ")),"Us ","US "), "Uscdi", "USCDI")</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136" x14ac:dyDescent="0.2">
      <c r="A464" t="s">
        <v>1171</v>
      </c>
      <c r="B464" t="s">
        <v>1636</v>
      </c>
      <c r="C464" t="str">
        <f>"CONF-"&amp;TEXT(us_core_reqs[[#This Row],[ID*]], "0000")</f>
        <v>CONF-0463</v>
      </c>
      <c r="D464" s="11" t="s">
        <v>887</v>
      </c>
      <c r="E464" t="str">
        <f>SUBSTITUTE(us_core_reqs[[#This Row],[URL*]], "https://hl7.org/fhir/us/core/STU8/","")</f>
        <v>StructureDefinition-us-core-patient.html#mandatory-and-must-support-data-elements, StructureDefinition-us-core-race.html#profile-specific-implementation-guidance</v>
      </c>
      <c r="F464" s="11" t="s">
        <v>2231</v>
      </c>
      <c r="G464" t="s">
        <v>29</v>
      </c>
      <c r="I464" t="s">
        <v>30</v>
      </c>
      <c r="J464" t="s">
        <v>1171</v>
      </c>
      <c r="K464" t="s">
        <v>1171</v>
      </c>
      <c r="L464" t="s">
        <v>1176</v>
      </c>
      <c r="M464" t="s">
        <v>792</v>
      </c>
      <c r="N464" t="s">
        <v>1171</v>
      </c>
      <c r="O464" t="s">
        <v>1171</v>
      </c>
      <c r="P464" t="s">
        <v>1171</v>
      </c>
      <c r="Q464" t="s">
        <v>1171</v>
      </c>
      <c r="R464" t="str">
        <f>_xlfn.TEXTBEFORE(_xlfn.TEXTAFTER(us_core_reqs[[#This Row],[URL*]],"/",-1),".")</f>
        <v>StructureDefinition-us-core-race</v>
      </c>
      <c r="S464" t="str">
        <f>_xlfn.TEXTAFTER(us_core_reqs[[#This Row],[URL*]],"#",-1)</f>
        <v>profile-specific-implementation-guidance</v>
      </c>
      <c r="T464" t="str">
        <f>SUBSTITUTE(SUBSTITUTE(PROPER(SUBSTITUTE(us_core_reqs[[#This Row],[Page]], "-", " "))&amp;": "&amp;PROPER(SUBSTITUTE(us_core_reqs[[#This Row],[Section]], "-", " ")),"Us ","US "), "Uscdi", "USCDI")</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85" x14ac:dyDescent="0.2">
      <c r="A465" t="s">
        <v>1171</v>
      </c>
      <c r="B465" t="s">
        <v>1637</v>
      </c>
      <c r="C465" t="str">
        <f>"CONF-"&amp;TEXT(us_core_reqs[[#This Row],[ID*]], "0000")</f>
        <v>CONF-0464</v>
      </c>
      <c r="D465" s="11" t="s">
        <v>889</v>
      </c>
      <c r="E465" t="str">
        <f>SUBSTITUTE(us_core_reqs[[#This Row],[URL*]], "https://hl7.org/fhir/us/core/STU8/","")</f>
        <v>StructureDefinition-us-core-patient.html#mandatory-and-must-support-data-elements, StructureDefinition-us-core-ethnicity.html#profile-specific-implementation-guidance</v>
      </c>
      <c r="F465" s="11" t="s">
        <v>2227</v>
      </c>
      <c r="G465" t="s">
        <v>29</v>
      </c>
      <c r="I465" t="s">
        <v>30</v>
      </c>
      <c r="J465" t="s">
        <v>1171</v>
      </c>
      <c r="K465" t="s">
        <v>1171</v>
      </c>
      <c r="L465" t="s">
        <v>1176</v>
      </c>
      <c r="M465" t="s">
        <v>791</v>
      </c>
      <c r="N465" t="s">
        <v>1171</v>
      </c>
      <c r="O465" t="s">
        <v>1171</v>
      </c>
      <c r="P465" t="s">
        <v>1171</v>
      </c>
      <c r="Q465" t="s">
        <v>1171</v>
      </c>
      <c r="R465" t="str">
        <f>_xlfn.TEXTBEFORE(_xlfn.TEXTAFTER(us_core_reqs[[#This Row],[URL*]],"/",-1),".")</f>
        <v>StructureDefinition-us-core-ethnicity</v>
      </c>
      <c r="S465" t="str">
        <f>_xlfn.TEXTAFTER(us_core_reqs[[#This Row],[URL*]],"#",-1)</f>
        <v>profile-specific-implementation-guidance</v>
      </c>
      <c r="T465" t="str">
        <f>SUBSTITUTE(SUBSTITUTE(PROPER(SUBSTITUTE(us_core_reqs[[#This Row],[Page]], "-", " "))&amp;": "&amp;PROPER(SUBSTITUTE(us_core_reqs[[#This Row],[Section]], "-", " ")),"Us ","US "), "Uscdi", "USCDI")</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68" x14ac:dyDescent="0.2">
      <c r="A466" t="s">
        <v>1171</v>
      </c>
      <c r="B466" t="s">
        <v>1638</v>
      </c>
      <c r="C466" t="str">
        <f>"CONF-"&amp;TEXT(us_core_reqs[[#This Row],[ID*]], "0000")</f>
        <v>CONF-0465</v>
      </c>
      <c r="D466" s="11" t="s">
        <v>794</v>
      </c>
      <c r="E466" t="str">
        <f>SUBSTITUTE(us_core_reqs[[#This Row],[URL*]], "https://hl7.org/fhir/us/core/STU8/","")</f>
        <v>StructureDefinition-us-core-patient.html#mandatory-and-must-support-data-elements</v>
      </c>
      <c r="F466" s="11" t="s">
        <v>2181</v>
      </c>
      <c r="G466" t="s">
        <v>29</v>
      </c>
      <c r="I466" t="s">
        <v>30</v>
      </c>
      <c r="J466" t="b">
        <v>1</v>
      </c>
      <c r="K466" t="s">
        <v>1171</v>
      </c>
      <c r="L466" t="s">
        <v>1171</v>
      </c>
      <c r="M466" t="s">
        <v>793</v>
      </c>
      <c r="N466" t="s">
        <v>1171</v>
      </c>
      <c r="O466" t="s">
        <v>1171</v>
      </c>
      <c r="P466" t="s">
        <v>1171</v>
      </c>
      <c r="Q466" t="s">
        <v>1171</v>
      </c>
      <c r="R466" t="str">
        <f>_xlfn.TEXTBEFORE(_xlfn.TEXTAFTER(us_core_reqs[[#This Row],[URL*]],"/",-1),".")</f>
        <v>StructureDefinition-us-core-patient</v>
      </c>
      <c r="S466" t="str">
        <f>_xlfn.TEXTAFTER(us_core_reqs[[#This Row],[URL*]],"#",-1)</f>
        <v>mandatory-and-must-support-data-elements</v>
      </c>
      <c r="T466" t="str">
        <f>SUBSTITUTE(SUBSTITUTE(PROPER(SUBSTITUTE(us_core_reqs[[#This Row],[Page]], "-", " "))&amp;": "&amp;PROPER(SUBSTITUTE(us_core_reqs[[#This Row],[Section]], "-", " ")),"Us ","US "), "Uscdi", "USCDI")</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1639</v>
      </c>
      <c r="C467" t="str">
        <f>"CONF-"&amp;TEXT(us_core_reqs[[#This Row],[ID*]], "0000")</f>
        <v>CONF-0466</v>
      </c>
      <c r="D467" s="11" t="s">
        <v>794</v>
      </c>
      <c r="E467" t="str">
        <f>SUBSTITUTE(us_core_reqs[[#This Row],[URL*]], "https://hl7.org/fhir/us/core/STU8/","")</f>
        <v>StructureDefinition-us-core-patient.html#mandatory-and-must-support-data-elements</v>
      </c>
      <c r="F467" s="11" t="s">
        <v>481</v>
      </c>
      <c r="G467" t="s">
        <v>32</v>
      </c>
      <c r="I467" t="s">
        <v>30</v>
      </c>
      <c r="J467" t="s">
        <v>1171</v>
      </c>
      <c r="K467" t="s">
        <v>1171</v>
      </c>
      <c r="L467" t="s">
        <v>1176</v>
      </c>
      <c r="M467" t="s">
        <v>482</v>
      </c>
      <c r="N467" t="s">
        <v>1171</v>
      </c>
      <c r="O467" t="s">
        <v>1171</v>
      </c>
      <c r="P467" t="s">
        <v>1171</v>
      </c>
      <c r="Q467" t="s">
        <v>1171</v>
      </c>
      <c r="R467" t="str">
        <f>_xlfn.TEXTBEFORE(_xlfn.TEXTAFTER(us_core_reqs[[#This Row],[URL*]],"/",-1),".")</f>
        <v>StructureDefinition-us-core-patient</v>
      </c>
      <c r="S467" t="str">
        <f>_xlfn.TEXTAFTER(us_core_reqs[[#This Row],[URL*]],"#",-1)</f>
        <v>mandatory-and-must-support-data-elements</v>
      </c>
      <c r="T467" t="str">
        <f>SUBSTITUTE(SUBSTITUTE(PROPER(SUBSTITUTE(us_core_reqs[[#This Row],[Page]], "-", " "))&amp;": "&amp;PROPER(SUBSTITUTE(us_core_reqs[[#This Row],[Section]], "-", " ")),"Us ","US "), "Uscdi", "USCDI")</f>
        <v>Structuredefinition US Core Patient: Mandatory And Must Support Data Elements</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1640</v>
      </c>
      <c r="C468" t="str">
        <f>"CONF-"&amp;TEXT(us_core_reqs[[#This Row],[ID*]], "0000")</f>
        <v>CONF-0467</v>
      </c>
      <c r="D468" s="11" t="s">
        <v>794</v>
      </c>
      <c r="E468" t="str">
        <f>SUBSTITUTE(us_core_reqs[[#This Row],[URL*]], "https://hl7.org/fhir/us/core/STU8/","")</f>
        <v>StructureDefinition-us-core-patient.html#mandatory-and-must-support-data-elements</v>
      </c>
      <c r="F468" s="11" t="s">
        <v>483</v>
      </c>
      <c r="G468" t="s">
        <v>32</v>
      </c>
      <c r="I468" t="s">
        <v>30</v>
      </c>
      <c r="J468" t="s">
        <v>1171</v>
      </c>
      <c r="K468" t="s">
        <v>1171</v>
      </c>
      <c r="L468" t="s">
        <v>1176</v>
      </c>
      <c r="M468" t="s">
        <v>484</v>
      </c>
      <c r="N468" t="s">
        <v>1171</v>
      </c>
      <c r="O468" t="s">
        <v>1171</v>
      </c>
      <c r="P468" t="s">
        <v>1171</v>
      </c>
      <c r="Q468" t="s">
        <v>1171</v>
      </c>
      <c r="R468" t="str">
        <f>_xlfn.TEXTBEFORE(_xlfn.TEXTAFTER(us_core_reqs[[#This Row],[URL*]],"/",-1),".")</f>
        <v>StructureDefinition-us-core-patient</v>
      </c>
      <c r="S468" t="str">
        <f>_xlfn.TEXTAFTER(us_core_reqs[[#This Row],[URL*]],"#",-1)</f>
        <v>mandatory-and-must-support-data-elements</v>
      </c>
      <c r="T468" t="str">
        <f>SUBSTITUTE(SUBSTITUTE(PROPER(SUBSTITUTE(us_core_reqs[[#This Row],[Page]], "-", " "))&amp;": "&amp;PROPER(SUBSTITUTE(us_core_reqs[[#This Row],[Section]], "-", " ")),"Us ","US "), "Uscdi", "USCDI")</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1641</v>
      </c>
      <c r="C469" t="str">
        <f>"CONF-"&amp;TEXT(us_core_reqs[[#This Row],[ID*]], "0000")</f>
        <v>CONF-0468</v>
      </c>
      <c r="D469" s="11" t="s">
        <v>794</v>
      </c>
      <c r="E469" t="str">
        <f>SUBSTITUTE(us_core_reqs[[#This Row],[URL*]], "https://hl7.org/fhir/us/core/STU8/","")</f>
        <v>StructureDefinition-us-core-patient.html#mandatory-and-must-support-data-elements</v>
      </c>
      <c r="F469" s="11" t="s">
        <v>2067</v>
      </c>
      <c r="G469" t="s">
        <v>64</v>
      </c>
      <c r="I469" t="s">
        <v>30</v>
      </c>
      <c r="J469" t="s">
        <v>1171</v>
      </c>
      <c r="K469" t="s">
        <v>1171</v>
      </c>
      <c r="L469" t="s">
        <v>1173</v>
      </c>
      <c r="M469" t="s">
        <v>1171</v>
      </c>
      <c r="N469" t="s">
        <v>1171</v>
      </c>
      <c r="O469" t="s">
        <v>1171</v>
      </c>
      <c r="P469" t="s">
        <v>1171</v>
      </c>
      <c r="Q469" t="s">
        <v>1171</v>
      </c>
      <c r="R469" t="str">
        <f>_xlfn.TEXTBEFORE(_xlfn.TEXTAFTER(us_core_reqs[[#This Row],[URL*]],"/",-1),".")</f>
        <v>StructureDefinition-us-core-patient</v>
      </c>
      <c r="S469" t="str">
        <f>_xlfn.TEXTAFTER(us_core_reqs[[#This Row],[URL*]],"#",-1)</f>
        <v>mandatory-and-must-support-data-elements</v>
      </c>
      <c r="T469" t="str">
        <f>SUBSTITUTE(SUBSTITUTE(PROPER(SUBSTITUTE(us_core_reqs[[#This Row],[Page]], "-", " "))&amp;": "&amp;PROPER(SUBSTITUTE(us_core_reqs[[#This Row],[Section]], "-", " ")),"Us ","US "), "Uscdi", "USCDI")</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36" x14ac:dyDescent="0.2">
      <c r="A470" t="s">
        <v>1171</v>
      </c>
      <c r="B470" t="s">
        <v>1642</v>
      </c>
      <c r="C470" t="str">
        <f>"CONF-"&amp;TEXT(us_core_reqs[[#This Row],[ID*]], "0000")</f>
        <v>CONF-0469</v>
      </c>
      <c r="D470" s="11" t="s">
        <v>794</v>
      </c>
      <c r="E470" t="str">
        <f>SUBSTITUTE(us_core_reqs[[#This Row],[URL*]], "https://hl7.org/fhir/us/core/STU8/","")</f>
        <v>StructureDefinition-us-core-patient.html#mandatory-and-must-support-data-elements</v>
      </c>
      <c r="F470" s="11" t="s">
        <v>1912</v>
      </c>
      <c r="G470" t="s">
        <v>29</v>
      </c>
      <c r="I470" t="s">
        <v>30</v>
      </c>
      <c r="J470" t="b">
        <v>1</v>
      </c>
      <c r="K470" t="s">
        <v>1171</v>
      </c>
      <c r="L470" t="s">
        <v>1173</v>
      </c>
      <c r="M470" t="s">
        <v>1171</v>
      </c>
      <c r="N470" t="s">
        <v>1171</v>
      </c>
      <c r="O470" t="s">
        <v>1171</v>
      </c>
      <c r="P470" t="s">
        <v>1171</v>
      </c>
      <c r="Q470" t="s">
        <v>1171</v>
      </c>
      <c r="R470" t="str">
        <f>_xlfn.TEXTBEFORE(_xlfn.TEXTAFTER(us_core_reqs[[#This Row],[URL*]],"/",-1),".")</f>
        <v>StructureDefinition-us-core-patient</v>
      </c>
      <c r="S470" t="str">
        <f>_xlfn.TEXTAFTER(us_core_reqs[[#This Row],[URL*]],"#",-1)</f>
        <v>mandatory-and-must-support-data-elements</v>
      </c>
      <c r="T470" t="str">
        <f>SUBSTITUTE(SUBSTITUTE(PROPER(SUBSTITUTE(us_core_reqs[[#This Row],[Page]], "-", " "))&amp;": "&amp;PROPER(SUBSTITUTE(us_core_reqs[[#This Row],[Section]], "-", " ")),"Us ","US "), "Uscdi", "USCDI")</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19" x14ac:dyDescent="0.2">
      <c r="A471" t="s">
        <v>1171</v>
      </c>
      <c r="B471" t="s">
        <v>1643</v>
      </c>
      <c r="C471" t="str">
        <f>"CONF-"&amp;TEXT(us_core_reqs[[#This Row],[ID*]], "0000")</f>
        <v>CONF-0470</v>
      </c>
      <c r="D471" s="11" t="s">
        <v>794</v>
      </c>
      <c r="E471" t="str">
        <f>SUBSTITUTE(us_core_reqs[[#This Row],[URL*]], "https://hl7.org/fhir/us/core/STU8/","")</f>
        <v>StructureDefinition-us-core-patient.html#mandatory-and-must-support-data-elements</v>
      </c>
      <c r="F471" s="11" t="s">
        <v>2016</v>
      </c>
      <c r="G471" t="s">
        <v>32</v>
      </c>
      <c r="I471" t="s">
        <v>30</v>
      </c>
      <c r="J471" t="s">
        <v>1171</v>
      </c>
      <c r="K471" t="s">
        <v>1171</v>
      </c>
      <c r="L471" t="s">
        <v>1173</v>
      </c>
      <c r="M471" t="s">
        <v>1171</v>
      </c>
      <c r="N471" t="s">
        <v>1171</v>
      </c>
      <c r="O471" t="s">
        <v>1171</v>
      </c>
      <c r="P471" t="s">
        <v>1171</v>
      </c>
      <c r="Q471" t="s">
        <v>1171</v>
      </c>
      <c r="R471" t="str">
        <f>_xlfn.TEXTBEFORE(_xlfn.TEXTAFTER(us_core_reqs[[#This Row],[URL*]],"/",-1),".")</f>
        <v>StructureDefinition-us-core-patient</v>
      </c>
      <c r="S471" t="str">
        <f>_xlfn.TEXTAFTER(us_core_reqs[[#This Row],[URL*]],"#",-1)</f>
        <v>mandatory-and-must-support-data-elements</v>
      </c>
      <c r="T471" t="str">
        <f>SUBSTITUTE(SUBSTITUTE(PROPER(SUBSTITUTE(us_core_reqs[[#This Row],[Page]], "-", " "))&amp;": "&amp;PROPER(SUBSTITUTE(us_core_reqs[[#This Row],[Section]], "-", " ")),"Us ","US "), "Uscdi", "USCDI")</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70" x14ac:dyDescent="0.2">
      <c r="A472" t="s">
        <v>1171</v>
      </c>
      <c r="B472" t="s">
        <v>1644</v>
      </c>
      <c r="C472" t="str">
        <f>"CONF-"&amp;TEXT(us_core_reqs[[#This Row],[ID*]], "0000")</f>
        <v>CONF-0471</v>
      </c>
      <c r="D472" s="11" t="s">
        <v>794</v>
      </c>
      <c r="E472" t="str">
        <f>SUBSTITUTE(us_core_reqs[[#This Row],[URL*]], "https://hl7.org/fhir/us/core/STU8/","")</f>
        <v>StructureDefinition-us-core-patient.html#mandatory-and-must-support-data-elements</v>
      </c>
      <c r="F472" s="11" t="s">
        <v>2068</v>
      </c>
      <c r="G472" t="s">
        <v>35</v>
      </c>
      <c r="I472" t="s">
        <v>30</v>
      </c>
      <c r="J472" t="s">
        <v>1171</v>
      </c>
      <c r="K472" t="s">
        <v>1171</v>
      </c>
      <c r="L472" t="s">
        <v>1176</v>
      </c>
      <c r="M472" t="s">
        <v>489</v>
      </c>
      <c r="N472" t="s">
        <v>1171</v>
      </c>
      <c r="O472" t="s">
        <v>1171</v>
      </c>
      <c r="P472" t="s">
        <v>1171</v>
      </c>
      <c r="Q472" t="s">
        <v>1171</v>
      </c>
      <c r="R472" t="str">
        <f>_xlfn.TEXTBEFORE(_xlfn.TEXTAFTER(us_core_reqs[[#This Row],[URL*]],"/",-1),".")</f>
        <v>StructureDefinition-us-core-patient</v>
      </c>
      <c r="S472" t="str">
        <f>_xlfn.TEXTAFTER(us_core_reqs[[#This Row],[URL*]],"#",-1)</f>
        <v>mandatory-and-must-support-data-elements</v>
      </c>
      <c r="T472" t="str">
        <f>SUBSTITUTE(SUBSTITUTE(PROPER(SUBSTITUTE(us_core_reqs[[#This Row],[Page]], "-", " "))&amp;": "&amp;PROPER(SUBSTITUTE(us_core_reqs[[#This Row],[Section]], "-", " ")),"Us ","US "), "Uscdi", "USCDI")</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1645</v>
      </c>
      <c r="C473" t="str">
        <f>"CONF-"&amp;TEXT(us_core_reqs[[#This Row],[ID*]], "0000")</f>
        <v>CONF-0472</v>
      </c>
      <c r="D473" s="11" t="s">
        <v>794</v>
      </c>
      <c r="E473" t="str">
        <f>SUBSTITUTE(us_core_reqs[[#This Row],[URL*]], "https://hl7.org/fhir/us/core/STU8/","")</f>
        <v>StructureDefinition-us-core-patient.html#mandatory-and-must-support-data-elements</v>
      </c>
      <c r="F473" s="11" t="s">
        <v>2047</v>
      </c>
      <c r="G473" t="s">
        <v>1834</v>
      </c>
      <c r="I473" t="s">
        <v>30</v>
      </c>
      <c r="J473" t="s">
        <v>1171</v>
      </c>
      <c r="K473" t="s">
        <v>1171</v>
      </c>
      <c r="L473" t="s">
        <v>1173</v>
      </c>
      <c r="M473" t="s">
        <v>1171</v>
      </c>
      <c r="N473" t="s">
        <v>1171</v>
      </c>
      <c r="O473" t="s">
        <v>1171</v>
      </c>
      <c r="P473" t="s">
        <v>1171</v>
      </c>
      <c r="Q473" t="s">
        <v>1171</v>
      </c>
      <c r="R473" t="str">
        <f>_xlfn.TEXTBEFORE(_xlfn.TEXTAFTER(us_core_reqs[[#This Row],[URL*]],"/",-1),".")</f>
        <v>StructureDefinition-us-core-patient</v>
      </c>
      <c r="S473" t="str">
        <f>_xlfn.TEXTAFTER(us_core_reqs[[#This Row],[URL*]],"#",-1)</f>
        <v>mandatory-and-must-support-data-elements</v>
      </c>
      <c r="T473" t="str">
        <f>SUBSTITUTE(SUBSTITUTE(PROPER(SUBSTITUTE(us_core_reqs[[#This Row],[Page]], "-", " "))&amp;": "&amp;PROPER(SUBSTITUTE(us_core_reqs[[#This Row],[Section]], "-", " ")),"Us ","US "), "Uscdi", "USCDI")</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102" x14ac:dyDescent="0.2">
      <c r="A474" t="s">
        <v>1171</v>
      </c>
      <c r="B474" t="s">
        <v>1646</v>
      </c>
      <c r="C474" t="str">
        <f>"CONF-"&amp;TEXT(us_core_reqs[[#This Row],[ID*]], "0000")</f>
        <v>CONF-0473</v>
      </c>
      <c r="D474" s="11" t="s">
        <v>895</v>
      </c>
      <c r="E474" t="str">
        <f>SUBSTITUTE(us_core_reqs[[#This Row],[URL*]], "https://hl7.org/fhir/us/core/STU8/","")</f>
        <v>StructureDefinition-us-core-practitioner.html#mandatory-and-must-support-data-elements</v>
      </c>
      <c r="F474" s="11" t="s">
        <v>2218</v>
      </c>
      <c r="G474" t="s">
        <v>29</v>
      </c>
      <c r="I474" t="s">
        <v>30</v>
      </c>
      <c r="J474" t="s">
        <v>1171</v>
      </c>
      <c r="K474" t="s">
        <v>1171</v>
      </c>
      <c r="L474" t="s">
        <v>1176</v>
      </c>
      <c r="M474" t="s">
        <v>491</v>
      </c>
      <c r="N474" t="s">
        <v>1171</v>
      </c>
      <c r="O474" t="s">
        <v>1171</v>
      </c>
      <c r="P474" t="s">
        <v>1171</v>
      </c>
      <c r="Q474" t="s">
        <v>1171</v>
      </c>
      <c r="R474" t="str">
        <f>_xlfn.TEXTBEFORE(_xlfn.TEXTAFTER(us_core_reqs[[#This Row],[URL*]],"/",-1),".")</f>
        <v>StructureDefinition-us-core-practitioner</v>
      </c>
      <c r="S474" t="str">
        <f>_xlfn.TEXTAFTER(us_core_reqs[[#This Row],[URL*]],"#",-1)</f>
        <v>mandatory-and-must-support-data-elements</v>
      </c>
      <c r="T474" t="str">
        <f>SUBSTITUTE(SUBSTITUTE(PROPER(SUBSTITUTE(us_core_reqs[[#This Row],[Page]], "-", " "))&amp;": "&amp;PROPER(SUBSTITUTE(us_core_reqs[[#This Row],[Section]], "-", " ")),"Us ","US "), "Uscdi", "USCDI")</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51" x14ac:dyDescent="0.2">
      <c r="A475" t="s">
        <v>1171</v>
      </c>
      <c r="B475" t="s">
        <v>1647</v>
      </c>
      <c r="C475" t="str">
        <f>"CONF-"&amp;TEXT(us_core_reqs[[#This Row],[ID*]], "0000")</f>
        <v>CONF-0474</v>
      </c>
      <c r="D475" s="11" t="s">
        <v>895</v>
      </c>
      <c r="E475" t="str">
        <f>SUBSTITUTE(us_core_reqs[[#This Row],[URL*]], "https://hl7.org/fhir/us/core/STU8/","")</f>
        <v>StructureDefinition-us-core-practitioner.html#mandatory-and-must-support-data-elements</v>
      </c>
      <c r="F475" s="11" t="s">
        <v>1068</v>
      </c>
      <c r="G475" t="s">
        <v>35</v>
      </c>
      <c r="I475" t="s">
        <v>30</v>
      </c>
      <c r="J475" t="s">
        <v>1171</v>
      </c>
      <c r="K475" t="s">
        <v>1171</v>
      </c>
      <c r="L475" t="s">
        <v>1176</v>
      </c>
      <c r="M475" t="s">
        <v>492</v>
      </c>
      <c r="N475" t="s">
        <v>1171</v>
      </c>
      <c r="O475" t="s">
        <v>1171</v>
      </c>
      <c r="P475" t="s">
        <v>1171</v>
      </c>
      <c r="Q475" t="s">
        <v>1171</v>
      </c>
      <c r="R475" t="str">
        <f>_xlfn.TEXTBEFORE(_xlfn.TEXTAFTER(us_core_reqs[[#This Row],[URL*]],"/",-1),".")</f>
        <v>StructureDefinition-us-core-practitioner</v>
      </c>
      <c r="S475" t="str">
        <f>_xlfn.TEXTAFTER(us_core_reqs[[#This Row],[URL*]],"#",-1)</f>
        <v>mandatory-and-must-support-data-elements</v>
      </c>
      <c r="T475" t="str">
        <f>SUBSTITUTE(SUBSTITUTE(PROPER(SUBSTITUTE(us_core_reqs[[#This Row],[Page]], "-", " "))&amp;": "&amp;PROPER(SUBSTITUTE(us_core_reqs[[#This Row],[Section]], "-", " ")),"Us ","US "), "Uscdi", "USCDI")</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51" x14ac:dyDescent="0.2">
      <c r="A476" t="s">
        <v>1171</v>
      </c>
      <c r="B476" t="s">
        <v>1648</v>
      </c>
      <c r="C476" t="str">
        <f>"CONF-"&amp;TEXT(us_core_reqs[[#This Row],[ID*]], "0000")</f>
        <v>CONF-0475</v>
      </c>
      <c r="D476" s="11" t="s">
        <v>895</v>
      </c>
      <c r="E476" t="str">
        <f>SUBSTITUTE(us_core_reqs[[#This Row],[URL*]], "https://hl7.org/fhir/us/core/STU8/","")</f>
        <v>StructureDefinition-us-core-practitioner.html#mandatory-and-must-support-data-elements</v>
      </c>
      <c r="F476" s="11" t="s">
        <v>1913</v>
      </c>
      <c r="G476" t="s">
        <v>29</v>
      </c>
      <c r="I476" t="s">
        <v>30</v>
      </c>
      <c r="J476" t="s">
        <v>1171</v>
      </c>
      <c r="K476" t="s">
        <v>1171</v>
      </c>
      <c r="L476" t="s">
        <v>1176</v>
      </c>
      <c r="M476" t="s">
        <v>493</v>
      </c>
      <c r="N476" t="s">
        <v>1171</v>
      </c>
      <c r="O476" t="s">
        <v>1171</v>
      </c>
      <c r="P476" t="s">
        <v>1171</v>
      </c>
      <c r="Q476" t="s">
        <v>1171</v>
      </c>
      <c r="R476" t="str">
        <f>_xlfn.TEXTBEFORE(_xlfn.TEXTAFTER(us_core_reqs[[#This Row],[URL*]],"/",-1),".")</f>
        <v>StructureDefinition-us-core-practitioner</v>
      </c>
      <c r="S476" t="str">
        <f>_xlfn.TEXTAFTER(us_core_reqs[[#This Row],[URL*]],"#",-1)</f>
        <v>mandatory-and-must-support-data-elements</v>
      </c>
      <c r="T476" t="str">
        <f>SUBSTITUTE(SUBSTITUTE(PROPER(SUBSTITUTE(us_core_reqs[[#This Row],[Page]], "-", " "))&amp;": "&amp;PROPER(SUBSTITUTE(us_core_reqs[[#This Row],[Section]], "-", " ")),"Us ","US "), "Uscdi", "USCDI")</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1649</v>
      </c>
      <c r="C477" t="str">
        <f>"CONF-"&amp;TEXT(us_core_reqs[[#This Row],[ID*]], "0000")</f>
        <v>CONF-0476</v>
      </c>
      <c r="D477" s="11" t="s">
        <v>895</v>
      </c>
      <c r="E477" t="str">
        <f>SUBSTITUTE(us_core_reqs[[#This Row],[URL*]], "https://hl7.org/fhir/us/core/STU8/","")</f>
        <v>StructureDefinition-us-core-practitioner.html#mandatory-and-must-support-data-elements</v>
      </c>
      <c r="F477" s="11" t="s">
        <v>2182</v>
      </c>
      <c r="G477" t="s">
        <v>29</v>
      </c>
      <c r="I477" t="s">
        <v>58</v>
      </c>
      <c r="J477" t="s">
        <v>1171</v>
      </c>
      <c r="K477" t="s">
        <v>1171</v>
      </c>
      <c r="L477" t="s">
        <v>1171</v>
      </c>
      <c r="M477" t="s">
        <v>1171</v>
      </c>
      <c r="N477" t="s">
        <v>1171</v>
      </c>
      <c r="O477" t="s">
        <v>1171</v>
      </c>
      <c r="P477" t="s">
        <v>1171</v>
      </c>
      <c r="Q477" t="s">
        <v>1171</v>
      </c>
      <c r="R477" t="str">
        <f>_xlfn.TEXTBEFORE(_xlfn.TEXTAFTER(us_core_reqs[[#This Row],[URL*]],"/",-1),".")</f>
        <v>StructureDefinition-us-core-practitioner</v>
      </c>
      <c r="S477" t="str">
        <f>_xlfn.TEXTAFTER(us_core_reqs[[#This Row],[URL*]],"#",-1)</f>
        <v>mandatory-and-must-support-data-elements</v>
      </c>
      <c r="T477" t="str">
        <f>SUBSTITUTE(SUBSTITUTE(PROPER(SUBSTITUTE(us_core_reqs[[#This Row],[Page]], "-", " "))&amp;": "&amp;PROPER(SUBSTITUTE(us_core_reqs[[#This Row],[Section]], "-", " ")),"Us ","US "), "Uscdi", "USCDI")</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1650</v>
      </c>
      <c r="C478" t="str">
        <f>"CONF-"&amp;TEXT(us_core_reqs[[#This Row],[ID*]], "0000")</f>
        <v>CONF-0477</v>
      </c>
      <c r="D478" s="11" t="s">
        <v>895</v>
      </c>
      <c r="E478" t="str">
        <f>SUBSTITUTE(us_core_reqs[[#This Row],[URL*]], "https://hl7.org/fhir/us/core/STU8/","")</f>
        <v>StructureDefinition-us-core-practitioner.html#mandatory-and-must-support-data-elements</v>
      </c>
      <c r="F478" s="11" t="s">
        <v>2017</v>
      </c>
      <c r="G478" t="s">
        <v>32</v>
      </c>
      <c r="I478" t="s">
        <v>30</v>
      </c>
      <c r="J478" t="s">
        <v>1171</v>
      </c>
      <c r="K478" t="s">
        <v>1171</v>
      </c>
      <c r="L478" t="s">
        <v>1173</v>
      </c>
      <c r="M478" t="s">
        <v>1171</v>
      </c>
      <c r="N478" t="s">
        <v>1171</v>
      </c>
      <c r="O478" t="s">
        <v>1171</v>
      </c>
      <c r="P478" t="s">
        <v>1171</v>
      </c>
      <c r="Q478" t="s">
        <v>1171</v>
      </c>
      <c r="R478" t="str">
        <f>_xlfn.TEXTBEFORE(_xlfn.TEXTAFTER(us_core_reqs[[#This Row],[URL*]],"/",-1),".")</f>
        <v>StructureDefinition-us-core-practitioner</v>
      </c>
      <c r="S478" t="str">
        <f>_xlfn.TEXTAFTER(us_core_reqs[[#This Row],[URL*]],"#",-1)</f>
        <v>mandatory-and-must-support-data-elements</v>
      </c>
      <c r="T478" t="str">
        <f>SUBSTITUTE(SUBSTITUTE(PROPER(SUBSTITUTE(us_core_reqs[[#This Row],[Page]], "-", " "))&amp;": "&amp;PROPER(SUBSTITUTE(us_core_reqs[[#This Row],[Section]], "-", " ")),"Us ","US "), "Uscdi", "USCDI")</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102" x14ac:dyDescent="0.2">
      <c r="A479" t="s">
        <v>1171</v>
      </c>
      <c r="B479" t="s">
        <v>1651</v>
      </c>
      <c r="C479" t="str">
        <f>"CONF-"&amp;TEXT(us_core_reqs[[#This Row],[ID*]], "0000")</f>
        <v>CONF-0478</v>
      </c>
      <c r="D479" s="11" t="s">
        <v>895</v>
      </c>
      <c r="E479" t="str">
        <f>SUBSTITUTE(us_core_reqs[[#This Row],[URL*]], "https://hl7.org/fhir/us/core/STU8/","")</f>
        <v>StructureDefinition-us-core-practitioner.html#mandatory-and-must-support-data-elements</v>
      </c>
      <c r="F479" s="11" t="s">
        <v>2018</v>
      </c>
      <c r="G479" t="s">
        <v>32</v>
      </c>
      <c r="I479" t="s">
        <v>30</v>
      </c>
      <c r="J479" t="s">
        <v>1171</v>
      </c>
      <c r="K479" t="s">
        <v>1171</v>
      </c>
      <c r="L479" t="s">
        <v>1173</v>
      </c>
      <c r="M479" t="s">
        <v>1171</v>
      </c>
      <c r="N479" t="s">
        <v>1171</v>
      </c>
      <c r="O479" t="s">
        <v>1171</v>
      </c>
      <c r="P479" t="s">
        <v>1171</v>
      </c>
      <c r="Q479" t="s">
        <v>1171</v>
      </c>
      <c r="R479" t="str">
        <f>_xlfn.TEXTBEFORE(_xlfn.TEXTAFTER(us_core_reqs[[#This Row],[URL*]],"/",-1),".")</f>
        <v>StructureDefinition-us-core-practitioner</v>
      </c>
      <c r="S479" t="str">
        <f>_xlfn.TEXTAFTER(us_core_reqs[[#This Row],[URL*]],"#",-1)</f>
        <v>mandatory-and-must-support-data-elements</v>
      </c>
      <c r="T479" t="str">
        <f>SUBSTITUTE(SUBSTITUTE(PROPER(SUBSTITUTE(us_core_reqs[[#This Row],[Page]], "-", " "))&amp;": "&amp;PROPER(SUBSTITUTE(us_core_reqs[[#This Row],[Section]], "-", " ")),"Us ","US "), "Uscdi", "USCDI")</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1652</v>
      </c>
      <c r="C480" t="str">
        <f>"CONF-"&amp;TEXT(us_core_reqs[[#This Row],[ID*]], "0000")</f>
        <v>CONF-0479</v>
      </c>
      <c r="D480" s="11" t="s">
        <v>807</v>
      </c>
      <c r="E480" t="str">
        <f>SUBSTITUTE(us_core_reqs[[#This Row],[URL*]], "https://hl7.org/fhir/us/core/STU8/","")</f>
        <v>StructureDefinition-us-core-procedure.html#mandatory-and-must-support-data-elements</v>
      </c>
      <c r="F480" s="11" t="s">
        <v>496</v>
      </c>
      <c r="G480" t="s">
        <v>35</v>
      </c>
      <c r="I480" t="s">
        <v>30</v>
      </c>
      <c r="J480" t="s">
        <v>1171</v>
      </c>
      <c r="K480" t="s">
        <v>1171</v>
      </c>
      <c r="L480" t="s">
        <v>1173</v>
      </c>
      <c r="M480" t="s">
        <v>1171</v>
      </c>
      <c r="N480" t="s">
        <v>1171</v>
      </c>
      <c r="O480" t="s">
        <v>1171</v>
      </c>
      <c r="P480" t="s">
        <v>1171</v>
      </c>
      <c r="Q480" t="s">
        <v>1171</v>
      </c>
      <c r="R480" t="str">
        <f>_xlfn.TEXTBEFORE(_xlfn.TEXTAFTER(us_core_reqs[[#This Row],[URL*]],"/",-1),".")</f>
        <v>StructureDefinition-us-core-procedure</v>
      </c>
      <c r="S480" t="str">
        <f>_xlfn.TEXTAFTER(us_core_reqs[[#This Row],[URL*]],"#",-1)</f>
        <v>mandatory-and-must-support-data-elements</v>
      </c>
      <c r="T480" t="str">
        <f>SUBSTITUTE(SUBSTITUTE(PROPER(SUBSTITUTE(us_core_reqs[[#This Row],[Page]], "-", " "))&amp;": "&amp;PROPER(SUBSTITUTE(us_core_reqs[[#This Row],[Section]], "-", " ")),"Us ","US "), "Uscdi", "USCDI")</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1653</v>
      </c>
      <c r="C481" t="str">
        <f>"CONF-"&amp;TEXT(us_core_reqs[[#This Row],[ID*]], "0000")</f>
        <v>CONF-0480</v>
      </c>
      <c r="D481" s="11" t="s">
        <v>807</v>
      </c>
      <c r="E481" t="str">
        <f>SUBSTITUTE(us_core_reqs[[#This Row],[URL*]], "https://hl7.org/fhir/us/core/STU8/","")</f>
        <v>StructureDefinition-us-core-procedure.html#mandatory-and-must-support-data-elements</v>
      </c>
      <c r="F481" s="11" t="s">
        <v>2019</v>
      </c>
      <c r="G481" t="s">
        <v>32</v>
      </c>
      <c r="I481" t="s">
        <v>30</v>
      </c>
      <c r="J481" t="s">
        <v>1171</v>
      </c>
      <c r="K481" t="s">
        <v>1171</v>
      </c>
      <c r="L481" t="s">
        <v>1176</v>
      </c>
      <c r="M481" t="s">
        <v>498</v>
      </c>
      <c r="N481" t="s">
        <v>1171</v>
      </c>
      <c r="O481" t="s">
        <v>1171</v>
      </c>
      <c r="P481" t="s">
        <v>1171</v>
      </c>
      <c r="Q481" t="s">
        <v>1171</v>
      </c>
      <c r="R481" t="str">
        <f>_xlfn.TEXTBEFORE(_xlfn.TEXTAFTER(us_core_reqs[[#This Row],[URL*]],"/",-1),".")</f>
        <v>StructureDefinition-us-core-procedure</v>
      </c>
      <c r="S481" t="str">
        <f>_xlfn.TEXTAFTER(us_core_reqs[[#This Row],[URL*]],"#",-1)</f>
        <v>mandatory-and-must-support-data-elements</v>
      </c>
      <c r="T481" t="str">
        <f>SUBSTITUTE(SUBSTITUTE(PROPER(SUBSTITUTE(us_core_reqs[[#This Row],[Page]], "-", " "))&amp;": "&amp;PROPER(SUBSTITUTE(us_core_reqs[[#This Row],[Section]], "-", " ")),"Us ","US "), "Uscdi", "USCDI")</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1654</v>
      </c>
      <c r="C482" t="str">
        <f>"CONF-"&amp;TEXT(us_core_reqs[[#This Row],[ID*]], "0000")</f>
        <v>CONF-0481</v>
      </c>
      <c r="D482" s="11" t="s">
        <v>807</v>
      </c>
      <c r="E482" t="str">
        <f>SUBSTITUTE(us_core_reqs[[#This Row],[URL*]], "https://hl7.org/fhir/us/core/STU8/","")</f>
        <v>StructureDefinition-us-core-procedure.html#mandatory-and-must-support-data-elements</v>
      </c>
      <c r="F482" s="11" t="s">
        <v>2069</v>
      </c>
      <c r="G482" t="s">
        <v>32</v>
      </c>
      <c r="I482" t="s">
        <v>30</v>
      </c>
      <c r="J482" t="s">
        <v>1171</v>
      </c>
      <c r="K482" t="s">
        <v>1171</v>
      </c>
      <c r="L482" t="s">
        <v>1173</v>
      </c>
      <c r="M482" t="s">
        <v>1171</v>
      </c>
      <c r="N482" t="s">
        <v>1171</v>
      </c>
      <c r="O482" t="s">
        <v>1171</v>
      </c>
      <c r="P482" t="s">
        <v>1171</v>
      </c>
      <c r="Q482" t="s">
        <v>1171</v>
      </c>
      <c r="R482" t="str">
        <f>_xlfn.TEXTBEFORE(_xlfn.TEXTAFTER(us_core_reqs[[#This Row],[URL*]],"/",-1),".")</f>
        <v>StructureDefinition-us-core-procedure</v>
      </c>
      <c r="S482" t="str">
        <f>_xlfn.TEXTAFTER(us_core_reqs[[#This Row],[URL*]],"#",-1)</f>
        <v>mandatory-and-must-support-data-elements</v>
      </c>
      <c r="T482" t="str">
        <f>SUBSTITUTE(SUBSTITUTE(PROPER(SUBSTITUTE(us_core_reqs[[#This Row],[Page]], "-", " "))&amp;": "&amp;PROPER(SUBSTITUTE(us_core_reqs[[#This Row],[Section]], "-", " ")),"Us ","US "), "Uscdi", "USCDI")</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68" x14ac:dyDescent="0.2">
      <c r="A483" t="s">
        <v>1171</v>
      </c>
      <c r="B483" t="s">
        <v>1655</v>
      </c>
      <c r="C483" t="str">
        <f>"CONF-"&amp;TEXT(us_core_reqs[[#This Row],[ID*]], "0000")</f>
        <v>CONF-0482</v>
      </c>
      <c r="D483" s="11" t="s">
        <v>807</v>
      </c>
      <c r="E483" t="str">
        <f>SUBSTITUTE(us_core_reqs[[#This Row],[URL*]], "https://hl7.org/fhir/us/core/STU8/","")</f>
        <v>StructureDefinition-us-core-procedure.html#mandatory-and-must-support-data-elements</v>
      </c>
      <c r="F483" s="11" t="s">
        <v>2183</v>
      </c>
      <c r="G483" t="s">
        <v>29</v>
      </c>
      <c r="I483" t="s">
        <v>30</v>
      </c>
      <c r="J483" t="s">
        <v>1171</v>
      </c>
      <c r="K483" t="s">
        <v>1171</v>
      </c>
      <c r="L483" t="s">
        <v>1176</v>
      </c>
      <c r="M483" t="s">
        <v>500</v>
      </c>
      <c r="N483" t="s">
        <v>1171</v>
      </c>
      <c r="O483" t="s">
        <v>1171</v>
      </c>
      <c r="P483" t="s">
        <v>1171</v>
      </c>
      <c r="Q483" t="s">
        <v>1171</v>
      </c>
      <c r="R483" t="str">
        <f>_xlfn.TEXTBEFORE(_xlfn.TEXTAFTER(us_core_reqs[[#This Row],[URL*]],"/",-1),".")</f>
        <v>StructureDefinition-us-core-procedure</v>
      </c>
      <c r="S483" t="str">
        <f>_xlfn.TEXTAFTER(us_core_reqs[[#This Row],[URL*]],"#",-1)</f>
        <v>mandatory-and-must-support-data-elements</v>
      </c>
      <c r="T483" t="str">
        <f>SUBSTITUTE(SUBSTITUTE(PROPER(SUBSTITUTE(us_core_reqs[[#This Row],[Page]], "-", " "))&amp;": "&amp;PROPER(SUBSTITUTE(us_core_reqs[[#This Row],[Section]], "-", " ")),"Us ","US "), "Uscdi", "USCDI")</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68" x14ac:dyDescent="0.2">
      <c r="A484" t="s">
        <v>1171</v>
      </c>
      <c r="B484" t="s">
        <v>1656</v>
      </c>
      <c r="C484" t="str">
        <f>"CONF-"&amp;TEXT(us_core_reqs[[#This Row],[ID*]], "0000")</f>
        <v>CONF-0483</v>
      </c>
      <c r="D484" s="11" t="s">
        <v>807</v>
      </c>
      <c r="E484" t="str">
        <f>SUBSTITUTE(us_core_reqs[[#This Row],[URL*]], "https://hl7.org/fhir/us/core/STU8/","")</f>
        <v>StructureDefinition-us-core-procedure.html#mandatory-and-must-support-data-elements</v>
      </c>
      <c r="F484" s="11" t="s">
        <v>2184</v>
      </c>
      <c r="G484" t="s">
        <v>29</v>
      </c>
      <c r="I484" t="s">
        <v>58</v>
      </c>
      <c r="J484" t="s">
        <v>1171</v>
      </c>
      <c r="K484" t="s">
        <v>1171</v>
      </c>
      <c r="L484" t="s">
        <v>1176</v>
      </c>
      <c r="M484" t="s">
        <v>500</v>
      </c>
      <c r="N484" t="s">
        <v>1171</v>
      </c>
      <c r="O484" t="s">
        <v>1171</v>
      </c>
      <c r="P484" t="s">
        <v>1171</v>
      </c>
      <c r="Q484" t="s">
        <v>1171</v>
      </c>
      <c r="R484" t="str">
        <f>_xlfn.TEXTBEFORE(_xlfn.TEXTAFTER(us_core_reqs[[#This Row],[URL*]],"/",-1),".")</f>
        <v>StructureDefinition-us-core-procedure</v>
      </c>
      <c r="S484" t="str">
        <f>_xlfn.TEXTAFTER(us_core_reqs[[#This Row],[URL*]],"#",-1)</f>
        <v>mandatory-and-must-support-data-elements</v>
      </c>
      <c r="T484" t="str">
        <f>SUBSTITUTE(SUBSTITUTE(PROPER(SUBSTITUTE(us_core_reqs[[#This Row],[Page]], "-", " "))&amp;": "&amp;PROPER(SUBSTITUTE(us_core_reqs[[#This Row],[Section]], "-", " ")),"Us ","US "), "Uscdi", "USCDI")</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85" x14ac:dyDescent="0.2">
      <c r="A485" t="s">
        <v>1171</v>
      </c>
      <c r="B485" t="s">
        <v>1657</v>
      </c>
      <c r="C485" t="str">
        <f>"CONF-"&amp;TEXT(us_core_reqs[[#This Row],[ID*]], "0000")</f>
        <v>CONF-0484</v>
      </c>
      <c r="D485" s="11" t="s">
        <v>807</v>
      </c>
      <c r="E485" t="str">
        <f>SUBSTITUTE(us_core_reqs[[#This Row],[URL*]], "https://hl7.org/fhir/us/core/STU8/","")</f>
        <v>StructureDefinition-us-core-procedure.html#mandatory-and-must-support-data-elements</v>
      </c>
      <c r="F485" s="11" t="s">
        <v>2185</v>
      </c>
      <c r="G485" t="s">
        <v>29</v>
      </c>
      <c r="I485" t="s">
        <v>30</v>
      </c>
      <c r="J485" t="s">
        <v>1171</v>
      </c>
      <c r="K485" t="s">
        <v>1171</v>
      </c>
      <c r="L485" t="s">
        <v>1176</v>
      </c>
      <c r="M485" t="s">
        <v>1071</v>
      </c>
      <c r="N485" t="s">
        <v>1171</v>
      </c>
      <c r="O485" t="s">
        <v>1171</v>
      </c>
      <c r="P485" t="s">
        <v>1171</v>
      </c>
      <c r="Q485" t="s">
        <v>1171</v>
      </c>
      <c r="R485" t="str">
        <f>_xlfn.TEXTBEFORE(_xlfn.TEXTAFTER(us_core_reqs[[#This Row],[URL*]],"/",-1),".")</f>
        <v>StructureDefinition-us-core-procedure</v>
      </c>
      <c r="S485" t="str">
        <f>_xlfn.TEXTAFTER(us_core_reqs[[#This Row],[URL*]],"#",-1)</f>
        <v>mandatory-and-must-support-data-elements</v>
      </c>
      <c r="T485" t="str">
        <f>SUBSTITUTE(SUBSTITUTE(PROPER(SUBSTITUTE(us_core_reqs[[#This Row],[Page]], "-", " "))&amp;": "&amp;PROPER(SUBSTITUTE(us_core_reqs[[#This Row],[Section]], "-", " ")),"Us ","US "), "Uscdi", "USCDI")</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51" x14ac:dyDescent="0.2">
      <c r="A486" t="s">
        <v>1171</v>
      </c>
      <c r="B486" t="s">
        <v>1658</v>
      </c>
      <c r="C486" t="str">
        <f>"CONF-"&amp;TEXT(us_core_reqs[[#This Row],[ID*]], "0000")</f>
        <v>CONF-0485</v>
      </c>
      <c r="D486" s="11" t="s">
        <v>807</v>
      </c>
      <c r="E486" t="str">
        <f>SUBSTITUTE(us_core_reqs[[#This Row],[URL*]], "https://hl7.org/fhir/us/core/STU8/","")</f>
        <v>StructureDefinition-us-core-procedure.html#mandatory-and-must-support-data-elements</v>
      </c>
      <c r="F486" s="11" t="s">
        <v>2186</v>
      </c>
      <c r="G486" t="s">
        <v>29</v>
      </c>
      <c r="I486" t="s">
        <v>58</v>
      </c>
      <c r="J486" t="s">
        <v>1171</v>
      </c>
      <c r="K486" t="s">
        <v>1171</v>
      </c>
      <c r="L486" t="s">
        <v>1176</v>
      </c>
      <c r="M486" t="s">
        <v>500</v>
      </c>
      <c r="N486" t="s">
        <v>1171</v>
      </c>
      <c r="O486" t="s">
        <v>1171</v>
      </c>
      <c r="P486" t="s">
        <v>1171</v>
      </c>
      <c r="Q486" t="s">
        <v>1171</v>
      </c>
      <c r="R486" t="str">
        <f>_xlfn.TEXTBEFORE(_xlfn.TEXTAFTER(us_core_reqs[[#This Row],[URL*]],"/",-1),".")</f>
        <v>StructureDefinition-us-core-procedure</v>
      </c>
      <c r="S486" t="str">
        <f>_xlfn.TEXTAFTER(us_core_reqs[[#This Row],[URL*]],"#",-1)</f>
        <v>mandatory-and-must-support-data-elements</v>
      </c>
      <c r="T486" t="str">
        <f>SUBSTITUTE(SUBSTITUTE(PROPER(SUBSTITUTE(us_core_reqs[[#This Row],[Page]], "-", " "))&amp;": "&amp;PROPER(SUBSTITUTE(us_core_reqs[[#This Row],[Section]], "-", " ")),"Us ","US "), "Uscdi", "USCDI")</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68" x14ac:dyDescent="0.2">
      <c r="A487" t="s">
        <v>1171</v>
      </c>
      <c r="B487" t="s">
        <v>1659</v>
      </c>
      <c r="C487" t="str">
        <f>"CONF-"&amp;TEXT(us_core_reqs[[#This Row],[ID*]], "0000")</f>
        <v>CONF-0486</v>
      </c>
      <c r="D487" s="11" t="s">
        <v>807</v>
      </c>
      <c r="E487" t="str">
        <f>SUBSTITUTE(us_core_reqs[[#This Row],[URL*]], "https://hl7.org/fhir/us/core/STU8/","")</f>
        <v>StructureDefinition-us-core-procedure.html#mandatory-and-must-support-data-elements</v>
      </c>
      <c r="F487" s="11" t="s">
        <v>2187</v>
      </c>
      <c r="G487" t="s">
        <v>29</v>
      </c>
      <c r="I487" t="s">
        <v>30</v>
      </c>
      <c r="J487" t="s">
        <v>1171</v>
      </c>
      <c r="K487" t="s">
        <v>1171</v>
      </c>
      <c r="L487" t="s">
        <v>1176</v>
      </c>
      <c r="M487" t="s">
        <v>503</v>
      </c>
      <c r="N487" t="s">
        <v>1171</v>
      </c>
      <c r="O487" t="s">
        <v>1171</v>
      </c>
      <c r="P487" t="s">
        <v>1171</v>
      </c>
      <c r="Q487" t="s">
        <v>1171</v>
      </c>
      <c r="R487" t="str">
        <f>_xlfn.TEXTBEFORE(_xlfn.TEXTAFTER(us_core_reqs[[#This Row],[URL*]],"/",-1),".")</f>
        <v>StructureDefinition-us-core-procedure</v>
      </c>
      <c r="S487" t="str">
        <f>_xlfn.TEXTAFTER(us_core_reqs[[#This Row],[URL*]],"#",-1)</f>
        <v>mandatory-and-must-support-data-elements</v>
      </c>
      <c r="T487" t="str">
        <f>SUBSTITUTE(SUBSTITUTE(PROPER(SUBSTITUTE(us_core_reqs[[#This Row],[Page]], "-", " "))&amp;": "&amp;PROPER(SUBSTITUTE(us_core_reqs[[#This Row],[Section]], "-", " ")),"Us ","US "), "Uscdi", "USCDI")</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68" x14ac:dyDescent="0.2">
      <c r="A488" t="s">
        <v>1171</v>
      </c>
      <c r="B488" t="s">
        <v>1660</v>
      </c>
      <c r="C488" t="str">
        <f>"CONF-"&amp;TEXT(us_core_reqs[[#This Row],[ID*]], "0000")</f>
        <v>CONF-0487</v>
      </c>
      <c r="D488" s="11" t="s">
        <v>807</v>
      </c>
      <c r="E488" t="str">
        <f>SUBSTITUTE(us_core_reqs[[#This Row],[URL*]], "https://hl7.org/fhir/us/core/STU8/","")</f>
        <v>StructureDefinition-us-core-procedure.html#mandatory-and-must-support-data-elements</v>
      </c>
      <c r="F488" s="11" t="s">
        <v>2188</v>
      </c>
      <c r="G488" t="s">
        <v>29</v>
      </c>
      <c r="I488" t="s">
        <v>58</v>
      </c>
      <c r="J488" t="s">
        <v>1171</v>
      </c>
      <c r="K488" t="s">
        <v>1171</v>
      </c>
      <c r="L488" t="s">
        <v>1176</v>
      </c>
      <c r="M488" t="s">
        <v>503</v>
      </c>
      <c r="N488" t="s">
        <v>1171</v>
      </c>
      <c r="O488" t="s">
        <v>1171</v>
      </c>
      <c r="P488" t="s">
        <v>1171</v>
      </c>
      <c r="Q488" t="s">
        <v>1171</v>
      </c>
      <c r="R488" t="str">
        <f>_xlfn.TEXTBEFORE(_xlfn.TEXTAFTER(us_core_reqs[[#This Row],[URL*]],"/",-1),".")</f>
        <v>StructureDefinition-us-core-procedure</v>
      </c>
      <c r="S488" t="str">
        <f>_xlfn.TEXTAFTER(us_core_reqs[[#This Row],[URL*]],"#",-1)</f>
        <v>mandatory-and-must-support-data-elements</v>
      </c>
      <c r="T488" t="str">
        <f>SUBSTITUTE(SUBSTITUTE(PROPER(SUBSTITUTE(us_core_reqs[[#This Row],[Page]], "-", " "))&amp;": "&amp;PROPER(SUBSTITUTE(us_core_reqs[[#This Row],[Section]], "-", " ")),"Us ","US "), "Uscdi", "USCDI")</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102" x14ac:dyDescent="0.2">
      <c r="A489" t="s">
        <v>1171</v>
      </c>
      <c r="B489" t="s">
        <v>1661</v>
      </c>
      <c r="C489" t="str">
        <f>"CONF-"&amp;TEXT(us_core_reqs[[#This Row],[ID*]], "0000")</f>
        <v>CONF-0488</v>
      </c>
      <c r="D489" s="11" t="s">
        <v>807</v>
      </c>
      <c r="E489" t="str">
        <f>SUBSTITUTE(us_core_reqs[[#This Row],[URL*]], "https://hl7.org/fhir/us/core/STU8/","")</f>
        <v>StructureDefinition-us-core-procedure.html#mandatory-and-must-support-data-elements</v>
      </c>
      <c r="F489" s="11" t="s">
        <v>2020</v>
      </c>
      <c r="G489" t="s">
        <v>32</v>
      </c>
      <c r="I489" t="s">
        <v>30</v>
      </c>
      <c r="J489" t="s">
        <v>1171</v>
      </c>
      <c r="K489" t="s">
        <v>1171</v>
      </c>
      <c r="L489" t="s">
        <v>1176</v>
      </c>
      <c r="M489" t="s">
        <v>503</v>
      </c>
      <c r="N489" t="s">
        <v>1171</v>
      </c>
      <c r="O489" t="s">
        <v>1171</v>
      </c>
      <c r="P489" t="s">
        <v>1171</v>
      </c>
      <c r="Q489" t="s">
        <v>1171</v>
      </c>
      <c r="R489" t="str">
        <f>_xlfn.TEXTBEFORE(_xlfn.TEXTAFTER(us_core_reqs[[#This Row],[URL*]],"/",-1),".")</f>
        <v>StructureDefinition-us-core-procedure</v>
      </c>
      <c r="S489" t="str">
        <f>_xlfn.TEXTAFTER(us_core_reqs[[#This Row],[URL*]],"#",-1)</f>
        <v>mandatory-and-must-support-data-elements</v>
      </c>
      <c r="T489" t="str">
        <f>SUBSTITUTE(SUBSTITUTE(PROPER(SUBSTITUTE(us_core_reqs[[#This Row],[Page]], "-", " "))&amp;": "&amp;PROPER(SUBSTITUTE(us_core_reqs[[#This Row],[Section]], "-", " ")),"Us ","US "), "Uscdi", "USCDI")</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1662</v>
      </c>
      <c r="C490" t="str">
        <f>"CONF-"&amp;TEXT(us_core_reqs[[#This Row],[ID*]], "0000")</f>
        <v>CONF-0489</v>
      </c>
      <c r="D490" s="11" t="s">
        <v>898</v>
      </c>
      <c r="E490" t="str">
        <f>SUBSTITUTE(us_core_reqs[[#This Row],[URL*]], "https://hl7.org/fhir/us/core/STU8/","")</f>
        <v>StructureDefinition-us-core-provenance.html#mandatory-and-must-support-data-elements</v>
      </c>
      <c r="F490" s="11" t="s">
        <v>2098</v>
      </c>
      <c r="G490" t="s">
        <v>29</v>
      </c>
      <c r="I490" t="s">
        <v>30</v>
      </c>
      <c r="J490" t="s">
        <v>1171</v>
      </c>
      <c r="K490" t="s">
        <v>1171</v>
      </c>
      <c r="L490" t="s">
        <v>1173</v>
      </c>
      <c r="M490" t="s">
        <v>1171</v>
      </c>
      <c r="N490" t="s">
        <v>1171</v>
      </c>
      <c r="O490" t="s">
        <v>1171</v>
      </c>
      <c r="P490" t="s">
        <v>1171</v>
      </c>
      <c r="Q490" t="s">
        <v>1171</v>
      </c>
      <c r="R490" t="str">
        <f>_xlfn.TEXTBEFORE(_xlfn.TEXTAFTER(us_core_reqs[[#This Row],[URL*]],"/",-1),".")</f>
        <v>StructureDefinition-us-core-provenance</v>
      </c>
      <c r="S490" t="str">
        <f>_xlfn.TEXTAFTER(us_core_reqs[[#This Row],[URL*]],"#",-1)</f>
        <v>mandatory-and-must-support-data-elements</v>
      </c>
      <c r="T490" t="str">
        <f>SUBSTITUTE(SUBSTITUTE(PROPER(SUBSTITUTE(us_core_reqs[[#This Row],[Page]], "-", " "))&amp;": "&amp;PROPER(SUBSTITUTE(us_core_reqs[[#This Row],[Section]], "-", " ")),"Us ","US "), "Uscdi", "USCDI")</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1663</v>
      </c>
      <c r="C491" t="str">
        <f>"CONF-"&amp;TEXT(us_core_reqs[[#This Row],[ID*]], "0000")</f>
        <v>CONF-0490</v>
      </c>
      <c r="D491" s="11" t="s">
        <v>898</v>
      </c>
      <c r="E491" t="str">
        <f>SUBSTITUTE(us_core_reqs[[#This Row],[URL*]], "https://hl7.org/fhir/us/core/STU8/","")</f>
        <v>StructureDefinition-us-core-provenance.html#mandatory-and-must-support-data-elements</v>
      </c>
      <c r="F491" s="11" t="s">
        <v>2099</v>
      </c>
      <c r="G491" t="s">
        <v>29</v>
      </c>
      <c r="I491" t="s">
        <v>30</v>
      </c>
      <c r="J491" t="s">
        <v>1171</v>
      </c>
      <c r="K491" t="s">
        <v>1171</v>
      </c>
      <c r="L491" t="s">
        <v>1173</v>
      </c>
      <c r="M491" t="s">
        <v>1171</v>
      </c>
      <c r="N491" t="s">
        <v>1171</v>
      </c>
      <c r="O491" t="s">
        <v>1171</v>
      </c>
      <c r="P491" t="s">
        <v>1171</v>
      </c>
      <c r="Q491" t="s">
        <v>1171</v>
      </c>
      <c r="R491" t="str">
        <f>_xlfn.TEXTBEFORE(_xlfn.TEXTAFTER(us_core_reqs[[#This Row],[URL*]],"/",-1),".")</f>
        <v>StructureDefinition-us-core-provenance</v>
      </c>
      <c r="S491" t="str">
        <f>_xlfn.TEXTAFTER(us_core_reqs[[#This Row],[URL*]],"#",-1)</f>
        <v>mandatory-and-must-support-data-elements</v>
      </c>
      <c r="T491" t="str">
        <f>SUBSTITUTE(SUBSTITUTE(PROPER(SUBSTITUTE(us_core_reqs[[#This Row],[Page]], "-", " "))&amp;": "&amp;PROPER(SUBSTITUTE(us_core_reqs[[#This Row],[Section]], "-", " ")),"Us ","US "), "Uscdi", "USCDI")</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1664</v>
      </c>
      <c r="C492" t="str">
        <f>"CONF-"&amp;TEXT(us_core_reqs[[#This Row],[ID*]], "0000")</f>
        <v>CONF-0491</v>
      </c>
      <c r="D492" s="11" t="s">
        <v>898</v>
      </c>
      <c r="E492" t="str">
        <f>SUBSTITUTE(us_core_reqs[[#This Row],[URL*]], "https://hl7.org/fhir/us/core/STU8/","")</f>
        <v>StructureDefinition-us-core-provenance.html#mandatory-and-must-support-data-elements</v>
      </c>
      <c r="F492" s="11" t="s">
        <v>2100</v>
      </c>
      <c r="G492" t="s">
        <v>29</v>
      </c>
      <c r="I492" t="s">
        <v>30</v>
      </c>
      <c r="J492" t="s">
        <v>1171</v>
      </c>
      <c r="K492" t="s">
        <v>1171</v>
      </c>
      <c r="L492" t="s">
        <v>1173</v>
      </c>
      <c r="M492" t="s">
        <v>1171</v>
      </c>
      <c r="N492" t="s">
        <v>1171</v>
      </c>
      <c r="O492" t="s">
        <v>1171</v>
      </c>
      <c r="P492" t="s">
        <v>1171</v>
      </c>
      <c r="Q492" t="s">
        <v>1171</v>
      </c>
      <c r="R492" t="str">
        <f>_xlfn.TEXTBEFORE(_xlfn.TEXTAFTER(us_core_reqs[[#This Row],[URL*]],"/",-1),".")</f>
        <v>StructureDefinition-us-core-provenance</v>
      </c>
      <c r="S492" t="str">
        <f>_xlfn.TEXTAFTER(us_core_reqs[[#This Row],[URL*]],"#",-1)</f>
        <v>mandatory-and-must-support-data-elements</v>
      </c>
      <c r="T492" t="str">
        <f>SUBSTITUTE(SUBSTITUTE(PROPER(SUBSTITUTE(us_core_reqs[[#This Row],[Page]], "-", " "))&amp;": "&amp;PROPER(SUBSTITUTE(us_core_reqs[[#This Row],[Section]], "-", " ")),"Us ","US "), "Uscdi", "USCDI")</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1665</v>
      </c>
      <c r="C493" t="str">
        <f>"CONF-"&amp;TEXT(us_core_reqs[[#This Row],[ID*]], "0000")</f>
        <v>CONF-0492</v>
      </c>
      <c r="D493" s="11" t="s">
        <v>898</v>
      </c>
      <c r="E493" t="str">
        <f>SUBSTITUTE(us_core_reqs[[#This Row],[URL*]], "https://hl7.org/fhir/us/core/STU8/","")</f>
        <v>StructureDefinition-us-core-provenance.html#mandatory-and-must-support-data-elements</v>
      </c>
      <c r="F493" s="11" t="s">
        <v>2101</v>
      </c>
      <c r="G493" t="s">
        <v>29</v>
      </c>
      <c r="I493" t="s">
        <v>30</v>
      </c>
      <c r="J493" t="s">
        <v>1171</v>
      </c>
      <c r="K493" t="s">
        <v>1171</v>
      </c>
      <c r="L493" t="s">
        <v>1173</v>
      </c>
      <c r="M493" t="s">
        <v>1171</v>
      </c>
      <c r="N493" t="s">
        <v>1171</v>
      </c>
      <c r="O493" t="s">
        <v>1171</v>
      </c>
      <c r="P493" t="s">
        <v>1171</v>
      </c>
      <c r="Q493" t="s">
        <v>1171</v>
      </c>
      <c r="R493" t="str">
        <f>_xlfn.TEXTBEFORE(_xlfn.TEXTAFTER(us_core_reqs[[#This Row],[URL*]],"/",-1),".")</f>
        <v>StructureDefinition-us-core-provenance</v>
      </c>
      <c r="S493" t="str">
        <f>_xlfn.TEXTAFTER(us_core_reqs[[#This Row],[URL*]],"#",-1)</f>
        <v>mandatory-and-must-support-data-elements</v>
      </c>
      <c r="T493" t="str">
        <f>SUBSTITUTE(SUBSTITUTE(PROPER(SUBSTITUTE(us_core_reqs[[#This Row],[Page]], "-", " "))&amp;": "&amp;PROPER(SUBSTITUTE(us_core_reqs[[#This Row],[Section]], "-", " ")),"Us ","US "), "Uscdi", "USCDI")</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1666</v>
      </c>
      <c r="C494" t="str">
        <f>"CONF-"&amp;TEXT(us_core_reqs[[#This Row],[ID*]], "0000")</f>
        <v>CONF-0493</v>
      </c>
      <c r="D494" s="11" t="s">
        <v>898</v>
      </c>
      <c r="E494" t="str">
        <f>SUBSTITUTE(us_core_reqs[[#This Row],[URL*]], "https://hl7.org/fhir/us/core/STU8/","")</f>
        <v>StructureDefinition-us-core-provenance.html#mandatory-and-must-support-data-elements</v>
      </c>
      <c r="F494" s="11" t="s">
        <v>2102</v>
      </c>
      <c r="G494" t="s">
        <v>29</v>
      </c>
      <c r="I494" t="s">
        <v>30</v>
      </c>
      <c r="J494" t="s">
        <v>1171</v>
      </c>
      <c r="K494" t="s">
        <v>1171</v>
      </c>
      <c r="L494" t="s">
        <v>1173</v>
      </c>
      <c r="M494" t="s">
        <v>1171</v>
      </c>
      <c r="N494" t="s">
        <v>1171</v>
      </c>
      <c r="O494" t="s">
        <v>1171</v>
      </c>
      <c r="P494" t="s">
        <v>1171</v>
      </c>
      <c r="Q494" t="s">
        <v>1171</v>
      </c>
      <c r="R494" t="str">
        <f>_xlfn.TEXTBEFORE(_xlfn.TEXTAFTER(us_core_reqs[[#This Row],[URL*]],"/",-1),".")</f>
        <v>StructureDefinition-us-core-provenance</v>
      </c>
      <c r="S494" t="str">
        <f>_xlfn.TEXTAFTER(us_core_reqs[[#This Row],[URL*]],"#",-1)</f>
        <v>mandatory-and-must-support-data-elements</v>
      </c>
      <c r="T494" t="str">
        <f>SUBSTITUTE(SUBSTITUTE(PROPER(SUBSTITUTE(us_core_reqs[[#This Row],[Page]], "-", " "))&amp;": "&amp;PROPER(SUBSTITUTE(us_core_reqs[[#This Row],[Section]], "-", " ")),"Us ","US "), "Uscdi", "USCDI")</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1667</v>
      </c>
      <c r="C495" t="str">
        <f>"CONF-"&amp;TEXT(us_core_reqs[[#This Row],[ID*]], "0000")</f>
        <v>CONF-0494</v>
      </c>
      <c r="D495" s="11" t="s">
        <v>898</v>
      </c>
      <c r="E495" t="str">
        <f>SUBSTITUTE(us_core_reqs[[#This Row],[URL*]], "https://hl7.org/fhir/us/core/STU8/","")</f>
        <v>StructureDefinition-us-core-provenance.html#mandatory-and-must-support-data-elements</v>
      </c>
      <c r="F495" s="11" t="s">
        <v>2103</v>
      </c>
      <c r="G495" t="s">
        <v>29</v>
      </c>
      <c r="I495" t="s">
        <v>30</v>
      </c>
      <c r="J495" t="s">
        <v>1171</v>
      </c>
      <c r="K495" t="s">
        <v>1171</v>
      </c>
      <c r="L495" t="s">
        <v>1173</v>
      </c>
      <c r="M495" t="s">
        <v>1171</v>
      </c>
      <c r="N495" t="s">
        <v>1171</v>
      </c>
      <c r="O495" t="s">
        <v>1171</v>
      </c>
      <c r="P495" t="s">
        <v>1171</v>
      </c>
      <c r="Q495" t="s">
        <v>1171</v>
      </c>
      <c r="R495" t="str">
        <f>_xlfn.TEXTBEFORE(_xlfn.TEXTAFTER(us_core_reqs[[#This Row],[URL*]],"/",-1),".")</f>
        <v>StructureDefinition-us-core-provenance</v>
      </c>
      <c r="S495" t="str">
        <f>_xlfn.TEXTAFTER(us_core_reqs[[#This Row],[URL*]],"#",-1)</f>
        <v>mandatory-and-must-support-data-elements</v>
      </c>
      <c r="T495" t="str">
        <f>SUBSTITUTE(SUBSTITUTE(PROPER(SUBSTITUTE(us_core_reqs[[#This Row],[Page]], "-", " "))&amp;": "&amp;PROPER(SUBSTITUTE(us_core_reqs[[#This Row],[Section]], "-", " ")),"Us ","US "), "Uscdi", "USCDI")</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1668</v>
      </c>
      <c r="C496" t="str">
        <f>"CONF-"&amp;TEXT(us_core_reqs[[#This Row],[ID*]], "0000")</f>
        <v>CONF-0495</v>
      </c>
      <c r="D496" s="11" t="s">
        <v>898</v>
      </c>
      <c r="E496" t="str">
        <f>SUBSTITUTE(us_core_reqs[[#This Row],[URL*]], "https://hl7.org/fhir/us/core/STU8/","")</f>
        <v>StructureDefinition-us-core-provenance.html#mandatory-and-must-support-data-elements</v>
      </c>
      <c r="F496" s="11" t="s">
        <v>2104</v>
      </c>
      <c r="G496" t="s">
        <v>29</v>
      </c>
      <c r="I496" t="s">
        <v>30</v>
      </c>
      <c r="J496" t="s">
        <v>1171</v>
      </c>
      <c r="K496" t="s">
        <v>1171</v>
      </c>
      <c r="L496" t="s">
        <v>1173</v>
      </c>
      <c r="M496" t="s">
        <v>1171</v>
      </c>
      <c r="N496" t="s">
        <v>1171</v>
      </c>
      <c r="O496" t="s">
        <v>1171</v>
      </c>
      <c r="P496" t="s">
        <v>1171</v>
      </c>
      <c r="Q496" t="s">
        <v>1171</v>
      </c>
      <c r="R496" t="str">
        <f>_xlfn.TEXTBEFORE(_xlfn.TEXTAFTER(us_core_reqs[[#This Row],[URL*]],"/",-1),".")</f>
        <v>StructureDefinition-us-core-provenance</v>
      </c>
      <c r="S496" t="str">
        <f>_xlfn.TEXTAFTER(us_core_reqs[[#This Row],[URL*]],"#",-1)</f>
        <v>mandatory-and-must-support-data-elements</v>
      </c>
      <c r="T496" t="str">
        <f>SUBSTITUTE(SUBSTITUTE(PROPER(SUBSTITUTE(us_core_reqs[[#This Row],[Page]], "-", " "))&amp;": "&amp;PROPER(SUBSTITUTE(us_core_reqs[[#This Row],[Section]], "-", " ")),"Us ","US "), "Uscdi", "USCDI")</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1669</v>
      </c>
      <c r="C497" t="str">
        <f>"CONF-"&amp;TEXT(us_core_reqs[[#This Row],[ID*]], "0000")</f>
        <v>CONF-0496</v>
      </c>
      <c r="D497" s="11" t="s">
        <v>898</v>
      </c>
      <c r="E497" t="str">
        <f>SUBSTITUTE(us_core_reqs[[#This Row],[URL*]], "https://hl7.org/fhir/us/core/STU8/","")</f>
        <v>StructureDefinition-us-core-provenance.html#mandatory-and-must-support-data-elements</v>
      </c>
      <c r="F497" s="11" t="s">
        <v>2105</v>
      </c>
      <c r="G497" t="s">
        <v>29</v>
      </c>
      <c r="I497" t="s">
        <v>30</v>
      </c>
      <c r="J497" t="s">
        <v>1171</v>
      </c>
      <c r="K497" t="s">
        <v>1171</v>
      </c>
      <c r="L497" t="s">
        <v>1173</v>
      </c>
      <c r="M497" t="s">
        <v>1171</v>
      </c>
      <c r="N497" t="s">
        <v>1171</v>
      </c>
      <c r="O497" t="s">
        <v>1171</v>
      </c>
      <c r="P497" t="s">
        <v>1171</v>
      </c>
      <c r="Q497" t="s">
        <v>1171</v>
      </c>
      <c r="R497" t="str">
        <f>_xlfn.TEXTBEFORE(_xlfn.TEXTAFTER(us_core_reqs[[#This Row],[URL*]],"/",-1),".")</f>
        <v>StructureDefinition-us-core-provenance</v>
      </c>
      <c r="S497" t="str">
        <f>_xlfn.TEXTAFTER(us_core_reqs[[#This Row],[URL*]],"#",-1)</f>
        <v>mandatory-and-must-support-data-elements</v>
      </c>
      <c r="T497" t="str">
        <f>SUBSTITUTE(SUBSTITUTE(PROPER(SUBSTITUTE(us_core_reqs[[#This Row],[Page]], "-", " "))&amp;": "&amp;PROPER(SUBSTITUTE(us_core_reqs[[#This Row],[Section]], "-", " ")),"Us ","US "), "Uscdi", "USCDI")</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1670</v>
      </c>
      <c r="C498" t="str">
        <f>"CONF-"&amp;TEXT(us_core_reqs[[#This Row],[ID*]], "0000")</f>
        <v>CONF-0497</v>
      </c>
      <c r="D498" s="11" t="s">
        <v>898</v>
      </c>
      <c r="E498" t="str">
        <f>SUBSTITUTE(us_core_reqs[[#This Row],[URL*]], "https://hl7.org/fhir/us/core/STU8/","")</f>
        <v>StructureDefinition-us-core-provenance.html#mandatory-and-must-support-data-elements</v>
      </c>
      <c r="F498" s="11" t="s">
        <v>2106</v>
      </c>
      <c r="G498" t="s">
        <v>29</v>
      </c>
      <c r="I498" t="s">
        <v>30</v>
      </c>
      <c r="J498" t="s">
        <v>1171</v>
      </c>
      <c r="K498" t="s">
        <v>1171</v>
      </c>
      <c r="L498" t="s">
        <v>1173</v>
      </c>
      <c r="M498" t="s">
        <v>1171</v>
      </c>
      <c r="N498" t="s">
        <v>1171</v>
      </c>
      <c r="O498" t="s">
        <v>1171</v>
      </c>
      <c r="P498" t="s">
        <v>1171</v>
      </c>
      <c r="Q498" t="s">
        <v>1171</v>
      </c>
      <c r="R498" t="str">
        <f>_xlfn.TEXTBEFORE(_xlfn.TEXTAFTER(us_core_reqs[[#This Row],[URL*]],"/",-1),".")</f>
        <v>StructureDefinition-us-core-provenance</v>
      </c>
      <c r="S498" t="str">
        <f>_xlfn.TEXTAFTER(us_core_reqs[[#This Row],[URL*]],"#",-1)</f>
        <v>mandatory-and-must-support-data-elements</v>
      </c>
      <c r="T498" t="str">
        <f>SUBSTITUTE(SUBSTITUTE(PROPER(SUBSTITUTE(us_core_reqs[[#This Row],[Page]], "-", " "))&amp;": "&amp;PROPER(SUBSTITUTE(us_core_reqs[[#This Row],[Section]], "-", " ")),"Us ","US "), "Uscdi", "USCDI")</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1671</v>
      </c>
      <c r="C499" t="str">
        <f>"CONF-"&amp;TEXT(us_core_reqs[[#This Row],[ID*]], "0000")</f>
        <v>CONF-0498</v>
      </c>
      <c r="D499" s="11" t="s">
        <v>898</v>
      </c>
      <c r="E499" t="str">
        <f>SUBSTITUTE(us_core_reqs[[#This Row],[URL*]], "https://hl7.org/fhir/us/core/STU8/","")</f>
        <v>StructureDefinition-us-core-provenance.html#mandatory-and-must-support-data-elements</v>
      </c>
      <c r="F499" s="11" t="s">
        <v>2107</v>
      </c>
      <c r="G499" t="s">
        <v>29</v>
      </c>
      <c r="I499" t="s">
        <v>30</v>
      </c>
      <c r="J499" t="s">
        <v>1171</v>
      </c>
      <c r="K499" t="s">
        <v>1171</v>
      </c>
      <c r="L499" t="s">
        <v>1173</v>
      </c>
      <c r="M499" t="s">
        <v>1171</v>
      </c>
      <c r="N499" t="s">
        <v>1171</v>
      </c>
      <c r="O499" t="s">
        <v>1171</v>
      </c>
      <c r="P499" t="s">
        <v>1171</v>
      </c>
      <c r="Q499" t="s">
        <v>1171</v>
      </c>
      <c r="R499" t="str">
        <f>_xlfn.TEXTBEFORE(_xlfn.TEXTAFTER(us_core_reqs[[#This Row],[URL*]],"/",-1),".")</f>
        <v>StructureDefinition-us-core-provenance</v>
      </c>
      <c r="S499" t="str">
        <f>_xlfn.TEXTAFTER(us_core_reqs[[#This Row],[URL*]],"#",-1)</f>
        <v>mandatory-and-must-support-data-elements</v>
      </c>
      <c r="T499" t="str">
        <f>SUBSTITUTE(SUBSTITUTE(PROPER(SUBSTITUTE(us_core_reqs[[#This Row],[Page]], "-", " "))&amp;": "&amp;PROPER(SUBSTITUTE(us_core_reqs[[#This Row],[Section]], "-", " ")),"Us ","US "), "Uscdi", "USCDI")</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1672</v>
      </c>
      <c r="C500" t="str">
        <f>"CONF-"&amp;TEXT(us_core_reqs[[#This Row],[ID*]], "0000")</f>
        <v>CONF-0499</v>
      </c>
      <c r="D500" s="11" t="s">
        <v>898</v>
      </c>
      <c r="E500" t="str">
        <f>SUBSTITUTE(us_core_reqs[[#This Row],[URL*]], "https://hl7.org/fhir/us/core/STU8/","")</f>
        <v>StructureDefinition-us-core-provenance.html#mandatory-and-must-support-data-elements</v>
      </c>
      <c r="F500" s="11" t="s">
        <v>2108</v>
      </c>
      <c r="G500" t="s">
        <v>29</v>
      </c>
      <c r="I500" t="s">
        <v>30</v>
      </c>
      <c r="J500" t="s">
        <v>1171</v>
      </c>
      <c r="K500" t="s">
        <v>1171</v>
      </c>
      <c r="L500" t="s">
        <v>1173</v>
      </c>
      <c r="M500" t="s">
        <v>1171</v>
      </c>
      <c r="N500" t="s">
        <v>1171</v>
      </c>
      <c r="O500" t="s">
        <v>1171</v>
      </c>
      <c r="P500" t="s">
        <v>1171</v>
      </c>
      <c r="Q500" t="s">
        <v>1171</v>
      </c>
      <c r="R500" t="str">
        <f>_xlfn.TEXTBEFORE(_xlfn.TEXTAFTER(us_core_reqs[[#This Row],[URL*]],"/",-1),".")</f>
        <v>StructureDefinition-us-core-provenance</v>
      </c>
      <c r="S500" t="str">
        <f>_xlfn.TEXTAFTER(us_core_reqs[[#This Row],[URL*]],"#",-1)</f>
        <v>mandatory-and-must-support-data-elements</v>
      </c>
      <c r="T500" t="str">
        <f>SUBSTITUTE(SUBSTITUTE(PROPER(SUBSTITUTE(us_core_reqs[[#This Row],[Page]], "-", " "))&amp;": "&amp;PROPER(SUBSTITUTE(us_core_reqs[[#This Row],[Section]], "-", " ")),"Us ","US "), "Uscdi", "USCDI")</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1673</v>
      </c>
      <c r="C501" t="str">
        <f>"CONF-"&amp;TEXT(us_core_reqs[[#This Row],[ID*]], "0000")</f>
        <v>CONF-0500</v>
      </c>
      <c r="D501" s="11" t="s">
        <v>898</v>
      </c>
      <c r="E501" t="str">
        <f>SUBSTITUTE(us_core_reqs[[#This Row],[URL*]], "https://hl7.org/fhir/us/core/STU8/","")</f>
        <v>StructureDefinition-us-core-provenance.html#mandatory-and-must-support-data-elements</v>
      </c>
      <c r="F501" s="11" t="s">
        <v>2109</v>
      </c>
      <c r="G501" t="s">
        <v>29</v>
      </c>
      <c r="I501" t="s">
        <v>30</v>
      </c>
      <c r="J501" t="s">
        <v>1171</v>
      </c>
      <c r="K501" t="s">
        <v>1171</v>
      </c>
      <c r="L501" t="s">
        <v>1173</v>
      </c>
      <c r="M501" t="s">
        <v>1171</v>
      </c>
      <c r="N501" t="s">
        <v>1171</v>
      </c>
      <c r="O501" t="s">
        <v>1171</v>
      </c>
      <c r="P501" t="s">
        <v>1171</v>
      </c>
      <c r="Q501" t="s">
        <v>1171</v>
      </c>
      <c r="R501" t="str">
        <f>_xlfn.TEXTBEFORE(_xlfn.TEXTAFTER(us_core_reqs[[#This Row],[URL*]],"/",-1),".")</f>
        <v>StructureDefinition-us-core-provenance</v>
      </c>
      <c r="S501" t="str">
        <f>_xlfn.TEXTAFTER(us_core_reqs[[#This Row],[URL*]],"#",-1)</f>
        <v>mandatory-and-must-support-data-elements</v>
      </c>
      <c r="T501" t="str">
        <f>SUBSTITUTE(SUBSTITUTE(PROPER(SUBSTITUTE(us_core_reqs[[#This Row],[Page]], "-", " "))&amp;": "&amp;PROPER(SUBSTITUTE(us_core_reqs[[#This Row],[Section]], "-", " ")),"Us ","US "), "Uscdi", "USCDI")</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1674</v>
      </c>
      <c r="C502" t="str">
        <f>"CONF-"&amp;TEXT(us_core_reqs[[#This Row],[ID*]], "0000")</f>
        <v>CONF-0501</v>
      </c>
      <c r="D502" s="11" t="s">
        <v>898</v>
      </c>
      <c r="E502" t="str">
        <f>SUBSTITUTE(us_core_reqs[[#This Row],[URL*]], "https://hl7.org/fhir/us/core/STU8/","")</f>
        <v>StructureDefinition-us-core-provenance.html#mandatory-and-must-support-data-elements</v>
      </c>
      <c r="F502" s="11" t="s">
        <v>2110</v>
      </c>
      <c r="G502" t="s">
        <v>29</v>
      </c>
      <c r="I502" t="s">
        <v>30</v>
      </c>
      <c r="J502" t="s">
        <v>1171</v>
      </c>
      <c r="K502" t="s">
        <v>1171</v>
      </c>
      <c r="L502" t="s">
        <v>1173</v>
      </c>
      <c r="M502" t="s">
        <v>1171</v>
      </c>
      <c r="N502" t="s">
        <v>1171</v>
      </c>
      <c r="O502" t="s">
        <v>1171</v>
      </c>
      <c r="P502" t="s">
        <v>1171</v>
      </c>
      <c r="Q502" t="s">
        <v>1171</v>
      </c>
      <c r="R502" t="str">
        <f>_xlfn.TEXTBEFORE(_xlfn.TEXTAFTER(us_core_reqs[[#This Row],[URL*]],"/",-1),".")</f>
        <v>StructureDefinition-us-core-provenance</v>
      </c>
      <c r="S502" t="str">
        <f>_xlfn.TEXTAFTER(us_core_reqs[[#This Row],[URL*]],"#",-1)</f>
        <v>mandatory-and-must-support-data-elements</v>
      </c>
      <c r="T502" t="str">
        <f>SUBSTITUTE(SUBSTITUTE(PROPER(SUBSTITUTE(us_core_reqs[[#This Row],[Page]], "-", " "))&amp;": "&amp;PROPER(SUBSTITUTE(us_core_reqs[[#This Row],[Section]], "-", " ")),"Us ","US "), "Uscdi", "USCDI")</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1675</v>
      </c>
      <c r="C503" t="str">
        <f>"CONF-"&amp;TEXT(us_core_reqs[[#This Row],[ID*]], "0000")</f>
        <v>CONF-0502</v>
      </c>
      <c r="D503" s="11" t="s">
        <v>898</v>
      </c>
      <c r="E503" t="str">
        <f>SUBSTITUTE(us_core_reqs[[#This Row],[URL*]], "https://hl7.org/fhir/us/core/STU8/","")</f>
        <v>StructureDefinition-us-core-provenance.html#mandatory-and-must-support-data-elements</v>
      </c>
      <c r="F503" s="11" t="s">
        <v>2111</v>
      </c>
      <c r="G503" t="s">
        <v>29</v>
      </c>
      <c r="I503" t="s">
        <v>30</v>
      </c>
      <c r="J503" t="s">
        <v>1171</v>
      </c>
      <c r="K503" t="s">
        <v>1171</v>
      </c>
      <c r="L503" t="s">
        <v>1173</v>
      </c>
      <c r="M503" t="s">
        <v>1171</v>
      </c>
      <c r="N503" t="s">
        <v>1171</v>
      </c>
      <c r="O503" t="s">
        <v>1171</v>
      </c>
      <c r="P503" t="s">
        <v>1171</v>
      </c>
      <c r="Q503" t="s">
        <v>1171</v>
      </c>
      <c r="R503" t="str">
        <f>_xlfn.TEXTBEFORE(_xlfn.TEXTAFTER(us_core_reqs[[#This Row],[URL*]],"/",-1),".")</f>
        <v>StructureDefinition-us-core-provenance</v>
      </c>
      <c r="S503" t="str">
        <f>_xlfn.TEXTAFTER(us_core_reqs[[#This Row],[URL*]],"#",-1)</f>
        <v>mandatory-and-must-support-data-elements</v>
      </c>
      <c r="T503" t="str">
        <f>SUBSTITUTE(SUBSTITUTE(PROPER(SUBSTITUTE(us_core_reqs[[#This Row],[Page]], "-", " "))&amp;": "&amp;PROPER(SUBSTITUTE(us_core_reqs[[#This Row],[Section]], "-", " ")),"Us ","US "), "Uscdi", "USCDI")</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1676</v>
      </c>
      <c r="C504" t="str">
        <f>"CONF-"&amp;TEXT(us_core_reqs[[#This Row],[ID*]], "0000")</f>
        <v>CONF-0503</v>
      </c>
      <c r="D504" s="11" t="s">
        <v>898</v>
      </c>
      <c r="E504" t="str">
        <f>SUBSTITUTE(us_core_reqs[[#This Row],[URL*]], "https://hl7.org/fhir/us/core/STU8/","")</f>
        <v>StructureDefinition-us-core-provenance.html#mandatory-and-must-support-data-elements</v>
      </c>
      <c r="F504" s="11" t="s">
        <v>2112</v>
      </c>
      <c r="G504" t="s">
        <v>29</v>
      </c>
      <c r="I504" t="s">
        <v>30</v>
      </c>
      <c r="J504" t="s">
        <v>1171</v>
      </c>
      <c r="K504" t="s">
        <v>1171</v>
      </c>
      <c r="L504" t="s">
        <v>1173</v>
      </c>
      <c r="M504" t="s">
        <v>1171</v>
      </c>
      <c r="N504" t="s">
        <v>1171</v>
      </c>
      <c r="O504" t="s">
        <v>1171</v>
      </c>
      <c r="P504" t="s">
        <v>1171</v>
      </c>
      <c r="Q504" t="s">
        <v>1171</v>
      </c>
      <c r="R504" t="str">
        <f>_xlfn.TEXTBEFORE(_xlfn.TEXTAFTER(us_core_reqs[[#This Row],[URL*]],"/",-1),".")</f>
        <v>StructureDefinition-us-core-provenance</v>
      </c>
      <c r="S504" t="str">
        <f>_xlfn.TEXTAFTER(us_core_reqs[[#This Row],[URL*]],"#",-1)</f>
        <v>mandatory-and-must-support-data-elements</v>
      </c>
      <c r="T504" t="str">
        <f>SUBSTITUTE(SUBSTITUTE(PROPER(SUBSTITUTE(us_core_reqs[[#This Row],[Page]], "-", " "))&amp;": "&amp;PROPER(SUBSTITUTE(us_core_reqs[[#This Row],[Section]], "-", " ")),"Us ","US "), "Uscdi", "USCDI")</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1677</v>
      </c>
      <c r="C505" t="str">
        <f>"CONF-"&amp;TEXT(us_core_reqs[[#This Row],[ID*]], "0000")</f>
        <v>CONF-0504</v>
      </c>
      <c r="D505" s="11" t="s">
        <v>898</v>
      </c>
      <c r="E505" t="str">
        <f>SUBSTITUTE(us_core_reqs[[#This Row],[URL*]], "https://hl7.org/fhir/us/core/STU8/","")</f>
        <v>StructureDefinition-us-core-provenance.html#mandatory-and-must-support-data-elements</v>
      </c>
      <c r="F505" s="11" t="s">
        <v>2113</v>
      </c>
      <c r="G505" t="s">
        <v>29</v>
      </c>
      <c r="I505" t="s">
        <v>30</v>
      </c>
      <c r="J505" t="s">
        <v>1171</v>
      </c>
      <c r="K505" t="s">
        <v>1171</v>
      </c>
      <c r="L505" t="s">
        <v>1173</v>
      </c>
      <c r="M505" t="s">
        <v>1171</v>
      </c>
      <c r="N505" t="s">
        <v>1171</v>
      </c>
      <c r="O505" t="s">
        <v>1171</v>
      </c>
      <c r="P505" t="s">
        <v>1171</v>
      </c>
      <c r="Q505" t="s">
        <v>1171</v>
      </c>
      <c r="R505" t="str">
        <f>_xlfn.TEXTBEFORE(_xlfn.TEXTAFTER(us_core_reqs[[#This Row],[URL*]],"/",-1),".")</f>
        <v>StructureDefinition-us-core-provenance</v>
      </c>
      <c r="S505" t="str">
        <f>_xlfn.TEXTAFTER(us_core_reqs[[#This Row],[URL*]],"#",-1)</f>
        <v>mandatory-and-must-support-data-elements</v>
      </c>
      <c r="T505" t="str">
        <f>SUBSTITUTE(SUBSTITUTE(PROPER(SUBSTITUTE(us_core_reqs[[#This Row],[Page]], "-", " "))&amp;": "&amp;PROPER(SUBSTITUTE(us_core_reqs[[#This Row],[Section]], "-", " ")),"Us ","US "), "Uscdi", "USCDI")</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1678</v>
      </c>
      <c r="C506" t="str">
        <f>"CONF-"&amp;TEXT(us_core_reqs[[#This Row],[ID*]], "0000")</f>
        <v>CONF-0505</v>
      </c>
      <c r="D506" s="11" t="s">
        <v>898</v>
      </c>
      <c r="E506" t="str">
        <f>SUBSTITUTE(us_core_reqs[[#This Row],[URL*]], "https://hl7.org/fhir/us/core/STU8/","")</f>
        <v>StructureDefinition-us-core-provenance.html#mandatory-and-must-support-data-elements</v>
      </c>
      <c r="F506" s="11" t="s">
        <v>2114</v>
      </c>
      <c r="G506" t="s">
        <v>29</v>
      </c>
      <c r="I506" t="s">
        <v>30</v>
      </c>
      <c r="J506" t="s">
        <v>1171</v>
      </c>
      <c r="K506" t="s">
        <v>1171</v>
      </c>
      <c r="L506" t="s">
        <v>1173</v>
      </c>
      <c r="M506" t="s">
        <v>1171</v>
      </c>
      <c r="N506" t="s">
        <v>1171</v>
      </c>
      <c r="O506" t="s">
        <v>1171</v>
      </c>
      <c r="P506" t="s">
        <v>1171</v>
      </c>
      <c r="Q506" t="s">
        <v>1171</v>
      </c>
      <c r="R506" t="str">
        <f>_xlfn.TEXTBEFORE(_xlfn.TEXTAFTER(us_core_reqs[[#This Row],[URL*]],"/",-1),".")</f>
        <v>StructureDefinition-us-core-provenance</v>
      </c>
      <c r="S506" t="str">
        <f>_xlfn.TEXTAFTER(us_core_reqs[[#This Row],[URL*]],"#",-1)</f>
        <v>mandatory-and-must-support-data-elements</v>
      </c>
      <c r="T506" t="str">
        <f>SUBSTITUTE(SUBSTITUTE(PROPER(SUBSTITUTE(us_core_reqs[[#This Row],[Page]], "-", " "))&amp;": "&amp;PROPER(SUBSTITUTE(us_core_reqs[[#This Row],[Section]], "-", " ")),"Us ","US "), "Uscdi", "USCDI")</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1679</v>
      </c>
      <c r="C507" t="str">
        <f>"CONF-"&amp;TEXT(us_core_reqs[[#This Row],[ID*]], "0000")</f>
        <v>CONF-0506</v>
      </c>
      <c r="D507" s="11" t="s">
        <v>898</v>
      </c>
      <c r="E507" t="str">
        <f>SUBSTITUTE(us_core_reqs[[#This Row],[URL*]], "https://hl7.org/fhir/us/core/STU8/","")</f>
        <v>StructureDefinition-us-core-provenance.html#mandatory-and-must-support-data-elements</v>
      </c>
      <c r="F507" s="11" t="s">
        <v>2115</v>
      </c>
      <c r="G507" t="s">
        <v>29</v>
      </c>
      <c r="I507" t="s">
        <v>30</v>
      </c>
      <c r="J507" t="s">
        <v>1171</v>
      </c>
      <c r="K507" t="s">
        <v>1171</v>
      </c>
      <c r="L507" t="s">
        <v>1173</v>
      </c>
      <c r="M507" t="s">
        <v>1171</v>
      </c>
      <c r="N507" t="s">
        <v>1171</v>
      </c>
      <c r="O507" t="s">
        <v>1171</v>
      </c>
      <c r="P507" t="s">
        <v>1171</v>
      </c>
      <c r="Q507" t="s">
        <v>1171</v>
      </c>
      <c r="R507" t="str">
        <f>_xlfn.TEXTBEFORE(_xlfn.TEXTAFTER(us_core_reqs[[#This Row],[URL*]],"/",-1),".")</f>
        <v>StructureDefinition-us-core-provenance</v>
      </c>
      <c r="S507" t="str">
        <f>_xlfn.TEXTAFTER(us_core_reqs[[#This Row],[URL*]],"#",-1)</f>
        <v>mandatory-and-must-support-data-elements</v>
      </c>
      <c r="T507" t="str">
        <f>SUBSTITUTE(SUBSTITUTE(PROPER(SUBSTITUTE(us_core_reqs[[#This Row],[Page]], "-", " "))&amp;": "&amp;PROPER(SUBSTITUTE(us_core_reqs[[#This Row],[Section]], "-", " ")),"Us ","US "), "Uscdi", "USCDI")</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1680</v>
      </c>
      <c r="C508" t="str">
        <f>"CONF-"&amp;TEXT(us_core_reqs[[#This Row],[ID*]], "0000")</f>
        <v>CONF-0507</v>
      </c>
      <c r="D508" s="11" t="s">
        <v>898</v>
      </c>
      <c r="E508" t="str">
        <f>SUBSTITUTE(us_core_reqs[[#This Row],[URL*]], "https://hl7.org/fhir/us/core/STU8/","")</f>
        <v>StructureDefinition-us-core-provenance.html#mandatory-and-must-support-data-elements</v>
      </c>
      <c r="F508" s="11" t="s">
        <v>2116</v>
      </c>
      <c r="G508" t="s">
        <v>29</v>
      </c>
      <c r="I508" t="s">
        <v>30</v>
      </c>
      <c r="J508" t="s">
        <v>1171</v>
      </c>
      <c r="K508" t="s">
        <v>1171</v>
      </c>
      <c r="L508" t="s">
        <v>1173</v>
      </c>
      <c r="M508" t="s">
        <v>1171</v>
      </c>
      <c r="N508" t="s">
        <v>1171</v>
      </c>
      <c r="O508" t="s">
        <v>1171</v>
      </c>
      <c r="P508" t="s">
        <v>1171</v>
      </c>
      <c r="Q508" t="s">
        <v>1171</v>
      </c>
      <c r="R508" t="str">
        <f>_xlfn.TEXTBEFORE(_xlfn.TEXTAFTER(us_core_reqs[[#This Row],[URL*]],"/",-1),".")</f>
        <v>StructureDefinition-us-core-provenance</v>
      </c>
      <c r="S508" t="str">
        <f>_xlfn.TEXTAFTER(us_core_reqs[[#This Row],[URL*]],"#",-1)</f>
        <v>mandatory-and-must-support-data-elements</v>
      </c>
      <c r="T508" t="str">
        <f>SUBSTITUTE(SUBSTITUTE(PROPER(SUBSTITUTE(us_core_reqs[[#This Row],[Page]], "-", " "))&amp;": "&amp;PROPER(SUBSTITUTE(us_core_reqs[[#This Row],[Section]], "-", " ")),"Us ","US "), "Uscdi", "USCDI")</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68" x14ac:dyDescent="0.2">
      <c r="A509" t="s">
        <v>1171</v>
      </c>
      <c r="B509" t="s">
        <v>1681</v>
      </c>
      <c r="C509" t="str">
        <f>"CONF-"&amp;TEXT(us_core_reqs[[#This Row],[ID*]], "0000")</f>
        <v>CONF-0508</v>
      </c>
      <c r="D509" s="11" t="s">
        <v>898</v>
      </c>
      <c r="E509" t="str">
        <f>SUBSTITUTE(us_core_reqs[[#This Row],[URL*]], "https://hl7.org/fhir/us/core/STU8/","")</f>
        <v>StructureDefinition-us-core-provenance.html#mandatory-and-must-support-data-elements</v>
      </c>
      <c r="F509" s="11" t="s">
        <v>2219</v>
      </c>
      <c r="G509" t="s">
        <v>29</v>
      </c>
      <c r="I509" t="s">
        <v>30</v>
      </c>
      <c r="J509" t="s">
        <v>1171</v>
      </c>
      <c r="K509" t="s">
        <v>1171</v>
      </c>
      <c r="L509" t="s">
        <v>1176</v>
      </c>
      <c r="M509" t="s">
        <v>525</v>
      </c>
      <c r="N509" t="s">
        <v>1171</v>
      </c>
      <c r="O509" t="s">
        <v>1171</v>
      </c>
      <c r="P509" t="s">
        <v>1171</v>
      </c>
      <c r="Q509" t="s">
        <v>1171</v>
      </c>
      <c r="R509" t="str">
        <f>_xlfn.TEXTBEFORE(_xlfn.TEXTAFTER(us_core_reqs[[#This Row],[URL*]],"/",-1),".")</f>
        <v>StructureDefinition-us-core-provenance</v>
      </c>
      <c r="S509" t="str">
        <f>_xlfn.TEXTAFTER(us_core_reqs[[#This Row],[URL*]],"#",-1)</f>
        <v>mandatory-and-must-support-data-elements</v>
      </c>
      <c r="T509" t="str">
        <f>SUBSTITUTE(SUBSTITUTE(PROPER(SUBSTITUTE(us_core_reqs[[#This Row],[Page]], "-", " "))&amp;": "&amp;PROPER(SUBSTITUTE(us_core_reqs[[#This Row],[Section]], "-", " ")),"Us ","US "), "Uscdi", "USCDI")</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1682</v>
      </c>
      <c r="C510" t="str">
        <f>"CONF-"&amp;TEXT(us_core_reqs[[#This Row],[ID*]], "0000")</f>
        <v>CONF-0509</v>
      </c>
      <c r="D510" s="11" t="s">
        <v>898</v>
      </c>
      <c r="E510" t="str">
        <f>SUBSTITUTE(us_core_reqs[[#This Row],[URL*]], "https://hl7.org/fhir/us/core/STU8/","")</f>
        <v>StructureDefinition-us-core-provenance.html#mandatory-and-must-support-data-elements</v>
      </c>
      <c r="F510" s="11" t="s">
        <v>2232</v>
      </c>
      <c r="G510" t="s">
        <v>35</v>
      </c>
      <c r="I510" t="s">
        <v>30</v>
      </c>
      <c r="J510" t="s">
        <v>1171</v>
      </c>
      <c r="K510" t="s">
        <v>1171</v>
      </c>
      <c r="L510" t="s">
        <v>1176</v>
      </c>
      <c r="M510" t="s">
        <v>527</v>
      </c>
      <c r="N510" t="s">
        <v>1171</v>
      </c>
      <c r="O510" t="s">
        <v>1171</v>
      </c>
      <c r="P510" t="s">
        <v>1171</v>
      </c>
      <c r="Q510" t="s">
        <v>1171</v>
      </c>
      <c r="R510" t="str">
        <f>_xlfn.TEXTBEFORE(_xlfn.TEXTAFTER(us_core_reqs[[#This Row],[URL*]],"/",-1),".")</f>
        <v>StructureDefinition-us-core-provenance</v>
      </c>
      <c r="S510" t="str">
        <f>_xlfn.TEXTAFTER(us_core_reqs[[#This Row],[URL*]],"#",-1)</f>
        <v>mandatory-and-must-support-data-elements</v>
      </c>
      <c r="T510" t="str">
        <f>SUBSTITUTE(SUBSTITUTE(PROPER(SUBSTITUTE(us_core_reqs[[#This Row],[Page]], "-", " "))&amp;": "&amp;PROPER(SUBSTITUTE(us_core_reqs[[#This Row],[Section]], "-", " ")),"Us ","US "), "Uscdi", "USCDI")</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1683</v>
      </c>
      <c r="C511" t="str">
        <f>"CONF-"&amp;TEXT(us_core_reqs[[#This Row],[ID*]], "0000")</f>
        <v>CONF-0510</v>
      </c>
      <c r="D511" s="11" t="s">
        <v>898</v>
      </c>
      <c r="E511" t="str">
        <f>SUBSTITUTE(us_core_reqs[[#This Row],[URL*]], "https://hl7.org/fhir/us/core/STU8/","")</f>
        <v>StructureDefinition-us-core-provenance.html#mandatory-and-must-support-data-elements</v>
      </c>
      <c r="F511" s="11" t="s">
        <v>2021</v>
      </c>
      <c r="G511" t="s">
        <v>32</v>
      </c>
      <c r="I511" t="s">
        <v>30</v>
      </c>
      <c r="J511" t="s">
        <v>1171</v>
      </c>
      <c r="K511" t="s">
        <v>1171</v>
      </c>
      <c r="L511" t="s">
        <v>1173</v>
      </c>
      <c r="M511" t="s">
        <v>1171</v>
      </c>
      <c r="N511" t="s">
        <v>1171</v>
      </c>
      <c r="O511" t="s">
        <v>1171</v>
      </c>
      <c r="P511" t="s">
        <v>1171</v>
      </c>
      <c r="Q511" t="s">
        <v>1171</v>
      </c>
      <c r="R511" t="str">
        <f>_xlfn.TEXTBEFORE(_xlfn.TEXTAFTER(us_core_reqs[[#This Row],[URL*]],"/",-1),".")</f>
        <v>StructureDefinition-us-core-provenance</v>
      </c>
      <c r="S511" t="str">
        <f>_xlfn.TEXTAFTER(us_core_reqs[[#This Row],[URL*]],"#",-1)</f>
        <v>mandatory-and-must-support-data-elements</v>
      </c>
      <c r="T511" t="str">
        <f>SUBSTITUTE(SUBSTITUTE(PROPER(SUBSTITUTE(us_core_reqs[[#This Row],[Page]], "-", " "))&amp;": "&amp;PROPER(SUBSTITUTE(us_core_reqs[[#This Row],[Section]], "-", " ")),"Us ","US "), "Uscdi", "USCDI")</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51" x14ac:dyDescent="0.2">
      <c r="A512" t="s">
        <v>1171</v>
      </c>
      <c r="B512" t="s">
        <v>1684</v>
      </c>
      <c r="C512" t="str">
        <f>"CONF-"&amp;TEXT(us_core_reqs[[#This Row],[ID*]], "0000")</f>
        <v>CONF-0511</v>
      </c>
      <c r="D512" s="11" t="s">
        <v>899</v>
      </c>
      <c r="E512" t="str">
        <f>SUBSTITUTE(us_core_reqs[[#This Row],[URL*]], "https://hl7.org/fhir/us/core/STU8/","")</f>
        <v>StructureDefinition-us-core-questionnaireresponse.html#mandatory-and-must-support-data-elements</v>
      </c>
      <c r="F512" s="11" t="s">
        <v>529</v>
      </c>
      <c r="G512" t="s">
        <v>29</v>
      </c>
      <c r="I512" t="s">
        <v>30</v>
      </c>
      <c r="J512" t="s">
        <v>1171</v>
      </c>
      <c r="K512" t="s">
        <v>1171</v>
      </c>
      <c r="L512" t="s">
        <v>1176</v>
      </c>
      <c r="M512" t="s">
        <v>530</v>
      </c>
      <c r="N512" t="s">
        <v>1171</v>
      </c>
      <c r="O512" t="s">
        <v>1171</v>
      </c>
      <c r="P512" t="s">
        <v>1171</v>
      </c>
      <c r="Q512" t="s">
        <v>1171</v>
      </c>
      <c r="R512" t="str">
        <f>_xlfn.TEXTBEFORE(_xlfn.TEXTAFTER(us_core_reqs[[#This Row],[URL*]],"/",-1),".")</f>
        <v>StructureDefinition-us-core-questionnaireresponse</v>
      </c>
      <c r="S512" t="str">
        <f>_xlfn.TEXTAFTER(us_core_reqs[[#This Row],[URL*]],"#",-1)</f>
        <v>mandatory-and-must-support-data-elements</v>
      </c>
      <c r="T512" t="str">
        <f>SUBSTITUTE(SUBSTITUTE(PROPER(SUBSTITUTE(us_core_reqs[[#This Row],[Page]], "-", " "))&amp;": "&amp;PROPER(SUBSTITUTE(us_core_reqs[[#This Row],[Section]], "-", " ")),"Us ","US "), "Uscdi", "USCDI")</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51" x14ac:dyDescent="0.2">
      <c r="A513" t="s">
        <v>1171</v>
      </c>
      <c r="B513" t="s">
        <v>1685</v>
      </c>
      <c r="C513" t="str">
        <f>"CONF-"&amp;TEXT(us_core_reqs[[#This Row],[ID*]], "0000")</f>
        <v>CONF-0512</v>
      </c>
      <c r="D513" s="11" t="s">
        <v>899</v>
      </c>
      <c r="E513" t="str">
        <f>SUBSTITUTE(us_core_reqs[[#This Row],[URL*]], "https://hl7.org/fhir/us/core/STU8/","")</f>
        <v>StructureDefinition-us-core-questionnaireresponse.html#mandatory-and-must-support-data-elements</v>
      </c>
      <c r="F513" s="11" t="s">
        <v>531</v>
      </c>
      <c r="G513" t="s">
        <v>35</v>
      </c>
      <c r="I513" t="s">
        <v>30</v>
      </c>
      <c r="J513" t="s">
        <v>1171</v>
      </c>
      <c r="K513" t="s">
        <v>1171</v>
      </c>
      <c r="L513" t="s">
        <v>1176</v>
      </c>
      <c r="M513" t="s">
        <v>530</v>
      </c>
      <c r="N513" t="s">
        <v>1171</v>
      </c>
      <c r="O513" t="s">
        <v>1171</v>
      </c>
      <c r="P513" t="s">
        <v>1171</v>
      </c>
      <c r="Q513" t="s">
        <v>1171</v>
      </c>
      <c r="R513" t="str">
        <f>_xlfn.TEXTBEFORE(_xlfn.TEXTAFTER(us_core_reqs[[#This Row],[URL*]],"/",-1),".")</f>
        <v>StructureDefinition-us-core-questionnaireresponse</v>
      </c>
      <c r="S513" t="str">
        <f>_xlfn.TEXTAFTER(us_core_reqs[[#This Row],[URL*]],"#",-1)</f>
        <v>mandatory-and-must-support-data-elements</v>
      </c>
      <c r="T513" t="str">
        <f>SUBSTITUTE(SUBSTITUTE(PROPER(SUBSTITUTE(us_core_reqs[[#This Row],[Page]], "-", " "))&amp;": "&amp;PROPER(SUBSTITUTE(us_core_reqs[[#This Row],[Section]], "-", " ")),"Us ","US "), "Uscdi", "USCDI")</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102" x14ac:dyDescent="0.2">
      <c r="A514" t="s">
        <v>1171</v>
      </c>
      <c r="B514" t="s">
        <v>1686</v>
      </c>
      <c r="C514" t="str">
        <f>"CONF-"&amp;TEXT(us_core_reqs[[#This Row],[ID*]], "0000")</f>
        <v>CONF-0513</v>
      </c>
      <c r="D514" s="11" t="s">
        <v>900</v>
      </c>
      <c r="E514" t="str">
        <f>SUBSTITUTE(us_core_reqs[[#This Row],[URL*]], "https://hl7.org/fhir/us/core/STU8/","")</f>
        <v>StructureDefinition-us-core-relatedperson.html#mandatory-and-must-support-data-elements</v>
      </c>
      <c r="F514" s="11" t="s">
        <v>2022</v>
      </c>
      <c r="G514" t="s">
        <v>32</v>
      </c>
      <c r="I514" t="s">
        <v>30</v>
      </c>
      <c r="J514" t="s">
        <v>1171</v>
      </c>
      <c r="K514" t="s">
        <v>1171</v>
      </c>
      <c r="L514" t="s">
        <v>1173</v>
      </c>
      <c r="M514" t="s">
        <v>1171</v>
      </c>
      <c r="N514" t="s">
        <v>1171</v>
      </c>
      <c r="O514" t="s">
        <v>1171</v>
      </c>
      <c r="P514" t="s">
        <v>1171</v>
      </c>
      <c r="Q514" t="s">
        <v>1171</v>
      </c>
      <c r="R514" t="str">
        <f>_xlfn.TEXTBEFORE(_xlfn.TEXTAFTER(us_core_reqs[[#This Row],[URL*]],"/",-1),".")</f>
        <v>StructureDefinition-us-core-relatedperson</v>
      </c>
      <c r="S514" t="str">
        <f>_xlfn.TEXTAFTER(us_core_reqs[[#This Row],[URL*]],"#",-1)</f>
        <v>mandatory-and-must-support-data-elements</v>
      </c>
      <c r="T514" t="str">
        <f>SUBSTITUTE(SUBSTITUTE(PROPER(SUBSTITUTE(us_core_reqs[[#This Row],[Page]], "-", " "))&amp;": "&amp;PROPER(SUBSTITUTE(us_core_reqs[[#This Row],[Section]], "-", " ")),"Us ","US "), "Uscdi", "USCDI")</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85" x14ac:dyDescent="0.2">
      <c r="A515" t="s">
        <v>1171</v>
      </c>
      <c r="B515" t="s">
        <v>1687</v>
      </c>
      <c r="C515" t="str">
        <f>"CONF-"&amp;TEXT(us_core_reqs[[#This Row],[ID*]], "0000")</f>
        <v>CONF-0514</v>
      </c>
      <c r="D515" s="11" t="s">
        <v>901</v>
      </c>
      <c r="E515" t="str">
        <f>SUBSTITUTE(us_core_reqs[[#This Row],[URL*]], "https://hl7.org/fhir/us/core/STU8/","")</f>
        <v>StructureDefinition-us-core-servicerequest.html#mandatory-and-must-support-data-elements</v>
      </c>
      <c r="F515" s="11" t="s">
        <v>809</v>
      </c>
      <c r="G515" t="s">
        <v>35</v>
      </c>
      <c r="I515" t="s">
        <v>30</v>
      </c>
      <c r="J515" t="s">
        <v>1171</v>
      </c>
      <c r="K515" t="s">
        <v>1171</v>
      </c>
      <c r="L515" t="s">
        <v>1173</v>
      </c>
      <c r="M515" t="s">
        <v>1171</v>
      </c>
      <c r="N515" t="s">
        <v>1171</v>
      </c>
      <c r="O515" t="s">
        <v>1171</v>
      </c>
      <c r="P515" t="s">
        <v>1171</v>
      </c>
      <c r="Q515" t="s">
        <v>1171</v>
      </c>
      <c r="R515" t="str">
        <f>_xlfn.TEXTBEFORE(_xlfn.TEXTAFTER(us_core_reqs[[#This Row],[URL*]],"/",-1),".")</f>
        <v>StructureDefinition-us-core-servicerequest</v>
      </c>
      <c r="S515" t="str">
        <f>_xlfn.TEXTAFTER(us_core_reqs[[#This Row],[URL*]],"#",-1)</f>
        <v>mandatory-and-must-support-data-elements</v>
      </c>
      <c r="T515" t="str">
        <f>SUBSTITUTE(SUBSTITUTE(PROPER(SUBSTITUTE(us_core_reqs[[#This Row],[Page]], "-", " "))&amp;": "&amp;PROPER(SUBSTITUTE(us_core_reqs[[#This Row],[Section]], "-", " ")),"Us ","US "), "Uscdi", "USCDI")</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51" x14ac:dyDescent="0.2">
      <c r="A516" t="s">
        <v>1171</v>
      </c>
      <c r="B516" t="s">
        <v>1688</v>
      </c>
      <c r="C516" t="str">
        <f>"CONF-"&amp;TEXT(us_core_reqs[[#This Row],[ID*]], "0000")</f>
        <v>CONF-0515</v>
      </c>
      <c r="D516" s="11" t="s">
        <v>901</v>
      </c>
      <c r="E516" t="str">
        <f>SUBSTITUTE(us_core_reqs[[#This Row],[URL*]], "https://hl7.org/fhir/us/core/STU8/","")</f>
        <v>StructureDefinition-us-core-servicerequest.html#mandatory-and-must-support-data-elements</v>
      </c>
      <c r="F516" s="11" t="s">
        <v>2023</v>
      </c>
      <c r="G516" t="s">
        <v>32</v>
      </c>
      <c r="I516" t="s">
        <v>30</v>
      </c>
      <c r="J516" t="s">
        <v>1171</v>
      </c>
      <c r="K516" t="s">
        <v>1171</v>
      </c>
      <c r="L516" t="s">
        <v>1173</v>
      </c>
      <c r="M516" t="s">
        <v>1171</v>
      </c>
      <c r="N516" t="s">
        <v>1171</v>
      </c>
      <c r="O516" t="s">
        <v>1171</v>
      </c>
      <c r="P516" t="s">
        <v>1171</v>
      </c>
      <c r="Q516" t="s">
        <v>1171</v>
      </c>
      <c r="R516" t="str">
        <f>_xlfn.TEXTBEFORE(_xlfn.TEXTAFTER(us_core_reqs[[#This Row],[URL*]],"/",-1),".")</f>
        <v>StructureDefinition-us-core-servicerequest</v>
      </c>
      <c r="S516" t="str">
        <f>_xlfn.TEXTAFTER(us_core_reqs[[#This Row],[URL*]],"#",-1)</f>
        <v>mandatory-and-must-support-data-elements</v>
      </c>
      <c r="T516" t="str">
        <f>SUBSTITUTE(SUBSTITUTE(PROPER(SUBSTITUTE(us_core_reqs[[#This Row],[Page]], "-", " "))&amp;": "&amp;PROPER(SUBSTITUTE(us_core_reqs[[#This Row],[Section]], "-", " ")),"Us ","US "), "Uscdi", "USCDI")</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68" x14ac:dyDescent="0.2">
      <c r="A517" t="s">
        <v>1171</v>
      </c>
      <c r="B517" t="s">
        <v>1689</v>
      </c>
      <c r="C517" t="str">
        <f>"CONF-"&amp;TEXT(us_core_reqs[[#This Row],[ID*]], "0000")</f>
        <v>CONF-0516</v>
      </c>
      <c r="D517" s="11" t="s">
        <v>901</v>
      </c>
      <c r="E517" t="str">
        <f>SUBSTITUTE(us_core_reqs[[#This Row],[URL*]], "https://hl7.org/fhir/us/core/STU8/","")</f>
        <v>StructureDefinition-us-core-servicerequest.html#mandatory-and-must-support-data-elements</v>
      </c>
      <c r="F517" s="11" t="s">
        <v>2189</v>
      </c>
      <c r="G517" t="s">
        <v>29</v>
      </c>
      <c r="I517" t="s">
        <v>30</v>
      </c>
      <c r="J517" t="s">
        <v>1171</v>
      </c>
      <c r="K517" t="s">
        <v>1171</v>
      </c>
      <c r="L517" t="s">
        <v>1176</v>
      </c>
      <c r="M517" t="s">
        <v>500</v>
      </c>
      <c r="N517" t="s">
        <v>1171</v>
      </c>
      <c r="O517" t="s">
        <v>1171</v>
      </c>
      <c r="P517" t="s">
        <v>1171</v>
      </c>
      <c r="Q517" t="s">
        <v>1171</v>
      </c>
      <c r="R517" t="str">
        <f>_xlfn.TEXTBEFORE(_xlfn.TEXTAFTER(us_core_reqs[[#This Row],[URL*]],"/",-1),".")</f>
        <v>StructureDefinition-us-core-servicerequest</v>
      </c>
      <c r="S517" t="str">
        <f>_xlfn.TEXTAFTER(us_core_reqs[[#This Row],[URL*]],"#",-1)</f>
        <v>mandatory-and-must-support-data-elements</v>
      </c>
      <c r="T517" t="str">
        <f>SUBSTITUTE(SUBSTITUTE(PROPER(SUBSTITUTE(us_core_reqs[[#This Row],[Page]], "-", " "))&amp;": "&amp;PROPER(SUBSTITUTE(us_core_reqs[[#This Row],[Section]], "-", " ")),"Us ","US "), "Uscdi", "USCDI")</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68" x14ac:dyDescent="0.2">
      <c r="A518" t="s">
        <v>1171</v>
      </c>
      <c r="B518" t="s">
        <v>1690</v>
      </c>
      <c r="C518" t="str">
        <f>"CONF-"&amp;TEXT(us_core_reqs[[#This Row],[ID*]], "0000")</f>
        <v>CONF-0517</v>
      </c>
      <c r="D518" s="11" t="s">
        <v>901</v>
      </c>
      <c r="E518" t="str">
        <f>SUBSTITUTE(us_core_reqs[[#This Row],[URL*]], "https://hl7.org/fhir/us/core/STU8/","")</f>
        <v>StructureDefinition-us-core-servicerequest.html#mandatory-and-must-support-data-elements</v>
      </c>
      <c r="F518" s="11" t="s">
        <v>2190</v>
      </c>
      <c r="G518" t="s">
        <v>29</v>
      </c>
      <c r="I518" t="s">
        <v>58</v>
      </c>
      <c r="J518" t="s">
        <v>1171</v>
      </c>
      <c r="K518" t="s">
        <v>1171</v>
      </c>
      <c r="L518" t="s">
        <v>1176</v>
      </c>
      <c r="M518" t="s">
        <v>500</v>
      </c>
      <c r="N518" t="s">
        <v>1171</v>
      </c>
      <c r="O518" t="s">
        <v>1171</v>
      </c>
      <c r="P518" t="s">
        <v>1171</v>
      </c>
      <c r="Q518" t="s">
        <v>1171</v>
      </c>
      <c r="R518" t="str">
        <f>_xlfn.TEXTBEFORE(_xlfn.TEXTAFTER(us_core_reqs[[#This Row],[URL*]],"/",-1),".")</f>
        <v>StructureDefinition-us-core-servicerequest</v>
      </c>
      <c r="S518" t="str">
        <f>_xlfn.TEXTAFTER(us_core_reqs[[#This Row],[URL*]],"#",-1)</f>
        <v>mandatory-and-must-support-data-elements</v>
      </c>
      <c r="T518" t="str">
        <f>SUBSTITUTE(SUBSTITUTE(PROPER(SUBSTITUTE(us_core_reqs[[#This Row],[Page]], "-", " "))&amp;": "&amp;PROPER(SUBSTITUTE(us_core_reqs[[#This Row],[Section]], "-", " ")),"Us ","US "), "Uscdi", "USCDI")</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85" x14ac:dyDescent="0.2">
      <c r="A519" t="s">
        <v>1171</v>
      </c>
      <c r="B519" t="s">
        <v>1691</v>
      </c>
      <c r="C519" t="str">
        <f>"CONF-"&amp;TEXT(us_core_reqs[[#This Row],[ID*]], "0000")</f>
        <v>CONF-0518</v>
      </c>
      <c r="D519" s="11" t="s">
        <v>901</v>
      </c>
      <c r="E519" t="str">
        <f>SUBSTITUTE(us_core_reqs[[#This Row],[URL*]], "https://hl7.org/fhir/us/core/STU8/","")</f>
        <v>StructureDefinition-us-core-servicerequest.html#mandatory-and-must-support-data-elements</v>
      </c>
      <c r="F519" s="11" t="s">
        <v>2191</v>
      </c>
      <c r="G519" t="s">
        <v>29</v>
      </c>
      <c r="I519" t="s">
        <v>30</v>
      </c>
      <c r="J519" t="s">
        <v>1171</v>
      </c>
      <c r="K519" t="s">
        <v>1171</v>
      </c>
      <c r="L519" t="s">
        <v>1176</v>
      </c>
      <c r="M519" t="s">
        <v>1071</v>
      </c>
      <c r="N519" t="s">
        <v>1171</v>
      </c>
      <c r="O519" t="s">
        <v>1171</v>
      </c>
      <c r="P519" t="s">
        <v>1171</v>
      </c>
      <c r="Q519" t="s">
        <v>1171</v>
      </c>
      <c r="R519" t="str">
        <f>_xlfn.TEXTBEFORE(_xlfn.TEXTAFTER(us_core_reqs[[#This Row],[URL*]],"/",-1),".")</f>
        <v>StructureDefinition-us-core-servicerequest</v>
      </c>
      <c r="S519" t="str">
        <f>_xlfn.TEXTAFTER(us_core_reqs[[#This Row],[URL*]],"#",-1)</f>
        <v>mandatory-and-must-support-data-elements</v>
      </c>
      <c r="T519" t="str">
        <f>SUBSTITUTE(SUBSTITUTE(PROPER(SUBSTITUTE(us_core_reqs[[#This Row],[Page]], "-", " "))&amp;": "&amp;PROPER(SUBSTITUTE(us_core_reqs[[#This Row],[Section]], "-", " ")),"Us ","US "), "Uscdi", "USCDI")</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1692</v>
      </c>
      <c r="C520" t="str">
        <f>"CONF-"&amp;TEXT(us_core_reqs[[#This Row],[ID*]], "0000")</f>
        <v>CONF-0519</v>
      </c>
      <c r="D520" s="11" t="s">
        <v>901</v>
      </c>
      <c r="E520" t="str">
        <f>SUBSTITUTE(us_core_reqs[[#This Row],[URL*]], "https://hl7.org/fhir/us/core/STU8/","")</f>
        <v>StructureDefinition-us-core-servicerequest.html#mandatory-and-must-support-data-elements</v>
      </c>
      <c r="F520" s="11" t="s">
        <v>2192</v>
      </c>
      <c r="G520" t="s">
        <v>29</v>
      </c>
      <c r="I520" t="s">
        <v>58</v>
      </c>
      <c r="J520" t="s">
        <v>1171</v>
      </c>
      <c r="K520" t="s">
        <v>1171</v>
      </c>
      <c r="L520" t="s">
        <v>1176</v>
      </c>
      <c r="M520" t="s">
        <v>500</v>
      </c>
      <c r="N520" t="s">
        <v>1171</v>
      </c>
      <c r="O520" t="s">
        <v>1171</v>
      </c>
      <c r="P520" t="s">
        <v>1171</v>
      </c>
      <c r="Q520" t="s">
        <v>1171</v>
      </c>
      <c r="R520" t="str">
        <f>_xlfn.TEXTBEFORE(_xlfn.TEXTAFTER(us_core_reqs[[#This Row],[URL*]],"/",-1),".")</f>
        <v>StructureDefinition-us-core-servicerequest</v>
      </c>
      <c r="S520" t="str">
        <f>_xlfn.TEXTAFTER(us_core_reqs[[#This Row],[URL*]],"#",-1)</f>
        <v>mandatory-and-must-support-data-elements</v>
      </c>
      <c r="T520" t="str">
        <f>SUBSTITUTE(SUBSTITUTE(PROPER(SUBSTITUTE(us_core_reqs[[#This Row],[Page]], "-", " "))&amp;": "&amp;PROPER(SUBSTITUTE(us_core_reqs[[#This Row],[Section]], "-", " ")),"Us ","US "), "Uscdi", "USCDI")</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68" x14ac:dyDescent="0.2">
      <c r="A521" t="s">
        <v>1171</v>
      </c>
      <c r="B521" t="s">
        <v>1693</v>
      </c>
      <c r="C521" t="str">
        <f>"CONF-"&amp;TEXT(us_core_reqs[[#This Row],[ID*]], "0000")</f>
        <v>CONF-0520</v>
      </c>
      <c r="D521" s="11" t="s">
        <v>901</v>
      </c>
      <c r="E521" t="str">
        <f>SUBSTITUTE(us_core_reqs[[#This Row],[URL*]], "https://hl7.org/fhir/us/core/STU8/","")</f>
        <v>StructureDefinition-us-core-servicerequest.html#mandatory-and-must-support-data-elements</v>
      </c>
      <c r="F521" s="11" t="s">
        <v>2193</v>
      </c>
      <c r="G521" t="s">
        <v>29</v>
      </c>
      <c r="I521" t="s">
        <v>30</v>
      </c>
      <c r="J521" t="s">
        <v>1171</v>
      </c>
      <c r="K521" t="s">
        <v>1171</v>
      </c>
      <c r="L521" t="s">
        <v>1176</v>
      </c>
      <c r="M521" t="s">
        <v>503</v>
      </c>
      <c r="N521" t="s">
        <v>1171</v>
      </c>
      <c r="O521" t="s">
        <v>1171</v>
      </c>
      <c r="P521" t="s">
        <v>1171</v>
      </c>
      <c r="Q521" t="s">
        <v>1171</v>
      </c>
      <c r="R521" t="str">
        <f>_xlfn.TEXTBEFORE(_xlfn.TEXTAFTER(us_core_reqs[[#This Row],[URL*]],"/",-1),".")</f>
        <v>StructureDefinition-us-core-servicerequest</v>
      </c>
      <c r="S521" t="str">
        <f>_xlfn.TEXTAFTER(us_core_reqs[[#This Row],[URL*]],"#",-1)</f>
        <v>mandatory-and-must-support-data-elements</v>
      </c>
      <c r="T521" t="str">
        <f>SUBSTITUTE(SUBSTITUTE(PROPER(SUBSTITUTE(us_core_reqs[[#This Row],[Page]], "-", " "))&amp;": "&amp;PROPER(SUBSTITUTE(us_core_reqs[[#This Row],[Section]], "-", " ")),"Us ","US "), "Uscdi", "USCDI")</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68" x14ac:dyDescent="0.2">
      <c r="A522" t="s">
        <v>1171</v>
      </c>
      <c r="B522" t="s">
        <v>1694</v>
      </c>
      <c r="C522" t="str">
        <f>"CONF-"&amp;TEXT(us_core_reqs[[#This Row],[ID*]], "0000")</f>
        <v>CONF-0521</v>
      </c>
      <c r="D522" s="11" t="s">
        <v>901</v>
      </c>
      <c r="E522" t="str">
        <f>SUBSTITUTE(us_core_reqs[[#This Row],[URL*]], "https://hl7.org/fhir/us/core/STU8/","")</f>
        <v>StructureDefinition-us-core-servicerequest.html#mandatory-and-must-support-data-elements</v>
      </c>
      <c r="F522" s="11" t="s">
        <v>2194</v>
      </c>
      <c r="G522" t="s">
        <v>29</v>
      </c>
      <c r="I522" t="s">
        <v>58</v>
      </c>
      <c r="J522" t="s">
        <v>1171</v>
      </c>
      <c r="K522" t="s">
        <v>1171</v>
      </c>
      <c r="L522" t="s">
        <v>1176</v>
      </c>
      <c r="M522" t="s">
        <v>503</v>
      </c>
      <c r="N522" t="s">
        <v>1171</v>
      </c>
      <c r="O522" t="s">
        <v>1171</v>
      </c>
      <c r="P522" t="s">
        <v>1171</v>
      </c>
      <c r="Q522" t="s">
        <v>1171</v>
      </c>
      <c r="R522" t="str">
        <f>_xlfn.TEXTBEFORE(_xlfn.TEXTAFTER(us_core_reqs[[#This Row],[URL*]],"/",-1),".")</f>
        <v>StructureDefinition-us-core-servicerequest</v>
      </c>
      <c r="S522" t="str">
        <f>_xlfn.TEXTAFTER(us_core_reqs[[#This Row],[URL*]],"#",-1)</f>
        <v>mandatory-and-must-support-data-elements</v>
      </c>
      <c r="T522" t="str">
        <f>SUBSTITUTE(SUBSTITUTE(PROPER(SUBSTITUTE(us_core_reqs[[#This Row],[Page]], "-", " "))&amp;": "&amp;PROPER(SUBSTITUTE(us_core_reqs[[#This Row],[Section]], "-", " ")),"Us ","US "), "Uscdi", "USCDI")</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102" x14ac:dyDescent="0.2">
      <c r="A523" t="s">
        <v>1171</v>
      </c>
      <c r="B523" t="s">
        <v>1695</v>
      </c>
      <c r="C523" t="str">
        <f>"CONF-"&amp;TEXT(us_core_reqs[[#This Row],[ID*]], "0000")</f>
        <v>CONF-0522</v>
      </c>
      <c r="D523" s="11" t="s">
        <v>901</v>
      </c>
      <c r="E523" t="str">
        <f>SUBSTITUTE(us_core_reqs[[#This Row],[URL*]], "https://hl7.org/fhir/us/core/STU8/","")</f>
        <v>StructureDefinition-us-core-servicerequest.html#mandatory-and-must-support-data-elements</v>
      </c>
      <c r="F523" s="11" t="s">
        <v>2024</v>
      </c>
      <c r="G523" t="s">
        <v>32</v>
      </c>
      <c r="I523" t="s">
        <v>30</v>
      </c>
      <c r="J523" t="s">
        <v>1171</v>
      </c>
      <c r="K523" t="s">
        <v>1171</v>
      </c>
      <c r="L523" t="s">
        <v>1176</v>
      </c>
      <c r="M523" t="s">
        <v>503</v>
      </c>
      <c r="N523" t="s">
        <v>1171</v>
      </c>
      <c r="O523" t="s">
        <v>1171</v>
      </c>
      <c r="P523" t="s">
        <v>1171</v>
      </c>
      <c r="Q523" t="s">
        <v>1171</v>
      </c>
      <c r="R523" t="str">
        <f>_xlfn.TEXTBEFORE(_xlfn.TEXTAFTER(us_core_reqs[[#This Row],[URL*]],"/",-1),".")</f>
        <v>StructureDefinition-us-core-servicerequest</v>
      </c>
      <c r="S523" t="str">
        <f>_xlfn.TEXTAFTER(us_core_reqs[[#This Row],[URL*]],"#",-1)</f>
        <v>mandatory-and-must-support-data-elements</v>
      </c>
      <c r="T523" t="str">
        <f>SUBSTITUTE(SUBSTITUTE(PROPER(SUBSTITUTE(us_core_reqs[[#This Row],[Page]], "-", " "))&amp;": "&amp;PROPER(SUBSTITUTE(us_core_reqs[[#This Row],[Section]], "-", " ")),"Us ","US "), "Uscdi", "USCDI")</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1696</v>
      </c>
      <c r="C524" t="str">
        <f>"CONF-"&amp;TEXT(us_core_reqs[[#This Row],[ID*]], "0000")</f>
        <v>CONF-0523</v>
      </c>
      <c r="D524" s="11" t="s">
        <v>903</v>
      </c>
      <c r="E524" t="str">
        <f>SUBSTITUTE(us_core_reqs[[#This Row],[URL*]], "https://hl7.org/fhir/us/core/STU8/","")</f>
        <v>StructureDefinition-us-core-specimen.html#mandatory-and-must-support-data-elements</v>
      </c>
      <c r="F524" s="11" t="s">
        <v>538</v>
      </c>
      <c r="G524" t="s">
        <v>35</v>
      </c>
      <c r="I524" t="s">
        <v>30</v>
      </c>
      <c r="J524" t="s">
        <v>1171</v>
      </c>
      <c r="K524" t="s">
        <v>1171</v>
      </c>
      <c r="L524" t="s">
        <v>1173</v>
      </c>
      <c r="M524" t="s">
        <v>1171</v>
      </c>
      <c r="N524" t="s">
        <v>1171</v>
      </c>
      <c r="O524" t="s">
        <v>1171</v>
      </c>
      <c r="P524" t="s">
        <v>1171</v>
      </c>
      <c r="Q524" t="s">
        <v>1171</v>
      </c>
      <c r="R524" t="str">
        <f>_xlfn.TEXTBEFORE(_xlfn.TEXTAFTER(us_core_reqs[[#This Row],[URL*]],"/",-1),".")</f>
        <v>StructureDefinition-us-core-specimen</v>
      </c>
      <c r="S524" t="str">
        <f>_xlfn.TEXTAFTER(us_core_reqs[[#This Row],[URL*]],"#",-1)</f>
        <v>mandatory-and-must-support-data-elements</v>
      </c>
      <c r="T524" t="str">
        <f>SUBSTITUTE(SUBSTITUTE(PROPER(SUBSTITUTE(us_core_reqs[[#This Row],[Page]], "-", " "))&amp;": "&amp;PROPER(SUBSTITUTE(us_core_reqs[[#This Row],[Section]], "-", " ")),"Us ","US "), "Uscdi", "USCDI")</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1697</v>
      </c>
      <c r="C525" t="str">
        <f>"CONF-"&amp;TEXT(us_core_reqs[[#This Row],[ID*]], "0000")</f>
        <v>CONF-0524</v>
      </c>
      <c r="D525" s="11" t="s">
        <v>903</v>
      </c>
      <c r="E525" t="str">
        <f>SUBSTITUTE(us_core_reqs[[#This Row],[URL*]], "https://hl7.org/fhir/us/core/STU8/","")</f>
        <v>StructureDefinition-us-core-specimen.html#mandatory-and-must-support-data-elements</v>
      </c>
      <c r="F525" s="11" t="s">
        <v>2195</v>
      </c>
      <c r="G525" t="s">
        <v>29</v>
      </c>
      <c r="I525" t="s">
        <v>30</v>
      </c>
      <c r="J525" t="s">
        <v>1171</v>
      </c>
      <c r="K525" t="s">
        <v>1171</v>
      </c>
      <c r="L525" t="s">
        <v>1176</v>
      </c>
      <c r="M525" t="s">
        <v>539</v>
      </c>
      <c r="N525" t="s">
        <v>1171</v>
      </c>
      <c r="O525" t="s">
        <v>1171</v>
      </c>
      <c r="P525" t="s">
        <v>1171</v>
      </c>
      <c r="Q525" t="s">
        <v>1171</v>
      </c>
      <c r="R525" t="str">
        <f>_xlfn.TEXTBEFORE(_xlfn.TEXTAFTER(us_core_reqs[[#This Row],[URL*]],"/",-1),".")</f>
        <v>StructureDefinition-us-core-specimen</v>
      </c>
      <c r="S525" t="str">
        <f>_xlfn.TEXTAFTER(us_core_reqs[[#This Row],[URL*]],"#",-1)</f>
        <v>mandatory-and-must-support-data-elements</v>
      </c>
      <c r="T525" t="str">
        <f>SUBSTITUTE(SUBSTITUTE(PROPER(SUBSTITUTE(us_core_reqs[[#This Row],[Page]], "-", " "))&amp;": "&amp;PROPER(SUBSTITUTE(us_core_reqs[[#This Row],[Section]], "-", " ")),"Us ","US "), "Uscdi", "USCDI")</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1698</v>
      </c>
      <c r="C526" t="str">
        <f>"CONF-"&amp;TEXT(us_core_reqs[[#This Row],[ID*]], "0000")</f>
        <v>CONF-0525</v>
      </c>
      <c r="D526" s="11" t="s">
        <v>903</v>
      </c>
      <c r="E526" t="str">
        <f>SUBSTITUTE(us_core_reqs[[#This Row],[URL*]], "https://hl7.org/fhir/us/core/STU8/","")</f>
        <v>StructureDefinition-us-core-specimen.html#mandatory-and-must-support-data-elements</v>
      </c>
      <c r="F526" s="11" t="s">
        <v>2196</v>
      </c>
      <c r="G526" t="s">
        <v>29</v>
      </c>
      <c r="I526" t="s">
        <v>58</v>
      </c>
      <c r="J526" t="s">
        <v>1171</v>
      </c>
      <c r="K526" t="s">
        <v>1171</v>
      </c>
      <c r="L526" t="s">
        <v>1176</v>
      </c>
      <c r="M526" t="s">
        <v>1171</v>
      </c>
      <c r="N526" t="s">
        <v>1171</v>
      </c>
      <c r="O526" t="s">
        <v>1171</v>
      </c>
      <c r="P526" t="s">
        <v>1171</v>
      </c>
      <c r="Q526" t="s">
        <v>1171</v>
      </c>
      <c r="R526" t="str">
        <f>_xlfn.TEXTBEFORE(_xlfn.TEXTAFTER(us_core_reqs[[#This Row],[URL*]],"/",-1),".")</f>
        <v>StructureDefinition-us-core-specimen</v>
      </c>
      <c r="S526" t="str">
        <f>_xlfn.TEXTAFTER(us_core_reqs[[#This Row],[URL*]],"#",-1)</f>
        <v>mandatory-and-must-support-data-elements</v>
      </c>
      <c r="T526" t="str">
        <f>SUBSTITUTE(SUBSTITUTE(PROPER(SUBSTITUTE(us_core_reqs[[#This Row],[Page]], "-", " "))&amp;": "&amp;PROPER(SUBSTITUTE(us_core_reqs[[#This Row],[Section]], "-", " ")),"Us ","US "), "Uscdi", "USCDI")</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1699</v>
      </c>
      <c r="C527" t="str">
        <f>"CONF-"&amp;TEXT(us_core_reqs[[#This Row],[ID*]], "0000")</f>
        <v>CONF-0526</v>
      </c>
      <c r="D527" s="11" t="s">
        <v>903</v>
      </c>
      <c r="E527" t="str">
        <f>SUBSTITUTE(us_core_reqs[[#This Row],[URL*]], "https://hl7.org/fhir/us/core/STU8/","")</f>
        <v>StructureDefinition-us-core-specimen.html#mandatory-and-must-support-data-elements</v>
      </c>
      <c r="F527" s="11" t="s">
        <v>540</v>
      </c>
      <c r="G527" t="s">
        <v>35</v>
      </c>
      <c r="I527" t="s">
        <v>58</v>
      </c>
      <c r="J527" t="s">
        <v>1171</v>
      </c>
      <c r="K527" t="s">
        <v>1171</v>
      </c>
      <c r="L527" t="s">
        <v>1173</v>
      </c>
      <c r="M527" t="s">
        <v>1171</v>
      </c>
      <c r="N527" t="s">
        <v>1171</v>
      </c>
      <c r="O527" t="s">
        <v>1171</v>
      </c>
      <c r="P527" t="s">
        <v>1171</v>
      </c>
      <c r="Q527" t="s">
        <v>1171</v>
      </c>
      <c r="R527" t="str">
        <f>_xlfn.TEXTBEFORE(_xlfn.TEXTAFTER(us_core_reqs[[#This Row],[URL*]],"/",-1),".")</f>
        <v>StructureDefinition-us-core-specimen</v>
      </c>
      <c r="S527" t="str">
        <f>_xlfn.TEXTAFTER(us_core_reqs[[#This Row],[URL*]],"#",-1)</f>
        <v>mandatory-and-must-support-data-elements</v>
      </c>
      <c r="T527" t="str">
        <f>SUBSTITUTE(SUBSTITUTE(PROPER(SUBSTITUTE(us_core_reqs[[#This Row],[Page]], "-", " "))&amp;": "&amp;PROPER(SUBSTITUTE(us_core_reqs[[#This Row],[Section]], "-", " ")),"Us ","US "), "Uscdi", "USCDI")</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51" x14ac:dyDescent="0.2">
      <c r="A528" t="s">
        <v>1171</v>
      </c>
      <c r="B528" t="s">
        <v>1700</v>
      </c>
      <c r="C528" t="str">
        <f>"CONF-"&amp;TEXT(us_core_reqs[[#This Row],[ID*]], "0000")</f>
        <v>CONF-0527</v>
      </c>
      <c r="D528" s="11" t="s">
        <v>958</v>
      </c>
      <c r="E528" t="str">
        <f>SUBSTITUTE(us_core_reqs[[#This Row],[URL*]], "https://hl7.org/fhir/us/core/STU8/","")</f>
        <v>CapabilityStatement-us-core-Client.html#should_igs</v>
      </c>
      <c r="F528" s="11" t="s">
        <v>2025</v>
      </c>
      <c r="G528" t="s">
        <v>32</v>
      </c>
      <c r="I528" t="s">
        <v>58</v>
      </c>
      <c r="J528" t="s">
        <v>1171</v>
      </c>
      <c r="K528" t="s">
        <v>1171</v>
      </c>
      <c r="L528" t="s">
        <v>1173</v>
      </c>
      <c r="M528" t="s">
        <v>1171</v>
      </c>
      <c r="N528" t="s">
        <v>1171</v>
      </c>
      <c r="O528" t="s">
        <v>1171</v>
      </c>
      <c r="P528" t="s">
        <v>1171</v>
      </c>
      <c r="Q528" t="s">
        <v>1171</v>
      </c>
      <c r="R528" t="str">
        <f>_xlfn.TEXTBEFORE(_xlfn.TEXTAFTER(us_core_reqs[[#This Row],[URL*]],"/",-1),".")</f>
        <v>CapabilityStatement-us-core-Client</v>
      </c>
      <c r="S528" t="str">
        <f>_xlfn.TEXTAFTER(us_core_reqs[[#This Row],[URL*]],"#",-1)</f>
        <v>should_igs</v>
      </c>
      <c r="T528" t="str">
        <f>SUBSTITUTE(SUBSTITUTE(PROPER(SUBSTITUTE(us_core_reqs[[#This Row],[Page]], "-", " "))&amp;": "&amp;PROPER(SUBSTITUTE(us_core_reqs[[#This Row],[Section]], "-", " ")),"Us ","US "), "Uscdi", "USCDI")</f>
        <v>Capabilitystatement US Core Client: Should_Igs</v>
      </c>
      <c r="U528" t="s">
        <v>32</v>
      </c>
      <c r="V528" t="s">
        <v>58</v>
      </c>
      <c r="W528" t="s">
        <v>1171</v>
      </c>
      <c r="X528" t="s">
        <v>1171</v>
      </c>
      <c r="Y528" t="s">
        <v>1171</v>
      </c>
      <c r="Z528" t="s">
        <v>1171</v>
      </c>
      <c r="AA528" t="s">
        <v>1171</v>
      </c>
      <c r="AB528" t="s">
        <v>745</v>
      </c>
      <c r="AC528" t="s">
        <v>1171</v>
      </c>
      <c r="AD528" t="s">
        <v>1171</v>
      </c>
    </row>
    <row r="529" spans="1:30" ht="34" x14ac:dyDescent="0.2">
      <c r="A529" t="s">
        <v>1171</v>
      </c>
      <c r="B529" t="s">
        <v>1701</v>
      </c>
      <c r="C529" t="str">
        <f>"CONF-"&amp;TEXT(us_core_reqs[[#This Row],[ID*]], "0000")</f>
        <v>CONF-0528</v>
      </c>
      <c r="D529" s="11" t="s">
        <v>959</v>
      </c>
      <c r="E529" t="str">
        <f>SUBSTITUTE(us_core_reqs[[#This Row],[URL*]], "https://hl7.org/fhir/us/core/STU8/","")</f>
        <v>CapabilityStatement-us-core-Client.html#behavior</v>
      </c>
      <c r="F529" s="11" t="s">
        <v>2208</v>
      </c>
      <c r="G529" t="s">
        <v>35</v>
      </c>
      <c r="I529" t="s">
        <v>58</v>
      </c>
      <c r="J529" t="s">
        <v>1171</v>
      </c>
      <c r="K529" t="s">
        <v>1171</v>
      </c>
      <c r="L529" t="s">
        <v>1173</v>
      </c>
      <c r="M529" t="s">
        <v>1171</v>
      </c>
      <c r="N529" t="s">
        <v>1171</v>
      </c>
      <c r="O529" t="s">
        <v>1171</v>
      </c>
      <c r="P529" t="s">
        <v>1171</v>
      </c>
      <c r="Q529" t="s">
        <v>1171</v>
      </c>
      <c r="R529" t="str">
        <f>_xlfn.TEXTBEFORE(_xlfn.TEXTAFTER(us_core_reqs[[#This Row],[URL*]],"/",-1),".")</f>
        <v>CapabilityStatement-us-core-Client</v>
      </c>
      <c r="S529" t="str">
        <f>_xlfn.TEXTAFTER(us_core_reqs[[#This Row],[URL*]],"#",-1)</f>
        <v>behavior</v>
      </c>
      <c r="T529" t="str">
        <f>SUBSTITUTE(SUBSTITUTE(PROPER(SUBSTITUTE(us_core_reqs[[#This Row],[Page]], "-", " "))&amp;": "&amp;PROPER(SUBSTITUTE(us_core_reqs[[#This Row],[Section]], "-", " ")),"Us ","US "), "Uscdi", "USCDI")</f>
        <v>Capabilitystatement US Core Client: Behavior</v>
      </c>
      <c r="U529" t="s">
        <v>35</v>
      </c>
      <c r="V529" t="s">
        <v>58</v>
      </c>
      <c r="W529" t="s">
        <v>1171</v>
      </c>
      <c r="X529" t="s">
        <v>1171</v>
      </c>
      <c r="Y529" t="s">
        <v>1171</v>
      </c>
      <c r="Z529" t="s">
        <v>1171</v>
      </c>
      <c r="AA529" t="s">
        <v>1171</v>
      </c>
      <c r="AB529" t="s">
        <v>1171</v>
      </c>
      <c r="AC529" t="s">
        <v>1171</v>
      </c>
      <c r="AD529" t="s">
        <v>1171</v>
      </c>
    </row>
    <row r="530" spans="1:30" ht="34" x14ac:dyDescent="0.2">
      <c r="A530" t="s">
        <v>1171</v>
      </c>
      <c r="B530" t="s">
        <v>1702</v>
      </c>
      <c r="C530" t="str">
        <f>"CONF-"&amp;TEXT(us_core_reqs[[#This Row],[ID*]], "0000")</f>
        <v>CONF-0529</v>
      </c>
      <c r="D530" s="11" t="s">
        <v>959</v>
      </c>
      <c r="E530" t="str">
        <f>SUBSTITUTE(us_core_reqs[[#This Row],[URL*]], "https://hl7.org/fhir/us/core/STU8/","")</f>
        <v>CapabilityStatement-us-core-Client.html#behavior</v>
      </c>
      <c r="F530" s="11" t="s">
        <v>2209</v>
      </c>
      <c r="G530" t="s">
        <v>35</v>
      </c>
      <c r="I530" t="s">
        <v>58</v>
      </c>
      <c r="J530" t="s">
        <v>1171</v>
      </c>
      <c r="K530" t="s">
        <v>1171</v>
      </c>
      <c r="L530" t="s">
        <v>1173</v>
      </c>
      <c r="M530" t="s">
        <v>1171</v>
      </c>
      <c r="N530" t="s">
        <v>1171</v>
      </c>
      <c r="O530" t="s">
        <v>1171</v>
      </c>
      <c r="P530" t="s">
        <v>1171</v>
      </c>
      <c r="Q530" t="s">
        <v>1171</v>
      </c>
      <c r="R530" t="str">
        <f>_xlfn.TEXTBEFORE(_xlfn.TEXTAFTER(us_core_reqs[[#This Row],[URL*]],"/",-1),".")</f>
        <v>CapabilityStatement-us-core-Client</v>
      </c>
      <c r="S530" t="str">
        <f>_xlfn.TEXTAFTER(us_core_reqs[[#This Row],[URL*]],"#",-1)</f>
        <v>behavior</v>
      </c>
      <c r="T530" t="str">
        <f>SUBSTITUTE(SUBSTITUTE(PROPER(SUBSTITUTE(us_core_reqs[[#This Row],[Page]], "-", " "))&amp;": "&amp;PROPER(SUBSTITUTE(us_core_reqs[[#This Row],[Section]], "-", " ")),"Us ","US "), "Uscdi", "USCDI")</f>
        <v>Capabilitystatement US Core Client: Behavior</v>
      </c>
      <c r="U530" t="s">
        <v>35</v>
      </c>
      <c r="V530" t="s">
        <v>58</v>
      </c>
      <c r="W530" t="s">
        <v>1171</v>
      </c>
      <c r="X530" t="s">
        <v>1171</v>
      </c>
      <c r="Y530" t="s">
        <v>1171</v>
      </c>
      <c r="Z530" t="s">
        <v>1171</v>
      </c>
      <c r="AA530" t="s">
        <v>1171</v>
      </c>
      <c r="AB530" t="s">
        <v>1171</v>
      </c>
      <c r="AC530" t="s">
        <v>1171</v>
      </c>
      <c r="AD530" t="s">
        <v>1171</v>
      </c>
    </row>
    <row r="531" spans="1:30" ht="34" x14ac:dyDescent="0.2">
      <c r="A531" t="s">
        <v>1171</v>
      </c>
      <c r="B531" t="s">
        <v>1703</v>
      </c>
      <c r="C531" t="str">
        <f>"CONF-"&amp;TEXT(us_core_reqs[[#This Row],[ID*]], "0000")</f>
        <v>CONF-0530</v>
      </c>
      <c r="D531" s="11" t="s">
        <v>959</v>
      </c>
      <c r="E531" t="str">
        <f>SUBSTITUTE(us_core_reqs[[#This Row],[URL*]], "https://hl7.org/fhir/us/core/STU8/","")</f>
        <v>CapabilityStatement-us-core-Client.html#behavior</v>
      </c>
      <c r="F531" s="11" t="s">
        <v>2210</v>
      </c>
      <c r="G531" t="s">
        <v>35</v>
      </c>
      <c r="I531" t="s">
        <v>58</v>
      </c>
      <c r="J531" t="s">
        <v>1171</v>
      </c>
      <c r="K531" t="s">
        <v>1171</v>
      </c>
      <c r="L531" t="s">
        <v>1173</v>
      </c>
      <c r="M531" t="s">
        <v>1171</v>
      </c>
      <c r="N531" t="s">
        <v>1171</v>
      </c>
      <c r="O531" t="s">
        <v>1171</v>
      </c>
      <c r="P531" t="s">
        <v>1171</v>
      </c>
      <c r="Q531" t="s">
        <v>1171</v>
      </c>
      <c r="R531" t="str">
        <f>_xlfn.TEXTBEFORE(_xlfn.TEXTAFTER(us_core_reqs[[#This Row],[URL*]],"/",-1),".")</f>
        <v>CapabilityStatement-us-core-Client</v>
      </c>
      <c r="S531" t="str">
        <f>_xlfn.TEXTAFTER(us_core_reqs[[#This Row],[URL*]],"#",-1)</f>
        <v>behavior</v>
      </c>
      <c r="T531" t="str">
        <f>SUBSTITUTE(SUBSTITUTE(PROPER(SUBSTITUTE(us_core_reqs[[#This Row],[Page]], "-", " "))&amp;": "&amp;PROPER(SUBSTITUTE(us_core_reqs[[#This Row],[Section]], "-", " ")),"Us ","US "), "Uscdi", "USCDI")</f>
        <v>Capabilitystatement US Core Client: Behavior</v>
      </c>
      <c r="U531" t="s">
        <v>35</v>
      </c>
      <c r="V531" t="s">
        <v>58</v>
      </c>
      <c r="W531" t="s">
        <v>1171</v>
      </c>
      <c r="X531" t="s">
        <v>1171</v>
      </c>
      <c r="Y531" t="s">
        <v>1171</v>
      </c>
      <c r="Z531" t="s">
        <v>1171</v>
      </c>
      <c r="AA531" t="s">
        <v>1171</v>
      </c>
      <c r="AB531" t="s">
        <v>1171</v>
      </c>
      <c r="AC531" t="s">
        <v>1171</v>
      </c>
      <c r="AD531" t="s">
        <v>1171</v>
      </c>
    </row>
    <row r="532" spans="1:30" ht="34" x14ac:dyDescent="0.2">
      <c r="A532" t="s">
        <v>1171</v>
      </c>
      <c r="B532" t="s">
        <v>1704</v>
      </c>
      <c r="C532" t="str">
        <f>"CONF-"&amp;TEXT(us_core_reqs[[#This Row],[ID*]], "0000")</f>
        <v>CONF-0531</v>
      </c>
      <c r="D532" s="11" t="s">
        <v>959</v>
      </c>
      <c r="E532" t="str">
        <f>SUBSTITUTE(us_core_reqs[[#This Row],[URL*]], "https://hl7.org/fhir/us/core/STU8/","")</f>
        <v>CapabilityStatement-us-core-Client.html#behavior</v>
      </c>
      <c r="F532" s="11" t="s">
        <v>2211</v>
      </c>
      <c r="G532" t="s">
        <v>35</v>
      </c>
      <c r="I532" t="s">
        <v>58</v>
      </c>
      <c r="J532" t="s">
        <v>1171</v>
      </c>
      <c r="K532" t="s">
        <v>1171</v>
      </c>
      <c r="L532" t="s">
        <v>1173</v>
      </c>
      <c r="M532" t="s">
        <v>1171</v>
      </c>
      <c r="N532" t="s">
        <v>1171</v>
      </c>
      <c r="O532" t="s">
        <v>1171</v>
      </c>
      <c r="P532" t="s">
        <v>1171</v>
      </c>
      <c r="Q532" t="s">
        <v>1171</v>
      </c>
      <c r="R532" t="str">
        <f>_xlfn.TEXTBEFORE(_xlfn.TEXTAFTER(us_core_reqs[[#This Row],[URL*]],"/",-1),".")</f>
        <v>CapabilityStatement-us-core-Client</v>
      </c>
      <c r="S532" t="str">
        <f>_xlfn.TEXTAFTER(us_core_reqs[[#This Row],[URL*]],"#",-1)</f>
        <v>behavior</v>
      </c>
      <c r="T532" t="str">
        <f>SUBSTITUTE(SUBSTITUTE(PROPER(SUBSTITUTE(us_core_reqs[[#This Row],[Page]], "-", " "))&amp;": "&amp;PROPER(SUBSTITUTE(us_core_reqs[[#This Row],[Section]], "-", " ")),"Us ","US "), "Uscdi", "USCDI")</f>
        <v>Capabilitystatement US Core Client: Behavior</v>
      </c>
      <c r="U532" t="s">
        <v>35</v>
      </c>
      <c r="V532" t="s">
        <v>58</v>
      </c>
      <c r="W532" t="s">
        <v>1171</v>
      </c>
      <c r="X532" t="s">
        <v>1171</v>
      </c>
      <c r="Y532" t="s">
        <v>1171</v>
      </c>
      <c r="Z532" t="s">
        <v>1171</v>
      </c>
      <c r="AA532" t="s">
        <v>1171</v>
      </c>
      <c r="AB532" t="s">
        <v>1171</v>
      </c>
      <c r="AC532" t="s">
        <v>1171</v>
      </c>
      <c r="AD532" t="s">
        <v>1171</v>
      </c>
    </row>
    <row r="533" spans="1:30" ht="51" x14ac:dyDescent="0.2">
      <c r="A533" t="s">
        <v>1171</v>
      </c>
      <c r="B533" t="s">
        <v>1705</v>
      </c>
      <c r="C533" t="str">
        <f>"CONF-"&amp;TEXT(us_core_reqs[[#This Row],[ID*]], "0000")</f>
        <v>CONF-0532</v>
      </c>
      <c r="D533" s="11" t="s">
        <v>1074</v>
      </c>
      <c r="E533" t="str">
        <f>SUBSTITUTE(us_core_reqs[[#This Row],[URL*]], "https://hl7.org/fhir/us/core/STU8/","")</f>
        <v>CapabilityStatement-us-core-Server.html#should_igs</v>
      </c>
      <c r="F533" s="11" t="s">
        <v>2026</v>
      </c>
      <c r="G533" t="s">
        <v>32</v>
      </c>
      <c r="I533" t="s">
        <v>30</v>
      </c>
      <c r="J533" t="s">
        <v>1171</v>
      </c>
      <c r="K533" t="s">
        <v>1171</v>
      </c>
      <c r="L533" t="s">
        <v>1173</v>
      </c>
      <c r="M533" t="s">
        <v>1171</v>
      </c>
      <c r="N533" t="s">
        <v>1171</v>
      </c>
      <c r="O533" t="s">
        <v>1171</v>
      </c>
      <c r="P533" t="s">
        <v>1171</v>
      </c>
      <c r="Q533" t="s">
        <v>1171</v>
      </c>
      <c r="R533" t="str">
        <f>_xlfn.TEXTBEFORE(_xlfn.TEXTAFTER(us_core_reqs[[#This Row],[URL*]],"/",-1),".")</f>
        <v>CapabilityStatement-us-core-Server</v>
      </c>
      <c r="S533" t="str">
        <f>_xlfn.TEXTAFTER(us_core_reqs[[#This Row],[URL*]],"#",-1)</f>
        <v>should_igs</v>
      </c>
      <c r="T533" t="str">
        <f>SUBSTITUTE(SUBSTITUTE(PROPER(SUBSTITUTE(us_core_reqs[[#This Row],[Page]], "-", " "))&amp;": "&amp;PROPER(SUBSTITUTE(us_core_reqs[[#This Row],[Section]], "-", " ")),"Us ","US "), "Uscdi", "USCDI")</f>
        <v>Capabilitystatement US Core Server: Should_Igs</v>
      </c>
      <c r="U533" t="s">
        <v>32</v>
      </c>
      <c r="V533" t="s">
        <v>30</v>
      </c>
      <c r="W533" t="s">
        <v>1171</v>
      </c>
      <c r="X533" t="s">
        <v>1171</v>
      </c>
      <c r="Y533" t="s">
        <v>1171</v>
      </c>
      <c r="Z533" t="s">
        <v>1171</v>
      </c>
      <c r="AA533" t="s">
        <v>1171</v>
      </c>
      <c r="AB533" t="s">
        <v>745</v>
      </c>
      <c r="AC533" t="s">
        <v>1171</v>
      </c>
      <c r="AD533" t="s">
        <v>1171</v>
      </c>
    </row>
    <row r="534" spans="1:30" ht="34" x14ac:dyDescent="0.2">
      <c r="A534" t="s">
        <v>1171</v>
      </c>
      <c r="B534" t="s">
        <v>1706</v>
      </c>
      <c r="C534" t="str">
        <f>"CONF-"&amp;TEXT(us_core_reqs[[#This Row],[ID*]], "0000")</f>
        <v>CONF-0533</v>
      </c>
      <c r="D534" s="11" t="s">
        <v>1075</v>
      </c>
      <c r="E534" t="str">
        <f>SUBSTITUTE(us_core_reqs[[#This Row],[URL*]], "https://hl7.org/fhir/us/core/STU8/","")</f>
        <v>CapabilityStatement-us-core-Server.html#behavior</v>
      </c>
      <c r="F534" s="11" t="s">
        <v>2197</v>
      </c>
      <c r="G534" t="s">
        <v>29</v>
      </c>
      <c r="I534" t="s">
        <v>30</v>
      </c>
      <c r="J534" t="s">
        <v>1171</v>
      </c>
      <c r="K534" t="s">
        <v>1171</v>
      </c>
      <c r="L534" t="s">
        <v>1173</v>
      </c>
      <c r="M534" t="s">
        <v>1171</v>
      </c>
      <c r="N534" t="s">
        <v>1171</v>
      </c>
      <c r="O534" t="s">
        <v>1171</v>
      </c>
      <c r="P534" t="s">
        <v>1171</v>
      </c>
      <c r="Q534" t="s">
        <v>1171</v>
      </c>
      <c r="R534" t="str">
        <f>_xlfn.TEXTBEFORE(_xlfn.TEXTAFTER(us_core_reqs[[#This Row],[URL*]],"/",-1),".")</f>
        <v>CapabilityStatement-us-core-Server</v>
      </c>
      <c r="S534" t="str">
        <f>_xlfn.TEXTAFTER(us_core_reqs[[#This Row],[URL*]],"#",-1)</f>
        <v>behavior</v>
      </c>
      <c r="T534" t="str">
        <f>SUBSTITUTE(SUBSTITUTE(PROPER(SUBSTITUTE(us_core_reqs[[#This Row],[Page]], "-", " "))&amp;": "&amp;PROPER(SUBSTITUTE(us_core_reqs[[#This Row],[Section]], "-", " ")),"Us ","US "), "Uscdi", "USCDI")</f>
        <v>Capabilitystatement US Core Server: Behavior</v>
      </c>
      <c r="U534" t="s">
        <v>29</v>
      </c>
      <c r="V534" t="s">
        <v>30</v>
      </c>
      <c r="W534" t="s">
        <v>1171</v>
      </c>
      <c r="X534" t="s">
        <v>1171</v>
      </c>
      <c r="Y534" t="s">
        <v>1171</v>
      </c>
      <c r="Z534" t="s">
        <v>1171</v>
      </c>
      <c r="AA534" t="s">
        <v>1171</v>
      </c>
      <c r="AB534" t="s">
        <v>1171</v>
      </c>
      <c r="AC534" t="s">
        <v>1140</v>
      </c>
      <c r="AD534" t="s">
        <v>1171</v>
      </c>
    </row>
    <row r="535" spans="1:30" ht="51" x14ac:dyDescent="0.2">
      <c r="A535" t="s">
        <v>1171</v>
      </c>
      <c r="B535" t="s">
        <v>1707</v>
      </c>
      <c r="C535" t="str">
        <f>"CONF-"&amp;TEXT(us_core_reqs[[#This Row],[ID*]], "0000")</f>
        <v>CONF-0534</v>
      </c>
      <c r="D535" s="11" t="s">
        <v>1075</v>
      </c>
      <c r="E535" t="str">
        <f>SUBSTITUTE(us_core_reqs[[#This Row],[URL*]], "https://hl7.org/fhir/us/core/STU8/","")</f>
        <v>CapabilityStatement-us-core-Server.html#behavior</v>
      </c>
      <c r="F535" s="11" t="s">
        <v>2198</v>
      </c>
      <c r="G535" t="s">
        <v>29</v>
      </c>
      <c r="I535" t="s">
        <v>30</v>
      </c>
      <c r="J535" t="s">
        <v>1171</v>
      </c>
      <c r="K535" t="s">
        <v>1171</v>
      </c>
      <c r="L535" t="s">
        <v>1173</v>
      </c>
      <c r="M535" t="s">
        <v>1171</v>
      </c>
      <c r="N535" t="s">
        <v>1171</v>
      </c>
      <c r="O535" t="s">
        <v>1171</v>
      </c>
      <c r="P535" t="s">
        <v>1171</v>
      </c>
      <c r="Q535" t="s">
        <v>1171</v>
      </c>
      <c r="R535" t="str">
        <f>_xlfn.TEXTBEFORE(_xlfn.TEXTAFTER(us_core_reqs[[#This Row],[URL*]],"/",-1),".")</f>
        <v>CapabilityStatement-us-core-Server</v>
      </c>
      <c r="S535" t="str">
        <f>_xlfn.TEXTAFTER(us_core_reqs[[#This Row],[URL*]],"#",-1)</f>
        <v>behavior</v>
      </c>
      <c r="T535" t="str">
        <f>SUBSTITUTE(SUBSTITUTE(PROPER(SUBSTITUTE(us_core_reqs[[#This Row],[Page]], "-", " "))&amp;": "&amp;PROPER(SUBSTITUTE(us_core_reqs[[#This Row],[Section]], "-", " ")),"Us ","US "), "Uscdi", "USCDI")</f>
        <v>Capabilitystatement US Core Server: Behavior</v>
      </c>
      <c r="U535" t="s">
        <v>1171</v>
      </c>
      <c r="V535" t="s">
        <v>1171</v>
      </c>
      <c r="W535" t="s">
        <v>1171</v>
      </c>
      <c r="X535" t="s">
        <v>1171</v>
      </c>
      <c r="Y535" t="s">
        <v>1171</v>
      </c>
      <c r="Z535" t="s">
        <v>1171</v>
      </c>
      <c r="AA535" t="s">
        <v>1171</v>
      </c>
      <c r="AB535" t="s">
        <v>1171</v>
      </c>
      <c r="AC535" t="s">
        <v>1140</v>
      </c>
      <c r="AD535" t="s">
        <v>1171</v>
      </c>
    </row>
    <row r="536" spans="1:30" ht="34" x14ac:dyDescent="0.2">
      <c r="A536" t="s">
        <v>1171</v>
      </c>
      <c r="B536" t="s">
        <v>1708</v>
      </c>
      <c r="C536" t="str">
        <f>"CONF-"&amp;TEXT(us_core_reqs[[#This Row],[ID*]], "0000")</f>
        <v>CONF-0535</v>
      </c>
      <c r="D536" s="11" t="s">
        <v>1075</v>
      </c>
      <c r="E536" t="str">
        <f>SUBSTITUTE(us_core_reqs[[#This Row],[URL*]], "https://hl7.org/fhir/us/core/STU8/","")</f>
        <v>CapabilityStatement-us-core-Server.html#behavior</v>
      </c>
      <c r="F536" s="11" t="s">
        <v>1914</v>
      </c>
      <c r="G536" t="s">
        <v>29</v>
      </c>
      <c r="I536" t="s">
        <v>30</v>
      </c>
      <c r="J536" t="s">
        <v>1171</v>
      </c>
      <c r="K536" t="s">
        <v>1171</v>
      </c>
      <c r="L536" t="s">
        <v>1173</v>
      </c>
      <c r="M536" t="s">
        <v>1171</v>
      </c>
      <c r="N536" t="s">
        <v>1171</v>
      </c>
      <c r="O536" t="s">
        <v>1171</v>
      </c>
      <c r="P536" t="s">
        <v>1171</v>
      </c>
      <c r="Q536" t="s">
        <v>1171</v>
      </c>
      <c r="R536" t="str">
        <f>_xlfn.TEXTBEFORE(_xlfn.TEXTAFTER(us_core_reqs[[#This Row],[URL*]],"/",-1),".")</f>
        <v>CapabilityStatement-us-core-Server</v>
      </c>
      <c r="S536" t="str">
        <f>_xlfn.TEXTAFTER(us_core_reqs[[#This Row],[URL*]],"#",-1)</f>
        <v>behavior</v>
      </c>
      <c r="T536" t="str">
        <f>SUBSTITUTE(SUBSTITUTE(PROPER(SUBSTITUTE(us_core_reqs[[#This Row],[Page]], "-", " "))&amp;": "&amp;PROPER(SUBSTITUTE(us_core_reqs[[#This Row],[Section]], "-", " ")),"Us ","US "), "Uscdi", "USCDI")</f>
        <v>Capabilitystatement US Core Server: Behavior</v>
      </c>
      <c r="U536" t="s">
        <v>1171</v>
      </c>
      <c r="V536" t="s">
        <v>1171</v>
      </c>
      <c r="W536" t="s">
        <v>1171</v>
      </c>
      <c r="X536" t="s">
        <v>1171</v>
      </c>
      <c r="Y536" t="s">
        <v>1171</v>
      </c>
      <c r="Z536" t="s">
        <v>1171</v>
      </c>
      <c r="AA536" t="s">
        <v>1171</v>
      </c>
      <c r="AB536" t="s">
        <v>1171</v>
      </c>
      <c r="AC536" t="s">
        <v>1140</v>
      </c>
      <c r="AD536" t="s">
        <v>1171</v>
      </c>
    </row>
    <row r="537" spans="1:30" ht="34" x14ac:dyDescent="0.2">
      <c r="A537" t="s">
        <v>1171</v>
      </c>
      <c r="B537" t="s">
        <v>1709</v>
      </c>
      <c r="C537" t="str">
        <f>"CONF-"&amp;TEXT(us_core_reqs[[#This Row],[ID*]], "0000")</f>
        <v>CONF-0536</v>
      </c>
      <c r="D537" s="11" t="s">
        <v>1075</v>
      </c>
      <c r="E537" t="str">
        <f>SUBSTITUTE(us_core_reqs[[#This Row],[URL*]], "https://hl7.org/fhir/us/core/STU8/","")</f>
        <v>CapabilityStatement-us-core-Server.html#behavior</v>
      </c>
      <c r="F537" s="11" t="s">
        <v>1915</v>
      </c>
      <c r="G537" t="s">
        <v>29</v>
      </c>
      <c r="I537" t="s">
        <v>30</v>
      </c>
      <c r="J537" t="s">
        <v>1171</v>
      </c>
      <c r="K537" t="s">
        <v>1171</v>
      </c>
      <c r="L537" t="s">
        <v>1173</v>
      </c>
      <c r="M537" t="s">
        <v>1171</v>
      </c>
      <c r="N537" t="s">
        <v>1171</v>
      </c>
      <c r="O537" t="s">
        <v>1171</v>
      </c>
      <c r="P537" t="s">
        <v>1171</v>
      </c>
      <c r="Q537" t="s">
        <v>1171</v>
      </c>
      <c r="R537" t="str">
        <f>_xlfn.TEXTBEFORE(_xlfn.TEXTAFTER(us_core_reqs[[#This Row],[URL*]],"/",-1),".")</f>
        <v>CapabilityStatement-us-core-Server</v>
      </c>
      <c r="S537" t="str">
        <f>_xlfn.TEXTAFTER(us_core_reqs[[#This Row],[URL*]],"#",-1)</f>
        <v>behavior</v>
      </c>
      <c r="T537" t="str">
        <f>SUBSTITUTE(SUBSTITUTE(PROPER(SUBSTITUTE(us_core_reqs[[#This Row],[Page]], "-", " "))&amp;": "&amp;PROPER(SUBSTITUTE(us_core_reqs[[#This Row],[Section]], "-", " ")),"Us ","US "), "Uscdi", "USCDI")</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1710</v>
      </c>
      <c r="C538" t="str">
        <f>"CONF-"&amp;TEXT(us_core_reqs[[#This Row],[ID*]], "0000")</f>
        <v>CONF-0537</v>
      </c>
      <c r="D538" s="11" t="s">
        <v>1075</v>
      </c>
      <c r="E538" t="str">
        <f>SUBSTITUTE(us_core_reqs[[#This Row],[URL*]], "https://hl7.org/fhir/us/core/STU8/","")</f>
        <v>CapabilityStatement-us-core-Server.html#behavior</v>
      </c>
      <c r="F538" s="11" t="s">
        <v>1916</v>
      </c>
      <c r="G538" t="s">
        <v>29</v>
      </c>
      <c r="I538" t="s">
        <v>30</v>
      </c>
      <c r="J538" t="s">
        <v>1171</v>
      </c>
      <c r="K538" t="s">
        <v>1171</v>
      </c>
      <c r="L538" t="s">
        <v>1173</v>
      </c>
      <c r="M538" t="s">
        <v>1171</v>
      </c>
      <c r="N538" t="s">
        <v>1171</v>
      </c>
      <c r="O538" t="s">
        <v>1171</v>
      </c>
      <c r="P538" t="s">
        <v>1171</v>
      </c>
      <c r="Q538" t="s">
        <v>1171</v>
      </c>
      <c r="R538" t="str">
        <f>_xlfn.TEXTBEFORE(_xlfn.TEXTAFTER(us_core_reqs[[#This Row],[URL*]],"/",-1),".")</f>
        <v>CapabilityStatement-us-core-Server</v>
      </c>
      <c r="S538" t="str">
        <f>_xlfn.TEXTAFTER(us_core_reqs[[#This Row],[URL*]],"#",-1)</f>
        <v>behavior</v>
      </c>
      <c r="T538" t="str">
        <f>SUBSTITUTE(SUBSTITUTE(PROPER(SUBSTITUTE(us_core_reqs[[#This Row],[Page]], "-", " "))&amp;": "&amp;PROPER(SUBSTITUTE(us_core_reqs[[#This Row],[Section]], "-", " ")),"Us ","US "), "Uscdi", "USCDI")</f>
        <v>Capabilitystatement US Core Server: Behavior</v>
      </c>
      <c r="U538" t="s">
        <v>1171</v>
      </c>
      <c r="V538" t="s">
        <v>1171</v>
      </c>
      <c r="W538" t="s">
        <v>1171</v>
      </c>
      <c r="X538" t="s">
        <v>1171</v>
      </c>
      <c r="Y538" t="s">
        <v>1171</v>
      </c>
      <c r="Z538" t="s">
        <v>1171</v>
      </c>
      <c r="AA538" t="s">
        <v>1171</v>
      </c>
      <c r="AB538" t="s">
        <v>1171</v>
      </c>
      <c r="AC538" t="s">
        <v>1141</v>
      </c>
      <c r="AD538" t="s">
        <v>1171</v>
      </c>
    </row>
    <row r="539" spans="1:30" ht="34" x14ac:dyDescent="0.2">
      <c r="A539" t="s">
        <v>1171</v>
      </c>
      <c r="B539" t="s">
        <v>1711</v>
      </c>
      <c r="C539" t="str">
        <f>"CONF-"&amp;TEXT(us_core_reqs[[#This Row],[ID*]], "0000")</f>
        <v>CONF-0538</v>
      </c>
      <c r="D539" s="11" t="s">
        <v>1075</v>
      </c>
      <c r="E539" t="str">
        <f>SUBSTITUTE(us_core_reqs[[#This Row],[URL*]], "https://hl7.org/fhir/us/core/STU8/","")</f>
        <v>CapabilityStatement-us-core-Server.html#behavior</v>
      </c>
      <c r="F539" s="11" t="s">
        <v>1917</v>
      </c>
      <c r="G539" t="s">
        <v>29</v>
      </c>
      <c r="I539" t="s">
        <v>30</v>
      </c>
      <c r="J539" t="s">
        <v>1171</v>
      </c>
      <c r="K539" t="s">
        <v>1171</v>
      </c>
      <c r="L539" t="s">
        <v>1173</v>
      </c>
      <c r="M539" t="s">
        <v>1171</v>
      </c>
      <c r="N539" t="s">
        <v>1171</v>
      </c>
      <c r="O539" t="s">
        <v>1171</v>
      </c>
      <c r="P539" t="s">
        <v>1171</v>
      </c>
      <c r="Q539" t="s">
        <v>1171</v>
      </c>
      <c r="R539" t="str">
        <f>_xlfn.TEXTBEFORE(_xlfn.TEXTAFTER(us_core_reqs[[#This Row],[URL*]],"/",-1),".")</f>
        <v>CapabilityStatement-us-core-Server</v>
      </c>
      <c r="S539" t="str">
        <f>_xlfn.TEXTAFTER(us_core_reqs[[#This Row],[URL*]],"#",-1)</f>
        <v>behavior</v>
      </c>
      <c r="T539" t="str">
        <f>SUBSTITUTE(SUBSTITUTE(PROPER(SUBSTITUTE(us_core_reqs[[#This Row],[Page]], "-", " "))&amp;": "&amp;PROPER(SUBSTITUTE(us_core_reqs[[#This Row],[Section]], "-", " ")),"Us ","US "), "Uscdi", "USCDI")</f>
        <v>Capabilitystatement US Core Server: Behavior</v>
      </c>
      <c r="U539" t="s">
        <v>1171</v>
      </c>
      <c r="V539" t="s">
        <v>1171</v>
      </c>
      <c r="W539" t="s">
        <v>1171</v>
      </c>
      <c r="X539" t="s">
        <v>1171</v>
      </c>
      <c r="Y539" t="s">
        <v>1171</v>
      </c>
      <c r="Z539" t="s">
        <v>1171</v>
      </c>
      <c r="AA539" t="s">
        <v>1171</v>
      </c>
      <c r="AB539" t="s">
        <v>1171</v>
      </c>
      <c r="AC539" t="s">
        <v>1141</v>
      </c>
      <c r="AD539" t="s">
        <v>1171</v>
      </c>
    </row>
    <row r="540" spans="1:30" ht="34" x14ac:dyDescent="0.2">
      <c r="A540" t="s">
        <v>1171</v>
      </c>
      <c r="B540" t="s">
        <v>1712</v>
      </c>
      <c r="C540" t="str">
        <f>"CONF-"&amp;TEXT(us_core_reqs[[#This Row],[ID*]], "0000")</f>
        <v>CONF-0539</v>
      </c>
      <c r="D540" s="11" t="s">
        <v>1075</v>
      </c>
      <c r="E540" t="str">
        <f>SUBSTITUTE(us_core_reqs[[#This Row],[URL*]], "https://hl7.org/fhir/us/core/STU8/","")</f>
        <v>CapabilityStatement-us-core-Server.html#behavior</v>
      </c>
      <c r="F540" s="11" t="s">
        <v>1918</v>
      </c>
      <c r="G540" t="s">
        <v>29</v>
      </c>
      <c r="I540" t="s">
        <v>30</v>
      </c>
      <c r="J540" t="s">
        <v>1171</v>
      </c>
      <c r="K540" t="s">
        <v>1171</v>
      </c>
      <c r="L540" t="s">
        <v>1173</v>
      </c>
      <c r="M540" t="s">
        <v>1171</v>
      </c>
      <c r="N540" t="s">
        <v>1171</v>
      </c>
      <c r="O540" t="s">
        <v>1171</v>
      </c>
      <c r="P540" t="s">
        <v>1171</v>
      </c>
      <c r="Q540" t="s">
        <v>1171</v>
      </c>
      <c r="R540" t="str">
        <f>_xlfn.TEXTBEFORE(_xlfn.TEXTAFTER(us_core_reqs[[#This Row],[URL*]],"/",-1),".")</f>
        <v>CapabilityStatement-us-core-Server</v>
      </c>
      <c r="S540" t="str">
        <f>_xlfn.TEXTAFTER(us_core_reqs[[#This Row],[URL*]],"#",-1)</f>
        <v>behavior</v>
      </c>
      <c r="T540" t="str">
        <f>SUBSTITUTE(SUBSTITUTE(PROPER(SUBSTITUTE(us_core_reqs[[#This Row],[Page]], "-", " "))&amp;": "&amp;PROPER(SUBSTITUTE(us_core_reqs[[#This Row],[Section]], "-", " ")),"Us ","US "), "Uscdi", "USCDI")</f>
        <v>Capabilitystatement US Core Server: Behavior</v>
      </c>
      <c r="U540" t="s">
        <v>1171</v>
      </c>
      <c r="V540" t="s">
        <v>1171</v>
      </c>
      <c r="W540" t="s">
        <v>1171</v>
      </c>
      <c r="X540" t="s">
        <v>1171</v>
      </c>
      <c r="Y540" t="s">
        <v>1171</v>
      </c>
      <c r="Z540" t="s">
        <v>1171</v>
      </c>
      <c r="AA540" t="s">
        <v>1171</v>
      </c>
      <c r="AB540" t="s">
        <v>1171</v>
      </c>
      <c r="AC540" t="s">
        <v>1141</v>
      </c>
      <c r="AD540" t="s">
        <v>1171</v>
      </c>
    </row>
    <row r="541" spans="1:30" ht="34" x14ac:dyDescent="0.2">
      <c r="A541" t="s">
        <v>1171</v>
      </c>
      <c r="B541" t="s">
        <v>1713</v>
      </c>
      <c r="C541" t="str">
        <f>"CONF-"&amp;TEXT(us_core_reqs[[#This Row],[ID*]], "0000")</f>
        <v>CONF-0540</v>
      </c>
      <c r="D541" s="11" t="s">
        <v>1075</v>
      </c>
      <c r="E541" t="str">
        <f>SUBSTITUTE(us_core_reqs[[#This Row],[URL*]], "https://hl7.org/fhir/us/core/STU8/","")</f>
        <v>CapabilityStatement-us-core-Server.html#behavior</v>
      </c>
      <c r="F541" s="11" t="s">
        <v>1919</v>
      </c>
      <c r="G541" t="s">
        <v>29</v>
      </c>
      <c r="I541" t="s">
        <v>30</v>
      </c>
      <c r="J541" t="s">
        <v>1171</v>
      </c>
      <c r="K541" t="s">
        <v>1171</v>
      </c>
      <c r="L541" t="s">
        <v>1173</v>
      </c>
      <c r="M541" t="s">
        <v>1171</v>
      </c>
      <c r="N541" t="s">
        <v>1171</v>
      </c>
      <c r="O541" t="s">
        <v>1171</v>
      </c>
      <c r="P541" t="s">
        <v>1171</v>
      </c>
      <c r="Q541" t="s">
        <v>1171</v>
      </c>
      <c r="R541" t="str">
        <f>_xlfn.TEXTBEFORE(_xlfn.TEXTAFTER(us_core_reqs[[#This Row],[URL*]],"/",-1),".")</f>
        <v>CapabilityStatement-us-core-Server</v>
      </c>
      <c r="S541" t="str">
        <f>_xlfn.TEXTAFTER(us_core_reqs[[#This Row],[URL*]],"#",-1)</f>
        <v>behavior</v>
      </c>
      <c r="T541" t="str">
        <f>SUBSTITUTE(SUBSTITUTE(PROPER(SUBSTITUTE(us_core_reqs[[#This Row],[Page]], "-", " "))&amp;": "&amp;PROPER(SUBSTITUTE(us_core_reqs[[#This Row],[Section]], "-", " ")),"Us ","US "), "Uscdi", "USCDI")</f>
        <v>Capabilitystatement US Core Server: Behavior</v>
      </c>
      <c r="U541" t="s">
        <v>1171</v>
      </c>
      <c r="V541" t="s">
        <v>1171</v>
      </c>
      <c r="W541" t="s">
        <v>1171</v>
      </c>
      <c r="X541" t="s">
        <v>1171</v>
      </c>
      <c r="Y541" t="s">
        <v>1171</v>
      </c>
      <c r="Z541" t="s">
        <v>1171</v>
      </c>
      <c r="AA541" t="s">
        <v>1171</v>
      </c>
      <c r="AB541" t="s">
        <v>1171</v>
      </c>
      <c r="AC541" t="s">
        <v>1140</v>
      </c>
      <c r="AD541" t="s">
        <v>1171</v>
      </c>
    </row>
    <row r="542" spans="1:30" ht="34" x14ac:dyDescent="0.2">
      <c r="A542" t="s">
        <v>1171</v>
      </c>
      <c r="B542" t="s">
        <v>1714</v>
      </c>
      <c r="C542" t="str">
        <f>"CONF-"&amp;TEXT(us_core_reqs[[#This Row],[ID*]], "0000")</f>
        <v>CONF-0541</v>
      </c>
      <c r="D542" s="11" t="s">
        <v>1075</v>
      </c>
      <c r="E542" t="str">
        <f>SUBSTITUTE(us_core_reqs[[#This Row],[URL*]], "https://hl7.org/fhir/us/core/STU8/","")</f>
        <v>CapabilityStatement-us-core-Server.html#behavior</v>
      </c>
      <c r="F542" s="11" t="s">
        <v>2027</v>
      </c>
      <c r="G542" t="s">
        <v>32</v>
      </c>
      <c r="I542" t="s">
        <v>30</v>
      </c>
      <c r="J542" t="s">
        <v>1171</v>
      </c>
      <c r="K542" t="s">
        <v>1171</v>
      </c>
      <c r="L542" t="s">
        <v>1173</v>
      </c>
      <c r="M542" t="s">
        <v>1171</v>
      </c>
      <c r="N542" t="s">
        <v>1171</v>
      </c>
      <c r="O542" t="s">
        <v>1171</v>
      </c>
      <c r="P542" t="s">
        <v>1171</v>
      </c>
      <c r="Q542" t="s">
        <v>1171</v>
      </c>
      <c r="R542" t="str">
        <f>_xlfn.TEXTBEFORE(_xlfn.TEXTAFTER(us_core_reqs[[#This Row],[URL*]],"/",-1),".")</f>
        <v>CapabilityStatement-us-core-Server</v>
      </c>
      <c r="S542" t="str">
        <f>_xlfn.TEXTAFTER(us_core_reqs[[#This Row],[URL*]],"#",-1)</f>
        <v>behavior</v>
      </c>
      <c r="T542" t="str">
        <f>SUBSTITUTE(SUBSTITUTE(PROPER(SUBSTITUTE(us_core_reqs[[#This Row],[Page]], "-", " "))&amp;": "&amp;PROPER(SUBSTITUTE(us_core_reqs[[#This Row],[Section]], "-", " ")),"Us ","US "), "Uscdi", "USCDI")</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1715</v>
      </c>
      <c r="C543" t="str">
        <f>"CONF-"&amp;TEXT(us_core_reqs[[#This Row],[ID*]], "0000")</f>
        <v>CONF-0542</v>
      </c>
      <c r="D543" s="11" t="s">
        <v>1075</v>
      </c>
      <c r="E543" t="str">
        <f>SUBSTITUTE(us_core_reqs[[#This Row],[URL*]], "https://hl7.org/fhir/us/core/STU8/","")</f>
        <v>CapabilityStatement-us-core-Server.html#behavior</v>
      </c>
      <c r="F543" s="11" t="s">
        <v>2028</v>
      </c>
      <c r="G543" t="s">
        <v>32</v>
      </c>
      <c r="I543" t="s">
        <v>30</v>
      </c>
      <c r="J543" t="s">
        <v>1171</v>
      </c>
      <c r="K543" t="s">
        <v>1171</v>
      </c>
      <c r="L543" t="s">
        <v>1173</v>
      </c>
      <c r="M543" t="s">
        <v>1171</v>
      </c>
      <c r="N543" t="s">
        <v>1171</v>
      </c>
      <c r="O543" t="s">
        <v>1171</v>
      </c>
      <c r="P543" t="s">
        <v>1171</v>
      </c>
      <c r="Q543" t="s">
        <v>1171</v>
      </c>
      <c r="R543" t="str">
        <f>_xlfn.TEXTBEFORE(_xlfn.TEXTAFTER(us_core_reqs[[#This Row],[URL*]],"/",-1),".")</f>
        <v>CapabilityStatement-us-core-Server</v>
      </c>
      <c r="S543" t="str">
        <f>_xlfn.TEXTAFTER(us_core_reqs[[#This Row],[URL*]],"#",-1)</f>
        <v>behavior</v>
      </c>
      <c r="T543" t="str">
        <f>SUBSTITUTE(SUBSTITUTE(PROPER(SUBSTITUTE(us_core_reqs[[#This Row],[Page]], "-", " "))&amp;": "&amp;PROPER(SUBSTITUTE(us_core_reqs[[#This Row],[Section]], "-", " ")),"Us ","US "), "Uscdi", "USCDI")</f>
        <v>Capabilitystatement US Core Server: Behavior</v>
      </c>
      <c r="U543" t="s">
        <v>1171</v>
      </c>
      <c r="V543" t="s">
        <v>1171</v>
      </c>
      <c r="W543" t="s">
        <v>1171</v>
      </c>
      <c r="X543" t="s">
        <v>1171</v>
      </c>
      <c r="Y543" t="s">
        <v>1171</v>
      </c>
      <c r="Z543" t="s">
        <v>1171</v>
      </c>
      <c r="AA543" t="s">
        <v>1171</v>
      </c>
      <c r="AB543" t="s">
        <v>1171</v>
      </c>
      <c r="AC543" t="s">
        <v>1171</v>
      </c>
      <c r="AD543" t="s">
        <v>1171</v>
      </c>
    </row>
    <row r="544" spans="1:30" ht="51" x14ac:dyDescent="0.2">
      <c r="A544" t="s">
        <v>1171</v>
      </c>
      <c r="B544" t="s">
        <v>1716</v>
      </c>
      <c r="C544" t="str">
        <f>"CONF-"&amp;TEXT(us_core_reqs[[#This Row],[ID*]], "0000")</f>
        <v>CONF-0543</v>
      </c>
      <c r="D544" s="11" t="s">
        <v>1075</v>
      </c>
      <c r="E544" t="str">
        <f>SUBSTITUTE(us_core_reqs[[#This Row],[URL*]], "https://hl7.org/fhir/us/core/STU8/","")</f>
        <v>CapabilityStatement-us-core-Server.html#behavior</v>
      </c>
      <c r="F544" s="11" t="s">
        <v>1920</v>
      </c>
      <c r="G544" t="s">
        <v>29</v>
      </c>
      <c r="I544" t="s">
        <v>30</v>
      </c>
      <c r="J544" t="s">
        <v>1171</v>
      </c>
      <c r="K544" t="s">
        <v>1171</v>
      </c>
      <c r="L544" t="s">
        <v>1176</v>
      </c>
      <c r="M544" t="s">
        <v>555</v>
      </c>
      <c r="N544" t="s">
        <v>1171</v>
      </c>
      <c r="O544" t="s">
        <v>1171</v>
      </c>
      <c r="P544" t="s">
        <v>1171</v>
      </c>
      <c r="Q544" t="s">
        <v>1171</v>
      </c>
      <c r="R544" t="str">
        <f>_xlfn.TEXTBEFORE(_xlfn.TEXTAFTER(us_core_reqs[[#This Row],[URL*]],"/",-1),".")</f>
        <v>CapabilityStatement-us-core-Server</v>
      </c>
      <c r="S544" t="str">
        <f>_xlfn.TEXTAFTER(us_core_reqs[[#This Row],[URL*]],"#",-1)</f>
        <v>behavior</v>
      </c>
      <c r="T544" t="str">
        <f>SUBSTITUTE(SUBSTITUTE(PROPER(SUBSTITUTE(us_core_reqs[[#This Row],[Page]], "-", " "))&amp;": "&amp;PROPER(SUBSTITUTE(us_core_reqs[[#This Row],[Section]], "-", " ")),"Us ","US "), "Uscdi", "USCDI")</f>
        <v>Capabilitystatement US Core Server: Behavior</v>
      </c>
      <c r="U544" t="s">
        <v>1171</v>
      </c>
      <c r="V544" t="s">
        <v>1171</v>
      </c>
      <c r="W544" t="s">
        <v>1171</v>
      </c>
      <c r="X544" t="s">
        <v>1171</v>
      </c>
      <c r="Y544" t="s">
        <v>1171</v>
      </c>
      <c r="Z544" t="s">
        <v>1171</v>
      </c>
      <c r="AA544" t="s">
        <v>1171</v>
      </c>
      <c r="AB544" t="s">
        <v>1171</v>
      </c>
      <c r="AC544" t="s">
        <v>1140</v>
      </c>
      <c r="AD544" t="s">
        <v>1171</v>
      </c>
    </row>
    <row r="545" spans="1:30" ht="34" x14ac:dyDescent="0.2">
      <c r="A545" t="s">
        <v>1171</v>
      </c>
      <c r="B545" t="s">
        <v>1717</v>
      </c>
      <c r="C545" t="str">
        <f>"CONF-"&amp;TEXT(us_core_reqs[[#This Row],[ID*]], "0000")</f>
        <v>CONF-0544</v>
      </c>
      <c r="D545" s="11" t="s">
        <v>1075</v>
      </c>
      <c r="E545" t="str">
        <f>SUBSTITUTE(us_core_reqs[[#This Row],[URL*]], "https://hl7.org/fhir/us/core/STU8/","")</f>
        <v>CapabilityStatement-us-core-Server.html#behavior</v>
      </c>
      <c r="F545" s="11" t="s">
        <v>2212</v>
      </c>
      <c r="G545" t="s">
        <v>35</v>
      </c>
      <c r="I545" t="s">
        <v>58</v>
      </c>
      <c r="J545" t="s">
        <v>1171</v>
      </c>
      <c r="K545" t="s">
        <v>1171</v>
      </c>
      <c r="L545" t="s">
        <v>1173</v>
      </c>
      <c r="M545" t="s">
        <v>1171</v>
      </c>
      <c r="N545" t="s">
        <v>1171</v>
      </c>
      <c r="O545" t="s">
        <v>1171</v>
      </c>
      <c r="P545" t="s">
        <v>1171</v>
      </c>
      <c r="Q545" t="s">
        <v>1171</v>
      </c>
      <c r="R545" t="str">
        <f>_xlfn.TEXTBEFORE(_xlfn.TEXTAFTER(us_core_reqs[[#This Row],[URL*]],"/",-1),".")</f>
        <v>CapabilityStatement-us-core-Server</v>
      </c>
      <c r="S545" t="str">
        <f>_xlfn.TEXTAFTER(us_core_reqs[[#This Row],[URL*]],"#",-1)</f>
        <v>behavior</v>
      </c>
      <c r="T545" t="str">
        <f>SUBSTITUTE(SUBSTITUTE(PROPER(SUBSTITUTE(us_core_reqs[[#This Row],[Page]], "-", " "))&amp;": "&amp;PROPER(SUBSTITUTE(us_core_reqs[[#This Row],[Section]], "-", " ")),"Us ","US "), "Uscdi", "USCDI")</f>
        <v>Capabilitystatement US Core Server: Behavior</v>
      </c>
      <c r="U545" t="s">
        <v>1171</v>
      </c>
      <c r="V545" t="s">
        <v>1171</v>
      </c>
      <c r="W545" t="s">
        <v>1171</v>
      </c>
      <c r="X545" t="s">
        <v>1171</v>
      </c>
      <c r="Y545" t="s">
        <v>1171</v>
      </c>
      <c r="Z545" t="s">
        <v>1171</v>
      </c>
      <c r="AA545" t="s">
        <v>1171</v>
      </c>
      <c r="AB545" t="s">
        <v>1171</v>
      </c>
      <c r="AC545" t="s">
        <v>1171</v>
      </c>
      <c r="AD545" t="s">
        <v>1171</v>
      </c>
    </row>
    <row r="546" spans="1:30" ht="34" x14ac:dyDescent="0.2">
      <c r="A546" t="s">
        <v>1171</v>
      </c>
      <c r="B546" t="s">
        <v>1718</v>
      </c>
      <c r="C546" t="str">
        <f>"CONF-"&amp;TEXT(us_core_reqs[[#This Row],[ID*]], "0000")</f>
        <v>CONF-0545</v>
      </c>
      <c r="D546" s="11" t="s">
        <v>1075</v>
      </c>
      <c r="E546" t="str">
        <f>SUBSTITUTE(us_core_reqs[[#This Row],[URL*]], "https://hl7.org/fhir/us/core/STU8/","")</f>
        <v>CapabilityStatement-us-core-Server.html#behavior</v>
      </c>
      <c r="F546" s="11" t="s">
        <v>2213</v>
      </c>
      <c r="G546" t="s">
        <v>35</v>
      </c>
      <c r="I546" t="s">
        <v>58</v>
      </c>
      <c r="J546" t="s">
        <v>1171</v>
      </c>
      <c r="K546" t="s">
        <v>1171</v>
      </c>
      <c r="L546" t="s">
        <v>1173</v>
      </c>
      <c r="M546" t="s">
        <v>1171</v>
      </c>
      <c r="N546" t="s">
        <v>1171</v>
      </c>
      <c r="O546" t="s">
        <v>1171</v>
      </c>
      <c r="P546" t="s">
        <v>1171</v>
      </c>
      <c r="Q546" t="s">
        <v>1171</v>
      </c>
      <c r="R546" t="str">
        <f>_xlfn.TEXTBEFORE(_xlfn.TEXTAFTER(us_core_reqs[[#This Row],[URL*]],"/",-1),".")</f>
        <v>CapabilityStatement-us-core-Server</v>
      </c>
      <c r="S546" t="str">
        <f>_xlfn.TEXTAFTER(us_core_reqs[[#This Row],[URL*]],"#",-1)</f>
        <v>behavior</v>
      </c>
      <c r="T546" t="str">
        <f>SUBSTITUTE(SUBSTITUTE(PROPER(SUBSTITUTE(us_core_reqs[[#This Row],[Page]], "-", " "))&amp;": "&amp;PROPER(SUBSTITUTE(us_core_reqs[[#This Row],[Section]], "-", " ")),"Us ","US "), "Uscdi", "USCDI")</f>
        <v>Capabilitystatement US Core Server: Behavior</v>
      </c>
      <c r="U546" t="s">
        <v>1171</v>
      </c>
      <c r="V546" t="s">
        <v>1171</v>
      </c>
      <c r="W546" t="s">
        <v>1171</v>
      </c>
      <c r="X546" t="s">
        <v>1171</v>
      </c>
      <c r="Y546" t="s">
        <v>1171</v>
      </c>
      <c r="Z546" t="s">
        <v>1171</v>
      </c>
      <c r="AA546" t="s">
        <v>1171</v>
      </c>
      <c r="AB546" t="s">
        <v>1171</v>
      </c>
      <c r="AC546" t="s">
        <v>1171</v>
      </c>
      <c r="AD546" t="s">
        <v>1171</v>
      </c>
    </row>
    <row r="547" spans="1:30" ht="34" x14ac:dyDescent="0.2">
      <c r="A547" t="s">
        <v>1171</v>
      </c>
      <c r="B547" t="s">
        <v>1719</v>
      </c>
      <c r="C547" t="str">
        <f>"CONF-"&amp;TEXT(us_core_reqs[[#This Row],[ID*]], "0000")</f>
        <v>CONF-0546</v>
      </c>
      <c r="D547" s="11" t="s">
        <v>1075</v>
      </c>
      <c r="E547" t="str">
        <f>SUBSTITUTE(us_core_reqs[[#This Row],[URL*]], "https://hl7.org/fhir/us/core/STU8/","")</f>
        <v>CapabilityStatement-us-core-Server.html#behavior</v>
      </c>
      <c r="F547" s="11" t="s">
        <v>2214</v>
      </c>
      <c r="G547" t="s">
        <v>35</v>
      </c>
      <c r="I547" t="s">
        <v>58</v>
      </c>
      <c r="J547" t="s">
        <v>1171</v>
      </c>
      <c r="K547" t="s">
        <v>1171</v>
      </c>
      <c r="L547" t="s">
        <v>1173</v>
      </c>
      <c r="M547" t="s">
        <v>1171</v>
      </c>
      <c r="N547" t="s">
        <v>1171</v>
      </c>
      <c r="O547" t="s">
        <v>1171</v>
      </c>
      <c r="P547" t="s">
        <v>1171</v>
      </c>
      <c r="Q547" t="s">
        <v>1171</v>
      </c>
      <c r="R547" t="str">
        <f>_xlfn.TEXTBEFORE(_xlfn.TEXTAFTER(us_core_reqs[[#This Row],[URL*]],"/",-1),".")</f>
        <v>CapabilityStatement-us-core-Server</v>
      </c>
      <c r="S547" t="str">
        <f>_xlfn.TEXTAFTER(us_core_reqs[[#This Row],[URL*]],"#",-1)</f>
        <v>behavior</v>
      </c>
      <c r="T547" t="str">
        <f>SUBSTITUTE(SUBSTITUTE(PROPER(SUBSTITUTE(us_core_reqs[[#This Row],[Page]], "-", " "))&amp;": "&amp;PROPER(SUBSTITUTE(us_core_reqs[[#This Row],[Section]], "-", " ")),"Us ","US "), "Uscdi", "USCDI")</f>
        <v>Capabilitystatement US Core Server: Behavior</v>
      </c>
      <c r="U547" t="s">
        <v>1171</v>
      </c>
      <c r="V547" t="s">
        <v>1171</v>
      </c>
      <c r="W547" t="s">
        <v>1171</v>
      </c>
      <c r="X547" t="s">
        <v>1171</v>
      </c>
      <c r="Y547" t="s">
        <v>1171</v>
      </c>
      <c r="Z547" t="s">
        <v>1171</v>
      </c>
      <c r="AA547" t="s">
        <v>1171</v>
      </c>
      <c r="AB547" t="s">
        <v>1171</v>
      </c>
      <c r="AC547" t="s">
        <v>1171</v>
      </c>
      <c r="AD547" t="s">
        <v>1171</v>
      </c>
    </row>
    <row r="548" spans="1:30" ht="34" x14ac:dyDescent="0.2">
      <c r="A548" t="s">
        <v>1171</v>
      </c>
      <c r="B548" t="s">
        <v>1720</v>
      </c>
      <c r="C548" t="str">
        <f>"CONF-"&amp;TEXT(us_core_reqs[[#This Row],[ID*]], "0000")</f>
        <v>CONF-0547</v>
      </c>
      <c r="D548" s="11" t="s">
        <v>1075</v>
      </c>
      <c r="E548" t="str">
        <f>SUBSTITUTE(us_core_reqs[[#This Row],[URL*]], "https://hl7.org/fhir/us/core/STU8/","")</f>
        <v>CapabilityStatement-us-core-Server.html#behavior</v>
      </c>
      <c r="F548" s="11" t="s">
        <v>2215</v>
      </c>
      <c r="G548" t="s">
        <v>35</v>
      </c>
      <c r="I548" t="s">
        <v>58</v>
      </c>
      <c r="J548" t="s">
        <v>1171</v>
      </c>
      <c r="K548" t="s">
        <v>1171</v>
      </c>
      <c r="L548" t="s">
        <v>1173</v>
      </c>
      <c r="M548" t="s">
        <v>1171</v>
      </c>
      <c r="N548" t="s">
        <v>1171</v>
      </c>
      <c r="O548" t="s">
        <v>1171</v>
      </c>
      <c r="P548" t="s">
        <v>1171</v>
      </c>
      <c r="Q548" t="s">
        <v>1171</v>
      </c>
      <c r="R548" t="str">
        <f>_xlfn.TEXTBEFORE(_xlfn.TEXTAFTER(us_core_reqs[[#This Row],[URL*]],"/",-1),".")</f>
        <v>CapabilityStatement-us-core-Server</v>
      </c>
      <c r="S548" t="str">
        <f>_xlfn.TEXTAFTER(us_core_reqs[[#This Row],[URL*]],"#",-1)</f>
        <v>behavior</v>
      </c>
      <c r="T548" t="str">
        <f>SUBSTITUTE(SUBSTITUTE(PROPER(SUBSTITUTE(us_core_reqs[[#This Row],[Page]], "-", " "))&amp;": "&amp;PROPER(SUBSTITUTE(us_core_reqs[[#This Row],[Section]], "-", " ")),"Us ","US "), "Uscdi", "USCDI")</f>
        <v>Capabilitystatement US Core Server: Behavior</v>
      </c>
      <c r="U548" t="s">
        <v>1171</v>
      </c>
      <c r="V548" t="s">
        <v>1171</v>
      </c>
      <c r="W548" t="s">
        <v>1171</v>
      </c>
      <c r="X548" t="s">
        <v>1171</v>
      </c>
      <c r="Y548" t="s">
        <v>1171</v>
      </c>
      <c r="Z548" t="s">
        <v>1171</v>
      </c>
      <c r="AA548" t="s">
        <v>1171</v>
      </c>
      <c r="AB548" t="s">
        <v>1171</v>
      </c>
      <c r="AC548" t="s">
        <v>1171</v>
      </c>
      <c r="AD548" t="s">
        <v>1171</v>
      </c>
    </row>
    <row r="549" spans="1:30" ht="51" x14ac:dyDescent="0.2">
      <c r="A549" t="s">
        <v>1171</v>
      </c>
      <c r="B549" t="s">
        <v>1721</v>
      </c>
      <c r="C549" t="str">
        <f>"CONF-"&amp;TEXT(us_core_reqs[[#This Row],[ID*]], "0000")</f>
        <v>CONF-0548</v>
      </c>
      <c r="D549" s="11" t="s">
        <v>1077</v>
      </c>
      <c r="E549" t="str">
        <f>SUBSTITUTE(us_core_reqs[[#This Row],[URL*]], "https://hl7.org/fhir/us/core/STU8/","")</f>
        <v>CapabilityStatement-us-core-Server.html#valueset</v>
      </c>
      <c r="F549" s="11" t="s">
        <v>2029</v>
      </c>
      <c r="G549" t="s">
        <v>32</v>
      </c>
      <c r="I549" t="s">
        <v>30</v>
      </c>
      <c r="J549" t="s">
        <v>1171</v>
      </c>
      <c r="K549" t="s">
        <v>1171</v>
      </c>
      <c r="L549" t="s">
        <v>1173</v>
      </c>
      <c r="M549" t="s">
        <v>1171</v>
      </c>
      <c r="N549" t="s">
        <v>1171</v>
      </c>
      <c r="O549" t="s">
        <v>1171</v>
      </c>
      <c r="P549" t="s">
        <v>1171</v>
      </c>
      <c r="Q549" t="s">
        <v>1171</v>
      </c>
      <c r="R549" t="str">
        <f>_xlfn.TEXTBEFORE(_xlfn.TEXTAFTER(us_core_reqs[[#This Row],[URL*]],"/",-1),".")</f>
        <v>CapabilityStatement-us-core-Server</v>
      </c>
      <c r="S549" t="str">
        <f>_xlfn.TEXTAFTER(us_core_reqs[[#This Row],[URL*]],"#",-1)</f>
        <v>valueset</v>
      </c>
      <c r="T549" t="str">
        <f>SUBSTITUTE(SUBSTITUTE(PROPER(SUBSTITUTE(us_core_reqs[[#This Row],[Page]], "-", " "))&amp;": "&amp;PROPER(SUBSTITUTE(us_core_reqs[[#This Row],[Section]], "-", " ")),"Us ","US "), "Uscdi", "USCDI")</f>
        <v>Capabilitystatement US Core Server: Valueset</v>
      </c>
      <c r="U549" t="s">
        <v>1171</v>
      </c>
      <c r="V549" t="s">
        <v>1171</v>
      </c>
      <c r="W549" t="s">
        <v>1171</v>
      </c>
      <c r="X549" t="s">
        <v>1171</v>
      </c>
      <c r="Y549" t="s">
        <v>1171</v>
      </c>
      <c r="Z549" t="s">
        <v>1171</v>
      </c>
      <c r="AA549" t="s">
        <v>1171</v>
      </c>
      <c r="AB549" t="s">
        <v>1171</v>
      </c>
      <c r="AC549" t="s">
        <v>1171</v>
      </c>
      <c r="AD549" t="s">
        <v>1171</v>
      </c>
    </row>
    <row r="550" spans="1:30" ht="51" x14ac:dyDescent="0.2">
      <c r="A550" t="s">
        <v>1171</v>
      </c>
      <c r="B550" t="s">
        <v>1722</v>
      </c>
      <c r="C550" t="str">
        <f>"CONF-"&amp;TEXT(us_core_reqs[[#This Row],[ID*]], "0000")</f>
        <v>CONF-0549</v>
      </c>
      <c r="D550" s="11" t="s">
        <v>1077</v>
      </c>
      <c r="E550" t="str">
        <f>SUBSTITUTE(us_core_reqs[[#This Row],[URL*]], "https://hl7.org/fhir/us/core/STU8/","")</f>
        <v>CapabilityStatement-us-core-Server.html#valueset</v>
      </c>
      <c r="F550" s="11" t="s">
        <v>2030</v>
      </c>
      <c r="G550" t="s">
        <v>32</v>
      </c>
      <c r="I550" t="s">
        <v>30</v>
      </c>
      <c r="J550" t="s">
        <v>1171</v>
      </c>
      <c r="K550" t="s">
        <v>1171</v>
      </c>
      <c r="L550" t="s">
        <v>1176</v>
      </c>
      <c r="M550" t="s">
        <v>1079</v>
      </c>
      <c r="N550" t="s">
        <v>1171</v>
      </c>
      <c r="O550" t="s">
        <v>1171</v>
      </c>
      <c r="P550" t="s">
        <v>1171</v>
      </c>
      <c r="Q550" t="s">
        <v>1171</v>
      </c>
      <c r="R550" t="str">
        <f>_xlfn.TEXTBEFORE(_xlfn.TEXTAFTER(us_core_reqs[[#This Row],[URL*]],"/",-1),".")</f>
        <v>CapabilityStatement-us-core-Server</v>
      </c>
      <c r="S550" t="str">
        <f>_xlfn.TEXTAFTER(us_core_reqs[[#This Row],[URL*]],"#",-1)</f>
        <v>valueset</v>
      </c>
      <c r="T550" t="str">
        <f>SUBSTITUTE(SUBSTITUTE(PROPER(SUBSTITUTE(us_core_reqs[[#This Row],[Page]], "-", " "))&amp;": "&amp;PROPER(SUBSTITUTE(us_core_reqs[[#This Row],[Section]], "-", " ")),"Us ","US "), "Uscdi", "USCDI")</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1723</v>
      </c>
      <c r="C551" t="str">
        <f>"CONF-"&amp;TEXT(us_core_reqs[[#This Row],[ID*]], "0000")</f>
        <v>CONF-0550</v>
      </c>
      <c r="D551" s="11" t="s">
        <v>633</v>
      </c>
      <c r="E551" t="str">
        <f>SUBSTITUTE(us_core_reqs[[#This Row],[URL*]], "https://hl7.org/fhir/us/core/STU8/","")</f>
        <v>security.html#patient-privacy-and-security</v>
      </c>
      <c r="F551" s="11" t="s">
        <v>1921</v>
      </c>
      <c r="G551" t="s">
        <v>29</v>
      </c>
      <c r="I551" t="s">
        <v>30</v>
      </c>
      <c r="J551" t="s">
        <v>1171</v>
      </c>
      <c r="K551" t="s">
        <v>1171</v>
      </c>
      <c r="L551" t="s">
        <v>1173</v>
      </c>
      <c r="M551" t="s">
        <v>1171</v>
      </c>
      <c r="N551" t="s">
        <v>1171</v>
      </c>
      <c r="O551" t="s">
        <v>1171</v>
      </c>
      <c r="P551" t="s">
        <v>1171</v>
      </c>
      <c r="Q551" t="s">
        <v>1171</v>
      </c>
      <c r="R551" t="str">
        <f>_xlfn.TEXTBEFORE(_xlfn.TEXTAFTER(us_core_reqs[[#This Row],[URL*]],"/",-1),".")</f>
        <v>security</v>
      </c>
      <c r="S551" t="str">
        <f>_xlfn.TEXTAFTER(us_core_reqs[[#This Row],[URL*]],"#",-1)</f>
        <v>patient-privacy-and-security</v>
      </c>
      <c r="T551" t="str">
        <f>SUBSTITUTE(SUBSTITUTE(PROPER(SUBSTITUTE(us_core_reqs[[#This Row],[Page]], "-", " "))&amp;": "&amp;PROPER(SUBSTITUTE(us_core_reqs[[#This Row],[Section]], "-", " ")),"Us ","US "), "Uscdi", "USCDI")</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1724</v>
      </c>
      <c r="C552" t="str">
        <f>"CONF-"&amp;TEXT(us_core_reqs[[#This Row],[ID*]], "0000")</f>
        <v>CONF-0551</v>
      </c>
      <c r="D552" s="11" t="s">
        <v>633</v>
      </c>
      <c r="E552" t="str">
        <f>SUBSTITUTE(us_core_reqs[[#This Row],[URL*]], "https://hl7.org/fhir/us/core/STU8/","")</f>
        <v>security.html#patient-privacy-and-security</v>
      </c>
      <c r="F552" s="11" t="s">
        <v>1921</v>
      </c>
      <c r="G552" t="s">
        <v>29</v>
      </c>
      <c r="I552" t="s">
        <v>58</v>
      </c>
      <c r="J552" t="s">
        <v>1171</v>
      </c>
      <c r="K552" t="s">
        <v>1171</v>
      </c>
      <c r="L552" t="s">
        <v>1173</v>
      </c>
      <c r="M552" t="s">
        <v>1171</v>
      </c>
      <c r="N552" t="s">
        <v>1171</v>
      </c>
      <c r="O552" t="s">
        <v>1171</v>
      </c>
      <c r="P552" t="s">
        <v>1171</v>
      </c>
      <c r="Q552" t="s">
        <v>1171</v>
      </c>
      <c r="R552" t="str">
        <f>_xlfn.TEXTBEFORE(_xlfn.TEXTAFTER(us_core_reqs[[#This Row],[URL*]],"/",-1),".")</f>
        <v>security</v>
      </c>
      <c r="S552" t="str">
        <f>_xlfn.TEXTAFTER(us_core_reqs[[#This Row],[URL*]],"#",-1)</f>
        <v>patient-privacy-and-security</v>
      </c>
      <c r="T552" t="str">
        <f>SUBSTITUTE(SUBSTITUTE(PROPER(SUBSTITUTE(us_core_reqs[[#This Row],[Page]], "-", " "))&amp;": "&amp;PROPER(SUBSTITUTE(us_core_reqs[[#This Row],[Section]], "-", " ")),"Us ","US "), "Uscdi", "USCDI")</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1725</v>
      </c>
      <c r="C553" t="str">
        <f>"CONF-"&amp;TEXT(us_core_reqs[[#This Row],[ID*]], "0000")</f>
        <v>CONF-0552</v>
      </c>
      <c r="D553" s="11" t="s">
        <v>633</v>
      </c>
      <c r="E553" t="str">
        <f>SUBSTITUTE(us_core_reqs[[#This Row],[URL*]], "https://hl7.org/fhir/us/core/STU8/","")</f>
        <v>security.html#patient-privacy-and-security</v>
      </c>
      <c r="F553" s="11" t="s">
        <v>2031</v>
      </c>
      <c r="G553" t="s">
        <v>32</v>
      </c>
      <c r="I553" t="s">
        <v>30</v>
      </c>
      <c r="J553" t="s">
        <v>1171</v>
      </c>
      <c r="K553" t="s">
        <v>1171</v>
      </c>
      <c r="L553" t="s">
        <v>1173</v>
      </c>
      <c r="M553" t="s">
        <v>1171</v>
      </c>
      <c r="N553" t="s">
        <v>1171</v>
      </c>
      <c r="O553" t="s">
        <v>1171</v>
      </c>
      <c r="P553" t="s">
        <v>1171</v>
      </c>
      <c r="Q553" t="s">
        <v>1171</v>
      </c>
      <c r="R553" t="str">
        <f>_xlfn.TEXTBEFORE(_xlfn.TEXTAFTER(us_core_reqs[[#This Row],[URL*]],"/",-1),".")</f>
        <v>security</v>
      </c>
      <c r="S553" t="str">
        <f>_xlfn.TEXTAFTER(us_core_reqs[[#This Row],[URL*]],"#",-1)</f>
        <v>patient-privacy-and-security</v>
      </c>
      <c r="T553" t="str">
        <f>SUBSTITUTE(SUBSTITUTE(PROPER(SUBSTITUTE(us_core_reqs[[#This Row],[Page]], "-", " "))&amp;": "&amp;PROPER(SUBSTITUTE(us_core_reqs[[#This Row],[Section]], "-", " ")),"Us ","US "), "Uscdi", "USCDI")</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1726</v>
      </c>
      <c r="C554" t="str">
        <f>"CONF-"&amp;TEXT(us_core_reqs[[#This Row],[ID*]], "0000")</f>
        <v>CONF-0553</v>
      </c>
      <c r="D554" s="11" t="s">
        <v>633</v>
      </c>
      <c r="E554" t="str">
        <f>SUBSTITUTE(us_core_reqs[[#This Row],[URL*]], "https://hl7.org/fhir/us/core/STU8/","")</f>
        <v>security.html#patient-privacy-and-security</v>
      </c>
      <c r="F554" s="11" t="s">
        <v>2031</v>
      </c>
      <c r="G554" t="s">
        <v>32</v>
      </c>
      <c r="I554" t="s">
        <v>58</v>
      </c>
      <c r="J554" t="s">
        <v>1171</v>
      </c>
      <c r="K554" t="s">
        <v>1171</v>
      </c>
      <c r="L554" t="s">
        <v>1173</v>
      </c>
      <c r="M554" t="s">
        <v>1171</v>
      </c>
      <c r="N554" t="s">
        <v>1171</v>
      </c>
      <c r="O554" t="s">
        <v>1171</v>
      </c>
      <c r="P554" t="s">
        <v>1171</v>
      </c>
      <c r="Q554" t="s">
        <v>1171</v>
      </c>
      <c r="R554" t="str">
        <f>_xlfn.TEXTBEFORE(_xlfn.TEXTAFTER(us_core_reqs[[#This Row],[URL*]],"/",-1),".")</f>
        <v>security</v>
      </c>
      <c r="S554" t="str">
        <f>_xlfn.TEXTAFTER(us_core_reqs[[#This Row],[URL*]],"#",-1)</f>
        <v>patient-privacy-and-security</v>
      </c>
      <c r="T554" t="str">
        <f>SUBSTITUTE(SUBSTITUTE(PROPER(SUBSTITUTE(us_core_reqs[[#This Row],[Page]], "-", " "))&amp;": "&amp;PROPER(SUBSTITUTE(us_core_reqs[[#This Row],[Section]], "-", " ")),"Us ","US "), "Uscdi", "USCDI")</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1727</v>
      </c>
      <c r="C555" t="str">
        <f>"CONF-"&amp;TEXT(us_core_reqs[[#This Row],[ID*]], "0000")</f>
        <v>CONF-0554</v>
      </c>
      <c r="D555" s="11" t="s">
        <v>633</v>
      </c>
      <c r="E555" t="str">
        <f>SUBSTITUTE(us_core_reqs[[#This Row],[URL*]], "https://hl7.org/fhir/us/core/STU8/","")</f>
        <v>security.html#patient-privacy-and-security</v>
      </c>
      <c r="F555" s="11" t="s">
        <v>2032</v>
      </c>
      <c r="G555" t="s">
        <v>32</v>
      </c>
      <c r="I555" t="s">
        <v>30</v>
      </c>
      <c r="J555" t="s">
        <v>1171</v>
      </c>
      <c r="K555" t="s">
        <v>1171</v>
      </c>
      <c r="L555" t="s">
        <v>1173</v>
      </c>
      <c r="M555" t="s">
        <v>1171</v>
      </c>
      <c r="N555" t="s">
        <v>1171</v>
      </c>
      <c r="O555" t="s">
        <v>1171</v>
      </c>
      <c r="P555" t="s">
        <v>1171</v>
      </c>
      <c r="Q555" t="s">
        <v>1171</v>
      </c>
      <c r="R555" t="str">
        <f>_xlfn.TEXTBEFORE(_xlfn.TEXTAFTER(us_core_reqs[[#This Row],[URL*]],"/",-1),".")</f>
        <v>security</v>
      </c>
      <c r="S555" t="str">
        <f>_xlfn.TEXTAFTER(us_core_reqs[[#This Row],[URL*]],"#",-1)</f>
        <v>patient-privacy-and-security</v>
      </c>
      <c r="T555" t="str">
        <f>SUBSTITUTE(SUBSTITUTE(PROPER(SUBSTITUTE(us_core_reqs[[#This Row],[Page]], "-", " "))&amp;": "&amp;PROPER(SUBSTITUTE(us_core_reqs[[#This Row],[Section]], "-", " ")),"Us ","US "), "Uscdi", "USCDI")</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1728</v>
      </c>
      <c r="C556" t="str">
        <f>"CONF-"&amp;TEXT(us_core_reqs[[#This Row],[ID*]], "0000")</f>
        <v>CONF-0555</v>
      </c>
      <c r="D556" s="11" t="s">
        <v>633</v>
      </c>
      <c r="E556" t="str">
        <f>SUBSTITUTE(us_core_reqs[[#This Row],[URL*]], "https://hl7.org/fhir/us/core/STU8/","")</f>
        <v>security.html#patient-privacy-and-security</v>
      </c>
      <c r="F556" s="11" t="s">
        <v>2032</v>
      </c>
      <c r="G556" t="s">
        <v>32</v>
      </c>
      <c r="I556" t="s">
        <v>58</v>
      </c>
      <c r="J556" t="s">
        <v>1171</v>
      </c>
      <c r="K556" t="s">
        <v>1171</v>
      </c>
      <c r="L556" t="s">
        <v>1173</v>
      </c>
      <c r="M556" t="s">
        <v>1171</v>
      </c>
      <c r="N556" t="s">
        <v>1171</v>
      </c>
      <c r="O556" t="s">
        <v>1171</v>
      </c>
      <c r="P556" t="s">
        <v>1171</v>
      </c>
      <c r="Q556" t="s">
        <v>1171</v>
      </c>
      <c r="R556" t="str">
        <f>_xlfn.TEXTBEFORE(_xlfn.TEXTAFTER(us_core_reqs[[#This Row],[URL*]],"/",-1),".")</f>
        <v>security</v>
      </c>
      <c r="S556" t="str">
        <f>_xlfn.TEXTAFTER(us_core_reqs[[#This Row],[URL*]],"#",-1)</f>
        <v>patient-privacy-and-security</v>
      </c>
      <c r="T556" t="str">
        <f>SUBSTITUTE(SUBSTITUTE(PROPER(SUBSTITUTE(us_core_reqs[[#This Row],[Page]], "-", " "))&amp;": "&amp;PROPER(SUBSTITUTE(us_core_reqs[[#This Row],[Section]], "-", " ")),"Us ","US "), "Uscdi", "USCDI")</f>
        <v>Security: Patient Privacy And Security</v>
      </c>
      <c r="U556" t="s">
        <v>1171</v>
      </c>
      <c r="V556" t="s">
        <v>1171</v>
      </c>
      <c r="W556" t="s">
        <v>1171</v>
      </c>
      <c r="X556" t="s">
        <v>1171</v>
      </c>
      <c r="Y556" t="s">
        <v>1171</v>
      </c>
      <c r="Z556" t="s">
        <v>1171</v>
      </c>
      <c r="AA556" t="s">
        <v>1171</v>
      </c>
      <c r="AB556" t="s">
        <v>1171</v>
      </c>
      <c r="AC556" t="s">
        <v>1171</v>
      </c>
      <c r="AD556" t="s">
        <v>1171</v>
      </c>
    </row>
    <row r="557" spans="1:30" ht="51" x14ac:dyDescent="0.2">
      <c r="A557" t="s">
        <v>1171</v>
      </c>
      <c r="B557" t="s">
        <v>1729</v>
      </c>
      <c r="C557" t="str">
        <f>"CONF-"&amp;TEXT(us_core_reqs[[#This Row],[ID*]], "0000")</f>
        <v>CONF-0556</v>
      </c>
      <c r="D557" s="11" t="s">
        <v>633</v>
      </c>
      <c r="E557" t="str">
        <f>SUBSTITUTE(us_core_reqs[[#This Row],[URL*]], "https://hl7.org/fhir/us/core/STU8/","")</f>
        <v>security.html#patient-privacy-and-security</v>
      </c>
      <c r="F557" s="11" t="s">
        <v>2033</v>
      </c>
      <c r="G557" t="s">
        <v>32</v>
      </c>
      <c r="I557" t="s">
        <v>30</v>
      </c>
      <c r="J557" t="s">
        <v>1171</v>
      </c>
      <c r="K557" t="s">
        <v>1171</v>
      </c>
      <c r="L557" t="s">
        <v>1173</v>
      </c>
      <c r="M557" t="s">
        <v>1171</v>
      </c>
      <c r="N557" t="s">
        <v>1171</v>
      </c>
      <c r="O557" t="s">
        <v>1171</v>
      </c>
      <c r="P557" t="s">
        <v>1171</v>
      </c>
      <c r="Q557" t="s">
        <v>1171</v>
      </c>
      <c r="R557" t="str">
        <f>_xlfn.TEXTBEFORE(_xlfn.TEXTAFTER(us_core_reqs[[#This Row],[URL*]],"/",-1),".")</f>
        <v>security</v>
      </c>
      <c r="S557" t="str">
        <f>_xlfn.TEXTAFTER(us_core_reqs[[#This Row],[URL*]],"#",-1)</f>
        <v>patient-privacy-and-security</v>
      </c>
      <c r="T557" t="str">
        <f>SUBSTITUTE(SUBSTITUTE(PROPER(SUBSTITUTE(us_core_reqs[[#This Row],[Page]], "-", " "))&amp;": "&amp;PROPER(SUBSTITUTE(us_core_reqs[[#This Row],[Section]], "-", " ")),"Us ","US "), "Uscdi", "USCDI")</f>
        <v>Security: Patient Privacy And Security</v>
      </c>
      <c r="U557" t="s">
        <v>1171</v>
      </c>
      <c r="V557" t="s">
        <v>1171</v>
      </c>
      <c r="W557" t="s">
        <v>1171</v>
      </c>
      <c r="X557" t="s">
        <v>1171</v>
      </c>
      <c r="Y557" t="s">
        <v>1171</v>
      </c>
      <c r="Z557" t="s">
        <v>1171</v>
      </c>
      <c r="AA557" t="s">
        <v>1171</v>
      </c>
      <c r="AB557" t="s">
        <v>1171</v>
      </c>
      <c r="AC557" t="s">
        <v>1171</v>
      </c>
      <c r="AD557" t="s">
        <v>1171</v>
      </c>
    </row>
    <row r="558" spans="1:30" ht="51" x14ac:dyDescent="0.2">
      <c r="A558" t="s">
        <v>1171</v>
      </c>
      <c r="B558" t="s">
        <v>1730</v>
      </c>
      <c r="C558" t="str">
        <f>"CONF-"&amp;TEXT(us_core_reqs[[#This Row],[ID*]], "0000")</f>
        <v>CONF-0557</v>
      </c>
      <c r="D558" s="11" t="s">
        <v>633</v>
      </c>
      <c r="E558" t="str">
        <f>SUBSTITUTE(us_core_reqs[[#This Row],[URL*]], "https://hl7.org/fhir/us/core/STU8/","")</f>
        <v>security.html#patient-privacy-and-security</v>
      </c>
      <c r="F558" s="11" t="s">
        <v>2033</v>
      </c>
      <c r="G558" t="s">
        <v>32</v>
      </c>
      <c r="I558" t="s">
        <v>58</v>
      </c>
      <c r="J558" t="s">
        <v>1171</v>
      </c>
      <c r="K558" t="s">
        <v>1171</v>
      </c>
      <c r="L558" t="s">
        <v>1173</v>
      </c>
      <c r="M558" t="s">
        <v>1171</v>
      </c>
      <c r="N558" t="s">
        <v>1171</v>
      </c>
      <c r="O558" t="s">
        <v>1171</v>
      </c>
      <c r="P558" t="s">
        <v>1171</v>
      </c>
      <c r="Q558" t="s">
        <v>1171</v>
      </c>
      <c r="R558" t="str">
        <f>_xlfn.TEXTBEFORE(_xlfn.TEXTAFTER(us_core_reqs[[#This Row],[URL*]],"/",-1),".")</f>
        <v>security</v>
      </c>
      <c r="S558" t="str">
        <f>_xlfn.TEXTAFTER(us_core_reqs[[#This Row],[URL*]],"#",-1)</f>
        <v>patient-privacy-and-security</v>
      </c>
      <c r="T558" t="str">
        <f>SUBSTITUTE(SUBSTITUTE(PROPER(SUBSTITUTE(us_core_reqs[[#This Row],[Page]], "-", " "))&amp;": "&amp;PROPER(SUBSTITUTE(us_core_reqs[[#This Row],[Section]], "-", " ")),"Us ","US "), "Uscdi", "USCDI")</f>
        <v>Security: Patient Privacy And Security</v>
      </c>
      <c r="U558" t="s">
        <v>1171</v>
      </c>
      <c r="V558" t="s">
        <v>1171</v>
      </c>
      <c r="W558" t="s">
        <v>1171</v>
      </c>
      <c r="X558" t="s">
        <v>1171</v>
      </c>
      <c r="Y558" t="s">
        <v>1171</v>
      </c>
      <c r="Z558" t="s">
        <v>1171</v>
      </c>
      <c r="AA558" t="s">
        <v>1171</v>
      </c>
      <c r="AB558" t="s">
        <v>1171</v>
      </c>
      <c r="AC558" t="s">
        <v>1171</v>
      </c>
      <c r="AD558" t="s">
        <v>1171</v>
      </c>
    </row>
    <row r="559" spans="1:30" ht="51" x14ac:dyDescent="0.2">
      <c r="A559" t="s">
        <v>1171</v>
      </c>
      <c r="B559" t="s">
        <v>1731</v>
      </c>
      <c r="C559" t="str">
        <f>"CONF-"&amp;TEXT(us_core_reqs[[#This Row],[ID*]], "0000")</f>
        <v>CONF-0558</v>
      </c>
      <c r="D559" s="11" t="s">
        <v>633</v>
      </c>
      <c r="E559" t="str">
        <f>SUBSTITUTE(us_core_reqs[[#This Row],[URL*]], "https://hl7.org/fhir/us/core/STU8/","")</f>
        <v>security.html#patient-privacy-and-security</v>
      </c>
      <c r="F559" s="11" t="s">
        <v>1922</v>
      </c>
      <c r="G559" t="s">
        <v>29</v>
      </c>
      <c r="I559" t="s">
        <v>30</v>
      </c>
      <c r="J559" t="s">
        <v>1171</v>
      </c>
      <c r="K559" t="s">
        <v>1171</v>
      </c>
      <c r="L559" t="s">
        <v>1173</v>
      </c>
      <c r="M559" t="s">
        <v>1171</v>
      </c>
      <c r="N559" t="s">
        <v>1171</v>
      </c>
      <c r="O559" t="s">
        <v>1171</v>
      </c>
      <c r="P559" t="s">
        <v>1171</v>
      </c>
      <c r="Q559" t="s">
        <v>1171</v>
      </c>
      <c r="R559" t="str">
        <f>_xlfn.TEXTBEFORE(_xlfn.TEXTAFTER(us_core_reqs[[#This Row],[URL*]],"/",-1),".")</f>
        <v>security</v>
      </c>
      <c r="S559" t="str">
        <f>_xlfn.TEXTAFTER(us_core_reqs[[#This Row],[URL*]],"#",-1)</f>
        <v>patient-privacy-and-security</v>
      </c>
      <c r="T559" t="str">
        <f>SUBSTITUTE(SUBSTITUTE(PROPER(SUBSTITUTE(us_core_reqs[[#This Row],[Page]], "-", " "))&amp;": "&amp;PROPER(SUBSTITUTE(us_core_reqs[[#This Row],[Section]], "-", " ")),"Us ","US "), "Uscdi", "USCDI")</f>
        <v>Security: Patient Privacy And Security</v>
      </c>
      <c r="U559" t="s">
        <v>1171</v>
      </c>
      <c r="V559" t="s">
        <v>1171</v>
      </c>
      <c r="W559" t="s">
        <v>1171</v>
      </c>
      <c r="X559" t="s">
        <v>1171</v>
      </c>
      <c r="Y559" t="s">
        <v>1171</v>
      </c>
      <c r="Z559" t="s">
        <v>1171</v>
      </c>
      <c r="AA559" t="s">
        <v>1171</v>
      </c>
      <c r="AB559" t="s">
        <v>1171</v>
      </c>
      <c r="AC559" t="s">
        <v>1141</v>
      </c>
      <c r="AD559" t="s">
        <v>1171</v>
      </c>
    </row>
    <row r="560" spans="1:30" ht="51" x14ac:dyDescent="0.2">
      <c r="A560" t="s">
        <v>1171</v>
      </c>
      <c r="B560" t="s">
        <v>1732</v>
      </c>
      <c r="C560" t="str">
        <f>"CONF-"&amp;TEXT(us_core_reqs[[#This Row],[ID*]], "0000")</f>
        <v>CONF-0559</v>
      </c>
      <c r="D560" s="11" t="s">
        <v>633</v>
      </c>
      <c r="E560" t="str">
        <f>SUBSTITUTE(us_core_reqs[[#This Row],[URL*]], "https://hl7.org/fhir/us/core/STU8/","")</f>
        <v>security.html#patient-privacy-and-security</v>
      </c>
      <c r="F560" s="11" t="s">
        <v>1922</v>
      </c>
      <c r="G560" t="s">
        <v>29</v>
      </c>
      <c r="I560" t="s">
        <v>58</v>
      </c>
      <c r="J560" t="s">
        <v>1171</v>
      </c>
      <c r="K560" t="s">
        <v>1171</v>
      </c>
      <c r="L560" t="s">
        <v>1173</v>
      </c>
      <c r="M560" t="s">
        <v>1171</v>
      </c>
      <c r="N560" t="s">
        <v>1171</v>
      </c>
      <c r="O560" t="s">
        <v>1171</v>
      </c>
      <c r="P560" t="s">
        <v>1171</v>
      </c>
      <c r="Q560" t="s">
        <v>1171</v>
      </c>
      <c r="R560" t="str">
        <f>_xlfn.TEXTBEFORE(_xlfn.TEXTAFTER(us_core_reqs[[#This Row],[URL*]],"/",-1),".")</f>
        <v>security</v>
      </c>
      <c r="S560" t="str">
        <f>_xlfn.TEXTAFTER(us_core_reqs[[#This Row],[URL*]],"#",-1)</f>
        <v>patient-privacy-and-security</v>
      </c>
      <c r="T560" t="str">
        <f>SUBSTITUTE(SUBSTITUTE(PROPER(SUBSTITUTE(us_core_reqs[[#This Row],[Page]], "-", " "))&amp;": "&amp;PROPER(SUBSTITUTE(us_core_reqs[[#This Row],[Section]], "-", " ")),"Us ","US "), "Uscdi", "USCDI")</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1733</v>
      </c>
      <c r="C561" t="str">
        <f>"CONF-"&amp;TEXT(us_core_reqs[[#This Row],[ID*]], "0000")</f>
        <v>CONF-0560</v>
      </c>
      <c r="D561" s="11" t="s">
        <v>633</v>
      </c>
      <c r="E561" t="str">
        <f>SUBSTITUTE(us_core_reqs[[#This Row],[URL*]], "https://hl7.org/fhir/us/core/STU8/","")</f>
        <v>security.html#patient-privacy-and-security</v>
      </c>
      <c r="F561" s="11" t="s">
        <v>2034</v>
      </c>
      <c r="G561" t="s">
        <v>32</v>
      </c>
      <c r="I561" t="s">
        <v>30</v>
      </c>
      <c r="J561" t="s">
        <v>1171</v>
      </c>
      <c r="K561" t="s">
        <v>1171</v>
      </c>
      <c r="L561" t="s">
        <v>1173</v>
      </c>
      <c r="M561" t="s">
        <v>1171</v>
      </c>
      <c r="N561" t="s">
        <v>1171</v>
      </c>
      <c r="O561" t="s">
        <v>1171</v>
      </c>
      <c r="P561" t="s">
        <v>1171</v>
      </c>
      <c r="Q561" t="s">
        <v>1171</v>
      </c>
      <c r="R561" t="str">
        <f>_xlfn.TEXTBEFORE(_xlfn.TEXTAFTER(us_core_reqs[[#This Row],[URL*]],"/",-1),".")</f>
        <v>security</v>
      </c>
      <c r="S561" t="str">
        <f>_xlfn.TEXTAFTER(us_core_reqs[[#This Row],[URL*]],"#",-1)</f>
        <v>patient-privacy-and-security</v>
      </c>
      <c r="T561" t="str">
        <f>SUBSTITUTE(SUBSTITUTE(PROPER(SUBSTITUTE(us_core_reqs[[#This Row],[Page]], "-", " "))&amp;": "&amp;PROPER(SUBSTITUTE(us_core_reqs[[#This Row],[Section]], "-", " ")),"Us ","US "), "Uscdi", "USCDI")</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1734</v>
      </c>
      <c r="C562" t="str">
        <f>"CONF-"&amp;TEXT(us_core_reqs[[#This Row],[ID*]], "0000")</f>
        <v>CONF-0561</v>
      </c>
      <c r="D562" s="11" t="s">
        <v>633</v>
      </c>
      <c r="E562" t="str">
        <f>SUBSTITUTE(us_core_reqs[[#This Row],[URL*]], "https://hl7.org/fhir/us/core/STU8/","")</f>
        <v>security.html#patient-privacy-and-security</v>
      </c>
      <c r="F562" s="11" t="s">
        <v>2034</v>
      </c>
      <c r="G562" t="s">
        <v>32</v>
      </c>
      <c r="I562" t="s">
        <v>58</v>
      </c>
      <c r="J562" t="s">
        <v>1171</v>
      </c>
      <c r="K562" t="s">
        <v>1171</v>
      </c>
      <c r="L562" t="s">
        <v>1173</v>
      </c>
      <c r="M562" t="s">
        <v>1171</v>
      </c>
      <c r="N562" t="s">
        <v>1171</v>
      </c>
      <c r="O562" t="s">
        <v>1171</v>
      </c>
      <c r="P562" t="s">
        <v>1171</v>
      </c>
      <c r="Q562" t="s">
        <v>1171</v>
      </c>
      <c r="R562" t="str">
        <f>_xlfn.TEXTBEFORE(_xlfn.TEXTAFTER(us_core_reqs[[#This Row],[URL*]],"/",-1),".")</f>
        <v>security</v>
      </c>
      <c r="S562" t="str">
        <f>_xlfn.TEXTAFTER(us_core_reqs[[#This Row],[URL*]],"#",-1)</f>
        <v>patient-privacy-and-security</v>
      </c>
      <c r="T562" t="str">
        <f>SUBSTITUTE(SUBSTITUTE(PROPER(SUBSTITUTE(us_core_reqs[[#This Row],[Page]], "-", " "))&amp;": "&amp;PROPER(SUBSTITUTE(us_core_reqs[[#This Row],[Section]], "-", " ")),"Us ","US "), "Uscdi", "USCDI")</f>
        <v>Security: Patient Privacy And Security</v>
      </c>
      <c r="U562" t="s">
        <v>1171</v>
      </c>
      <c r="V562" t="s">
        <v>1171</v>
      </c>
      <c r="W562" t="s">
        <v>1171</v>
      </c>
      <c r="X562" t="s">
        <v>1171</v>
      </c>
      <c r="Y562" t="s">
        <v>1171</v>
      </c>
      <c r="Z562" t="s">
        <v>1171</v>
      </c>
      <c r="AA562" t="s">
        <v>1171</v>
      </c>
      <c r="AB562" t="s">
        <v>1171</v>
      </c>
      <c r="AC562" t="s">
        <v>1171</v>
      </c>
      <c r="AD562" t="s">
        <v>1171</v>
      </c>
    </row>
    <row r="563" spans="1:30" ht="34" x14ac:dyDescent="0.2">
      <c r="A563" t="s">
        <v>1171</v>
      </c>
      <c r="B563" t="s">
        <v>1735</v>
      </c>
      <c r="C563" t="str">
        <f>"CONF-"&amp;TEXT(us_core_reqs[[#This Row],[ID*]], "0000")</f>
        <v>CONF-0562</v>
      </c>
      <c r="D563" s="11" t="s">
        <v>633</v>
      </c>
      <c r="E563" t="str">
        <f>SUBSTITUTE(us_core_reqs[[#This Row],[URL*]], "https://hl7.org/fhir/us/core/STU8/","")</f>
        <v>security.html#patient-privacy-and-security</v>
      </c>
      <c r="F563" s="11" t="s">
        <v>1923</v>
      </c>
      <c r="G563" t="s">
        <v>29</v>
      </c>
      <c r="I563" t="s">
        <v>30</v>
      </c>
      <c r="J563" t="s">
        <v>1171</v>
      </c>
      <c r="K563" t="s">
        <v>1171</v>
      </c>
      <c r="L563" t="s">
        <v>1173</v>
      </c>
      <c r="M563" t="s">
        <v>1171</v>
      </c>
      <c r="N563" t="s">
        <v>1171</v>
      </c>
      <c r="O563" t="s">
        <v>1171</v>
      </c>
      <c r="P563" t="s">
        <v>1171</v>
      </c>
      <c r="Q563" t="s">
        <v>1171</v>
      </c>
      <c r="R563" t="str">
        <f>_xlfn.TEXTBEFORE(_xlfn.TEXTAFTER(us_core_reqs[[#This Row],[URL*]],"/",-1),".")</f>
        <v>security</v>
      </c>
      <c r="S563" t="str">
        <f>_xlfn.TEXTAFTER(us_core_reqs[[#This Row],[URL*]],"#",-1)</f>
        <v>patient-privacy-and-security</v>
      </c>
      <c r="T563" t="str">
        <f>SUBSTITUTE(SUBSTITUTE(PROPER(SUBSTITUTE(us_core_reqs[[#This Row],[Page]], "-", " "))&amp;": "&amp;PROPER(SUBSTITUTE(us_core_reqs[[#This Row],[Section]], "-", " ")),"Us ","US "), "Uscdi", "USCDI")</f>
        <v>Security: Patient Privacy And Security</v>
      </c>
      <c r="U563" t="s">
        <v>1171</v>
      </c>
      <c r="V563" t="s">
        <v>1171</v>
      </c>
      <c r="W563" t="s">
        <v>1171</v>
      </c>
      <c r="X563" t="s">
        <v>1171</v>
      </c>
      <c r="Y563" t="s">
        <v>1171</v>
      </c>
      <c r="Z563" t="s">
        <v>1171</v>
      </c>
      <c r="AA563" t="s">
        <v>1171</v>
      </c>
      <c r="AB563" t="s">
        <v>1171</v>
      </c>
      <c r="AC563" t="s">
        <v>1141</v>
      </c>
      <c r="AD563" t="s">
        <v>1171</v>
      </c>
    </row>
    <row r="564" spans="1:30" ht="34" x14ac:dyDescent="0.2">
      <c r="A564" t="s">
        <v>1171</v>
      </c>
      <c r="B564" t="s">
        <v>1736</v>
      </c>
      <c r="C564" t="str">
        <f>"CONF-"&amp;TEXT(us_core_reqs[[#This Row],[ID*]], "0000")</f>
        <v>CONF-0563</v>
      </c>
      <c r="D564" s="11" t="s">
        <v>633</v>
      </c>
      <c r="E564" t="str">
        <f>SUBSTITUTE(us_core_reqs[[#This Row],[URL*]], "https://hl7.org/fhir/us/core/STU8/","")</f>
        <v>security.html#patient-privacy-and-security</v>
      </c>
      <c r="F564" s="11" t="s">
        <v>1923</v>
      </c>
      <c r="G564" t="s">
        <v>29</v>
      </c>
      <c r="I564" t="s">
        <v>58</v>
      </c>
      <c r="J564" t="s">
        <v>1171</v>
      </c>
      <c r="K564" t="s">
        <v>1171</v>
      </c>
      <c r="L564" t="s">
        <v>1173</v>
      </c>
      <c r="M564" t="s">
        <v>1171</v>
      </c>
      <c r="N564" t="s">
        <v>1171</v>
      </c>
      <c r="O564" t="s">
        <v>1171</v>
      </c>
      <c r="P564" t="s">
        <v>1171</v>
      </c>
      <c r="Q564" t="s">
        <v>1171</v>
      </c>
      <c r="R564" t="str">
        <f>_xlfn.TEXTBEFORE(_xlfn.TEXTAFTER(us_core_reqs[[#This Row],[URL*]],"/",-1),".")</f>
        <v>security</v>
      </c>
      <c r="S564" t="str">
        <f>_xlfn.TEXTAFTER(us_core_reqs[[#This Row],[URL*]],"#",-1)</f>
        <v>patient-privacy-and-security</v>
      </c>
      <c r="T564" t="str">
        <f>SUBSTITUTE(SUBSTITUTE(PROPER(SUBSTITUTE(us_core_reqs[[#This Row],[Page]], "-", " "))&amp;": "&amp;PROPER(SUBSTITUTE(us_core_reqs[[#This Row],[Section]], "-", " ")),"Us ","US "), "Uscdi", "USCDI")</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1737</v>
      </c>
      <c r="C565" t="str">
        <f>"CONF-"&amp;TEXT(us_core_reqs[[#This Row],[ID*]], "0000")</f>
        <v>CONF-0564</v>
      </c>
      <c r="D565" s="11" t="s">
        <v>633</v>
      </c>
      <c r="E565" t="str">
        <f>SUBSTITUTE(us_core_reqs[[#This Row],[URL*]], "https://hl7.org/fhir/us/core/STU8/","")</f>
        <v>security.html#patient-privacy-and-security</v>
      </c>
      <c r="F565" s="11" t="s">
        <v>1924</v>
      </c>
      <c r="G565" t="s">
        <v>29</v>
      </c>
      <c r="I565" t="s">
        <v>30</v>
      </c>
      <c r="J565" t="s">
        <v>1171</v>
      </c>
      <c r="K565" t="s">
        <v>1171</v>
      </c>
      <c r="L565" t="s">
        <v>1173</v>
      </c>
      <c r="M565" t="s">
        <v>1171</v>
      </c>
      <c r="N565" t="s">
        <v>1171</v>
      </c>
      <c r="O565" t="s">
        <v>1171</v>
      </c>
      <c r="P565" t="s">
        <v>1171</v>
      </c>
      <c r="Q565" t="s">
        <v>1171</v>
      </c>
      <c r="R565" t="str">
        <f>_xlfn.TEXTBEFORE(_xlfn.TEXTAFTER(us_core_reqs[[#This Row],[URL*]],"/",-1),".")</f>
        <v>security</v>
      </c>
      <c r="S565" t="str">
        <f>_xlfn.TEXTAFTER(us_core_reqs[[#This Row],[URL*]],"#",-1)</f>
        <v>patient-privacy-and-security</v>
      </c>
      <c r="T565" t="str">
        <f>SUBSTITUTE(SUBSTITUTE(PROPER(SUBSTITUTE(us_core_reqs[[#This Row],[Page]], "-", " "))&amp;": "&amp;PROPER(SUBSTITUTE(us_core_reqs[[#This Row],[Section]], "-", " ")),"Us ","US "), "Uscdi", "USCDI")</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1738</v>
      </c>
      <c r="C566" t="str">
        <f>"CONF-"&amp;TEXT(us_core_reqs[[#This Row],[ID*]], "0000")</f>
        <v>CONF-0565</v>
      </c>
      <c r="D566" s="11" t="s">
        <v>633</v>
      </c>
      <c r="E566" t="str">
        <f>SUBSTITUTE(us_core_reqs[[#This Row],[URL*]], "https://hl7.org/fhir/us/core/STU8/","")</f>
        <v>security.html#patient-privacy-and-security</v>
      </c>
      <c r="F566" s="11" t="s">
        <v>1924</v>
      </c>
      <c r="G566" t="s">
        <v>29</v>
      </c>
      <c r="I566" t="s">
        <v>58</v>
      </c>
      <c r="J566" t="s">
        <v>1171</v>
      </c>
      <c r="K566" t="s">
        <v>1171</v>
      </c>
      <c r="L566" t="s">
        <v>1173</v>
      </c>
      <c r="M566" t="s">
        <v>1171</v>
      </c>
      <c r="N566" t="s">
        <v>1171</v>
      </c>
      <c r="O566" t="s">
        <v>1171</v>
      </c>
      <c r="P566" t="s">
        <v>1171</v>
      </c>
      <c r="Q566" t="s">
        <v>1171</v>
      </c>
      <c r="R566" t="str">
        <f>_xlfn.TEXTBEFORE(_xlfn.TEXTAFTER(us_core_reqs[[#This Row],[URL*]],"/",-1),".")</f>
        <v>security</v>
      </c>
      <c r="S566" t="str">
        <f>_xlfn.TEXTAFTER(us_core_reqs[[#This Row],[URL*]],"#",-1)</f>
        <v>patient-privacy-and-security</v>
      </c>
      <c r="T566" t="str">
        <f>SUBSTITUTE(SUBSTITUTE(PROPER(SUBSTITUTE(us_core_reqs[[#This Row],[Page]], "-", " "))&amp;": "&amp;PROPER(SUBSTITUTE(us_core_reqs[[#This Row],[Section]], "-", " ")),"Us ","US "), "Uscdi", "USCDI")</f>
        <v>Security: Patient Privacy And Security</v>
      </c>
      <c r="U566" t="s">
        <v>1171</v>
      </c>
      <c r="V566" t="s">
        <v>1171</v>
      </c>
      <c r="W566" t="s">
        <v>1171</v>
      </c>
      <c r="X566" t="s">
        <v>1171</v>
      </c>
      <c r="Y566" t="s">
        <v>1171</v>
      </c>
      <c r="Z566" t="s">
        <v>1171</v>
      </c>
      <c r="AA566" t="s">
        <v>1171</v>
      </c>
      <c r="AB566" t="s">
        <v>1171</v>
      </c>
      <c r="AC566" t="s">
        <v>1171</v>
      </c>
      <c r="AD566" t="s">
        <v>1171</v>
      </c>
    </row>
    <row r="567" spans="1:30" ht="34" x14ac:dyDescent="0.2">
      <c r="A567" t="s">
        <v>1171</v>
      </c>
      <c r="B567" t="s">
        <v>1739</v>
      </c>
      <c r="C567" t="str">
        <f>"CONF-"&amp;TEXT(us_core_reqs[[#This Row],[ID*]], "0000")</f>
        <v>CONF-0566</v>
      </c>
      <c r="D567" s="11" t="s">
        <v>633</v>
      </c>
      <c r="E567" t="str">
        <f>SUBSTITUTE(us_core_reqs[[#This Row],[URL*]], "https://hl7.org/fhir/us/core/STU8/","")</f>
        <v>security.html#patient-privacy-and-security</v>
      </c>
      <c r="F567" s="11" t="s">
        <v>2035</v>
      </c>
      <c r="G567" t="s">
        <v>32</v>
      </c>
      <c r="I567" t="s">
        <v>30</v>
      </c>
      <c r="J567" t="s">
        <v>1171</v>
      </c>
      <c r="K567" t="s">
        <v>1171</v>
      </c>
      <c r="L567" t="s">
        <v>1173</v>
      </c>
      <c r="M567" t="s">
        <v>1171</v>
      </c>
      <c r="N567" t="s">
        <v>1171</v>
      </c>
      <c r="O567" t="s">
        <v>1171</v>
      </c>
      <c r="P567" t="s">
        <v>1171</v>
      </c>
      <c r="Q567" t="s">
        <v>1171</v>
      </c>
      <c r="R567" t="str">
        <f>_xlfn.TEXTBEFORE(_xlfn.TEXTAFTER(us_core_reqs[[#This Row],[URL*]],"/",-1),".")</f>
        <v>security</v>
      </c>
      <c r="S567" t="str">
        <f>_xlfn.TEXTAFTER(us_core_reqs[[#This Row],[URL*]],"#",-1)</f>
        <v>patient-privacy-and-security</v>
      </c>
      <c r="T567" t="str">
        <f>SUBSTITUTE(SUBSTITUTE(PROPER(SUBSTITUTE(us_core_reqs[[#This Row],[Page]], "-", " "))&amp;": "&amp;PROPER(SUBSTITUTE(us_core_reqs[[#This Row],[Section]], "-", " ")),"Us ","US "), "Uscdi", "USCDI")</f>
        <v>Security: Patient Privacy And Security</v>
      </c>
      <c r="U567" t="s">
        <v>1171</v>
      </c>
      <c r="V567" t="s">
        <v>1171</v>
      </c>
      <c r="W567" t="s">
        <v>1171</v>
      </c>
      <c r="X567" t="s">
        <v>1171</v>
      </c>
      <c r="Y567" t="s">
        <v>1171</v>
      </c>
      <c r="Z567" t="s">
        <v>1171</v>
      </c>
      <c r="AA567" t="s">
        <v>1171</v>
      </c>
      <c r="AB567" t="s">
        <v>1171</v>
      </c>
      <c r="AC567" t="s">
        <v>1171</v>
      </c>
      <c r="AD567" t="s">
        <v>1171</v>
      </c>
    </row>
    <row r="568" spans="1:30" ht="34" x14ac:dyDescent="0.2">
      <c r="A568" t="s">
        <v>1171</v>
      </c>
      <c r="B568" t="s">
        <v>1740</v>
      </c>
      <c r="C568" t="str">
        <f>"CONF-"&amp;TEXT(us_core_reqs[[#This Row],[ID*]], "0000")</f>
        <v>CONF-0567</v>
      </c>
      <c r="D568" s="11" t="s">
        <v>633</v>
      </c>
      <c r="E568" t="str">
        <f>SUBSTITUTE(us_core_reqs[[#This Row],[URL*]], "https://hl7.org/fhir/us/core/STU8/","")</f>
        <v>security.html#patient-privacy-and-security</v>
      </c>
      <c r="F568" s="11" t="s">
        <v>2035</v>
      </c>
      <c r="G568" t="s">
        <v>32</v>
      </c>
      <c r="I568" t="s">
        <v>58</v>
      </c>
      <c r="J568" t="s">
        <v>1171</v>
      </c>
      <c r="K568" t="s">
        <v>1171</v>
      </c>
      <c r="L568" t="s">
        <v>1173</v>
      </c>
      <c r="M568" t="s">
        <v>1171</v>
      </c>
      <c r="N568" t="s">
        <v>1171</v>
      </c>
      <c r="O568" t="s">
        <v>1171</v>
      </c>
      <c r="P568" t="s">
        <v>1171</v>
      </c>
      <c r="Q568" t="s">
        <v>1171</v>
      </c>
      <c r="R568" t="str">
        <f>_xlfn.TEXTBEFORE(_xlfn.TEXTAFTER(us_core_reqs[[#This Row],[URL*]],"/",-1),".")</f>
        <v>security</v>
      </c>
      <c r="S568" t="str">
        <f>_xlfn.TEXTAFTER(us_core_reqs[[#This Row],[URL*]],"#",-1)</f>
        <v>patient-privacy-and-security</v>
      </c>
      <c r="T568" t="str">
        <f>SUBSTITUTE(SUBSTITUTE(PROPER(SUBSTITUTE(us_core_reqs[[#This Row],[Page]], "-", " "))&amp;": "&amp;PROPER(SUBSTITUTE(us_core_reqs[[#This Row],[Section]], "-", " ")),"Us ","US "), "Uscdi", "USCDI")</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1741</v>
      </c>
      <c r="C569" t="str">
        <f>"CONF-"&amp;TEXT(us_core_reqs[[#This Row],[ID*]], "0000")</f>
        <v>CONF-0568</v>
      </c>
      <c r="D569" s="11" t="s">
        <v>633</v>
      </c>
      <c r="E569" t="str">
        <f>SUBSTITUTE(us_core_reqs[[#This Row],[URL*]], "https://hl7.org/fhir/us/core/STU8/","")</f>
        <v>security.html#patient-privacy-and-security</v>
      </c>
      <c r="F569" s="11" t="s">
        <v>1925</v>
      </c>
      <c r="G569" t="s">
        <v>29</v>
      </c>
      <c r="I569" t="s">
        <v>30</v>
      </c>
      <c r="J569" t="s">
        <v>1171</v>
      </c>
      <c r="K569" t="s">
        <v>1171</v>
      </c>
      <c r="L569" t="s">
        <v>1173</v>
      </c>
      <c r="M569" t="s">
        <v>1171</v>
      </c>
      <c r="N569" t="s">
        <v>1171</v>
      </c>
      <c r="O569" t="s">
        <v>1171</v>
      </c>
      <c r="P569" t="s">
        <v>1171</v>
      </c>
      <c r="Q569" t="s">
        <v>1171</v>
      </c>
      <c r="R569" t="str">
        <f>_xlfn.TEXTBEFORE(_xlfn.TEXTAFTER(us_core_reqs[[#This Row],[URL*]],"/",-1),".")</f>
        <v>security</v>
      </c>
      <c r="S569" t="str">
        <f>_xlfn.TEXTAFTER(us_core_reqs[[#This Row],[URL*]],"#",-1)</f>
        <v>patient-privacy-and-security</v>
      </c>
      <c r="T569" t="str">
        <f>SUBSTITUTE(SUBSTITUTE(PROPER(SUBSTITUTE(us_core_reqs[[#This Row],[Page]], "-", " "))&amp;": "&amp;PROPER(SUBSTITUTE(us_core_reqs[[#This Row],[Section]], "-", " ")),"Us ","US "), "Uscdi", "USCDI")</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1742</v>
      </c>
      <c r="C570" t="str">
        <f>"CONF-"&amp;TEXT(us_core_reqs[[#This Row],[ID*]], "0000")</f>
        <v>CONF-0569</v>
      </c>
      <c r="D570" s="11" t="s">
        <v>633</v>
      </c>
      <c r="E570" t="str">
        <f>SUBSTITUTE(us_core_reqs[[#This Row],[URL*]], "https://hl7.org/fhir/us/core/STU8/","")</f>
        <v>security.html#patient-privacy-and-security</v>
      </c>
      <c r="F570" s="11" t="s">
        <v>1925</v>
      </c>
      <c r="G570" t="s">
        <v>29</v>
      </c>
      <c r="I570" t="s">
        <v>58</v>
      </c>
      <c r="J570" t="s">
        <v>1171</v>
      </c>
      <c r="K570" t="s">
        <v>1171</v>
      </c>
      <c r="L570" t="s">
        <v>1173</v>
      </c>
      <c r="M570" t="s">
        <v>1171</v>
      </c>
      <c r="N570" t="s">
        <v>1171</v>
      </c>
      <c r="O570" t="s">
        <v>1171</v>
      </c>
      <c r="P570" t="s">
        <v>1171</v>
      </c>
      <c r="Q570" t="s">
        <v>1171</v>
      </c>
      <c r="R570" t="str">
        <f>_xlfn.TEXTBEFORE(_xlfn.TEXTAFTER(us_core_reqs[[#This Row],[URL*]],"/",-1),".")</f>
        <v>security</v>
      </c>
      <c r="S570" t="str">
        <f>_xlfn.TEXTAFTER(us_core_reqs[[#This Row],[URL*]],"#",-1)</f>
        <v>patient-privacy-and-security</v>
      </c>
      <c r="T570" t="str">
        <f>SUBSTITUTE(SUBSTITUTE(PROPER(SUBSTITUTE(us_core_reqs[[#This Row],[Page]], "-", " "))&amp;": "&amp;PROPER(SUBSTITUTE(us_core_reqs[[#This Row],[Section]], "-", " ")),"Us ","US "), "Uscdi", "USCDI")</f>
        <v>Security: Patient Privacy And Security</v>
      </c>
      <c r="U570" t="s">
        <v>1171</v>
      </c>
      <c r="V570" t="s">
        <v>1171</v>
      </c>
      <c r="W570" t="s">
        <v>1171</v>
      </c>
      <c r="X570" t="s">
        <v>1171</v>
      </c>
      <c r="Y570" t="s">
        <v>1171</v>
      </c>
      <c r="Z570" t="s">
        <v>1171</v>
      </c>
      <c r="AA570" t="s">
        <v>1171</v>
      </c>
      <c r="AB570" t="s">
        <v>1171</v>
      </c>
      <c r="AC570" t="s">
        <v>1171</v>
      </c>
      <c r="AD570" t="s">
        <v>1171</v>
      </c>
    </row>
    <row r="571" spans="1:30" ht="51" x14ac:dyDescent="0.2">
      <c r="A571" t="s">
        <v>1171</v>
      </c>
      <c r="B571" t="s">
        <v>1743</v>
      </c>
      <c r="C571" t="str">
        <f>"CONF-"&amp;TEXT(us_core_reqs[[#This Row],[ID*]], "0000")</f>
        <v>CONF-0570</v>
      </c>
      <c r="D571" s="11" t="s">
        <v>633</v>
      </c>
      <c r="E571" t="str">
        <f>SUBSTITUTE(us_core_reqs[[#This Row],[URL*]], "https://hl7.org/fhir/us/core/STU8/","")</f>
        <v>security.html#patient-privacy-and-security</v>
      </c>
      <c r="F571" s="11" t="s">
        <v>2199</v>
      </c>
      <c r="G571" t="s">
        <v>29</v>
      </c>
      <c r="I571" t="s">
        <v>30</v>
      </c>
      <c r="J571" t="s">
        <v>1171</v>
      </c>
      <c r="K571" t="s">
        <v>1171</v>
      </c>
      <c r="L571" t="s">
        <v>1173</v>
      </c>
      <c r="M571" t="s">
        <v>1171</v>
      </c>
      <c r="N571" t="s">
        <v>1171</v>
      </c>
      <c r="O571" t="s">
        <v>1171</v>
      </c>
      <c r="P571" t="s">
        <v>1171</v>
      </c>
      <c r="Q571" t="s">
        <v>1171</v>
      </c>
      <c r="R571" t="str">
        <f>_xlfn.TEXTBEFORE(_xlfn.TEXTAFTER(us_core_reqs[[#This Row],[URL*]],"/",-1),".")</f>
        <v>security</v>
      </c>
      <c r="S571" t="str">
        <f>_xlfn.TEXTAFTER(us_core_reqs[[#This Row],[URL*]],"#",-1)</f>
        <v>patient-privacy-and-security</v>
      </c>
      <c r="T571" t="str">
        <f>SUBSTITUTE(SUBSTITUTE(PROPER(SUBSTITUTE(us_core_reqs[[#This Row],[Page]], "-", " "))&amp;": "&amp;PROPER(SUBSTITUTE(us_core_reqs[[#This Row],[Section]], "-", " ")),"Us ","US "), "Uscdi", "USCDI")</f>
        <v>Security: Patient Privacy And Security</v>
      </c>
      <c r="U571" t="s">
        <v>1171</v>
      </c>
      <c r="V571" t="s">
        <v>1171</v>
      </c>
      <c r="W571" t="s">
        <v>1171</v>
      </c>
      <c r="X571" t="s">
        <v>1171</v>
      </c>
      <c r="Y571" t="s">
        <v>1171</v>
      </c>
      <c r="Z571" t="s">
        <v>1171</v>
      </c>
      <c r="AA571" t="s">
        <v>1171</v>
      </c>
      <c r="AB571" t="s">
        <v>1171</v>
      </c>
      <c r="AC571" t="s">
        <v>1140</v>
      </c>
      <c r="AD571" t="s">
        <v>1171</v>
      </c>
    </row>
    <row r="572" spans="1:30" ht="51" x14ac:dyDescent="0.2">
      <c r="A572" t="s">
        <v>1171</v>
      </c>
      <c r="B572" t="s">
        <v>1744</v>
      </c>
      <c r="C572" t="str">
        <f>"CONF-"&amp;TEXT(us_core_reqs[[#This Row],[ID*]], "0000")</f>
        <v>CONF-0571</v>
      </c>
      <c r="D572" s="11" t="s">
        <v>633</v>
      </c>
      <c r="E572" t="str">
        <f>SUBSTITUTE(us_core_reqs[[#This Row],[URL*]], "https://hl7.org/fhir/us/core/STU8/","")</f>
        <v>security.html#patient-privacy-and-security</v>
      </c>
      <c r="F572" s="11" t="s">
        <v>2200</v>
      </c>
      <c r="G572" t="s">
        <v>29</v>
      </c>
      <c r="I572" t="s">
        <v>58</v>
      </c>
      <c r="J572" t="s">
        <v>1171</v>
      </c>
      <c r="K572" t="s">
        <v>1171</v>
      </c>
      <c r="L572" t="s">
        <v>1173</v>
      </c>
      <c r="M572" t="s">
        <v>1171</v>
      </c>
      <c r="N572" t="s">
        <v>1171</v>
      </c>
      <c r="O572" t="s">
        <v>1171</v>
      </c>
      <c r="P572" t="s">
        <v>1171</v>
      </c>
      <c r="Q572" t="s">
        <v>1171</v>
      </c>
      <c r="R572" t="str">
        <f>_xlfn.TEXTBEFORE(_xlfn.TEXTAFTER(us_core_reqs[[#This Row],[URL*]],"/",-1),".")</f>
        <v>security</v>
      </c>
      <c r="S572" t="str">
        <f>_xlfn.TEXTAFTER(us_core_reqs[[#This Row],[URL*]],"#",-1)</f>
        <v>patient-privacy-and-security</v>
      </c>
      <c r="T572" t="str">
        <f>SUBSTITUTE(SUBSTITUTE(PROPER(SUBSTITUTE(us_core_reqs[[#This Row],[Page]], "-", " "))&amp;": "&amp;PROPER(SUBSTITUTE(us_core_reqs[[#This Row],[Section]], "-", " ")),"Us ","US "), "Uscdi", "USCDI")</f>
        <v>Security: Patient Privacy And Security</v>
      </c>
      <c r="U572" t="s">
        <v>1171</v>
      </c>
      <c r="V572" t="s">
        <v>1171</v>
      </c>
      <c r="W572" t="s">
        <v>1171</v>
      </c>
      <c r="X572" t="s">
        <v>1171</v>
      </c>
      <c r="Y572" t="s">
        <v>1171</v>
      </c>
      <c r="Z572" t="s">
        <v>1171</v>
      </c>
      <c r="AA572" t="s">
        <v>1171</v>
      </c>
      <c r="AB572" t="s">
        <v>1082</v>
      </c>
      <c r="AC572" t="s">
        <v>1171</v>
      </c>
      <c r="AD572" t="s">
        <v>1171</v>
      </c>
    </row>
    <row r="573" spans="1:30" ht="34" x14ac:dyDescent="0.2">
      <c r="A573" t="s">
        <v>1171</v>
      </c>
      <c r="B573" t="s">
        <v>1745</v>
      </c>
      <c r="C573" t="str">
        <f>"CONF-"&amp;TEXT(us_core_reqs[[#This Row],[ID*]], "0000")</f>
        <v>CONF-0572</v>
      </c>
      <c r="D573" s="11" t="s">
        <v>633</v>
      </c>
      <c r="E573" t="str">
        <f>SUBSTITUTE(us_core_reqs[[#This Row],[URL*]], "https://hl7.org/fhir/us/core/STU8/","")</f>
        <v>security.html#patient-privacy-and-security</v>
      </c>
      <c r="F573" s="11" t="s">
        <v>2228</v>
      </c>
      <c r="G573" t="s">
        <v>29</v>
      </c>
      <c r="I573" t="s">
        <v>30</v>
      </c>
      <c r="J573" t="s">
        <v>1171</v>
      </c>
      <c r="K573" t="s">
        <v>1171</v>
      </c>
      <c r="L573" t="s">
        <v>1173</v>
      </c>
      <c r="M573" t="s">
        <v>1171</v>
      </c>
      <c r="N573" t="s">
        <v>1171</v>
      </c>
      <c r="O573" t="s">
        <v>1171</v>
      </c>
      <c r="P573" t="s">
        <v>1171</v>
      </c>
      <c r="Q573" t="s">
        <v>1171</v>
      </c>
      <c r="R573" t="str">
        <f>_xlfn.TEXTBEFORE(_xlfn.TEXTAFTER(us_core_reqs[[#This Row],[URL*]],"/",-1),".")</f>
        <v>security</v>
      </c>
      <c r="S573" t="str">
        <f>_xlfn.TEXTAFTER(us_core_reqs[[#This Row],[URL*]],"#",-1)</f>
        <v>patient-privacy-and-security</v>
      </c>
      <c r="T573" t="str">
        <f>SUBSTITUTE(SUBSTITUTE(PROPER(SUBSTITUTE(us_core_reqs[[#This Row],[Page]], "-", " "))&amp;": "&amp;PROPER(SUBSTITUTE(us_core_reqs[[#This Row],[Section]], "-", " ")),"Us ","US "), "Uscdi", "USCDI")</f>
        <v>Security: Patient Privacy And Security</v>
      </c>
      <c r="U573" t="s">
        <v>1171</v>
      </c>
      <c r="V573" t="s">
        <v>1171</v>
      </c>
      <c r="W573" t="s">
        <v>1171</v>
      </c>
      <c r="X573" t="s">
        <v>1171</v>
      </c>
      <c r="Y573" t="s">
        <v>1171</v>
      </c>
      <c r="Z573" t="s">
        <v>1171</v>
      </c>
      <c r="AA573" t="s">
        <v>1171</v>
      </c>
      <c r="AB573" t="s">
        <v>1171</v>
      </c>
      <c r="AC573" t="s">
        <v>1141</v>
      </c>
      <c r="AD573" t="s">
        <v>1171</v>
      </c>
    </row>
    <row r="574" spans="1:30" ht="34" x14ac:dyDescent="0.2">
      <c r="A574" t="s">
        <v>1171</v>
      </c>
      <c r="B574" t="s">
        <v>1746</v>
      </c>
      <c r="C574" t="str">
        <f>"CONF-"&amp;TEXT(us_core_reqs[[#This Row],[ID*]], "0000")</f>
        <v>CONF-0573</v>
      </c>
      <c r="D574" s="11" t="s">
        <v>633</v>
      </c>
      <c r="E574" t="str">
        <f>SUBSTITUTE(us_core_reqs[[#This Row],[URL*]], "https://hl7.org/fhir/us/core/STU8/","")</f>
        <v>security.html#patient-privacy-and-security</v>
      </c>
      <c r="F574" s="11" t="s">
        <v>2228</v>
      </c>
      <c r="G574" t="s">
        <v>29</v>
      </c>
      <c r="I574" t="s">
        <v>58</v>
      </c>
      <c r="J574" t="s">
        <v>1171</v>
      </c>
      <c r="K574" t="s">
        <v>1171</v>
      </c>
      <c r="L574" t="s">
        <v>1173</v>
      </c>
      <c r="M574" t="s">
        <v>1171</v>
      </c>
      <c r="N574" t="s">
        <v>1171</v>
      </c>
      <c r="O574" t="s">
        <v>1171</v>
      </c>
      <c r="P574" t="s">
        <v>1171</v>
      </c>
      <c r="Q574" t="s">
        <v>1171</v>
      </c>
      <c r="R574" t="str">
        <f>_xlfn.TEXTBEFORE(_xlfn.TEXTAFTER(us_core_reqs[[#This Row],[URL*]],"/",-1),".")</f>
        <v>security</v>
      </c>
      <c r="S574" t="str">
        <f>_xlfn.TEXTAFTER(us_core_reqs[[#This Row],[URL*]],"#",-1)</f>
        <v>patient-privacy-and-security</v>
      </c>
      <c r="T574" t="str">
        <f>SUBSTITUTE(SUBSTITUTE(PROPER(SUBSTITUTE(us_core_reqs[[#This Row],[Page]], "-", " "))&amp;": "&amp;PROPER(SUBSTITUTE(us_core_reqs[[#This Row],[Section]], "-", " ")),"Us ","US "), "Uscdi", "USCDI")</f>
        <v>Security: Patient Privacy And Security</v>
      </c>
      <c r="U574" t="s">
        <v>1171</v>
      </c>
      <c r="V574" t="s">
        <v>1171</v>
      </c>
      <c r="W574" t="s">
        <v>1171</v>
      </c>
      <c r="X574" t="s">
        <v>1171</v>
      </c>
      <c r="Y574" t="s">
        <v>1171</v>
      </c>
      <c r="Z574" t="s">
        <v>1171</v>
      </c>
      <c r="AA574" t="s">
        <v>1171</v>
      </c>
      <c r="AB574" t="s">
        <v>1171</v>
      </c>
      <c r="AC574" t="s">
        <v>1171</v>
      </c>
      <c r="AD574" t="s">
        <v>1171</v>
      </c>
    </row>
    <row r="575" spans="1:30" ht="34" x14ac:dyDescent="0.2">
      <c r="A575" t="s">
        <v>1171</v>
      </c>
      <c r="B575" t="s">
        <v>1747</v>
      </c>
      <c r="C575" t="str">
        <f>"CONF-"&amp;TEXT(us_core_reqs[[#This Row],[ID*]], "0000")</f>
        <v>CONF-0574</v>
      </c>
      <c r="D575" s="11" t="s">
        <v>633</v>
      </c>
      <c r="E575" t="str">
        <f>SUBSTITUTE(us_core_reqs[[#This Row],[URL*]], "https://hl7.org/fhir/us/core/STU8/","")</f>
        <v>security.html#patient-privacy-and-security</v>
      </c>
      <c r="F575" s="11" t="s">
        <v>2036</v>
      </c>
      <c r="G575" t="s">
        <v>32</v>
      </c>
      <c r="I575" t="s">
        <v>30</v>
      </c>
      <c r="J575" t="s">
        <v>1171</v>
      </c>
      <c r="K575" t="s">
        <v>1171</v>
      </c>
      <c r="L575" t="s">
        <v>1173</v>
      </c>
      <c r="M575" t="s">
        <v>1171</v>
      </c>
      <c r="N575" t="s">
        <v>1171</v>
      </c>
      <c r="O575" t="s">
        <v>1171</v>
      </c>
      <c r="P575" t="s">
        <v>1171</v>
      </c>
      <c r="Q575" t="s">
        <v>1171</v>
      </c>
      <c r="R575" t="str">
        <f>_xlfn.TEXTBEFORE(_xlfn.TEXTAFTER(us_core_reqs[[#This Row],[URL*]],"/",-1),".")</f>
        <v>security</v>
      </c>
      <c r="S575" t="str">
        <f>_xlfn.TEXTAFTER(us_core_reqs[[#This Row],[URL*]],"#",-1)</f>
        <v>patient-privacy-and-security</v>
      </c>
      <c r="T575" t="str">
        <f>SUBSTITUTE(SUBSTITUTE(PROPER(SUBSTITUTE(us_core_reqs[[#This Row],[Page]], "-", " "))&amp;": "&amp;PROPER(SUBSTITUTE(us_core_reqs[[#This Row],[Section]], "-", " ")),"Us ","US "), "Uscdi", "USCDI")</f>
        <v>Security: Patient Privacy And Security</v>
      </c>
      <c r="U575" t="s">
        <v>1171</v>
      </c>
      <c r="V575" t="s">
        <v>1171</v>
      </c>
      <c r="W575" t="s">
        <v>1171</v>
      </c>
      <c r="X575" t="s">
        <v>1171</v>
      </c>
      <c r="Y575" t="s">
        <v>1171</v>
      </c>
      <c r="Z575" t="s">
        <v>1171</v>
      </c>
      <c r="AA575" t="s">
        <v>1171</v>
      </c>
      <c r="AB575" t="s">
        <v>1171</v>
      </c>
      <c r="AC575" t="s">
        <v>1171</v>
      </c>
      <c r="AD575" t="s">
        <v>1171</v>
      </c>
    </row>
    <row r="576" spans="1:30" ht="34" x14ac:dyDescent="0.2">
      <c r="A576" t="s">
        <v>1171</v>
      </c>
      <c r="B576" t="s">
        <v>1748</v>
      </c>
      <c r="C576" t="str">
        <f>"CONF-"&amp;TEXT(us_core_reqs[[#This Row],[ID*]], "0000")</f>
        <v>CONF-0575</v>
      </c>
      <c r="D576" s="11" t="s">
        <v>633</v>
      </c>
      <c r="E576" t="str">
        <f>SUBSTITUTE(us_core_reqs[[#This Row],[URL*]], "https://hl7.org/fhir/us/core/STU8/","")</f>
        <v>security.html#patient-privacy-and-security</v>
      </c>
      <c r="F576" s="11" t="s">
        <v>2036</v>
      </c>
      <c r="G576" t="s">
        <v>32</v>
      </c>
      <c r="I576" t="s">
        <v>58</v>
      </c>
      <c r="J576" t="s">
        <v>1171</v>
      </c>
      <c r="K576" t="s">
        <v>1171</v>
      </c>
      <c r="L576" t="s">
        <v>1173</v>
      </c>
      <c r="M576" t="s">
        <v>1171</v>
      </c>
      <c r="N576" t="s">
        <v>1171</v>
      </c>
      <c r="O576" t="s">
        <v>1171</v>
      </c>
      <c r="P576" t="s">
        <v>1171</v>
      </c>
      <c r="Q576" t="s">
        <v>1171</v>
      </c>
      <c r="R576" t="str">
        <f>_xlfn.TEXTBEFORE(_xlfn.TEXTAFTER(us_core_reqs[[#This Row],[URL*]],"/",-1),".")</f>
        <v>security</v>
      </c>
      <c r="S576" t="str">
        <f>_xlfn.TEXTAFTER(us_core_reqs[[#This Row],[URL*]],"#",-1)</f>
        <v>patient-privacy-and-security</v>
      </c>
      <c r="T576" t="str">
        <f>SUBSTITUTE(SUBSTITUTE(PROPER(SUBSTITUTE(us_core_reqs[[#This Row],[Page]], "-", " "))&amp;": "&amp;PROPER(SUBSTITUTE(us_core_reqs[[#This Row],[Section]], "-", " ")),"Us ","US "), "Uscdi", "USCDI")</f>
        <v>Security: Patient Privacy And Security</v>
      </c>
      <c r="U576" t="s">
        <v>1171</v>
      </c>
      <c r="V576" t="s">
        <v>1171</v>
      </c>
      <c r="W576" t="s">
        <v>1171</v>
      </c>
      <c r="X576" t="s">
        <v>1171</v>
      </c>
      <c r="Y576" t="s">
        <v>1171</v>
      </c>
      <c r="Z576" t="s">
        <v>1171</v>
      </c>
      <c r="AA576" t="s">
        <v>1171</v>
      </c>
      <c r="AB576" t="s">
        <v>1171</v>
      </c>
      <c r="AC576" t="s">
        <v>1171</v>
      </c>
      <c r="AD576" t="s">
        <v>1171</v>
      </c>
    </row>
    <row r="577" spans="1:30" ht="68" x14ac:dyDescent="0.2">
      <c r="A577" t="s">
        <v>1171</v>
      </c>
      <c r="B577" t="s">
        <v>1749</v>
      </c>
      <c r="C577" t="str">
        <f>"CONF-"&amp;TEXT(us_core_reqs[[#This Row],[ID*]], "0000")</f>
        <v>CONF-0576</v>
      </c>
      <c r="D577" s="11" t="s">
        <v>633</v>
      </c>
      <c r="E577" t="str">
        <f>SUBSTITUTE(us_core_reqs[[#This Row],[URL*]], "https://hl7.org/fhir/us/core/STU8/","")</f>
        <v>security.html#patient-privacy-and-security</v>
      </c>
      <c r="F577" s="11" t="s">
        <v>2037</v>
      </c>
      <c r="G577" t="s">
        <v>32</v>
      </c>
      <c r="I577" t="s">
        <v>30</v>
      </c>
      <c r="J577" t="s">
        <v>1171</v>
      </c>
      <c r="K577" t="s">
        <v>1171</v>
      </c>
      <c r="L577" t="s">
        <v>1173</v>
      </c>
      <c r="M577" t="s">
        <v>1171</v>
      </c>
      <c r="N577" t="s">
        <v>1171</v>
      </c>
      <c r="O577" t="s">
        <v>1171</v>
      </c>
      <c r="P577" t="s">
        <v>1171</v>
      </c>
      <c r="Q577" t="s">
        <v>1171</v>
      </c>
      <c r="R577" t="str">
        <f>_xlfn.TEXTBEFORE(_xlfn.TEXTAFTER(us_core_reqs[[#This Row],[URL*]],"/",-1),".")</f>
        <v>security</v>
      </c>
      <c r="S577" t="str">
        <f>_xlfn.TEXTAFTER(us_core_reqs[[#This Row],[URL*]],"#",-1)</f>
        <v>patient-privacy-and-security</v>
      </c>
      <c r="T577" t="str">
        <f>SUBSTITUTE(SUBSTITUTE(PROPER(SUBSTITUTE(us_core_reqs[[#This Row],[Page]], "-", " "))&amp;": "&amp;PROPER(SUBSTITUTE(us_core_reqs[[#This Row],[Section]], "-", " ")),"Us ","US "), "Uscdi", "USCDI")</f>
        <v>Security: Patient Privacy And Security</v>
      </c>
      <c r="U577" t="s">
        <v>1171</v>
      </c>
      <c r="V577" t="s">
        <v>1171</v>
      </c>
      <c r="W577" t="s">
        <v>1171</v>
      </c>
      <c r="X577" t="s">
        <v>1171</v>
      </c>
      <c r="Y577" t="s">
        <v>1171</v>
      </c>
      <c r="Z577" t="s">
        <v>1171</v>
      </c>
      <c r="AA577" t="s">
        <v>1171</v>
      </c>
      <c r="AB577" t="s">
        <v>1171</v>
      </c>
      <c r="AC577" t="s">
        <v>1171</v>
      </c>
      <c r="AD577" t="s">
        <v>1171</v>
      </c>
    </row>
    <row r="578" spans="1:30" ht="68" x14ac:dyDescent="0.2">
      <c r="A578" t="s">
        <v>1171</v>
      </c>
      <c r="B578" t="s">
        <v>1750</v>
      </c>
      <c r="C578" t="str">
        <f>"CONF-"&amp;TEXT(us_core_reqs[[#This Row],[ID*]], "0000")</f>
        <v>CONF-0577</v>
      </c>
      <c r="D578" s="11" t="s">
        <v>633</v>
      </c>
      <c r="E578" t="str">
        <f>SUBSTITUTE(us_core_reqs[[#This Row],[URL*]], "https://hl7.org/fhir/us/core/STU8/","")</f>
        <v>security.html#patient-privacy-and-security</v>
      </c>
      <c r="F578" s="11" t="s">
        <v>2037</v>
      </c>
      <c r="G578" t="s">
        <v>32</v>
      </c>
      <c r="I578" t="s">
        <v>58</v>
      </c>
      <c r="J578" t="s">
        <v>1171</v>
      </c>
      <c r="K578" t="s">
        <v>1171</v>
      </c>
      <c r="L578" t="s">
        <v>1173</v>
      </c>
      <c r="M578" t="s">
        <v>1171</v>
      </c>
      <c r="N578" t="s">
        <v>1171</v>
      </c>
      <c r="O578" t="s">
        <v>1171</v>
      </c>
      <c r="P578" t="s">
        <v>1171</v>
      </c>
      <c r="Q578" t="s">
        <v>1171</v>
      </c>
      <c r="R578" t="str">
        <f>_xlfn.TEXTBEFORE(_xlfn.TEXTAFTER(us_core_reqs[[#This Row],[URL*]],"/",-1),".")</f>
        <v>security</v>
      </c>
      <c r="S578" t="str">
        <f>_xlfn.TEXTAFTER(us_core_reqs[[#This Row],[URL*]],"#",-1)</f>
        <v>patient-privacy-and-security</v>
      </c>
      <c r="T578" t="str">
        <f>SUBSTITUTE(SUBSTITUTE(PROPER(SUBSTITUTE(us_core_reqs[[#This Row],[Page]], "-", " "))&amp;": "&amp;PROPER(SUBSTITUTE(us_core_reqs[[#This Row],[Section]], "-", " ")),"Us ","US "), "Uscdi", "USCDI")</f>
        <v>Security: Patient Privacy And Security</v>
      </c>
      <c r="U578" t="s">
        <v>1171</v>
      </c>
      <c r="V578" t="s">
        <v>1171</v>
      </c>
      <c r="W578" t="s">
        <v>1171</v>
      </c>
      <c r="X578" t="s">
        <v>1171</v>
      </c>
      <c r="Y578" t="s">
        <v>1171</v>
      </c>
      <c r="Z578" t="s">
        <v>1171</v>
      </c>
      <c r="AA578" t="s">
        <v>1171</v>
      </c>
      <c r="AB578" t="s">
        <v>1171</v>
      </c>
      <c r="AC578" t="s">
        <v>1171</v>
      </c>
      <c r="AD578" t="s">
        <v>1171</v>
      </c>
    </row>
    <row r="579" spans="1:30" ht="51" x14ac:dyDescent="0.2">
      <c r="A579" t="s">
        <v>1171</v>
      </c>
      <c r="B579" t="s">
        <v>1751</v>
      </c>
      <c r="C579" t="str">
        <f>"CONF-"&amp;TEXT(us_core_reqs[[#This Row],[ID*]], "0000")</f>
        <v>CONF-0578</v>
      </c>
      <c r="D579" s="11" t="s">
        <v>633</v>
      </c>
      <c r="E579" t="str">
        <f>SUBSTITUTE(us_core_reqs[[#This Row],[URL*]], "https://hl7.org/fhir/us/core/STU8/","")</f>
        <v>security.html#patient-privacy-and-security</v>
      </c>
      <c r="F579" s="11" t="s">
        <v>2233</v>
      </c>
      <c r="G579" t="s">
        <v>35</v>
      </c>
      <c r="I579" t="s">
        <v>30</v>
      </c>
      <c r="J579" t="s">
        <v>1171</v>
      </c>
      <c r="K579" t="s">
        <v>1171</v>
      </c>
      <c r="L579" t="s">
        <v>1173</v>
      </c>
      <c r="M579" t="s">
        <v>1171</v>
      </c>
      <c r="N579" t="s">
        <v>1171</v>
      </c>
      <c r="O579" t="s">
        <v>1171</v>
      </c>
      <c r="P579" t="s">
        <v>1171</v>
      </c>
      <c r="Q579" t="s">
        <v>1171</v>
      </c>
      <c r="R579" t="str">
        <f>_xlfn.TEXTBEFORE(_xlfn.TEXTAFTER(us_core_reqs[[#This Row],[URL*]],"/",-1),".")</f>
        <v>security</v>
      </c>
      <c r="S579" t="str">
        <f>_xlfn.TEXTAFTER(us_core_reqs[[#This Row],[URL*]],"#",-1)</f>
        <v>patient-privacy-and-security</v>
      </c>
      <c r="T579" t="str">
        <f>SUBSTITUTE(SUBSTITUTE(PROPER(SUBSTITUTE(us_core_reqs[[#This Row],[Page]], "-", " "))&amp;": "&amp;PROPER(SUBSTITUTE(us_core_reqs[[#This Row],[Section]], "-", " ")),"Us ","US "), "Uscdi", "USCDI")</f>
        <v>Security: Patient Privacy And Security</v>
      </c>
      <c r="U579" t="s">
        <v>1171</v>
      </c>
      <c r="V579" t="s">
        <v>1171</v>
      </c>
      <c r="W579" t="s">
        <v>1171</v>
      </c>
      <c r="X579" t="s">
        <v>1171</v>
      </c>
      <c r="Y579" t="s">
        <v>1171</v>
      </c>
      <c r="Z579" t="s">
        <v>1171</v>
      </c>
      <c r="AA579" t="s">
        <v>1171</v>
      </c>
      <c r="AB579" t="s">
        <v>1171</v>
      </c>
      <c r="AC579" t="s">
        <v>1171</v>
      </c>
      <c r="AD579" t="s">
        <v>1171</v>
      </c>
    </row>
    <row r="580" spans="1:30" ht="51" x14ac:dyDescent="0.2">
      <c r="A580" t="s">
        <v>1171</v>
      </c>
      <c r="B580" t="s">
        <v>1752</v>
      </c>
      <c r="C580" t="str">
        <f>"CONF-"&amp;TEXT(us_core_reqs[[#This Row],[ID*]], "0000")</f>
        <v>CONF-0579</v>
      </c>
      <c r="D580" s="11" t="s">
        <v>633</v>
      </c>
      <c r="E580" t="str">
        <f>SUBSTITUTE(us_core_reqs[[#This Row],[URL*]], "https://hl7.org/fhir/us/core/STU8/","")</f>
        <v>security.html#patient-privacy-and-security</v>
      </c>
      <c r="F580" s="11" t="s">
        <v>2233</v>
      </c>
      <c r="G580" t="s">
        <v>35</v>
      </c>
      <c r="I580" t="s">
        <v>58</v>
      </c>
      <c r="J580" t="s">
        <v>1171</v>
      </c>
      <c r="K580" t="s">
        <v>1171</v>
      </c>
      <c r="L580" t="s">
        <v>1173</v>
      </c>
      <c r="M580" t="s">
        <v>1171</v>
      </c>
      <c r="N580" t="s">
        <v>1171</v>
      </c>
      <c r="O580" t="s">
        <v>1171</v>
      </c>
      <c r="P580" t="s">
        <v>1171</v>
      </c>
      <c r="Q580" t="s">
        <v>1171</v>
      </c>
      <c r="R580" t="str">
        <f>_xlfn.TEXTBEFORE(_xlfn.TEXTAFTER(us_core_reqs[[#This Row],[URL*]],"/",-1),".")</f>
        <v>security</v>
      </c>
      <c r="S580" t="str">
        <f>_xlfn.TEXTAFTER(us_core_reqs[[#This Row],[URL*]],"#",-1)</f>
        <v>patient-privacy-and-security</v>
      </c>
      <c r="T580" t="str">
        <f>SUBSTITUTE(SUBSTITUTE(PROPER(SUBSTITUTE(us_core_reqs[[#This Row],[Page]], "-", " "))&amp;": "&amp;PROPER(SUBSTITUTE(us_core_reqs[[#This Row],[Section]], "-", " ")),"Us ","US "), "Uscdi", "USCDI")</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1753</v>
      </c>
      <c r="C581" t="str">
        <f>"CONF-"&amp;TEXT(us_core_reqs[[#This Row],[ID*]], "0000")</f>
        <v>CONF-0580</v>
      </c>
      <c r="D581" s="11" t="s">
        <v>633</v>
      </c>
      <c r="E581" t="str">
        <f>SUBSTITUTE(us_core_reqs[[#This Row],[URL*]], "https://hl7.org/fhir/us/core/STU8/","")</f>
        <v>security.html#patient-privacy-and-security</v>
      </c>
      <c r="F581" s="11" t="s">
        <v>2070</v>
      </c>
      <c r="G581" t="s">
        <v>35</v>
      </c>
      <c r="I581" t="s">
        <v>30</v>
      </c>
      <c r="J581" t="s">
        <v>1171</v>
      </c>
      <c r="K581" t="s">
        <v>1171</v>
      </c>
      <c r="L581" t="s">
        <v>1173</v>
      </c>
      <c r="M581" t="s">
        <v>1171</v>
      </c>
      <c r="N581" t="s">
        <v>1171</v>
      </c>
      <c r="O581" t="s">
        <v>1171</v>
      </c>
      <c r="P581" t="s">
        <v>1171</v>
      </c>
      <c r="Q581" t="s">
        <v>1171</v>
      </c>
      <c r="R581" t="str">
        <f>_xlfn.TEXTBEFORE(_xlfn.TEXTAFTER(us_core_reqs[[#This Row],[URL*]],"/",-1),".")</f>
        <v>security</v>
      </c>
      <c r="S581" t="str">
        <f>_xlfn.TEXTAFTER(us_core_reqs[[#This Row],[URL*]],"#",-1)</f>
        <v>patient-privacy-and-security</v>
      </c>
      <c r="T581" t="str">
        <f>SUBSTITUTE(SUBSTITUTE(PROPER(SUBSTITUTE(us_core_reqs[[#This Row],[Page]], "-", " "))&amp;": "&amp;PROPER(SUBSTITUTE(us_core_reqs[[#This Row],[Section]], "-", " ")),"Us ","US "), "Uscdi", "USCDI")</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1754</v>
      </c>
      <c r="C582" t="str">
        <f>"CONF-"&amp;TEXT(us_core_reqs[[#This Row],[ID*]], "0000")</f>
        <v>CONF-0581</v>
      </c>
      <c r="D582" s="11" t="s">
        <v>633</v>
      </c>
      <c r="E582" t="str">
        <f>SUBSTITUTE(us_core_reqs[[#This Row],[URL*]], "https://hl7.org/fhir/us/core/STU8/","")</f>
        <v>security.html#patient-privacy-and-security</v>
      </c>
      <c r="F582" s="11" t="s">
        <v>2070</v>
      </c>
      <c r="G582" t="s">
        <v>35</v>
      </c>
      <c r="I582" t="s">
        <v>58</v>
      </c>
      <c r="J582" t="s">
        <v>1171</v>
      </c>
      <c r="K582" t="s">
        <v>1171</v>
      </c>
      <c r="L582" t="s">
        <v>1173</v>
      </c>
      <c r="M582" t="s">
        <v>1171</v>
      </c>
      <c r="N582" t="s">
        <v>1171</v>
      </c>
      <c r="O582" t="s">
        <v>1171</v>
      </c>
      <c r="P582" t="s">
        <v>1171</v>
      </c>
      <c r="Q582" t="s">
        <v>1171</v>
      </c>
      <c r="R582" t="str">
        <f>_xlfn.TEXTBEFORE(_xlfn.TEXTAFTER(us_core_reqs[[#This Row],[URL*]],"/",-1),".")</f>
        <v>security</v>
      </c>
      <c r="S582" t="str">
        <f>_xlfn.TEXTAFTER(us_core_reqs[[#This Row],[URL*]],"#",-1)</f>
        <v>patient-privacy-and-security</v>
      </c>
      <c r="T582" t="str">
        <f>SUBSTITUTE(SUBSTITUTE(PROPER(SUBSTITUTE(us_core_reqs[[#This Row],[Page]], "-", " "))&amp;": "&amp;PROPER(SUBSTITUTE(us_core_reqs[[#This Row],[Section]], "-", " ")),"Us ","US "), "Uscdi", "USCDI")</f>
        <v>Security: Patient Privacy And Security</v>
      </c>
      <c r="U582" t="s">
        <v>1171</v>
      </c>
      <c r="V582" t="s">
        <v>1171</v>
      </c>
      <c r="W582" t="s">
        <v>1171</v>
      </c>
      <c r="X582" t="s">
        <v>1171</v>
      </c>
      <c r="Y582" t="s">
        <v>1171</v>
      </c>
      <c r="Z582" t="s">
        <v>1171</v>
      </c>
      <c r="AA582" t="s">
        <v>1171</v>
      </c>
      <c r="AB582" t="s">
        <v>1171</v>
      </c>
      <c r="AC582" t="s">
        <v>1171</v>
      </c>
      <c r="AD582" t="s">
        <v>1171</v>
      </c>
    </row>
    <row r="583" spans="1:30" ht="68" x14ac:dyDescent="0.2">
      <c r="A583" t="s">
        <v>1171</v>
      </c>
      <c r="B583" t="s">
        <v>1755</v>
      </c>
      <c r="C583" t="str">
        <f>"CONF-"&amp;TEXT(us_core_reqs[[#This Row],[ID*]], "0000")</f>
        <v>CONF-0582</v>
      </c>
      <c r="D583" s="11" t="s">
        <v>905</v>
      </c>
      <c r="E583" t="str">
        <f>SUBSTITUTE(us_core_reqs[[#This Row],[URL*]], "https://hl7.org/fhir/us/core/STU8/","")</f>
        <v>https://www.hl7.org/fhir/us/core/STU8/general-requirements.html#current-binding-for-coded-elements</v>
      </c>
      <c r="F583" s="11" t="s">
        <v>575</v>
      </c>
      <c r="G583" t="s">
        <v>29</v>
      </c>
      <c r="I583" t="s">
        <v>58</v>
      </c>
      <c r="J583" t="s">
        <v>1171</v>
      </c>
      <c r="K583" t="s">
        <v>1171</v>
      </c>
      <c r="L583" t="s">
        <v>1176</v>
      </c>
      <c r="M583" t="s">
        <v>576</v>
      </c>
      <c r="N583" t="s">
        <v>1171</v>
      </c>
      <c r="O583" t="s">
        <v>1171</v>
      </c>
      <c r="P583" t="s">
        <v>1171</v>
      </c>
      <c r="Q583" t="s">
        <v>1171</v>
      </c>
      <c r="R583" t="str">
        <f>_xlfn.TEXTBEFORE(_xlfn.TEXTAFTER(us_core_reqs[[#This Row],[URL*]],"/",-1),".")</f>
        <v>general-requirements</v>
      </c>
      <c r="S583" t="str">
        <f>_xlfn.TEXTAFTER(us_core_reqs[[#This Row],[URL*]],"#",-1)</f>
        <v>current-binding-for-coded-elements</v>
      </c>
      <c r="T583" t="str">
        <f>SUBSTITUTE(SUBSTITUTE(PROPER(SUBSTITUTE(us_core_reqs[[#This Row],[Page]], "-", " "))&amp;": "&amp;PROPER(SUBSTITUTE(us_core_reqs[[#This Row],[Section]], "-", " ")),"Us ","US "), "Uscdi", "USCDI")</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68" x14ac:dyDescent="0.2">
      <c r="A584" t="s">
        <v>1171</v>
      </c>
      <c r="B584" t="s">
        <v>1756</v>
      </c>
      <c r="C584" t="str">
        <f>"CONF-"&amp;TEXT(us_core_reqs[[#This Row],[ID*]], "0000")</f>
        <v>CONF-0583</v>
      </c>
      <c r="D584" s="11" t="s">
        <v>905</v>
      </c>
      <c r="E584" t="str">
        <f>SUBSTITUTE(us_core_reqs[[#This Row],[URL*]], "https://hl7.org/fhir/us/core/STU8/","")</f>
        <v>https://www.hl7.org/fhir/us/core/STU8/general-requirements.html#current-binding-for-coded-elements</v>
      </c>
      <c r="F584" s="11" t="s">
        <v>575</v>
      </c>
      <c r="G584" t="s">
        <v>29</v>
      </c>
      <c r="I584" t="s">
        <v>30</v>
      </c>
      <c r="J584" t="s">
        <v>1171</v>
      </c>
      <c r="K584" t="s">
        <v>1171</v>
      </c>
      <c r="L584" t="s">
        <v>1176</v>
      </c>
      <c r="M584" t="s">
        <v>576</v>
      </c>
      <c r="N584" t="s">
        <v>1171</v>
      </c>
      <c r="O584" t="s">
        <v>1171</v>
      </c>
      <c r="P584" t="s">
        <v>1171</v>
      </c>
      <c r="Q584" t="s">
        <v>1171</v>
      </c>
      <c r="R584" t="str">
        <f>_xlfn.TEXTBEFORE(_xlfn.TEXTAFTER(us_core_reqs[[#This Row],[URL*]],"/",-1),".")</f>
        <v>general-requirements</v>
      </c>
      <c r="S584" t="str">
        <f>_xlfn.TEXTAFTER(us_core_reqs[[#This Row],[URL*]],"#",-1)</f>
        <v>current-binding-for-coded-elements</v>
      </c>
      <c r="T584" t="str">
        <f>SUBSTITUTE(SUBSTITUTE(PROPER(SUBSTITUTE(us_core_reqs[[#This Row],[Page]], "-", " "))&amp;": "&amp;PROPER(SUBSTITUTE(us_core_reqs[[#This Row],[Section]], "-", " ")),"Us ","US "), "Uscdi", "USCDI")</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68" x14ac:dyDescent="0.2">
      <c r="A585" t="s">
        <v>1171</v>
      </c>
      <c r="B585" t="s">
        <v>1757</v>
      </c>
      <c r="C585" t="str">
        <f>"CONF-"&amp;TEXT(us_core_reqs[[#This Row],[ID*]], "0000")</f>
        <v>CONF-0584</v>
      </c>
      <c r="D585" s="11" t="s">
        <v>899</v>
      </c>
      <c r="E585" t="str">
        <f>SUBSTITUTE(us_core_reqs[[#This Row],[URL*]], "https://hl7.org/fhir/us/core/STU8/","")</f>
        <v>StructureDefinition-us-core-questionnaireresponse.html#mandatory-and-must-support-data-elements</v>
      </c>
      <c r="F585" s="11" t="s">
        <v>577</v>
      </c>
      <c r="G585" t="s">
        <v>29</v>
      </c>
      <c r="I585" t="s">
        <v>30</v>
      </c>
      <c r="J585" t="s">
        <v>1171</v>
      </c>
      <c r="K585" t="s">
        <v>1171</v>
      </c>
      <c r="L585" t="s">
        <v>1176</v>
      </c>
      <c r="M585" t="s">
        <v>530</v>
      </c>
      <c r="N585" t="s">
        <v>1171</v>
      </c>
      <c r="O585" t="s">
        <v>1171</v>
      </c>
      <c r="P585" t="s">
        <v>1171</v>
      </c>
      <c r="Q585" t="s">
        <v>1171</v>
      </c>
      <c r="R585" t="str">
        <f>_xlfn.TEXTBEFORE(_xlfn.TEXTAFTER(us_core_reqs[[#This Row],[URL*]],"/",-1),".")</f>
        <v>StructureDefinition-us-core-questionnaireresponse</v>
      </c>
      <c r="S585" t="str">
        <f>_xlfn.TEXTAFTER(us_core_reqs[[#This Row],[URL*]],"#",-1)</f>
        <v>mandatory-and-must-support-data-elements</v>
      </c>
      <c r="T585" t="str">
        <f>SUBSTITUTE(SUBSTITUTE(PROPER(SUBSTITUTE(us_core_reqs[[#This Row],[Page]], "-", " "))&amp;": "&amp;PROPER(SUBSTITUTE(us_core_reqs[[#This Row],[Section]], "-", " ")),"Us ","US "), "Uscdi", "USCDI")</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51" x14ac:dyDescent="0.2">
      <c r="A586" t="s">
        <v>1171</v>
      </c>
      <c r="B586" t="s">
        <v>1758</v>
      </c>
      <c r="C586" t="str">
        <f>"CONF-"&amp;TEXT(us_core_reqs[[#This Row],[ID*]], "0000")</f>
        <v>CONF-0585</v>
      </c>
      <c r="D586" s="11" t="s">
        <v>1160</v>
      </c>
      <c r="E586" t="str">
        <f>SUBSTITUTE(us_core_reqs[[#This Row],[URL*]], "https://hl7.org/fhir/us/core/STU8/","")</f>
        <v>https://hl7.org/fhir/us/core/STU7/StructureDefinition-us-core-allergyintolerance.html#mandatory-and-must-support-data-elements</v>
      </c>
      <c r="F586" s="11" t="s">
        <v>1161</v>
      </c>
      <c r="G586" t="s">
        <v>64</v>
      </c>
      <c r="I586" t="s">
        <v>30</v>
      </c>
      <c r="J586" t="s">
        <v>1171</v>
      </c>
      <c r="K586" t="s">
        <v>1171</v>
      </c>
      <c r="L586" t="s">
        <v>1173</v>
      </c>
      <c r="M586" t="s">
        <v>1171</v>
      </c>
      <c r="N586" t="s">
        <v>1171</v>
      </c>
      <c r="O586" t="s">
        <v>1171</v>
      </c>
      <c r="P586" t="s">
        <v>1171</v>
      </c>
      <c r="Q586" t="s">
        <v>1171</v>
      </c>
      <c r="R586" t="str">
        <f>_xlfn.TEXTBEFORE(_xlfn.TEXTAFTER(us_core_reqs[[#This Row],[URL*]],"/",-1),".")</f>
        <v>StructureDefinition-us-core-allergyintolerance</v>
      </c>
      <c r="S586" t="str">
        <f>_xlfn.TEXTAFTER(us_core_reqs[[#This Row],[URL*]],"#",-1)</f>
        <v>mandatory-and-must-support-data-elements</v>
      </c>
      <c r="T586" t="str">
        <f>SUBSTITUTE(SUBSTITUTE(PROPER(SUBSTITUTE(us_core_reqs[[#This Row],[Page]], "-", " "))&amp;": "&amp;PROPER(SUBSTITUTE(us_core_reqs[[#This Row],[Section]], "-", " ")),"Us ","US "), "Uscdi", "USCDI")</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51" x14ac:dyDescent="0.2">
      <c r="A587" t="s">
        <v>1171</v>
      </c>
      <c r="B587" t="s">
        <v>1759</v>
      </c>
      <c r="C587" t="str">
        <f>"CONF-"&amp;TEXT(us_core_reqs[[#This Row],[ID*]], "0000")</f>
        <v>CONF-0586</v>
      </c>
      <c r="D587" s="11" t="s">
        <v>1160</v>
      </c>
      <c r="E587" t="str">
        <f>SUBSTITUTE(us_core_reqs[[#This Row],[URL*]], "https://hl7.org/fhir/us/core/STU8/","")</f>
        <v>https://hl7.org/fhir/us/core/STU7/StructureDefinition-us-core-allergyintolerance.html#mandatory-and-must-support-data-elements</v>
      </c>
      <c r="F587" s="11" t="s">
        <v>1162</v>
      </c>
      <c r="G587" t="s">
        <v>64</v>
      </c>
      <c r="I587" t="s">
        <v>30</v>
      </c>
      <c r="J587" t="s">
        <v>1171</v>
      </c>
      <c r="K587" t="s">
        <v>1171</v>
      </c>
      <c r="L587" t="s">
        <v>1173</v>
      </c>
      <c r="M587" t="s">
        <v>1171</v>
      </c>
      <c r="N587" t="s">
        <v>1171</v>
      </c>
      <c r="O587" t="s">
        <v>1171</v>
      </c>
      <c r="P587" t="s">
        <v>1171</v>
      </c>
      <c r="Q587" t="s">
        <v>1171</v>
      </c>
      <c r="R587" t="str">
        <f>_xlfn.TEXTBEFORE(_xlfn.TEXTAFTER(us_core_reqs[[#This Row],[URL*]],"/",-1),".")</f>
        <v>StructureDefinition-us-core-allergyintolerance</v>
      </c>
      <c r="S587" t="str">
        <f>_xlfn.TEXTAFTER(us_core_reqs[[#This Row],[URL*]],"#",-1)</f>
        <v>mandatory-and-must-support-data-elements</v>
      </c>
      <c r="T587" t="str">
        <f>SUBSTITUTE(SUBSTITUTE(PROPER(SUBSTITUTE(us_core_reqs[[#This Row],[Page]], "-", " "))&amp;": "&amp;PROPER(SUBSTITUTE(us_core_reqs[[#This Row],[Section]], "-", " ")),"Us ","US "), "Uscdi", "USCDI")</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51" x14ac:dyDescent="0.2">
      <c r="A588" t="s">
        <v>1171</v>
      </c>
      <c r="B588" t="s">
        <v>1760</v>
      </c>
      <c r="C588" t="str">
        <f>"CONF-"&amp;TEXT(us_core_reqs[[#This Row],[ID*]], "0000")</f>
        <v>CONF-0587</v>
      </c>
      <c r="D588" s="11" t="s">
        <v>1160</v>
      </c>
      <c r="E588" t="str">
        <f>SUBSTITUTE(us_core_reqs[[#This Row],[URL*]], "https://hl7.org/fhir/us/core/STU8/","")</f>
        <v>https://hl7.org/fhir/us/core/STU7/StructureDefinition-us-core-allergyintolerance.html#mandatory-and-must-support-data-elements</v>
      </c>
      <c r="F588" s="11" t="s">
        <v>1163</v>
      </c>
      <c r="G588" t="s">
        <v>29</v>
      </c>
      <c r="I588" t="s">
        <v>30</v>
      </c>
      <c r="J588" t="s">
        <v>1171</v>
      </c>
      <c r="K588" t="s">
        <v>1171</v>
      </c>
      <c r="L588" t="s">
        <v>1173</v>
      </c>
      <c r="M588" t="s">
        <v>1171</v>
      </c>
      <c r="N588" t="s">
        <v>1171</v>
      </c>
      <c r="O588" t="s">
        <v>1171</v>
      </c>
      <c r="P588" t="s">
        <v>1171</v>
      </c>
      <c r="Q588" t="s">
        <v>1171</v>
      </c>
      <c r="R588" t="str">
        <f>_xlfn.TEXTBEFORE(_xlfn.TEXTAFTER(us_core_reqs[[#This Row],[URL*]],"/",-1),".")</f>
        <v>StructureDefinition-us-core-allergyintolerance</v>
      </c>
      <c r="S588" t="str">
        <f>_xlfn.TEXTAFTER(us_core_reqs[[#This Row],[URL*]],"#",-1)</f>
        <v>mandatory-and-must-support-data-elements</v>
      </c>
      <c r="T588" t="str">
        <f>SUBSTITUTE(SUBSTITUTE(PROPER(SUBSTITUTE(us_core_reqs[[#This Row],[Page]], "-", " "))&amp;": "&amp;PROPER(SUBSTITUTE(us_core_reqs[[#This Row],[Section]], "-", " ")),"Us ","US "), "Uscdi", "USCDI")</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51" x14ac:dyDescent="0.2">
      <c r="A589" t="s">
        <v>1171</v>
      </c>
      <c r="B589" t="s">
        <v>1761</v>
      </c>
      <c r="C589" t="str">
        <f>"CONF-"&amp;TEXT(us_core_reqs[[#This Row],[ID*]], "0000")</f>
        <v>CONF-0588</v>
      </c>
      <c r="D589" s="11" t="s">
        <v>1160</v>
      </c>
      <c r="E589" t="str">
        <f>SUBSTITUTE(us_core_reqs[[#This Row],[URL*]], "https://hl7.org/fhir/us/core/STU8/","")</f>
        <v>https://hl7.org/fhir/us/core/STU7/StructureDefinition-us-core-allergyintolerance.html#mandatory-and-must-support-data-elements</v>
      </c>
      <c r="F589" s="11" t="s">
        <v>1164</v>
      </c>
      <c r="G589" t="s">
        <v>29</v>
      </c>
      <c r="I589" t="s">
        <v>30</v>
      </c>
      <c r="J589" t="s">
        <v>1171</v>
      </c>
      <c r="K589" t="s">
        <v>1171</v>
      </c>
      <c r="L589" t="s">
        <v>1173</v>
      </c>
      <c r="M589" t="s">
        <v>1171</v>
      </c>
      <c r="N589" t="s">
        <v>1171</v>
      </c>
      <c r="O589" t="s">
        <v>1171</v>
      </c>
      <c r="P589" t="s">
        <v>1171</v>
      </c>
      <c r="Q589" t="s">
        <v>1171</v>
      </c>
      <c r="R589" t="str">
        <f>_xlfn.TEXTBEFORE(_xlfn.TEXTAFTER(us_core_reqs[[#This Row],[URL*]],"/",-1),".")</f>
        <v>StructureDefinition-us-core-allergyintolerance</v>
      </c>
      <c r="S589" t="str">
        <f>_xlfn.TEXTAFTER(us_core_reqs[[#This Row],[URL*]],"#",-1)</f>
        <v>mandatory-and-must-support-data-elements</v>
      </c>
      <c r="T589" t="str">
        <f>SUBSTITUTE(SUBSTITUTE(PROPER(SUBSTITUTE(us_core_reqs[[#This Row],[Page]], "-", " "))&amp;": "&amp;PROPER(SUBSTITUTE(us_core_reqs[[#This Row],[Section]], "-", " ")),"Us ","US "), "Uscdi", "USCDI")</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102" x14ac:dyDescent="0.2">
      <c r="A590" t="s">
        <v>1171</v>
      </c>
      <c r="B590" t="s">
        <v>1762</v>
      </c>
      <c r="C590" t="str">
        <f>"CONF-"&amp;TEXT(us_core_reqs[[#This Row],[ID*]], "0000")</f>
        <v>CONF-0800</v>
      </c>
      <c r="D590" s="11" t="s">
        <v>612</v>
      </c>
      <c r="E590" t="str">
        <f>SUBSTITUTE(us_core_reqs[[#This Row],[URL*]], "https://hl7.org/fhir/us/core/STU8/","")</f>
        <v>must-support.html#must-support-elements</v>
      </c>
      <c r="F590" s="11" t="s">
        <v>647</v>
      </c>
      <c r="G590" t="s">
        <v>35</v>
      </c>
      <c r="I590" t="s">
        <v>58</v>
      </c>
      <c r="J590" t="s">
        <v>1171</v>
      </c>
      <c r="K590" t="s">
        <v>1171</v>
      </c>
      <c r="L590" t="s">
        <v>1173</v>
      </c>
      <c r="M590" t="s">
        <v>1171</v>
      </c>
      <c r="N590" t="s">
        <v>1171</v>
      </c>
      <c r="O590" t="s">
        <v>1171</v>
      </c>
      <c r="P590" t="s">
        <v>1171</v>
      </c>
      <c r="Q590" t="s">
        <v>1171</v>
      </c>
      <c r="R590" t="str">
        <f>_xlfn.TEXTBEFORE(_xlfn.TEXTAFTER(us_core_reqs[[#This Row],[URL*]],"/",-1),".")</f>
        <v>must-support</v>
      </c>
      <c r="S590" t="str">
        <f>_xlfn.TEXTAFTER(us_core_reqs[[#This Row],[URL*]],"#",-1)</f>
        <v>must-support-elements</v>
      </c>
      <c r="T590" t="str">
        <f>SUBSTITUTE(SUBSTITUTE(PROPER(SUBSTITUTE(us_core_reqs[[#This Row],[Page]], "-", " "))&amp;": "&amp;PROPER(SUBSTITUTE(us_core_reqs[[#This Row],[Section]], "-", " ")),"Us ","US "), "Uscdi", "USCDI")</f>
        <v>Must Support: Must Support Elements</v>
      </c>
      <c r="U590" t="s">
        <v>1171</v>
      </c>
      <c r="V590" t="s">
        <v>1171</v>
      </c>
      <c r="W590" t="s">
        <v>1171</v>
      </c>
      <c r="X590" t="s">
        <v>1171</v>
      </c>
      <c r="Y590" t="s">
        <v>1171</v>
      </c>
      <c r="Z590" t="s">
        <v>1171</v>
      </c>
      <c r="AA590" t="s">
        <v>1171</v>
      </c>
      <c r="AB590" t="s">
        <v>1171</v>
      </c>
      <c r="AC590" t="s">
        <v>1171</v>
      </c>
      <c r="AD590" t="s">
        <v>1171</v>
      </c>
    </row>
    <row r="591" spans="1:30" ht="102" x14ac:dyDescent="0.2">
      <c r="A591" t="s">
        <v>1171</v>
      </c>
      <c r="B591" t="s">
        <v>1763</v>
      </c>
      <c r="C591" t="str">
        <f>"CONF-"&amp;TEXT(us_core_reqs[[#This Row],[ID*]], "0000")</f>
        <v>CONF-0801</v>
      </c>
      <c r="D591" s="11" t="s">
        <v>614</v>
      </c>
      <c r="E591" t="str">
        <f>SUBSTITUTE(us_core_reqs[[#This Row],[URL*]], "https://hl7.org/fhir/us/core/STU8/","")</f>
        <v>must-support.html#defined-pattern-elements</v>
      </c>
      <c r="F591" s="11" t="s">
        <v>653</v>
      </c>
      <c r="G591" t="s">
        <v>29</v>
      </c>
      <c r="I591" t="s">
        <v>30</v>
      </c>
      <c r="J591" t="b">
        <v>1</v>
      </c>
      <c r="K591" t="s">
        <v>1171</v>
      </c>
      <c r="L591" t="s">
        <v>1176</v>
      </c>
      <c r="M591" t="s">
        <v>1125</v>
      </c>
      <c r="N591" t="s">
        <v>1171</v>
      </c>
      <c r="O591" t="s">
        <v>1171</v>
      </c>
      <c r="P591" t="s">
        <v>1171</v>
      </c>
      <c r="Q591" t="s">
        <v>1171</v>
      </c>
      <c r="R591" t="str">
        <f>_xlfn.TEXTBEFORE(_xlfn.TEXTAFTER(us_core_reqs[[#This Row],[URL*]],"/",-1),".")</f>
        <v>must-support</v>
      </c>
      <c r="S591" t="str">
        <f>_xlfn.TEXTAFTER(us_core_reqs[[#This Row],[URL*]],"#",-1)</f>
        <v>defined-pattern-elements</v>
      </c>
      <c r="T591" t="str">
        <f>SUBSTITUTE(SUBSTITUTE(PROPER(SUBSTITUTE(us_core_reqs[[#This Row],[Page]], "-", " "))&amp;": "&amp;PROPER(SUBSTITUTE(us_core_reqs[[#This Row],[Section]], "-", " ")),"Us ","US "), "Uscdi", "USCDI")</f>
        <v>Must Support: Defined Pattern Elements</v>
      </c>
      <c r="U591" t="s">
        <v>1171</v>
      </c>
      <c r="V591" t="s">
        <v>1171</v>
      </c>
      <c r="W591" t="s">
        <v>1171</v>
      </c>
      <c r="X591" t="s">
        <v>1171</v>
      </c>
      <c r="Y591" t="s">
        <v>1171</v>
      </c>
      <c r="Z591" t="s">
        <v>1171</v>
      </c>
      <c r="AA591" t="s">
        <v>1171</v>
      </c>
      <c r="AB591" t="s">
        <v>405</v>
      </c>
      <c r="AC591" t="s">
        <v>1140</v>
      </c>
      <c r="AD591" t="s">
        <v>1156</v>
      </c>
    </row>
    <row r="592" spans="1:30" ht="102" x14ac:dyDescent="0.2">
      <c r="A592" t="s">
        <v>1171</v>
      </c>
      <c r="B592" t="s">
        <v>1764</v>
      </c>
      <c r="C592" t="str">
        <f>"CONF-"&amp;TEXT(us_core_reqs[[#This Row],[ID*]], "0000")</f>
        <v>CONF-0802</v>
      </c>
      <c r="D592" s="11" t="s">
        <v>1851</v>
      </c>
      <c r="E592" t="str">
        <f>SUBSTITUTE(us_core_reqs[[#This Row],[URL*]], "https://hl7.org/fhir/us/core/STU8/","")</f>
        <v>must-support.html#must-support---primitive-elements</v>
      </c>
      <c r="F592" s="11" t="s">
        <v>654</v>
      </c>
      <c r="G592" t="s">
        <v>29</v>
      </c>
      <c r="I592" t="s">
        <v>30</v>
      </c>
      <c r="J592" t="b">
        <v>1</v>
      </c>
      <c r="K592" t="s">
        <v>1171</v>
      </c>
      <c r="L592" t="s">
        <v>1176</v>
      </c>
      <c r="M592" t="s">
        <v>1124</v>
      </c>
      <c r="N592" t="s">
        <v>1171</v>
      </c>
      <c r="O592" t="s">
        <v>1171</v>
      </c>
      <c r="P592" t="s">
        <v>1171</v>
      </c>
      <c r="Q592" t="s">
        <v>1171</v>
      </c>
      <c r="R592" t="str">
        <f>_xlfn.TEXTBEFORE(_xlfn.TEXTAFTER(us_core_reqs[[#This Row],[URL*]],"/",-1),".")</f>
        <v>must-support</v>
      </c>
      <c r="S592" t="str">
        <f>_xlfn.TEXTAFTER(us_core_reqs[[#This Row],[URL*]],"#",-1)</f>
        <v>must-support---primitive-elements</v>
      </c>
      <c r="T592" t="str">
        <f>SUBSTITUTE(SUBSTITUTE(PROPER(SUBSTITUTE(us_core_reqs[[#This Row],[Page]], "-", " "))&amp;": "&amp;PROPER(SUBSTITUTE(us_core_reqs[[#This Row],[Section]], "-", " ")),"Us ","US "), "Uscdi", "USCDI")</f>
        <v>Must Support: Must Support   Primitive Elements</v>
      </c>
      <c r="U592" t="s">
        <v>1171</v>
      </c>
      <c r="V592" t="s">
        <v>1171</v>
      </c>
      <c r="W592" t="s">
        <v>1171</v>
      </c>
      <c r="X592" t="s">
        <v>1171</v>
      </c>
      <c r="Y592" t="s">
        <v>1171</v>
      </c>
      <c r="Z592" t="s">
        <v>1171</v>
      </c>
      <c r="AA592" t="s">
        <v>1171</v>
      </c>
      <c r="AB592" t="s">
        <v>405</v>
      </c>
      <c r="AC592" t="s">
        <v>1140</v>
      </c>
      <c r="AD592" t="s">
        <v>1156</v>
      </c>
    </row>
    <row r="593" spans="1:30" ht="51" x14ac:dyDescent="0.2">
      <c r="A593" t="s">
        <v>1171</v>
      </c>
      <c r="B593" t="s">
        <v>1765</v>
      </c>
      <c r="C593" t="str">
        <f>"CONF-"&amp;TEXT(us_core_reqs[[#This Row],[ID*]], "0000")</f>
        <v>CONF-0803</v>
      </c>
      <c r="D593" s="11" t="s">
        <v>616</v>
      </c>
      <c r="E593" t="str">
        <f>SUBSTITUTE(us_core_reqs[[#This Row],[URL*]], "https://hl7.org/fhir/us/core/STU8/","")</f>
        <v>must-support.html#must-support---complex-elements</v>
      </c>
      <c r="F593" s="11" t="s">
        <v>655</v>
      </c>
      <c r="G593" t="s">
        <v>29</v>
      </c>
      <c r="I593" t="s">
        <v>30</v>
      </c>
      <c r="J593" t="b">
        <v>1</v>
      </c>
      <c r="K593" t="s">
        <v>1171</v>
      </c>
      <c r="L593" t="s">
        <v>1173</v>
      </c>
      <c r="M593" t="s">
        <v>1171</v>
      </c>
      <c r="N593" t="s">
        <v>1171</v>
      </c>
      <c r="O593" t="s">
        <v>1171</v>
      </c>
      <c r="P593" t="s">
        <v>1171</v>
      </c>
      <c r="Q593" t="s">
        <v>1171</v>
      </c>
      <c r="R593" t="str">
        <f>_xlfn.TEXTBEFORE(_xlfn.TEXTAFTER(us_core_reqs[[#This Row],[URL*]],"/",-1),".")</f>
        <v>must-support</v>
      </c>
      <c r="S593" t="str">
        <f>_xlfn.TEXTAFTER(us_core_reqs[[#This Row],[URL*]],"#",-1)</f>
        <v>must-support---complex-elements</v>
      </c>
      <c r="T593" t="str">
        <f>SUBSTITUTE(SUBSTITUTE(PROPER(SUBSTITUTE(us_core_reqs[[#This Row],[Page]], "-", " "))&amp;": "&amp;PROPER(SUBSTITUTE(us_core_reqs[[#This Row],[Section]], "-", " ")),"Us ","US "), "Uscdi", "USCDI")</f>
        <v>Must Support: Must Support   Complex Elements</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1766</v>
      </c>
      <c r="C594" t="str">
        <f>"CONF-"&amp;TEXT(us_core_reqs[[#This Row],[ID*]], "0000")</f>
        <v>CONF-0804</v>
      </c>
      <c r="D594" s="11" t="s">
        <v>616</v>
      </c>
      <c r="E594" t="str">
        <f>SUBSTITUTE(us_core_reqs[[#This Row],[URL*]], "https://hl7.org/fhir/us/core/STU8/","")</f>
        <v>must-support.html#must-support---complex-elements</v>
      </c>
      <c r="F594" s="11" t="s">
        <v>656</v>
      </c>
      <c r="G594" t="s">
        <v>29</v>
      </c>
      <c r="I594" t="s">
        <v>30</v>
      </c>
      <c r="J594" t="s">
        <v>1171</v>
      </c>
      <c r="K594" t="s">
        <v>1171</v>
      </c>
      <c r="L594" t="s">
        <v>1176</v>
      </c>
      <c r="M594" t="s">
        <v>1123</v>
      </c>
      <c r="N594" t="s">
        <v>1171</v>
      </c>
      <c r="O594" t="s">
        <v>1171</v>
      </c>
      <c r="P594" t="s">
        <v>1171</v>
      </c>
      <c r="Q594" t="s">
        <v>1171</v>
      </c>
      <c r="R594" t="str">
        <f>_xlfn.TEXTBEFORE(_xlfn.TEXTAFTER(us_core_reqs[[#This Row],[URL*]],"/",-1),".")</f>
        <v>must-support</v>
      </c>
      <c r="S594" t="str">
        <f>_xlfn.TEXTAFTER(us_core_reqs[[#This Row],[URL*]],"#",-1)</f>
        <v>must-support---complex-elements</v>
      </c>
      <c r="T594" t="str">
        <f>SUBSTITUTE(SUBSTITUTE(PROPER(SUBSTITUTE(us_core_reqs[[#This Row],[Page]], "-", " "))&amp;": "&amp;PROPER(SUBSTITUTE(us_core_reqs[[#This Row],[Section]], "-", " ")),"Us ","US "), "Uscdi", "USCDI")</f>
        <v>Must Support: Must Support   Complex Elements</v>
      </c>
      <c r="U594" t="s">
        <v>1171</v>
      </c>
      <c r="V594" t="s">
        <v>1171</v>
      </c>
      <c r="W594" t="s">
        <v>1171</v>
      </c>
      <c r="X594" t="s">
        <v>1171</v>
      </c>
      <c r="Y594" t="s">
        <v>1171</v>
      </c>
      <c r="Z594" t="s">
        <v>1171</v>
      </c>
      <c r="AA594" t="s">
        <v>1171</v>
      </c>
      <c r="AB594" t="s">
        <v>405</v>
      </c>
      <c r="AC594" t="s">
        <v>1140</v>
      </c>
      <c r="AD594" t="s">
        <v>1156</v>
      </c>
    </row>
    <row r="595" spans="1:30" ht="68" x14ac:dyDescent="0.2">
      <c r="A595" t="s">
        <v>1171</v>
      </c>
      <c r="B595" t="s">
        <v>1767</v>
      </c>
      <c r="C595" t="str">
        <f>"CONF-"&amp;TEXT(us_core_reqs[[#This Row],[ID*]], "0000")</f>
        <v>CONF-0805</v>
      </c>
      <c r="D595" s="11" t="s">
        <v>616</v>
      </c>
      <c r="E595" t="str">
        <f>SUBSTITUTE(us_core_reqs[[#This Row],[URL*]], "https://hl7.org/fhir/us/core/STU8/","")</f>
        <v>must-support.html#must-support---complex-elements</v>
      </c>
      <c r="F595" s="11" t="s">
        <v>658</v>
      </c>
      <c r="G595" t="s">
        <v>29</v>
      </c>
      <c r="I595" t="s">
        <v>30</v>
      </c>
      <c r="J595" t="b">
        <v>1</v>
      </c>
      <c r="K595" t="s">
        <v>1171</v>
      </c>
      <c r="L595" t="s">
        <v>1173</v>
      </c>
      <c r="M595" t="s">
        <v>1171</v>
      </c>
      <c r="N595" t="s">
        <v>1171</v>
      </c>
      <c r="O595" t="s">
        <v>1171</v>
      </c>
      <c r="P595" t="s">
        <v>1171</v>
      </c>
      <c r="Q595" t="s">
        <v>1171</v>
      </c>
      <c r="R595" t="str">
        <f>_xlfn.TEXTBEFORE(_xlfn.TEXTAFTER(us_core_reqs[[#This Row],[URL*]],"/",-1),".")</f>
        <v>must-support</v>
      </c>
      <c r="S595" t="str">
        <f>_xlfn.TEXTAFTER(us_core_reqs[[#This Row],[URL*]],"#",-1)</f>
        <v>must-support---complex-elements</v>
      </c>
      <c r="T595" t="str">
        <f>SUBSTITUTE(SUBSTITUTE(PROPER(SUBSTITUTE(us_core_reqs[[#This Row],[Page]], "-", " "))&amp;": "&amp;PROPER(SUBSTITUTE(us_core_reqs[[#This Row],[Section]], "-", " ")),"Us ","US "), "Uscdi", "USCDI")</f>
        <v>Must Support: Must Support   Complex Elements</v>
      </c>
      <c r="U595" t="s">
        <v>1171</v>
      </c>
      <c r="V595" t="s">
        <v>1171</v>
      </c>
      <c r="W595" t="s">
        <v>1171</v>
      </c>
      <c r="X595" t="s">
        <v>1171</v>
      </c>
      <c r="Y595" t="s">
        <v>1171</v>
      </c>
      <c r="Z595" t="s">
        <v>1171</v>
      </c>
      <c r="AA595" t="s">
        <v>1171</v>
      </c>
      <c r="AB595" t="s">
        <v>405</v>
      </c>
      <c r="AC595" t="s">
        <v>1140</v>
      </c>
      <c r="AD595" t="s">
        <v>1156</v>
      </c>
    </row>
    <row r="596" spans="1:30" ht="51" x14ac:dyDescent="0.2">
      <c r="A596" t="s">
        <v>1171</v>
      </c>
      <c r="B596" t="s">
        <v>1768</v>
      </c>
      <c r="C596" t="str">
        <f>"CONF-"&amp;TEXT(us_core_reqs[[#This Row],[ID*]], "0000")</f>
        <v>CONF-0808</v>
      </c>
      <c r="D596" s="11" t="s">
        <v>618</v>
      </c>
      <c r="E596" t="str">
        <f>SUBSTITUTE(us_core_reqs[[#This Row],[URL*]], "https://hl7.org/fhir/us/core/STU8/","")</f>
        <v>must-support.html#must-support-targets-for-us-core-profiles</v>
      </c>
      <c r="F596" s="11" t="s">
        <v>668</v>
      </c>
      <c r="G596" t="s">
        <v>29</v>
      </c>
      <c r="I596" t="s">
        <v>30</v>
      </c>
      <c r="J596" t="s">
        <v>1171</v>
      </c>
      <c r="K596" t="s">
        <v>1171</v>
      </c>
      <c r="L596" t="s">
        <v>1176</v>
      </c>
      <c r="M596" t="s">
        <v>1122</v>
      </c>
      <c r="N596" t="s">
        <v>1171</v>
      </c>
      <c r="O596" t="s">
        <v>1171</v>
      </c>
      <c r="P596" t="s">
        <v>1171</v>
      </c>
      <c r="Q596" t="s">
        <v>1171</v>
      </c>
      <c r="R596" t="str">
        <f>_xlfn.TEXTBEFORE(_xlfn.TEXTAFTER(us_core_reqs[[#This Row],[URL*]],"/",-1),".")</f>
        <v>must-support</v>
      </c>
      <c r="S596" t="str">
        <f>_xlfn.TEXTAFTER(us_core_reqs[[#This Row],[URL*]],"#",-1)</f>
        <v>must-support-targets-for-us-core-profiles</v>
      </c>
      <c r="T596" t="str">
        <f>SUBSTITUTE(SUBSTITUTE(PROPER(SUBSTITUTE(us_core_reqs[[#This Row],[Page]], "-", " "))&amp;": "&amp;PROPER(SUBSTITUTE(us_core_reqs[[#This Row],[Section]], "-", " ")),"Us ","US "), "Uscdi", "USCDI")</f>
        <v>Must Support: Must Support Targets For US Core Profiles</v>
      </c>
      <c r="U596" t="s">
        <v>1171</v>
      </c>
      <c r="V596" t="s">
        <v>1171</v>
      </c>
      <c r="W596" t="s">
        <v>1171</v>
      </c>
      <c r="X596" t="s">
        <v>1171</v>
      </c>
      <c r="Y596" t="s">
        <v>1171</v>
      </c>
      <c r="Z596" t="s">
        <v>1171</v>
      </c>
      <c r="AA596" t="s">
        <v>1171</v>
      </c>
      <c r="AB596" t="s">
        <v>1171</v>
      </c>
      <c r="AC596" t="s">
        <v>1140</v>
      </c>
      <c r="AD596" t="s">
        <v>1154</v>
      </c>
    </row>
    <row r="597" spans="1:30" ht="51" x14ac:dyDescent="0.2">
      <c r="A597" t="s">
        <v>1171</v>
      </c>
      <c r="B597" t="s">
        <v>1769</v>
      </c>
      <c r="C597" t="str">
        <f>"CONF-"&amp;TEXT(us_core_reqs[[#This Row],[ID*]], "0000")</f>
        <v>CONF-0809</v>
      </c>
      <c r="D597" s="11" t="s">
        <v>618</v>
      </c>
      <c r="E597" t="str">
        <f>SUBSTITUTE(us_core_reqs[[#This Row],[URL*]], "https://hl7.org/fhir/us/core/STU8/","")</f>
        <v>must-support.html#must-support-targets-for-us-core-profiles</v>
      </c>
      <c r="F597" s="11" t="s">
        <v>669</v>
      </c>
      <c r="G597" t="s">
        <v>29</v>
      </c>
      <c r="I597" t="s">
        <v>30</v>
      </c>
      <c r="J597" t="b">
        <v>1</v>
      </c>
      <c r="K597" t="s">
        <v>1171</v>
      </c>
      <c r="L597" t="s">
        <v>1176</v>
      </c>
      <c r="M597" t="s">
        <v>1121</v>
      </c>
      <c r="N597" t="s">
        <v>1171</v>
      </c>
      <c r="O597" t="s">
        <v>1171</v>
      </c>
      <c r="P597" t="s">
        <v>1171</v>
      </c>
      <c r="Q597" t="s">
        <v>1171</v>
      </c>
      <c r="R597" t="str">
        <f>_xlfn.TEXTBEFORE(_xlfn.TEXTAFTER(us_core_reqs[[#This Row],[URL*]],"/",-1),".")</f>
        <v>must-support</v>
      </c>
      <c r="S597" t="str">
        <f>_xlfn.TEXTAFTER(us_core_reqs[[#This Row],[URL*]],"#",-1)</f>
        <v>must-support-targets-for-us-core-profiles</v>
      </c>
      <c r="T597" t="str">
        <f>SUBSTITUTE(SUBSTITUTE(PROPER(SUBSTITUTE(us_core_reqs[[#This Row],[Page]], "-", " "))&amp;": "&amp;PROPER(SUBSTITUTE(us_core_reqs[[#This Row],[Section]], "-", " ")),"Us ","US "), "Uscdi", "USCDI")</f>
        <v>Must Support: Must Support Targets For US Core Profiles</v>
      </c>
      <c r="U597" t="s">
        <v>1171</v>
      </c>
      <c r="V597" t="s">
        <v>1171</v>
      </c>
      <c r="W597" t="s">
        <v>1171</v>
      </c>
      <c r="X597" t="s">
        <v>1171</v>
      </c>
      <c r="Y597" t="s">
        <v>1171</v>
      </c>
      <c r="Z597" t="s">
        <v>1171</v>
      </c>
      <c r="AA597" t="s">
        <v>1171</v>
      </c>
      <c r="AB597" t="s">
        <v>405</v>
      </c>
      <c r="AC597" t="s">
        <v>1140</v>
      </c>
      <c r="AD597" t="s">
        <v>1156</v>
      </c>
    </row>
    <row r="598" spans="1:30" ht="68" x14ac:dyDescent="0.2">
      <c r="A598" t="s">
        <v>1171</v>
      </c>
      <c r="B598" t="s">
        <v>1770</v>
      </c>
      <c r="C598" t="str">
        <f>"CONF-"&amp;TEXT(us_core_reqs[[#This Row],[ID*]], "0000")</f>
        <v>CONF-0810</v>
      </c>
      <c r="D598" s="11" t="s">
        <v>618</v>
      </c>
      <c r="E598" t="str">
        <f>SUBSTITUTE(us_core_reqs[[#This Row],[URL*]], "https://hl7.org/fhir/us/core/STU8/","")</f>
        <v>must-support.html#must-support-targets-for-us-core-profiles</v>
      </c>
      <c r="F598" s="11" t="s">
        <v>671</v>
      </c>
      <c r="G598" t="s">
        <v>29</v>
      </c>
      <c r="I598" t="s">
        <v>30</v>
      </c>
      <c r="J598" t="s">
        <v>1171</v>
      </c>
      <c r="K598" t="s">
        <v>1171</v>
      </c>
      <c r="L598" t="s">
        <v>1176</v>
      </c>
      <c r="M598" t="s">
        <v>1120</v>
      </c>
      <c r="N598" t="s">
        <v>1171</v>
      </c>
      <c r="O598" t="s">
        <v>1171</v>
      </c>
      <c r="P598" t="s">
        <v>1171</v>
      </c>
      <c r="Q598" t="s">
        <v>1171</v>
      </c>
      <c r="R598" t="str">
        <f>_xlfn.TEXTBEFORE(_xlfn.TEXTAFTER(us_core_reqs[[#This Row],[URL*]],"/",-1),".")</f>
        <v>must-support</v>
      </c>
      <c r="S598" t="str">
        <f>_xlfn.TEXTAFTER(us_core_reqs[[#This Row],[URL*]],"#",-1)</f>
        <v>must-support-targets-for-us-core-profiles</v>
      </c>
      <c r="T598" t="str">
        <f>SUBSTITUTE(SUBSTITUTE(PROPER(SUBSTITUTE(us_core_reqs[[#This Row],[Page]], "-", " "))&amp;": "&amp;PROPER(SUBSTITUTE(us_core_reqs[[#This Row],[Section]], "-", " ")),"Us ","US "), "Uscdi", "USCDI")</f>
        <v>Must Support: Must Support Targets For US Core Profiles</v>
      </c>
      <c r="U598" t="s">
        <v>1171</v>
      </c>
      <c r="V598" t="s">
        <v>1171</v>
      </c>
      <c r="W598" t="s">
        <v>1171</v>
      </c>
      <c r="X598" t="s">
        <v>1171</v>
      </c>
      <c r="Y598" t="s">
        <v>1171</v>
      </c>
      <c r="Z598" t="s">
        <v>1171</v>
      </c>
      <c r="AA598" t="s">
        <v>1171</v>
      </c>
      <c r="AB598" t="s">
        <v>1171</v>
      </c>
      <c r="AC598" t="s">
        <v>1140</v>
      </c>
      <c r="AD598" t="s">
        <v>1154</v>
      </c>
    </row>
    <row r="599" spans="1:30" ht="68" x14ac:dyDescent="0.2">
      <c r="A599" t="s">
        <v>1171</v>
      </c>
      <c r="B599" t="s">
        <v>1771</v>
      </c>
      <c r="C599" t="str">
        <f>"CONF-"&amp;TEXT(us_core_reqs[[#This Row],[ID*]], "0000")</f>
        <v>CONF-0811</v>
      </c>
      <c r="D599" s="11" t="s">
        <v>618</v>
      </c>
      <c r="E599" t="str">
        <f>SUBSTITUTE(us_core_reqs[[#This Row],[URL*]], "https://hl7.org/fhir/us/core/STU8/","")</f>
        <v>must-support.html#must-support-targets-for-us-core-profiles</v>
      </c>
      <c r="F599" s="11" t="s">
        <v>672</v>
      </c>
      <c r="G599" t="s">
        <v>29</v>
      </c>
      <c r="I599" t="s">
        <v>30</v>
      </c>
      <c r="J599" t="b">
        <v>1</v>
      </c>
      <c r="K599" t="s">
        <v>1171</v>
      </c>
      <c r="L599" t="s">
        <v>1176</v>
      </c>
      <c r="M599" t="s">
        <v>1119</v>
      </c>
      <c r="N599" t="s">
        <v>1171</v>
      </c>
      <c r="O599" t="s">
        <v>1171</v>
      </c>
      <c r="P599" t="s">
        <v>1171</v>
      </c>
      <c r="Q599" t="s">
        <v>1171</v>
      </c>
      <c r="R599" t="str">
        <f>_xlfn.TEXTBEFORE(_xlfn.TEXTAFTER(us_core_reqs[[#This Row],[URL*]],"/",-1),".")</f>
        <v>must-support</v>
      </c>
      <c r="S599" t="str">
        <f>_xlfn.TEXTAFTER(us_core_reqs[[#This Row],[URL*]],"#",-1)</f>
        <v>must-support-targets-for-us-core-profiles</v>
      </c>
      <c r="T599" t="str">
        <f>SUBSTITUTE(SUBSTITUTE(PROPER(SUBSTITUTE(us_core_reqs[[#This Row],[Page]], "-", " "))&amp;": "&amp;PROPER(SUBSTITUTE(us_core_reqs[[#This Row],[Section]], "-", " ")),"Us ","US "), "Uscdi", "USCDI")</f>
        <v>Must Support: Must Support Targets For US Core Profiles</v>
      </c>
      <c r="U599" t="s">
        <v>1171</v>
      </c>
      <c r="V599" t="s">
        <v>1171</v>
      </c>
      <c r="W599" t="s">
        <v>1171</v>
      </c>
      <c r="X599" t="s">
        <v>1171</v>
      </c>
      <c r="Y599" t="s">
        <v>1171</v>
      </c>
      <c r="Z599" t="s">
        <v>1171</v>
      </c>
      <c r="AA599" t="s">
        <v>1171</v>
      </c>
      <c r="AB599" t="s">
        <v>405</v>
      </c>
      <c r="AC599" t="s">
        <v>1140</v>
      </c>
      <c r="AD599" t="s">
        <v>1156</v>
      </c>
    </row>
    <row r="600" spans="1:30" ht="68" x14ac:dyDescent="0.2">
      <c r="A600" t="s">
        <v>1171</v>
      </c>
      <c r="B600" t="s">
        <v>1772</v>
      </c>
      <c r="C600" t="str">
        <f>"CONF-"&amp;TEXT(us_core_reqs[[#This Row],[ID*]], "0000")</f>
        <v>CONF-0812</v>
      </c>
      <c r="D600" s="11" t="s">
        <v>621</v>
      </c>
      <c r="E600" t="str">
        <f>SUBSTITUTE(us_core_reqs[[#This Row],[URL*]], "https://hl7.org/fhir/us/core/STU8/","")</f>
        <v>must-support.html#must-support---slices</v>
      </c>
      <c r="F600" s="11" t="s">
        <v>1153</v>
      </c>
      <c r="G600" t="s">
        <v>29</v>
      </c>
      <c r="I600" t="s">
        <v>30</v>
      </c>
      <c r="J600" t="b">
        <v>1</v>
      </c>
      <c r="K600" t="s">
        <v>1171</v>
      </c>
      <c r="L600" t="s">
        <v>1176</v>
      </c>
      <c r="M600" t="s">
        <v>1118</v>
      </c>
      <c r="N600" t="s">
        <v>1171</v>
      </c>
      <c r="O600" t="s">
        <v>1171</v>
      </c>
      <c r="P600" t="s">
        <v>1171</v>
      </c>
      <c r="Q600" t="s">
        <v>1171</v>
      </c>
      <c r="R600" t="str">
        <f>_xlfn.TEXTBEFORE(_xlfn.TEXTAFTER(us_core_reqs[[#This Row],[URL*]],"/",-1),".")</f>
        <v>must-support</v>
      </c>
      <c r="S600" t="str">
        <f>_xlfn.TEXTAFTER(us_core_reqs[[#This Row],[URL*]],"#",-1)</f>
        <v>must-support---slices</v>
      </c>
      <c r="T600" t="str">
        <f>SUBSTITUTE(SUBSTITUTE(PROPER(SUBSTITUTE(us_core_reqs[[#This Row],[Page]], "-", " "))&amp;": "&amp;PROPER(SUBSTITUTE(us_core_reqs[[#This Row],[Section]], "-", " ")),"Us ","US "), "Uscdi", "USCDI")</f>
        <v>Must Support: Must Support   Slices</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1773</v>
      </c>
      <c r="C601" t="str">
        <f>"CONF-"&amp;TEXT(us_core_reqs[[#This Row],[ID*]], "0000")</f>
        <v>CONF-0813</v>
      </c>
      <c r="D601" s="11" t="s">
        <v>621</v>
      </c>
      <c r="E601" t="str">
        <f>SUBSTITUTE(us_core_reqs[[#This Row],[URL*]], "https://hl7.org/fhir/us/core/STU8/","")</f>
        <v>must-support.html#must-support---slices</v>
      </c>
      <c r="F601" s="11" t="s">
        <v>1152</v>
      </c>
      <c r="G601" t="s">
        <v>35</v>
      </c>
      <c r="I601" t="s">
        <v>30</v>
      </c>
      <c r="J601" t="s">
        <v>1171</v>
      </c>
      <c r="K601" t="s">
        <v>1171</v>
      </c>
      <c r="L601" t="s">
        <v>1176</v>
      </c>
      <c r="M601" t="s">
        <v>1117</v>
      </c>
      <c r="N601" t="s">
        <v>1171</v>
      </c>
      <c r="O601" t="s">
        <v>1171</v>
      </c>
      <c r="P601" t="s">
        <v>1171</v>
      </c>
      <c r="Q601" t="s">
        <v>1171</v>
      </c>
      <c r="R601" t="str">
        <f>_xlfn.TEXTBEFORE(_xlfn.TEXTAFTER(us_core_reqs[[#This Row],[URL*]],"/",-1),".")</f>
        <v>must-support</v>
      </c>
      <c r="S601" t="str">
        <f>_xlfn.TEXTAFTER(us_core_reqs[[#This Row],[URL*]],"#",-1)</f>
        <v>must-support---slices</v>
      </c>
      <c r="T601" t="str">
        <f>SUBSTITUTE(SUBSTITUTE(PROPER(SUBSTITUTE(us_core_reqs[[#This Row],[Page]], "-", " "))&amp;": "&amp;PROPER(SUBSTITUTE(us_core_reqs[[#This Row],[Section]], "-", " ")),"Us ","US "), "Uscdi", "USCDI")</f>
        <v>Must Support: Must Support   Slices</v>
      </c>
      <c r="U601" t="s">
        <v>1171</v>
      </c>
      <c r="V601" t="s">
        <v>1171</v>
      </c>
      <c r="W601" t="s">
        <v>1171</v>
      </c>
      <c r="X601" t="s">
        <v>1171</v>
      </c>
      <c r="Y601" t="s">
        <v>1171</v>
      </c>
      <c r="Z601" t="s">
        <v>1171</v>
      </c>
      <c r="AA601" t="s">
        <v>1171</v>
      </c>
      <c r="AB601" t="s">
        <v>405</v>
      </c>
      <c r="AC601" t="s">
        <v>1171</v>
      </c>
      <c r="AD601" t="s">
        <v>1171</v>
      </c>
    </row>
    <row r="602" spans="1:30" ht="51" x14ac:dyDescent="0.2">
      <c r="A602" t="s">
        <v>1171</v>
      </c>
      <c r="B602" t="s">
        <v>1774</v>
      </c>
      <c r="C602" t="str">
        <f>"CONF-"&amp;TEXT(us_core_reqs[[#This Row],[ID*]], "0000")</f>
        <v>CONF-0814</v>
      </c>
      <c r="D602" s="11" t="s">
        <v>621</v>
      </c>
      <c r="E602" t="str">
        <f>SUBSTITUTE(us_core_reqs[[#This Row],[URL*]], "https://hl7.org/fhir/us/core/STU8/","")</f>
        <v>must-support.html#must-support---slices</v>
      </c>
      <c r="F602" s="11" t="s">
        <v>1151</v>
      </c>
      <c r="G602" t="s">
        <v>29</v>
      </c>
      <c r="I602" t="s">
        <v>30</v>
      </c>
      <c r="J602" t="b">
        <v>1</v>
      </c>
      <c r="K602" t="s">
        <v>1171</v>
      </c>
      <c r="L602" t="s">
        <v>1176</v>
      </c>
      <c r="M602" t="s">
        <v>1116</v>
      </c>
      <c r="N602" t="s">
        <v>1171</v>
      </c>
      <c r="O602" t="s">
        <v>1171</v>
      </c>
      <c r="P602" t="s">
        <v>1171</v>
      </c>
      <c r="Q602" t="s">
        <v>1171</v>
      </c>
      <c r="R602" t="str">
        <f>_xlfn.TEXTBEFORE(_xlfn.TEXTAFTER(us_core_reqs[[#This Row],[URL*]],"/",-1),".")</f>
        <v>must-support</v>
      </c>
      <c r="S602" t="str">
        <f>_xlfn.TEXTAFTER(us_core_reqs[[#This Row],[URL*]],"#",-1)</f>
        <v>must-support---slices</v>
      </c>
      <c r="T602" t="str">
        <f>SUBSTITUTE(SUBSTITUTE(PROPER(SUBSTITUTE(us_core_reqs[[#This Row],[Page]], "-", " "))&amp;": "&amp;PROPER(SUBSTITUTE(us_core_reqs[[#This Row],[Section]], "-", " ")),"Us ","US "), "Uscdi", "USCDI")</f>
        <v>Must Support: Must Support   Slices</v>
      </c>
      <c r="U602" t="s">
        <v>1171</v>
      </c>
      <c r="V602" t="s">
        <v>1171</v>
      </c>
      <c r="W602" t="s">
        <v>1171</v>
      </c>
      <c r="X602" t="s">
        <v>1171</v>
      </c>
      <c r="Y602" t="s">
        <v>1171</v>
      </c>
      <c r="Z602" t="s">
        <v>1171</v>
      </c>
      <c r="AA602" t="s">
        <v>1171</v>
      </c>
      <c r="AB602" t="s">
        <v>405</v>
      </c>
      <c r="AC602" t="s">
        <v>1140</v>
      </c>
      <c r="AD602" t="s">
        <v>1156</v>
      </c>
    </row>
    <row r="603" spans="1:30" ht="85" x14ac:dyDescent="0.2">
      <c r="A603" t="s">
        <v>1171</v>
      </c>
      <c r="B603" t="s">
        <v>1775</v>
      </c>
      <c r="C603" t="str">
        <f>"CONF-"&amp;TEXT(us_core_reqs[[#This Row],[ID*]], "0000")</f>
        <v>CONF-0815</v>
      </c>
      <c r="D603" s="11" t="s">
        <v>1878</v>
      </c>
      <c r="E603" t="str">
        <f>SUBSTITUTE(us_core_reqs[[#This Row],[URL*]], "https://hl7.org/fhir/us/core/STU8/","")</f>
        <v>general-guidance.html#client-best-practices-for-search</v>
      </c>
      <c r="F603" s="11" t="s">
        <v>1114</v>
      </c>
      <c r="G603" t="s">
        <v>32</v>
      </c>
      <c r="I603" t="s">
        <v>58</v>
      </c>
      <c r="J603" t="s">
        <v>1171</v>
      </c>
      <c r="K603" t="s">
        <v>1171</v>
      </c>
      <c r="L603" t="s">
        <v>1176</v>
      </c>
      <c r="M603" t="s">
        <v>1115</v>
      </c>
      <c r="N603" t="s">
        <v>1171</v>
      </c>
      <c r="O603" t="s">
        <v>1171</v>
      </c>
      <c r="P603" t="s">
        <v>1171</v>
      </c>
      <c r="Q603" t="s">
        <v>1171</v>
      </c>
      <c r="R603" t="str">
        <f>_xlfn.TEXTBEFORE(_xlfn.TEXTAFTER(us_core_reqs[[#This Row],[URL*]],"/",-1),".")</f>
        <v>general-guidance</v>
      </c>
      <c r="S603" t="str">
        <f>_xlfn.TEXTAFTER(us_core_reqs[[#This Row],[URL*]],"#",-1)</f>
        <v>client-best-practices-for-search</v>
      </c>
      <c r="T603" t="str">
        <f>SUBSTITUTE(SUBSTITUTE(PROPER(SUBSTITUTE(us_core_reqs[[#This Row],[Page]], "-", " "))&amp;": "&amp;PROPER(SUBSTITUTE(us_core_reqs[[#This Row],[Section]], "-", " ")),"Us ","US "), "Uscdi", "USCDI")</f>
        <v>General Guidance: Client Best Practices For Search</v>
      </c>
      <c r="U603" t="s">
        <v>1171</v>
      </c>
      <c r="V603" t="s">
        <v>1171</v>
      </c>
      <c r="W603" t="s">
        <v>1171</v>
      </c>
      <c r="X603" t="s">
        <v>1171</v>
      </c>
      <c r="Y603" t="s">
        <v>1171</v>
      </c>
      <c r="Z603" t="s">
        <v>1171</v>
      </c>
      <c r="AA603" t="s">
        <v>1171</v>
      </c>
      <c r="AB603" t="s">
        <v>1171</v>
      </c>
      <c r="AC603" t="s">
        <v>1171</v>
      </c>
      <c r="AD603" t="s">
        <v>1171</v>
      </c>
    </row>
    <row r="604" spans="1:30" ht="51" x14ac:dyDescent="0.2">
      <c r="A604" t="s">
        <v>1171</v>
      </c>
      <c r="B604" t="s">
        <v>1776</v>
      </c>
      <c r="C604" t="str">
        <f>"CONF-"&amp;TEXT(us_core_reqs[[#This Row],[ID*]], "0000")</f>
        <v>CONF-0816</v>
      </c>
      <c r="D604" s="11" t="s">
        <v>1878</v>
      </c>
      <c r="E604" t="str">
        <f>SUBSTITUTE(us_core_reqs[[#This Row],[URL*]], "https://hl7.org/fhir/us/core/STU8/","")</f>
        <v>general-guidance.html#client-best-practices-for-search</v>
      </c>
      <c r="F604" s="11" t="s">
        <v>713</v>
      </c>
      <c r="G604" t="s">
        <v>32</v>
      </c>
      <c r="I604" t="s">
        <v>58</v>
      </c>
      <c r="J604" t="s">
        <v>1171</v>
      </c>
      <c r="K604" t="s">
        <v>1171</v>
      </c>
      <c r="L604" t="s">
        <v>1176</v>
      </c>
      <c r="M604" t="s">
        <v>1113</v>
      </c>
      <c r="N604" t="s">
        <v>1171</v>
      </c>
      <c r="O604" t="s">
        <v>1171</v>
      </c>
      <c r="P604" t="s">
        <v>1171</v>
      </c>
      <c r="Q604" t="s">
        <v>1171</v>
      </c>
      <c r="R604" t="str">
        <f>_xlfn.TEXTBEFORE(_xlfn.TEXTAFTER(us_core_reqs[[#This Row],[URL*]],"/",-1),".")</f>
        <v>general-guidance</v>
      </c>
      <c r="S604" t="str">
        <f>_xlfn.TEXTAFTER(us_core_reqs[[#This Row],[URL*]],"#",-1)</f>
        <v>client-best-practices-for-search</v>
      </c>
      <c r="T604" t="str">
        <f>SUBSTITUTE(SUBSTITUTE(PROPER(SUBSTITUTE(us_core_reqs[[#This Row],[Page]], "-", " "))&amp;": "&amp;PROPER(SUBSTITUTE(us_core_reqs[[#This Row],[Section]], "-", " ")),"Us ","US "), "Uscdi", "USCDI")</f>
        <v>General Guidance: Client Best Practices For Search</v>
      </c>
      <c r="U604" t="s">
        <v>1171</v>
      </c>
      <c r="V604" t="s">
        <v>1171</v>
      </c>
      <c r="W604" t="s">
        <v>1171</v>
      </c>
      <c r="X604" t="s">
        <v>1171</v>
      </c>
      <c r="Y604" t="s">
        <v>1171</v>
      </c>
      <c r="Z604" t="s">
        <v>1171</v>
      </c>
      <c r="AA604" t="s">
        <v>1171</v>
      </c>
      <c r="AB604" t="s">
        <v>1171</v>
      </c>
      <c r="AC604" t="s">
        <v>1171</v>
      </c>
      <c r="AD604" t="s">
        <v>1171</v>
      </c>
    </row>
    <row r="605" spans="1:30" ht="34" x14ac:dyDescent="0.2">
      <c r="A605" t="s">
        <v>1171</v>
      </c>
      <c r="B605" t="s">
        <v>1777</v>
      </c>
      <c r="C605" t="str">
        <f>"CONF-"&amp;TEXT(us_core_reqs[[#This Row],[ID*]], "0000")</f>
        <v>CONF-0817</v>
      </c>
      <c r="D605" s="11" t="s">
        <v>1878</v>
      </c>
      <c r="E605" t="str">
        <f>SUBSTITUTE(us_core_reqs[[#This Row],[URL*]], "https://hl7.org/fhir/us/core/STU8/","")</f>
        <v>general-guidance.html#client-best-practices-for-search</v>
      </c>
      <c r="F605" s="11" t="s">
        <v>2048</v>
      </c>
      <c r="G605" t="s">
        <v>1834</v>
      </c>
      <c r="I605" t="s">
        <v>58</v>
      </c>
      <c r="J605" t="s">
        <v>1171</v>
      </c>
      <c r="K605" t="s">
        <v>1171</v>
      </c>
      <c r="L605" t="s">
        <v>1176</v>
      </c>
      <c r="M605" t="s">
        <v>1112</v>
      </c>
      <c r="N605" t="s">
        <v>1171</v>
      </c>
      <c r="O605" t="s">
        <v>1171</v>
      </c>
      <c r="P605" t="s">
        <v>1171</v>
      </c>
      <c r="Q605" t="s">
        <v>1171</v>
      </c>
      <c r="R605" t="str">
        <f>_xlfn.TEXTBEFORE(_xlfn.TEXTAFTER(us_core_reqs[[#This Row],[URL*]],"/",-1),".")</f>
        <v>general-guidance</v>
      </c>
      <c r="S605" t="str">
        <f>_xlfn.TEXTAFTER(us_core_reqs[[#This Row],[URL*]],"#",-1)</f>
        <v>client-best-practices-for-search</v>
      </c>
      <c r="T605" t="str">
        <f>SUBSTITUTE(SUBSTITUTE(PROPER(SUBSTITUTE(us_core_reqs[[#This Row],[Page]], "-", " "))&amp;": "&amp;PROPER(SUBSTITUTE(us_core_reqs[[#This Row],[Section]], "-", " ")),"Us ","US "), "Uscdi", "USCDI")</f>
        <v>General Guidance: Client Best Practices For Search</v>
      </c>
      <c r="U605" t="s">
        <v>1171</v>
      </c>
      <c r="V605" t="s">
        <v>1171</v>
      </c>
      <c r="W605" t="s">
        <v>1171</v>
      </c>
      <c r="X605" t="s">
        <v>1171</v>
      </c>
      <c r="Y605" t="s">
        <v>1171</v>
      </c>
      <c r="Z605" t="s">
        <v>1171</v>
      </c>
      <c r="AA605" t="s">
        <v>1171</v>
      </c>
      <c r="AB605" t="s">
        <v>1171</v>
      </c>
      <c r="AC605" t="s">
        <v>1171</v>
      </c>
      <c r="AD605" t="s">
        <v>1171</v>
      </c>
    </row>
    <row r="606" spans="1:30" ht="51" x14ac:dyDescent="0.2">
      <c r="A606" t="s">
        <v>1171</v>
      </c>
      <c r="B606" t="s">
        <v>1778</v>
      </c>
      <c r="C606" t="str">
        <f>"CONF-"&amp;TEXT(us_core_reqs[[#This Row],[ID*]], "0000")</f>
        <v>CONF-0818</v>
      </c>
      <c r="D606" s="11" t="s">
        <v>627</v>
      </c>
      <c r="E606" t="str">
        <f>SUBSTITUTE(us_core_reqs[[#This Row],[URL*]], "https://hl7.org/fhir/us/core/STU8/","")</f>
        <v>clinical-notes.html#clinical-notes</v>
      </c>
      <c r="F606" s="11" t="s">
        <v>2201</v>
      </c>
      <c r="G606" t="s">
        <v>29</v>
      </c>
      <c r="I606" t="s">
        <v>30</v>
      </c>
      <c r="J606" t="s">
        <v>1171</v>
      </c>
      <c r="K606" t="s">
        <v>1171</v>
      </c>
      <c r="L606" t="s">
        <v>1173</v>
      </c>
      <c r="M606" t="s">
        <v>1171</v>
      </c>
      <c r="N606" t="s">
        <v>1171</v>
      </c>
      <c r="O606" t="s">
        <v>1171</v>
      </c>
      <c r="P606" t="s">
        <v>1171</v>
      </c>
      <c r="Q606" t="s">
        <v>1171</v>
      </c>
      <c r="R606" t="str">
        <f>_xlfn.TEXTBEFORE(_xlfn.TEXTAFTER(us_core_reqs[[#This Row],[URL*]],"/",-1),".")</f>
        <v>clinical-notes</v>
      </c>
      <c r="S606" t="str">
        <f>_xlfn.TEXTAFTER(us_core_reqs[[#This Row],[URL*]],"#",-1)</f>
        <v>clinical-notes</v>
      </c>
      <c r="T606" t="str">
        <f>SUBSTITUTE(SUBSTITUTE(PROPER(SUBSTITUTE(us_core_reqs[[#This Row],[Page]], "-", " "))&amp;": "&amp;PROPER(SUBSTITUTE(us_core_reqs[[#This Row],[Section]], "-", " ")),"Us ","US "), "Uscdi", "USCDI")</f>
        <v>Clinical Notes: Clinical Notes</v>
      </c>
      <c r="U606" t="s">
        <v>1171</v>
      </c>
      <c r="V606" t="s">
        <v>1171</v>
      </c>
      <c r="W606" t="s">
        <v>1171</v>
      </c>
      <c r="X606" t="s">
        <v>1171</v>
      </c>
      <c r="Y606" t="s">
        <v>1171</v>
      </c>
      <c r="Z606" t="s">
        <v>1171</v>
      </c>
      <c r="AA606" t="s">
        <v>1171</v>
      </c>
      <c r="AB606" t="s">
        <v>1171</v>
      </c>
      <c r="AC606" t="s">
        <v>1140</v>
      </c>
      <c r="AD606" t="s">
        <v>1140</v>
      </c>
    </row>
    <row r="607" spans="1:30" ht="68" x14ac:dyDescent="0.2">
      <c r="A607" t="s">
        <v>1171</v>
      </c>
      <c r="B607" t="s">
        <v>1779</v>
      </c>
      <c r="C607" t="str">
        <f>"CONF-"&amp;TEXT(us_core_reqs[[#This Row],[ID*]], "0000")</f>
        <v>CONF-0819</v>
      </c>
      <c r="D607" s="11" t="s">
        <v>627</v>
      </c>
      <c r="E607" t="str">
        <f>SUBSTITUTE(us_core_reqs[[#This Row],[URL*]], "https://hl7.org/fhir/us/core/STU8/","")</f>
        <v>clinical-notes.html#clinical-notes</v>
      </c>
      <c r="F607" s="11" t="s">
        <v>2202</v>
      </c>
      <c r="G607" t="s">
        <v>29</v>
      </c>
      <c r="I607" t="s">
        <v>30</v>
      </c>
      <c r="J607" t="s">
        <v>1171</v>
      </c>
      <c r="K607" t="s">
        <v>1171</v>
      </c>
      <c r="L607" t="s">
        <v>1173</v>
      </c>
      <c r="M607" t="s">
        <v>1171</v>
      </c>
      <c r="N607" t="s">
        <v>1171</v>
      </c>
      <c r="O607" t="s">
        <v>1171</v>
      </c>
      <c r="P607" t="s">
        <v>1171</v>
      </c>
      <c r="Q607" t="s">
        <v>1171</v>
      </c>
      <c r="R607" t="str">
        <f>_xlfn.TEXTBEFORE(_xlfn.TEXTAFTER(us_core_reqs[[#This Row],[URL*]],"/",-1),".")</f>
        <v>clinical-notes</v>
      </c>
      <c r="S607" t="str">
        <f>_xlfn.TEXTAFTER(us_core_reqs[[#This Row],[URL*]],"#",-1)</f>
        <v>clinical-notes</v>
      </c>
      <c r="T607" t="str">
        <f>SUBSTITUTE(SUBSTITUTE(PROPER(SUBSTITUTE(us_core_reqs[[#This Row],[Page]], "-", " "))&amp;": "&amp;PROPER(SUBSTITUTE(us_core_reqs[[#This Row],[Section]], "-", " ")),"Us ","US "), "Uscdi", "USCDI")</f>
        <v>Clinical Notes: Clinical Notes</v>
      </c>
      <c r="U607" t="s">
        <v>1171</v>
      </c>
      <c r="V607" t="s">
        <v>1171</v>
      </c>
      <c r="W607" t="s">
        <v>1171</v>
      </c>
      <c r="X607" t="s">
        <v>1171</v>
      </c>
      <c r="Y607" t="s">
        <v>1171</v>
      </c>
      <c r="Z607" t="s">
        <v>1171</v>
      </c>
      <c r="AA607" t="s">
        <v>1171</v>
      </c>
      <c r="AB607" t="s">
        <v>1171</v>
      </c>
      <c r="AC607" t="s">
        <v>1140</v>
      </c>
      <c r="AD607" t="s">
        <v>1140</v>
      </c>
    </row>
    <row r="608" spans="1:30" ht="51" x14ac:dyDescent="0.2">
      <c r="A608" t="s">
        <v>1171</v>
      </c>
      <c r="B608" t="s">
        <v>1780</v>
      </c>
      <c r="C608" t="str">
        <f>"CONF-"&amp;TEXT(us_core_reqs[[#This Row],[ID*]], "0000")</f>
        <v>CONF-0820</v>
      </c>
      <c r="D608" s="11" t="s">
        <v>631</v>
      </c>
      <c r="E608" t="str">
        <f>SUBSTITUTE(us_core_reqs[[#This Row],[URL*]], "https://hl7.org/fhir/us/core/STU8/","")</f>
        <v>screening-and-assessments.html#structured-screening-and-assessments</v>
      </c>
      <c r="F608" s="11" t="s">
        <v>735</v>
      </c>
      <c r="G608" t="s">
        <v>29</v>
      </c>
      <c r="I608" t="s">
        <v>30</v>
      </c>
      <c r="J608" t="s">
        <v>1171</v>
      </c>
      <c r="K608" t="s">
        <v>1171</v>
      </c>
      <c r="L608" t="s">
        <v>1176</v>
      </c>
      <c r="M608" t="s">
        <v>1111</v>
      </c>
      <c r="N608" t="s">
        <v>1171</v>
      </c>
      <c r="O608" t="s">
        <v>1171</v>
      </c>
      <c r="P608" t="s">
        <v>1171</v>
      </c>
      <c r="Q608" t="s">
        <v>1171</v>
      </c>
      <c r="R608" t="str">
        <f>_xlfn.TEXTBEFORE(_xlfn.TEXTAFTER(us_core_reqs[[#This Row],[URL*]],"/",-1),".")</f>
        <v>screening-and-assessments</v>
      </c>
      <c r="S608" t="str">
        <f>_xlfn.TEXTAFTER(us_core_reqs[[#This Row],[URL*]],"#",-1)</f>
        <v>structured-screening-and-assessments</v>
      </c>
      <c r="T608" t="str">
        <f>SUBSTITUTE(SUBSTITUTE(PROPER(SUBSTITUTE(us_core_reqs[[#This Row],[Page]], "-", " "))&amp;": "&amp;PROPER(SUBSTITUTE(us_core_reqs[[#This Row],[Section]], "-", " ")),"Us ","US "), "Uscdi", "USCDI")</f>
        <v>Screening And Assessments: Structured Screening And Assessments</v>
      </c>
      <c r="U608" t="s">
        <v>1171</v>
      </c>
      <c r="V608" t="s">
        <v>1171</v>
      </c>
      <c r="W608" t="s">
        <v>1171</v>
      </c>
      <c r="X608" t="s">
        <v>1171</v>
      </c>
      <c r="Y608" t="s">
        <v>1171</v>
      </c>
      <c r="Z608" t="s">
        <v>1171</v>
      </c>
      <c r="AA608" t="s">
        <v>1171</v>
      </c>
      <c r="AB608" t="s">
        <v>1171</v>
      </c>
      <c r="AC608" t="s">
        <v>1140</v>
      </c>
      <c r="AD608" t="s">
        <v>1154</v>
      </c>
    </row>
    <row r="609" spans="1:30" ht="51" x14ac:dyDescent="0.2">
      <c r="A609" t="s">
        <v>1171</v>
      </c>
      <c r="B609" t="s">
        <v>1781</v>
      </c>
      <c r="C609" t="str">
        <f>"CONF-"&amp;TEXT(us_core_reqs[[#This Row],[ID*]], "0000")</f>
        <v>CONF-0821</v>
      </c>
      <c r="D609" s="11" t="s">
        <v>631</v>
      </c>
      <c r="E609" t="str">
        <f>SUBSTITUTE(us_core_reqs[[#This Row],[URL*]], "https://hl7.org/fhir/us/core/STU8/","")</f>
        <v>screening-and-assessments.html#structured-screening-and-assessments</v>
      </c>
      <c r="F609" s="11" t="s">
        <v>736</v>
      </c>
      <c r="G609" t="s">
        <v>32</v>
      </c>
      <c r="I609" t="s">
        <v>30</v>
      </c>
      <c r="J609" t="s">
        <v>1171</v>
      </c>
      <c r="K609" t="s">
        <v>1171</v>
      </c>
      <c r="L609" t="s">
        <v>1176</v>
      </c>
      <c r="M609" t="s">
        <v>1111</v>
      </c>
      <c r="N609" t="s">
        <v>1171</v>
      </c>
      <c r="O609" t="s">
        <v>1171</v>
      </c>
      <c r="P609" t="s">
        <v>1171</v>
      </c>
      <c r="Q609" t="s">
        <v>1171</v>
      </c>
      <c r="R609" t="str">
        <f>_xlfn.TEXTBEFORE(_xlfn.TEXTAFTER(us_core_reqs[[#This Row],[URL*]],"/",-1),".")</f>
        <v>screening-and-assessments</v>
      </c>
      <c r="S609" t="str">
        <f>_xlfn.TEXTAFTER(us_core_reqs[[#This Row],[URL*]],"#",-1)</f>
        <v>structured-screening-and-assessments</v>
      </c>
      <c r="T609" t="str">
        <f>SUBSTITUTE(SUBSTITUTE(PROPER(SUBSTITUTE(us_core_reqs[[#This Row],[Page]], "-", " "))&amp;": "&amp;PROPER(SUBSTITUTE(us_core_reqs[[#This Row],[Section]], "-", " ")),"Us ","US "), "Uscdi", "USCDI")</f>
        <v>Screening And Assessments: Structured Screening And Assessments</v>
      </c>
      <c r="U609" t="s">
        <v>1171</v>
      </c>
      <c r="V609" t="s">
        <v>1171</v>
      </c>
      <c r="W609" t="s">
        <v>1171</v>
      </c>
      <c r="X609" t="s">
        <v>1171</v>
      </c>
      <c r="Y609" t="s">
        <v>1171</v>
      </c>
      <c r="Z609" t="s">
        <v>1171</v>
      </c>
      <c r="AA609" t="s">
        <v>1171</v>
      </c>
      <c r="AB609" t="s">
        <v>1171</v>
      </c>
      <c r="AC609" t="s">
        <v>1171</v>
      </c>
      <c r="AD609" t="s">
        <v>1171</v>
      </c>
    </row>
    <row r="610" spans="1:30" ht="68" x14ac:dyDescent="0.2">
      <c r="A610" t="s">
        <v>1171</v>
      </c>
      <c r="B610" t="s">
        <v>1782</v>
      </c>
      <c r="C610" t="str">
        <f>"CONF-"&amp;TEXT(us_core_reqs[[#This Row],[ID*]], "0000")</f>
        <v>CONF-0822</v>
      </c>
      <c r="D610" s="11" t="s">
        <v>632</v>
      </c>
      <c r="E610" t="str">
        <f>SUBSTITUTE(us_core_reqs[[#This Row],[URL*]], "https://hl7.org/fhir/us/core/STU8/","")</f>
        <v>screening-and-assessments.html#category-codes</v>
      </c>
      <c r="F610" s="11" t="s">
        <v>739</v>
      </c>
      <c r="G610" t="s">
        <v>29</v>
      </c>
      <c r="I610" t="s">
        <v>30</v>
      </c>
      <c r="J610" t="s">
        <v>1171</v>
      </c>
      <c r="K610" t="s">
        <v>1171</v>
      </c>
      <c r="L610" t="s">
        <v>1173</v>
      </c>
      <c r="M610" t="s">
        <v>1171</v>
      </c>
      <c r="N610" t="s">
        <v>1171</v>
      </c>
      <c r="O610" t="s">
        <v>1171</v>
      </c>
      <c r="P610" t="s">
        <v>1171</v>
      </c>
      <c r="Q610" t="s">
        <v>1171</v>
      </c>
      <c r="R610" t="str">
        <f>_xlfn.TEXTBEFORE(_xlfn.TEXTAFTER(us_core_reqs[[#This Row],[URL*]],"/",-1),".")</f>
        <v>screening-and-assessments</v>
      </c>
      <c r="S610" t="str">
        <f>_xlfn.TEXTAFTER(us_core_reqs[[#This Row],[URL*]],"#",-1)</f>
        <v>category-codes</v>
      </c>
      <c r="T610" t="str">
        <f>SUBSTITUTE(SUBSTITUTE(PROPER(SUBSTITUTE(us_core_reqs[[#This Row],[Page]], "-", " "))&amp;": "&amp;PROPER(SUBSTITUTE(us_core_reqs[[#This Row],[Section]], "-", " ")),"Us ","US "), "Uscdi", "USCDI")</f>
        <v>Screening And Assessments: Category Codes</v>
      </c>
      <c r="U610" t="s">
        <v>1171</v>
      </c>
      <c r="V610" t="s">
        <v>1171</v>
      </c>
      <c r="W610" t="s">
        <v>1171</v>
      </c>
      <c r="X610" t="s">
        <v>1171</v>
      </c>
      <c r="Y610" t="s">
        <v>1171</v>
      </c>
      <c r="Z610" t="s">
        <v>1171</v>
      </c>
      <c r="AA610" t="s">
        <v>1171</v>
      </c>
      <c r="AB610" t="s">
        <v>1171</v>
      </c>
      <c r="AC610" t="s">
        <v>1140</v>
      </c>
      <c r="AD610" t="s">
        <v>1140</v>
      </c>
    </row>
    <row r="611" spans="1:30" ht="68" x14ac:dyDescent="0.2">
      <c r="A611" t="s">
        <v>1171</v>
      </c>
      <c r="B611" t="s">
        <v>1783</v>
      </c>
      <c r="C611" t="str">
        <f>"CONF-"&amp;TEXT(us_core_reqs[[#This Row],[ID*]], "0000")</f>
        <v>CONF-0823</v>
      </c>
      <c r="D611" s="11" t="s">
        <v>632</v>
      </c>
      <c r="E611" t="str">
        <f>SUBSTITUTE(us_core_reqs[[#This Row],[URL*]], "https://hl7.org/fhir/us/core/STU8/","")</f>
        <v>screening-and-assessments.html#category-codes</v>
      </c>
      <c r="F611" s="11" t="s">
        <v>740</v>
      </c>
      <c r="G611" t="s">
        <v>29</v>
      </c>
      <c r="I611" t="s">
        <v>30</v>
      </c>
      <c r="J611" t="s">
        <v>1171</v>
      </c>
      <c r="K611" t="s">
        <v>1171</v>
      </c>
      <c r="L611" t="s">
        <v>1173</v>
      </c>
      <c r="M611" t="s">
        <v>1171</v>
      </c>
      <c r="N611" t="s">
        <v>1171</v>
      </c>
      <c r="O611" t="s">
        <v>1171</v>
      </c>
      <c r="P611" t="s">
        <v>1171</v>
      </c>
      <c r="Q611" t="s">
        <v>1171</v>
      </c>
      <c r="R611" t="str">
        <f>_xlfn.TEXTBEFORE(_xlfn.TEXTAFTER(us_core_reqs[[#This Row],[URL*]],"/",-1),".")</f>
        <v>screening-and-assessments</v>
      </c>
      <c r="S611" t="str">
        <f>_xlfn.TEXTAFTER(us_core_reqs[[#This Row],[URL*]],"#",-1)</f>
        <v>category-codes</v>
      </c>
      <c r="T611" t="str">
        <f>SUBSTITUTE(SUBSTITUTE(PROPER(SUBSTITUTE(us_core_reqs[[#This Row],[Page]], "-", " "))&amp;": "&amp;PROPER(SUBSTITUTE(us_core_reqs[[#This Row],[Section]], "-", " ")),"Us ","US "), "Uscdi", "USCDI")</f>
        <v>Screening And Assessments: Category Codes</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1784</v>
      </c>
      <c r="C612" t="str">
        <f>"CONF-"&amp;TEXT(us_core_reqs[[#This Row],[ID*]], "0000")</f>
        <v>CONF-0824</v>
      </c>
      <c r="D612" s="11" t="s">
        <v>632</v>
      </c>
      <c r="E612" t="str">
        <f>SUBSTITUTE(us_core_reqs[[#This Row],[URL*]], "https://hl7.org/fhir/us/core/STU8/","")</f>
        <v>screening-and-assessments.html#category-codes</v>
      </c>
      <c r="F612" s="11" t="s">
        <v>741</v>
      </c>
      <c r="G612" t="s">
        <v>29</v>
      </c>
      <c r="I612" t="s">
        <v>30</v>
      </c>
      <c r="J612" t="s">
        <v>1171</v>
      </c>
      <c r="K612" t="s">
        <v>1171</v>
      </c>
      <c r="L612" t="s">
        <v>1173</v>
      </c>
      <c r="M612" t="s">
        <v>1171</v>
      </c>
      <c r="N612" t="s">
        <v>1171</v>
      </c>
      <c r="O612" t="s">
        <v>1171</v>
      </c>
      <c r="P612" t="s">
        <v>1171</v>
      </c>
      <c r="Q612" t="s">
        <v>1171</v>
      </c>
      <c r="R612" t="str">
        <f>_xlfn.TEXTBEFORE(_xlfn.TEXTAFTER(us_core_reqs[[#This Row],[URL*]],"/",-1),".")</f>
        <v>screening-and-assessments</v>
      </c>
      <c r="S612" t="str">
        <f>_xlfn.TEXTAFTER(us_core_reqs[[#This Row],[URL*]],"#",-1)</f>
        <v>category-codes</v>
      </c>
      <c r="T612" t="str">
        <f>SUBSTITUTE(SUBSTITUTE(PROPER(SUBSTITUTE(us_core_reqs[[#This Row],[Page]], "-", " "))&amp;": "&amp;PROPER(SUBSTITUTE(us_core_reqs[[#This Row],[Section]], "-", " ")),"Us ","US "), "Uscdi", "USCDI")</f>
        <v>Screening And Assessments: Category Codes</v>
      </c>
      <c r="U612" t="s">
        <v>1171</v>
      </c>
      <c r="V612" t="s">
        <v>1171</v>
      </c>
      <c r="W612" t="s">
        <v>1171</v>
      </c>
      <c r="X612" t="s">
        <v>1171</v>
      </c>
      <c r="Y612" t="s">
        <v>1171</v>
      </c>
      <c r="Z612" t="s">
        <v>1171</v>
      </c>
      <c r="AA612" t="s">
        <v>1171</v>
      </c>
      <c r="AB612" t="s">
        <v>1171</v>
      </c>
      <c r="AC612" t="s">
        <v>1140</v>
      </c>
      <c r="AD612" t="s">
        <v>1140</v>
      </c>
    </row>
    <row r="613" spans="1:30" ht="68" x14ac:dyDescent="0.2">
      <c r="A613" t="s">
        <v>1171</v>
      </c>
      <c r="B613" t="s">
        <v>1785</v>
      </c>
      <c r="C613" t="str">
        <f>"CONF-"&amp;TEXT(us_core_reqs[[#This Row],[ID*]], "0000")</f>
        <v>CONF-0825</v>
      </c>
      <c r="D613" s="11" t="s">
        <v>632</v>
      </c>
      <c r="E613" t="str">
        <f>SUBSTITUTE(us_core_reqs[[#This Row],[URL*]], "https://hl7.org/fhir/us/core/STU8/","")</f>
        <v>screening-and-assessments.html#category-codes</v>
      </c>
      <c r="F613" s="11" t="s">
        <v>742</v>
      </c>
      <c r="G613" t="s">
        <v>32</v>
      </c>
      <c r="I613" t="s">
        <v>30</v>
      </c>
      <c r="J613" t="s">
        <v>1171</v>
      </c>
      <c r="K613" t="s">
        <v>1171</v>
      </c>
      <c r="L613" t="s">
        <v>1173</v>
      </c>
      <c r="M613" t="s">
        <v>1171</v>
      </c>
      <c r="N613" t="s">
        <v>1171</v>
      </c>
      <c r="O613" t="s">
        <v>1171</v>
      </c>
      <c r="P613" t="s">
        <v>1171</v>
      </c>
      <c r="Q613" t="s">
        <v>1171</v>
      </c>
      <c r="R613" t="str">
        <f>_xlfn.TEXTBEFORE(_xlfn.TEXTAFTER(us_core_reqs[[#This Row],[URL*]],"/",-1),".")</f>
        <v>screening-and-assessments</v>
      </c>
      <c r="S613" t="str">
        <f>_xlfn.TEXTAFTER(us_core_reqs[[#This Row],[URL*]],"#",-1)</f>
        <v>category-codes</v>
      </c>
      <c r="T613" t="str">
        <f>SUBSTITUTE(SUBSTITUTE(PROPER(SUBSTITUTE(us_core_reqs[[#This Row],[Page]], "-", " "))&amp;": "&amp;PROPER(SUBSTITUTE(us_core_reqs[[#This Row],[Section]], "-", " ")),"Us ","US "), "Uscdi", "USCDI")</f>
        <v>Screening And Assessments: Category Codes</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1786</v>
      </c>
      <c r="C614" t="str">
        <f>"CONF-"&amp;TEXT(us_core_reqs[[#This Row],[ID*]], "0000")</f>
        <v>CONF-0826</v>
      </c>
      <c r="D614" s="11" t="s">
        <v>632</v>
      </c>
      <c r="E614" t="str">
        <f>SUBSTITUTE(us_core_reqs[[#This Row],[URL*]], "https://hl7.org/fhir/us/core/STU8/","")</f>
        <v>screening-and-assessments.html#category-codes</v>
      </c>
      <c r="F614" s="11" t="s">
        <v>2038</v>
      </c>
      <c r="G614" t="s">
        <v>32</v>
      </c>
      <c r="I614" t="s">
        <v>30</v>
      </c>
      <c r="J614" t="s">
        <v>1171</v>
      </c>
      <c r="K614" t="s">
        <v>1171</v>
      </c>
      <c r="L614" t="s">
        <v>1173</v>
      </c>
      <c r="M614" t="s">
        <v>1171</v>
      </c>
      <c r="N614" t="s">
        <v>1171</v>
      </c>
      <c r="O614" t="s">
        <v>1171</v>
      </c>
      <c r="P614" t="s">
        <v>1171</v>
      </c>
      <c r="Q614" t="s">
        <v>1171</v>
      </c>
      <c r="R614" t="str">
        <f>_xlfn.TEXTBEFORE(_xlfn.TEXTAFTER(us_core_reqs[[#This Row],[URL*]],"/",-1),".")</f>
        <v>screening-and-assessments</v>
      </c>
      <c r="S614" t="str">
        <f>_xlfn.TEXTAFTER(us_core_reqs[[#This Row],[URL*]],"#",-1)</f>
        <v>category-codes</v>
      </c>
      <c r="T614" t="str">
        <f>SUBSTITUTE(SUBSTITUTE(PROPER(SUBSTITUTE(us_core_reqs[[#This Row],[Page]], "-", " "))&amp;": "&amp;PROPER(SUBSTITUTE(us_core_reqs[[#This Row],[Section]], "-", " ")),"Us ","US "), "Uscdi", "USCDI")</f>
        <v>Screening And Assessments: Category Codes</v>
      </c>
      <c r="U614" t="s">
        <v>1171</v>
      </c>
      <c r="V614" t="s">
        <v>1171</v>
      </c>
      <c r="W614" t="s">
        <v>1171</v>
      </c>
      <c r="X614" t="s">
        <v>1171</v>
      </c>
      <c r="Y614" t="s">
        <v>1171</v>
      </c>
      <c r="Z614" t="s">
        <v>1171</v>
      </c>
      <c r="AA614" t="s">
        <v>1171</v>
      </c>
      <c r="AB614" t="s">
        <v>1171</v>
      </c>
      <c r="AC614" t="s">
        <v>1171</v>
      </c>
      <c r="AD614" t="s">
        <v>1171</v>
      </c>
    </row>
    <row r="615" spans="1:30" ht="68" x14ac:dyDescent="0.2">
      <c r="A615" t="s">
        <v>1171</v>
      </c>
      <c r="B615" t="s">
        <v>1787</v>
      </c>
      <c r="C615" t="str">
        <f>"CONF-"&amp;TEXT(us_core_reqs[[#This Row],[ID*]], "0000")</f>
        <v>CONF-0827</v>
      </c>
      <c r="D615" s="11" t="s">
        <v>1083</v>
      </c>
      <c r="E615" t="str">
        <f>SUBSTITUTE(us_core_reqs[[#This Row],[URL*]], "https://hl7.org/fhir/us/core/STU8/","")</f>
        <v>CapabilityStatement-us-core-Client.html#behavior, CapabilityStatement-us-core-Server.html#behavior</v>
      </c>
      <c r="F615" s="11" t="s">
        <v>2051</v>
      </c>
      <c r="G615" t="s">
        <v>1833</v>
      </c>
      <c r="I615" t="s">
        <v>30</v>
      </c>
      <c r="J615" t="s">
        <v>1171</v>
      </c>
      <c r="K615" t="s">
        <v>1171</v>
      </c>
      <c r="L615" t="s">
        <v>1173</v>
      </c>
      <c r="M615" t="s">
        <v>1171</v>
      </c>
      <c r="N615" t="s">
        <v>1171</v>
      </c>
      <c r="O615" t="s">
        <v>1171</v>
      </c>
      <c r="P615" t="s">
        <v>1171</v>
      </c>
      <c r="Q615" t="s">
        <v>1171</v>
      </c>
      <c r="R615" t="str">
        <f>_xlfn.TEXTBEFORE(_xlfn.TEXTAFTER(us_core_reqs[[#This Row],[URL*]],"/",-1),".")</f>
        <v>CapabilityStatement-us-core-Server</v>
      </c>
      <c r="S615" t="str">
        <f>_xlfn.TEXTAFTER(us_core_reqs[[#This Row],[URL*]],"#",-1)</f>
        <v>behavior</v>
      </c>
      <c r="T615" t="str">
        <f>SUBSTITUTE(SUBSTITUTE(PROPER(SUBSTITUTE(us_core_reqs[[#This Row],[Page]], "-", " "))&amp;": "&amp;PROPER(SUBSTITUTE(us_core_reqs[[#This Row],[Section]], "-", " ")),"Us ","US "), "Uscdi", "USCDI")</f>
        <v>Capabilitystatement US Core Server: Behavior</v>
      </c>
      <c r="U615" t="s">
        <v>1171</v>
      </c>
      <c r="V615" t="s">
        <v>1171</v>
      </c>
      <c r="W615" t="s">
        <v>1171</v>
      </c>
      <c r="X615" t="s">
        <v>1171</v>
      </c>
      <c r="Y615" t="s">
        <v>1171</v>
      </c>
      <c r="Z615" t="s">
        <v>1171</v>
      </c>
      <c r="AA615" t="s">
        <v>1171</v>
      </c>
      <c r="AB615" t="s">
        <v>1171</v>
      </c>
      <c r="AC615" t="s">
        <v>1141</v>
      </c>
      <c r="AD615" t="s">
        <v>1141</v>
      </c>
    </row>
    <row r="616" spans="1:30" ht="68" x14ac:dyDescent="0.2">
      <c r="A616" t="s">
        <v>1171</v>
      </c>
      <c r="B616" t="s">
        <v>1788</v>
      </c>
      <c r="C616" t="str">
        <f>"CONF-"&amp;TEXT(us_core_reqs[[#This Row],[ID*]], "0000")</f>
        <v>CONF-0828</v>
      </c>
      <c r="D616" s="11" t="s">
        <v>1083</v>
      </c>
      <c r="E616" t="str">
        <f>SUBSTITUTE(us_core_reqs[[#This Row],[URL*]], "https://hl7.org/fhir/us/core/STU8/","")</f>
        <v>CapabilityStatement-us-core-Client.html#behavior, CapabilityStatement-us-core-Server.html#behavior</v>
      </c>
      <c r="F616" s="11" t="s">
        <v>748</v>
      </c>
      <c r="G616" t="s">
        <v>32</v>
      </c>
      <c r="I616" t="s">
        <v>30</v>
      </c>
      <c r="J616" t="s">
        <v>1171</v>
      </c>
      <c r="K616" t="s">
        <v>1171</v>
      </c>
      <c r="L616" t="s">
        <v>1173</v>
      </c>
      <c r="M616" t="s">
        <v>1171</v>
      </c>
      <c r="N616" t="s">
        <v>1171</v>
      </c>
      <c r="O616" t="s">
        <v>1171</v>
      </c>
      <c r="P616" t="s">
        <v>1171</v>
      </c>
      <c r="Q616" t="s">
        <v>1171</v>
      </c>
      <c r="R616" t="str">
        <f>_xlfn.TEXTBEFORE(_xlfn.TEXTAFTER(us_core_reqs[[#This Row],[URL*]],"/",-1),".")</f>
        <v>CapabilityStatement-us-core-Server</v>
      </c>
      <c r="S616" t="str">
        <f>_xlfn.TEXTAFTER(us_core_reqs[[#This Row],[URL*]],"#",-1)</f>
        <v>behavior</v>
      </c>
      <c r="T616" t="str">
        <f>SUBSTITUTE(SUBSTITUTE(PROPER(SUBSTITUTE(us_core_reqs[[#This Row],[Page]], "-", " "))&amp;": "&amp;PROPER(SUBSTITUTE(us_core_reqs[[#This Row],[Section]], "-", " ")),"Us ","US "), "Uscdi", "USCDI")</f>
        <v>Capabilitystatement US Core Server: Behavior</v>
      </c>
      <c r="U616" t="s">
        <v>1171</v>
      </c>
      <c r="V616" t="s">
        <v>1171</v>
      </c>
      <c r="W616" t="s">
        <v>1171</v>
      </c>
      <c r="X616" t="s">
        <v>1171</v>
      </c>
      <c r="Y616" t="s">
        <v>1171</v>
      </c>
      <c r="Z616" t="s">
        <v>1171</v>
      </c>
      <c r="AA616" t="s">
        <v>1171</v>
      </c>
      <c r="AB616" t="s">
        <v>1171</v>
      </c>
      <c r="AC616" t="s">
        <v>1171</v>
      </c>
      <c r="AD616" t="s">
        <v>1171</v>
      </c>
    </row>
    <row r="617" spans="1:30" ht="68" x14ac:dyDescent="0.2">
      <c r="A617" t="s">
        <v>1171</v>
      </c>
      <c r="B617" t="s">
        <v>1789</v>
      </c>
      <c r="C617" t="str">
        <f>"CONF-"&amp;TEXT(us_core_reqs[[#This Row],[ID*]], "0000")</f>
        <v>CONF-0829</v>
      </c>
      <c r="D617" s="11" t="s">
        <v>1083</v>
      </c>
      <c r="E617" t="str">
        <f>SUBSTITUTE(us_core_reqs[[#This Row],[URL*]], "https://hl7.org/fhir/us/core/STU8/","")</f>
        <v>CapabilityStatement-us-core-Client.html#behavior, CapabilityStatement-us-core-Server.html#behavior</v>
      </c>
      <c r="F617" s="11" t="s">
        <v>2051</v>
      </c>
      <c r="G617" t="s">
        <v>1833</v>
      </c>
      <c r="I617" t="s">
        <v>58</v>
      </c>
      <c r="J617" t="s">
        <v>1171</v>
      </c>
      <c r="K617" t="s">
        <v>1171</v>
      </c>
      <c r="L617" t="s">
        <v>1173</v>
      </c>
      <c r="M617" t="s">
        <v>1171</v>
      </c>
      <c r="N617" t="s">
        <v>1171</v>
      </c>
      <c r="O617" t="s">
        <v>1171</v>
      </c>
      <c r="P617" t="s">
        <v>1171</v>
      </c>
      <c r="Q617" t="s">
        <v>1171</v>
      </c>
      <c r="R617" t="str">
        <f>_xlfn.TEXTBEFORE(_xlfn.TEXTAFTER(us_core_reqs[[#This Row],[URL*]],"/",-1),".")</f>
        <v>CapabilityStatement-us-core-Server</v>
      </c>
      <c r="S617" t="str">
        <f>_xlfn.TEXTAFTER(us_core_reqs[[#This Row],[URL*]],"#",-1)</f>
        <v>behavior</v>
      </c>
      <c r="T617" t="str">
        <f>SUBSTITUTE(SUBSTITUTE(PROPER(SUBSTITUTE(us_core_reqs[[#This Row],[Page]], "-", " "))&amp;": "&amp;PROPER(SUBSTITUTE(us_core_reqs[[#This Row],[Section]], "-", " ")),"Us ","US "), "Uscdi", "USCDI")</f>
        <v>Capabilitystatement US Core Server: Behavior</v>
      </c>
      <c r="U617" t="s">
        <v>1171</v>
      </c>
      <c r="V617" t="s">
        <v>1171</v>
      </c>
      <c r="W617" t="s">
        <v>1171</v>
      </c>
      <c r="X617" t="s">
        <v>1171</v>
      </c>
      <c r="Y617" t="s">
        <v>1171</v>
      </c>
      <c r="Z617" t="s">
        <v>1171</v>
      </c>
      <c r="AA617" t="s">
        <v>1171</v>
      </c>
      <c r="AB617" t="s">
        <v>1171</v>
      </c>
      <c r="AC617" t="s">
        <v>1171</v>
      </c>
      <c r="AD617" t="s">
        <v>1171</v>
      </c>
    </row>
    <row r="618" spans="1:30" ht="68" x14ac:dyDescent="0.2">
      <c r="A618" t="s">
        <v>1171</v>
      </c>
      <c r="B618" t="s">
        <v>1790</v>
      </c>
      <c r="C618" t="str">
        <f>"CONF-"&amp;TEXT(us_core_reqs[[#This Row],[ID*]], "0000")</f>
        <v>CONF-0830</v>
      </c>
      <c r="D618" s="11" t="s">
        <v>1083</v>
      </c>
      <c r="E618" t="str">
        <f>SUBSTITUTE(us_core_reqs[[#This Row],[URL*]], "https://hl7.org/fhir/us/core/STU8/","")</f>
        <v>CapabilityStatement-us-core-Client.html#behavior, CapabilityStatement-us-core-Server.html#behavior</v>
      </c>
      <c r="F618" s="11" t="s">
        <v>749</v>
      </c>
      <c r="G618" t="s">
        <v>32</v>
      </c>
      <c r="I618" t="s">
        <v>58</v>
      </c>
      <c r="J618" t="s">
        <v>1171</v>
      </c>
      <c r="K618" t="s">
        <v>1171</v>
      </c>
      <c r="L618" t="s">
        <v>1173</v>
      </c>
      <c r="M618" t="s">
        <v>1171</v>
      </c>
      <c r="N618" t="s">
        <v>1171</v>
      </c>
      <c r="O618" t="s">
        <v>1171</v>
      </c>
      <c r="P618" t="s">
        <v>1171</v>
      </c>
      <c r="Q618" t="s">
        <v>1171</v>
      </c>
      <c r="R618" t="str">
        <f>_xlfn.TEXTBEFORE(_xlfn.TEXTAFTER(us_core_reqs[[#This Row],[URL*]],"/",-1),".")</f>
        <v>CapabilityStatement-us-core-Server</v>
      </c>
      <c r="S618" t="str">
        <f>_xlfn.TEXTAFTER(us_core_reqs[[#This Row],[URL*]],"#",-1)</f>
        <v>behavior</v>
      </c>
      <c r="T618" t="str">
        <f>SUBSTITUTE(SUBSTITUTE(PROPER(SUBSTITUTE(us_core_reqs[[#This Row],[Page]], "-", " "))&amp;": "&amp;PROPER(SUBSTITUTE(us_core_reqs[[#This Row],[Section]], "-", " ")),"Us ","US "), "Uscdi", "USCDI")</f>
        <v>Capabilitystatement US Core Server: Behavior</v>
      </c>
      <c r="U618" t="s">
        <v>1171</v>
      </c>
      <c r="V618" t="s">
        <v>1171</v>
      </c>
      <c r="W618" t="s">
        <v>1171</v>
      </c>
      <c r="X618" t="s">
        <v>1171</v>
      </c>
      <c r="Y618" t="s">
        <v>1171</v>
      </c>
      <c r="Z618" t="s">
        <v>1171</v>
      </c>
      <c r="AA618" t="s">
        <v>1171</v>
      </c>
      <c r="AB618" t="s">
        <v>1171</v>
      </c>
      <c r="AC618" t="s">
        <v>1171</v>
      </c>
      <c r="AD618" t="s">
        <v>1171</v>
      </c>
    </row>
    <row r="619" spans="1:30" ht="51" x14ac:dyDescent="0.2">
      <c r="A619" t="s">
        <v>1171</v>
      </c>
      <c r="B619" t="s">
        <v>1791</v>
      </c>
      <c r="C619" t="str">
        <f>"CONF-"&amp;TEXT(us_core_reqs[[#This Row],[ID*]], "0000")</f>
        <v>CONF-0831</v>
      </c>
      <c r="D619" s="11" t="s">
        <v>638</v>
      </c>
      <c r="E619" t="str">
        <f>SUBSTITUTE(us_core_reqs[[#This Row],[URL*]], "https://hl7.org/fhir/us/core/STU8/","")</f>
        <v>StructureDefinition-us-core-condition-problems-health-concerns.html#mandatory-and-must-support-data-elements</v>
      </c>
      <c r="F619" s="11" t="s">
        <v>753</v>
      </c>
      <c r="G619" t="s">
        <v>29</v>
      </c>
      <c r="H619" t="s">
        <v>2073</v>
      </c>
      <c r="I619" t="s">
        <v>30</v>
      </c>
      <c r="J619" t="s">
        <v>1171</v>
      </c>
      <c r="K619" t="s">
        <v>1171</v>
      </c>
      <c r="L619" t="s">
        <v>1173</v>
      </c>
      <c r="M619" t="s">
        <v>1171</v>
      </c>
      <c r="N619" t="s">
        <v>1171</v>
      </c>
      <c r="O619" t="s">
        <v>1171</v>
      </c>
      <c r="P619" t="s">
        <v>1171</v>
      </c>
      <c r="Q619" t="s">
        <v>1171</v>
      </c>
      <c r="R619" t="str">
        <f>_xlfn.TEXTBEFORE(_xlfn.TEXTAFTER(us_core_reqs[[#This Row],[URL*]],"/",-1),".")</f>
        <v>StructureDefinition-us-core-condition-problems-health-concerns</v>
      </c>
      <c r="S619" t="str">
        <f>_xlfn.TEXTAFTER(us_core_reqs[[#This Row],[URL*]],"#",-1)</f>
        <v>mandatory-and-must-support-data-elements</v>
      </c>
      <c r="T619" t="str">
        <f>SUBSTITUTE(SUBSTITUTE(PROPER(SUBSTITUTE(us_core_reqs[[#This Row],[Page]], "-", " "))&amp;": "&amp;PROPER(SUBSTITUTE(us_core_reqs[[#This Row],[Section]], "-", " ")),"Us ","US "), "Uscdi", "USCDI")</f>
        <v>Structuredefinition US Core Condition Problems Health Concerns: Mandatory And Must Support Data Elements</v>
      </c>
      <c r="U619" t="s">
        <v>1171</v>
      </c>
      <c r="V619" t="s">
        <v>1171</v>
      </c>
      <c r="W619" t="s">
        <v>1171</v>
      </c>
      <c r="X619" t="s">
        <v>1171</v>
      </c>
      <c r="Y619" t="s">
        <v>1171</v>
      </c>
      <c r="Z619" t="s">
        <v>1171</v>
      </c>
      <c r="AA619" t="s">
        <v>1171</v>
      </c>
      <c r="AB619" t="s">
        <v>1171</v>
      </c>
      <c r="AC619" t="s">
        <v>1140</v>
      </c>
      <c r="AD619" t="s">
        <v>1140</v>
      </c>
    </row>
    <row r="620" spans="1:30" ht="51" x14ac:dyDescent="0.2">
      <c r="A620" t="s">
        <v>1171</v>
      </c>
      <c r="B620" t="s">
        <v>1792</v>
      </c>
      <c r="C620" t="str">
        <f>"CONF-"&amp;TEXT(us_core_reqs[[#This Row],[ID*]], "0000")</f>
        <v>CONF-0832</v>
      </c>
      <c r="D620" s="11" t="s">
        <v>638</v>
      </c>
      <c r="E620" t="str">
        <f>SUBSTITUTE(us_core_reqs[[#This Row],[URL*]], "https://hl7.org/fhir/us/core/STU8/","")</f>
        <v>StructureDefinition-us-core-condition-problems-health-concerns.html#mandatory-and-must-support-data-elements</v>
      </c>
      <c r="F620" s="11" t="s">
        <v>754</v>
      </c>
      <c r="G620" t="s">
        <v>29</v>
      </c>
      <c r="H620" t="s">
        <v>2073</v>
      </c>
      <c r="I620" t="s">
        <v>30</v>
      </c>
      <c r="J620" t="s">
        <v>1171</v>
      </c>
      <c r="K620" t="s">
        <v>1171</v>
      </c>
      <c r="L620" t="s">
        <v>1173</v>
      </c>
      <c r="M620" t="s">
        <v>1171</v>
      </c>
      <c r="N620" t="s">
        <v>1171</v>
      </c>
      <c r="O620" t="s">
        <v>1171</v>
      </c>
      <c r="P620" t="s">
        <v>1171</v>
      </c>
      <c r="Q620" t="s">
        <v>1171</v>
      </c>
      <c r="R620" t="str">
        <f>_xlfn.TEXTBEFORE(_xlfn.TEXTAFTER(us_core_reqs[[#This Row],[URL*]],"/",-1),".")</f>
        <v>StructureDefinition-us-core-condition-problems-health-concerns</v>
      </c>
      <c r="S620" t="str">
        <f>_xlfn.TEXTAFTER(us_core_reqs[[#This Row],[URL*]],"#",-1)</f>
        <v>mandatory-and-must-support-data-elements</v>
      </c>
      <c r="T620" t="str">
        <f>SUBSTITUTE(SUBSTITUTE(PROPER(SUBSTITUTE(us_core_reqs[[#This Row],[Page]], "-", " "))&amp;": "&amp;PROPER(SUBSTITUTE(us_core_reqs[[#This Row],[Section]], "-", " ")),"Us ","US "), "Uscdi", "USCDI")</f>
        <v>Structuredefinition US Core Condition Problems Health Concerns: Mandatory And Must Support Data Elements</v>
      </c>
      <c r="U620" t="s">
        <v>1171</v>
      </c>
      <c r="V620" t="s">
        <v>1171</v>
      </c>
      <c r="W620" t="s">
        <v>1171</v>
      </c>
      <c r="X620" t="s">
        <v>1171</v>
      </c>
      <c r="Y620" t="s">
        <v>1171</v>
      </c>
      <c r="Z620" t="s">
        <v>1171</v>
      </c>
      <c r="AA620" t="s">
        <v>1171</v>
      </c>
      <c r="AB620" t="s">
        <v>1171</v>
      </c>
      <c r="AC620" t="s">
        <v>1140</v>
      </c>
      <c r="AD620" t="s">
        <v>1140</v>
      </c>
    </row>
    <row r="621" spans="1:30" ht="51" x14ac:dyDescent="0.2">
      <c r="A621" t="s">
        <v>1171</v>
      </c>
      <c r="B621" t="s">
        <v>1793</v>
      </c>
      <c r="C621" t="str">
        <f>"CONF-"&amp;TEXT(us_core_reqs[[#This Row],[ID*]], "0000")</f>
        <v>CONF-0833</v>
      </c>
      <c r="D621" s="11" t="s">
        <v>638</v>
      </c>
      <c r="E621" t="str">
        <f>SUBSTITUTE(us_core_reqs[[#This Row],[URL*]], "https://hl7.org/fhir/us/core/STU8/","")</f>
        <v>StructureDefinition-us-core-condition-problems-health-concerns.html#mandatory-and-must-support-data-elements</v>
      </c>
      <c r="F621" s="11" t="s">
        <v>755</v>
      </c>
      <c r="G621" t="s">
        <v>29</v>
      </c>
      <c r="I621" t="s">
        <v>30</v>
      </c>
      <c r="J621" t="b">
        <v>1</v>
      </c>
      <c r="K621" t="s">
        <v>1171</v>
      </c>
      <c r="L621" t="s">
        <v>1176</v>
      </c>
      <c r="M621" t="s">
        <v>1155</v>
      </c>
      <c r="N621" t="s">
        <v>1171</v>
      </c>
      <c r="O621" t="s">
        <v>1171</v>
      </c>
      <c r="P621" t="s">
        <v>1171</v>
      </c>
      <c r="Q621" t="s">
        <v>1171</v>
      </c>
      <c r="R621" t="str">
        <f>_xlfn.TEXTBEFORE(_xlfn.TEXTAFTER(us_core_reqs[[#This Row],[URL*]],"/",-1),".")</f>
        <v>StructureDefinition-us-core-condition-problems-health-concerns</v>
      </c>
      <c r="S621" t="str">
        <f>_xlfn.TEXTAFTER(us_core_reqs[[#This Row],[URL*]],"#",-1)</f>
        <v>mandatory-and-must-support-data-elements</v>
      </c>
      <c r="T621" t="str">
        <f>SUBSTITUTE(SUBSTITUTE(PROPER(SUBSTITUTE(us_core_reqs[[#This Row],[Page]], "-", " "))&amp;": "&amp;PROPER(SUBSTITUTE(us_core_reqs[[#This Row],[Section]], "-", " ")),"Us ","US "), "Uscdi", "USCDI")</f>
        <v>Structuredefinition US Core Condition Problems Health Concerns: Mandatory And Must Support Data Elements</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1794</v>
      </c>
      <c r="C622" t="str">
        <f>"CONF-"&amp;TEXT(us_core_reqs[[#This Row],[ID*]], "0000")</f>
        <v>CONF-0834</v>
      </c>
      <c r="D622" s="11" t="s">
        <v>638</v>
      </c>
      <c r="E622" t="str">
        <f>SUBSTITUTE(us_core_reqs[[#This Row],[URL*]], "https://hl7.org/fhir/us/core/STU8/","")</f>
        <v>StructureDefinition-us-core-condition-problems-health-concerns.html#mandatory-and-must-support-data-elements</v>
      </c>
      <c r="F622" s="11" t="s">
        <v>756</v>
      </c>
      <c r="G622" t="s">
        <v>32</v>
      </c>
      <c r="I622" t="s">
        <v>30</v>
      </c>
      <c r="J622" t="b">
        <v>1</v>
      </c>
      <c r="K622" t="s">
        <v>1171</v>
      </c>
      <c r="L622" t="s">
        <v>1173</v>
      </c>
      <c r="M622" t="s">
        <v>1171</v>
      </c>
      <c r="N622" t="s">
        <v>1171</v>
      </c>
      <c r="O622" t="s">
        <v>1171</v>
      </c>
      <c r="P622" t="s">
        <v>1171</v>
      </c>
      <c r="Q622" t="s">
        <v>1171</v>
      </c>
      <c r="R622" t="str">
        <f>_xlfn.TEXTBEFORE(_xlfn.TEXTAFTER(us_core_reqs[[#This Row],[URL*]],"/",-1),".")</f>
        <v>StructureDefinition-us-core-condition-problems-health-concerns</v>
      </c>
      <c r="S622" t="str">
        <f>_xlfn.TEXTAFTER(us_core_reqs[[#This Row],[URL*]],"#",-1)</f>
        <v>mandatory-and-must-support-data-elements</v>
      </c>
      <c r="T622" t="str">
        <f>SUBSTITUTE(SUBSTITUTE(PROPER(SUBSTITUTE(us_core_reqs[[#This Row],[Page]], "-", " "))&amp;": "&amp;PROPER(SUBSTITUTE(us_core_reqs[[#This Row],[Section]], "-", " ")),"Us ","US "), "Uscdi", "USCDI")</f>
        <v>Structuredefinition US Core Condition Problems Health Concerns: Mandatory And Must Support Data Elements</v>
      </c>
      <c r="U622" t="s">
        <v>1171</v>
      </c>
      <c r="V622" t="s">
        <v>1171</v>
      </c>
      <c r="W622" t="s">
        <v>1171</v>
      </c>
      <c r="X622" t="s">
        <v>1171</v>
      </c>
      <c r="Y622" t="s">
        <v>1171</v>
      </c>
      <c r="Z622" t="s">
        <v>1171</v>
      </c>
      <c r="AA622" t="s">
        <v>1171</v>
      </c>
      <c r="AB622" t="s">
        <v>1171</v>
      </c>
      <c r="AC622" t="s">
        <v>1171</v>
      </c>
      <c r="AD622" t="s">
        <v>1171</v>
      </c>
    </row>
    <row r="623" spans="1:30" ht="51" x14ac:dyDescent="0.2">
      <c r="A623" t="s">
        <v>1171</v>
      </c>
      <c r="B623" t="s">
        <v>1795</v>
      </c>
      <c r="C623" t="str">
        <f>"CONF-"&amp;TEXT(us_core_reqs[[#This Row],[ID*]], "0000")</f>
        <v>CONF-0835</v>
      </c>
      <c r="D623" s="11" t="s">
        <v>638</v>
      </c>
      <c r="E623" t="str">
        <f>SUBSTITUTE(us_core_reqs[[#This Row],[URL*]], "https://hl7.org/fhir/us/core/STU8/","")</f>
        <v>StructureDefinition-us-core-condition-problems-health-concerns.html#mandatory-and-must-support-data-elements</v>
      </c>
      <c r="F623" s="11" t="s">
        <v>757</v>
      </c>
      <c r="G623" t="s">
        <v>35</v>
      </c>
      <c r="I623" t="s">
        <v>30</v>
      </c>
      <c r="J623" t="b">
        <v>1</v>
      </c>
      <c r="K623" t="s">
        <v>1171</v>
      </c>
      <c r="L623" t="s">
        <v>1173</v>
      </c>
      <c r="M623" t="s">
        <v>1171</v>
      </c>
      <c r="N623" t="s">
        <v>1171</v>
      </c>
      <c r="O623" t="s">
        <v>1171</v>
      </c>
      <c r="P623" t="s">
        <v>1171</v>
      </c>
      <c r="Q623" t="s">
        <v>1171</v>
      </c>
      <c r="R623" t="str">
        <f>_xlfn.TEXTBEFORE(_xlfn.TEXTAFTER(us_core_reqs[[#This Row],[URL*]],"/",-1),".")</f>
        <v>StructureDefinition-us-core-condition-problems-health-concerns</v>
      </c>
      <c r="S623" t="str">
        <f>_xlfn.TEXTAFTER(us_core_reqs[[#This Row],[URL*]],"#",-1)</f>
        <v>mandatory-and-must-support-data-elements</v>
      </c>
      <c r="T623" t="str">
        <f>SUBSTITUTE(SUBSTITUTE(PROPER(SUBSTITUTE(us_core_reqs[[#This Row],[Page]], "-", " "))&amp;": "&amp;PROPER(SUBSTITUTE(us_core_reqs[[#This Row],[Section]], "-", " ")),"Us ","US "), "Uscdi", "USCDI")</f>
        <v>Structuredefinition US Core Condition Problems Health Concerns: Mandatory And Must Support Data Elements</v>
      </c>
      <c r="U623" t="s">
        <v>1171</v>
      </c>
      <c r="V623" t="s">
        <v>1171</v>
      </c>
      <c r="W623" t="s">
        <v>1171</v>
      </c>
      <c r="X623" t="s">
        <v>1171</v>
      </c>
      <c r="Y623" t="s">
        <v>1171</v>
      </c>
      <c r="Z623" t="s">
        <v>1171</v>
      </c>
      <c r="AA623" t="s">
        <v>1171</v>
      </c>
      <c r="AB623" t="s">
        <v>1171</v>
      </c>
      <c r="AC623" t="s">
        <v>1171</v>
      </c>
      <c r="AD623" t="s">
        <v>1171</v>
      </c>
    </row>
    <row r="624" spans="1:30" ht="68" x14ac:dyDescent="0.2">
      <c r="A624" t="s">
        <v>1171</v>
      </c>
      <c r="B624" t="s">
        <v>1796</v>
      </c>
      <c r="C624" t="str">
        <f>"CONF-"&amp;TEXT(us_core_reqs[[#This Row],[ID*]], "0000")</f>
        <v>CONF-0836</v>
      </c>
      <c r="D624" s="11" t="s">
        <v>641</v>
      </c>
      <c r="E624" t="str">
        <f>SUBSTITUTE(us_core_reqs[[#This Row],[URL*]], "https://hl7.org/fhir/us/core/STU8/","")</f>
        <v>StructureDefinition-us-core-diagnosticreport-note.html#mandatory-and-must-support-data-elements</v>
      </c>
      <c r="F624" s="11" t="s">
        <v>760</v>
      </c>
      <c r="G624" t="s">
        <v>32</v>
      </c>
      <c r="I624" t="s">
        <v>30</v>
      </c>
      <c r="J624" t="s">
        <v>1171</v>
      </c>
      <c r="K624" t="s">
        <v>1171</v>
      </c>
      <c r="L624" t="s">
        <v>1176</v>
      </c>
      <c r="M624" t="s">
        <v>1110</v>
      </c>
      <c r="N624" t="s">
        <v>1171</v>
      </c>
      <c r="O624" t="s">
        <v>1171</v>
      </c>
      <c r="P624" t="s">
        <v>1171</v>
      </c>
      <c r="Q624" t="s">
        <v>1171</v>
      </c>
      <c r="R624" t="str">
        <f>_xlfn.TEXTBEFORE(_xlfn.TEXTAFTER(us_core_reqs[[#This Row],[URL*]],"/",-1),".")</f>
        <v>StructureDefinition-us-core-diagnosticreport-note</v>
      </c>
      <c r="S624" t="str">
        <f>_xlfn.TEXTAFTER(us_core_reqs[[#This Row],[URL*]],"#",-1)</f>
        <v>mandatory-and-must-support-data-elements</v>
      </c>
      <c r="T624" t="str">
        <f>SUBSTITUTE(SUBSTITUTE(PROPER(SUBSTITUTE(us_core_reqs[[#This Row],[Page]], "-", " "))&amp;": "&amp;PROPER(SUBSTITUTE(us_core_reqs[[#This Row],[Section]], "-", " ")),"Us ","US "), "Uscdi", "USCDI")</f>
        <v>Structuredefinition US Core Diagnosticreport Note: Mandatory And Must Support Data Elements</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1797</v>
      </c>
      <c r="C625" t="str">
        <f>"CONF-"&amp;TEXT(us_core_reqs[[#This Row],[ID*]], "0000")</f>
        <v>CONF-0837</v>
      </c>
      <c r="D625" s="11" t="s">
        <v>641</v>
      </c>
      <c r="E625" t="str">
        <f>SUBSTITUTE(us_core_reqs[[#This Row],[URL*]], "https://hl7.org/fhir/us/core/STU8/","")</f>
        <v>StructureDefinition-us-core-diagnosticreport-note.html#mandatory-and-must-support-data-elements</v>
      </c>
      <c r="F625" s="11" t="s">
        <v>761</v>
      </c>
      <c r="G625" t="s">
        <v>32</v>
      </c>
      <c r="I625" t="s">
        <v>30</v>
      </c>
      <c r="J625" t="s">
        <v>1171</v>
      </c>
      <c r="K625" t="s">
        <v>1171</v>
      </c>
      <c r="L625" t="s">
        <v>1173</v>
      </c>
      <c r="M625" t="s">
        <v>1171</v>
      </c>
      <c r="N625" t="s">
        <v>1171</v>
      </c>
      <c r="O625" t="s">
        <v>1171</v>
      </c>
      <c r="P625" t="s">
        <v>1171</v>
      </c>
      <c r="Q625" t="s">
        <v>1171</v>
      </c>
      <c r="R625" t="str">
        <f>_xlfn.TEXTBEFORE(_xlfn.TEXTAFTER(us_core_reqs[[#This Row],[URL*]],"/",-1),".")</f>
        <v>StructureDefinition-us-core-diagnosticreport-note</v>
      </c>
      <c r="S625" t="str">
        <f>_xlfn.TEXTAFTER(us_core_reqs[[#This Row],[URL*]],"#",-1)</f>
        <v>mandatory-and-must-support-data-elements</v>
      </c>
      <c r="T625" t="str">
        <f>SUBSTITUTE(SUBSTITUTE(PROPER(SUBSTITUTE(us_core_reqs[[#This Row],[Page]], "-", " "))&amp;": "&amp;PROPER(SUBSTITUTE(us_core_reqs[[#This Row],[Section]], "-", " ")),"Us ","US "), "Uscdi", "USCDI")</f>
        <v>Structuredefinition US Core Diagnosticreport Note: Mandatory And Must Support Data Elements</v>
      </c>
      <c r="U625" t="s">
        <v>1171</v>
      </c>
      <c r="V625" t="s">
        <v>1171</v>
      </c>
      <c r="W625" t="s">
        <v>1171</v>
      </c>
      <c r="X625" t="s">
        <v>1171</v>
      </c>
      <c r="Y625" t="s">
        <v>1171</v>
      </c>
      <c r="Z625" t="s">
        <v>1171</v>
      </c>
      <c r="AA625" t="s">
        <v>1171</v>
      </c>
      <c r="AB625" t="s">
        <v>1171</v>
      </c>
      <c r="AC625" t="s">
        <v>1171</v>
      </c>
      <c r="AD625" t="s">
        <v>1171</v>
      </c>
    </row>
    <row r="626" spans="1:30" ht="85" x14ac:dyDescent="0.2">
      <c r="A626" t="s">
        <v>1171</v>
      </c>
      <c r="B626" t="s">
        <v>1798</v>
      </c>
      <c r="C626" t="str">
        <f>"CONF-"&amp;TEXT(us_core_reqs[[#This Row],[ID*]], "0000")</f>
        <v>CONF-0838</v>
      </c>
      <c r="D626" s="11" t="s">
        <v>641</v>
      </c>
      <c r="E626" t="str">
        <f>SUBSTITUTE(us_core_reqs[[#This Row],[URL*]], "https://hl7.org/fhir/us/core/STU8/","")</f>
        <v>StructureDefinition-us-core-diagnosticreport-note.html#mandatory-and-must-support-data-elements</v>
      </c>
      <c r="F626" s="11" t="s">
        <v>762</v>
      </c>
      <c r="G626" t="s">
        <v>32</v>
      </c>
      <c r="I626" t="s">
        <v>30</v>
      </c>
      <c r="J626" t="s">
        <v>1171</v>
      </c>
      <c r="K626" t="s">
        <v>1171</v>
      </c>
      <c r="L626" t="s">
        <v>1173</v>
      </c>
      <c r="M626" t="s">
        <v>1171</v>
      </c>
      <c r="N626" t="s">
        <v>1171</v>
      </c>
      <c r="O626" t="s">
        <v>1171</v>
      </c>
      <c r="P626" t="s">
        <v>1171</v>
      </c>
      <c r="Q626" t="s">
        <v>1171</v>
      </c>
      <c r="R626" t="str">
        <f>_xlfn.TEXTBEFORE(_xlfn.TEXTAFTER(us_core_reqs[[#This Row],[URL*]],"/",-1),".")</f>
        <v>StructureDefinition-us-core-diagnosticreport-note</v>
      </c>
      <c r="S626" t="str">
        <f>_xlfn.TEXTAFTER(us_core_reqs[[#This Row],[URL*]],"#",-1)</f>
        <v>mandatory-and-must-support-data-elements</v>
      </c>
      <c r="T626" t="str">
        <f>SUBSTITUTE(SUBSTITUTE(PROPER(SUBSTITUTE(us_core_reqs[[#This Row],[Page]], "-", " "))&amp;": "&amp;PROPER(SUBSTITUTE(us_core_reqs[[#This Row],[Section]], "-", " ")),"Us ","US "), "Uscdi", "USCDI")</f>
        <v>Structuredefinition US Core Diagnosticreport Note: Mandatory And Must Support Data Elements</v>
      </c>
      <c r="U626" t="s">
        <v>1171</v>
      </c>
      <c r="V626" t="s">
        <v>1171</v>
      </c>
      <c r="W626" t="s">
        <v>1171</v>
      </c>
      <c r="X626" t="s">
        <v>1171</v>
      </c>
      <c r="Y626" t="s">
        <v>1171</v>
      </c>
      <c r="Z626" t="s">
        <v>1171</v>
      </c>
      <c r="AA626" t="s">
        <v>1171</v>
      </c>
      <c r="AB626" t="s">
        <v>1171</v>
      </c>
      <c r="AC626" t="s">
        <v>1171</v>
      </c>
      <c r="AD626" t="s">
        <v>1171</v>
      </c>
    </row>
    <row r="627" spans="1:30" ht="102" x14ac:dyDescent="0.2">
      <c r="A627" t="s">
        <v>1171</v>
      </c>
      <c r="B627" t="s">
        <v>1799</v>
      </c>
      <c r="C627" t="str">
        <f>"CONF-"&amp;TEXT(us_core_reqs[[#This Row],[ID*]], "0000")</f>
        <v>CONF-0839</v>
      </c>
      <c r="D627" s="11" t="s">
        <v>642</v>
      </c>
      <c r="E627" t="str">
        <f>SUBSTITUTE(us_core_reqs[[#This Row],[URL*]], "https://hl7.org/fhir/us/core/STU8/","")</f>
        <v>StructureDefinition-us-core-documentreference.html</v>
      </c>
      <c r="F627" s="11" t="s">
        <v>1084</v>
      </c>
      <c r="G627" t="s">
        <v>32</v>
      </c>
      <c r="I627" t="s">
        <v>30</v>
      </c>
      <c r="J627" t="s">
        <v>1171</v>
      </c>
      <c r="K627" t="s">
        <v>1171</v>
      </c>
      <c r="L627" t="s">
        <v>1176</v>
      </c>
      <c r="M627" t="s">
        <v>1109</v>
      </c>
      <c r="N627" t="s">
        <v>1171</v>
      </c>
      <c r="O627" t="s">
        <v>1171</v>
      </c>
      <c r="P627" t="s">
        <v>1171</v>
      </c>
      <c r="Q627" t="s">
        <v>1171</v>
      </c>
      <c r="R627" t="str">
        <f>_xlfn.TEXTBEFORE(_xlfn.TEXTAFTER(us_core_reqs[[#This Row],[URL*]],"/",-1),".")</f>
        <v>StructureDefinition-us-core-documentreference</v>
      </c>
      <c r="S627" t="e">
        <f>_xlfn.TEXTAFTER(us_core_reqs[[#This Row],[URL*]],"#",-1)</f>
        <v>#N/A</v>
      </c>
      <c r="T627" t="e">
        <f>SUBSTITUTE(SUBSTITUTE(PROPER(SUBSTITUTE(us_core_reqs[[#This Row],[Page]], "-", " "))&amp;": "&amp;PROPER(SUBSTITUTE(us_core_reqs[[#This Row],[Section]], "-", " ")),"Us ","US "), "Uscdi", "USCDI")</f>
        <v>#N/A</v>
      </c>
      <c r="U627" t="s">
        <v>1171</v>
      </c>
      <c r="V627" t="s">
        <v>1171</v>
      </c>
      <c r="W627" t="s">
        <v>1171</v>
      </c>
      <c r="X627" t="s">
        <v>1171</v>
      </c>
      <c r="Y627" t="s">
        <v>1171</v>
      </c>
      <c r="Z627" t="s">
        <v>1171</v>
      </c>
      <c r="AA627" t="s">
        <v>1171</v>
      </c>
      <c r="AB627" t="s">
        <v>1171</v>
      </c>
      <c r="AC627" t="s">
        <v>1171</v>
      </c>
      <c r="AD627" t="s">
        <v>1171</v>
      </c>
    </row>
    <row r="628" spans="1:30" ht="85" x14ac:dyDescent="0.2">
      <c r="A628" t="s">
        <v>1171</v>
      </c>
      <c r="B628" t="s">
        <v>1800</v>
      </c>
      <c r="C628" t="str">
        <f>"CONF-"&amp;TEXT(us_core_reqs[[#This Row],[ID*]], "0000")</f>
        <v>CONF-0840</v>
      </c>
      <c r="D628" s="11" t="s">
        <v>765</v>
      </c>
      <c r="E628" t="str">
        <f>SUBSTITUTE(us_core_reqs[[#This Row],[URL*]], "https://hl7.org/fhir/us/core/STU8/","")</f>
        <v>StructureDefinition-us-core-encounter.html#mandatory-and-must-support-data-elements</v>
      </c>
      <c r="F628" s="11" t="s">
        <v>766</v>
      </c>
      <c r="G628" t="s">
        <v>29</v>
      </c>
      <c r="I628" t="s">
        <v>30</v>
      </c>
      <c r="J628" t="s">
        <v>1171</v>
      </c>
      <c r="K628" t="s">
        <v>1171</v>
      </c>
      <c r="L628" t="s">
        <v>1176</v>
      </c>
      <c r="M628" t="s">
        <v>800</v>
      </c>
      <c r="N628" t="s">
        <v>1171</v>
      </c>
      <c r="O628" t="s">
        <v>1171</v>
      </c>
      <c r="P628" t="s">
        <v>1171</v>
      </c>
      <c r="Q628" t="s">
        <v>1171</v>
      </c>
      <c r="R628" t="str">
        <f>_xlfn.TEXTBEFORE(_xlfn.TEXTAFTER(us_core_reqs[[#This Row],[URL*]],"/",-1),".")</f>
        <v>StructureDefinition-us-core-encounter</v>
      </c>
      <c r="S628" t="str">
        <f>_xlfn.TEXTAFTER(us_core_reqs[[#This Row],[URL*]],"#",-1)</f>
        <v>mandatory-and-must-support-data-elements</v>
      </c>
      <c r="T628" t="str">
        <f>SUBSTITUTE(SUBSTITUTE(PROPER(SUBSTITUTE(us_core_reqs[[#This Row],[Page]], "-", " "))&amp;": "&amp;PROPER(SUBSTITUTE(us_core_reqs[[#This Row],[Section]], "-", " ")),"Us ","US "), "Uscdi", "USCDI")</f>
        <v>Structuredefinition US Core Encounter: Mandatory And Must Support Data Elements</v>
      </c>
      <c r="U628" t="s">
        <v>1171</v>
      </c>
      <c r="V628" t="s">
        <v>1171</v>
      </c>
      <c r="W628" t="s">
        <v>1171</v>
      </c>
      <c r="X628" t="s">
        <v>1171</v>
      </c>
      <c r="Y628" t="s">
        <v>1171</v>
      </c>
      <c r="Z628" t="s">
        <v>1171</v>
      </c>
      <c r="AA628" t="s">
        <v>1171</v>
      </c>
      <c r="AB628" t="s">
        <v>405</v>
      </c>
      <c r="AC628" t="s">
        <v>1140</v>
      </c>
      <c r="AD628" t="s">
        <v>1156</v>
      </c>
    </row>
    <row r="629" spans="1:30" ht="119" x14ac:dyDescent="0.2">
      <c r="A629" t="s">
        <v>1171</v>
      </c>
      <c r="B629" t="s">
        <v>1801</v>
      </c>
      <c r="C629" t="str">
        <f>"CONF-"&amp;TEXT(us_core_reqs[[#This Row],[ID*]], "0000")</f>
        <v>CONF-0841</v>
      </c>
      <c r="D629" s="11" t="s">
        <v>773</v>
      </c>
      <c r="E629" t="str">
        <f>SUBSTITUTE(us_core_reqs[[#This Row],[URL*]], "https://hl7.org/fhir/us/core/STU8/","")</f>
        <v>StructureDefinition-us-core-immunization.html#mandatory-and-must-support-data-elements</v>
      </c>
      <c r="F629" s="11" t="s">
        <v>772</v>
      </c>
      <c r="G629" t="s">
        <v>35</v>
      </c>
      <c r="I629" t="s">
        <v>30</v>
      </c>
      <c r="J629" t="s">
        <v>1171</v>
      </c>
      <c r="K629" t="s">
        <v>1171</v>
      </c>
      <c r="L629" t="s">
        <v>1173</v>
      </c>
      <c r="M629" t="s">
        <v>1171</v>
      </c>
      <c r="N629" t="s">
        <v>1171</v>
      </c>
      <c r="O629" t="s">
        <v>1171</v>
      </c>
      <c r="P629" t="s">
        <v>1171</v>
      </c>
      <c r="Q629" t="s">
        <v>1171</v>
      </c>
      <c r="R629" t="str">
        <f>_xlfn.TEXTBEFORE(_xlfn.TEXTAFTER(us_core_reqs[[#This Row],[URL*]],"/",-1),".")</f>
        <v>StructureDefinition-us-core-immunization</v>
      </c>
      <c r="S629" t="str">
        <f>_xlfn.TEXTAFTER(us_core_reqs[[#This Row],[URL*]],"#",-1)</f>
        <v>mandatory-and-must-support-data-elements</v>
      </c>
      <c r="T629" t="str">
        <f>SUBSTITUTE(SUBSTITUTE(PROPER(SUBSTITUTE(us_core_reqs[[#This Row],[Page]], "-", " "))&amp;": "&amp;PROPER(SUBSTITUTE(us_core_reqs[[#This Row],[Section]], "-", " ")),"Us ","US "), "Uscdi", "USCDI")</f>
        <v>Structuredefinition US Core Immunization: Mandatory And Must Support Data Elements</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1802</v>
      </c>
      <c r="C630" t="str">
        <f>"CONF-"&amp;TEXT(us_core_reqs[[#This Row],[ID*]], "0000")</f>
        <v>CONF-0842</v>
      </c>
      <c r="D630" s="11" t="s">
        <v>775</v>
      </c>
      <c r="E630" t="str">
        <f>SUBSTITUTE(us_core_reqs[[#This Row],[URL*]], "https://hl7.org/fhir/us/core/STU8/","")</f>
        <v>StructureDefinition-us-core-medicationrequest.html#mandatory-and-must-support-data-elements</v>
      </c>
      <c r="F630" s="11" t="s">
        <v>774</v>
      </c>
      <c r="G630" t="s">
        <v>29</v>
      </c>
      <c r="I630" t="s">
        <v>30</v>
      </c>
      <c r="J630" t="s">
        <v>1171</v>
      </c>
      <c r="K630" t="s">
        <v>1171</v>
      </c>
      <c r="L630" t="s">
        <v>1173</v>
      </c>
      <c r="M630" t="s">
        <v>1171</v>
      </c>
      <c r="N630" t="s">
        <v>1171</v>
      </c>
      <c r="O630" t="s">
        <v>1171</v>
      </c>
      <c r="P630" t="s">
        <v>1171</v>
      </c>
      <c r="Q630" t="s">
        <v>1171</v>
      </c>
      <c r="R630" t="str">
        <f>_xlfn.TEXTBEFORE(_xlfn.TEXTAFTER(us_core_reqs[[#This Row],[URL*]],"/",-1),".")</f>
        <v>StructureDefinition-us-core-medicationrequest</v>
      </c>
      <c r="S630" t="str">
        <f>_xlfn.TEXTAFTER(us_core_reqs[[#This Row],[URL*]],"#",-1)</f>
        <v>mandatory-and-must-support-data-elements</v>
      </c>
      <c r="T630" t="str">
        <f>SUBSTITUTE(SUBSTITUTE(PROPER(SUBSTITUTE(us_core_reqs[[#This Row],[Page]], "-", " "))&amp;": "&amp;PROPER(SUBSTITUTE(us_core_reqs[[#This Row],[Section]], "-", " ")),"Us ","US "), "Uscdi", "USCDI")</f>
        <v>Structuredefinition US Core Medicationrequest: Mandatory And Must Support Data Elements</v>
      </c>
      <c r="U630" t="s">
        <v>1171</v>
      </c>
      <c r="V630" t="s">
        <v>1171</v>
      </c>
      <c r="W630" t="s">
        <v>1171</v>
      </c>
      <c r="X630" t="s">
        <v>1171</v>
      </c>
      <c r="Y630" t="s">
        <v>1171</v>
      </c>
      <c r="Z630" t="s">
        <v>1171</v>
      </c>
      <c r="AA630" t="s">
        <v>1171</v>
      </c>
      <c r="AB630" t="s">
        <v>1171</v>
      </c>
      <c r="AC630" t="s">
        <v>1140</v>
      </c>
      <c r="AD630" t="s">
        <v>1154</v>
      </c>
    </row>
    <row r="631" spans="1:30" ht="102" x14ac:dyDescent="0.2">
      <c r="A631" t="s">
        <v>1171</v>
      </c>
      <c r="B631" t="s">
        <v>1803</v>
      </c>
      <c r="C631" t="str">
        <f>"CONF-"&amp;TEXT(us_core_reqs[[#This Row],[ID*]], "0000")</f>
        <v>CONF-0843</v>
      </c>
      <c r="D631" s="11" t="s">
        <v>778</v>
      </c>
      <c r="E631" t="str">
        <f>SUBSTITUTE(us_core_reqs[[#This Row],[URL*]], "https://hl7.org/fhir/us/core/STU8/","")</f>
        <v>StructureDefinition-us-core-observation-lab.html#mandatory-and-must-support-data-elements</v>
      </c>
      <c r="F631" s="11" t="s">
        <v>776</v>
      </c>
      <c r="G631" t="s">
        <v>32</v>
      </c>
      <c r="I631" t="s">
        <v>30</v>
      </c>
      <c r="J631" t="s">
        <v>1171</v>
      </c>
      <c r="K631" t="s">
        <v>1171</v>
      </c>
      <c r="L631" t="s">
        <v>1176</v>
      </c>
      <c r="M631" t="s">
        <v>1108</v>
      </c>
      <c r="N631" t="s">
        <v>1171</v>
      </c>
      <c r="O631" t="s">
        <v>1171</v>
      </c>
      <c r="P631" t="s">
        <v>1171</v>
      </c>
      <c r="Q631" t="s">
        <v>1171</v>
      </c>
      <c r="R631" t="str">
        <f>_xlfn.TEXTBEFORE(_xlfn.TEXTAFTER(us_core_reqs[[#This Row],[URL*]],"/",-1),".")</f>
        <v>StructureDefinition-us-core-observation-lab</v>
      </c>
      <c r="S631" t="str">
        <f>_xlfn.TEXTAFTER(us_core_reqs[[#This Row],[URL*]],"#",-1)</f>
        <v>mandatory-and-must-support-data-elements</v>
      </c>
      <c r="T631" t="str">
        <f>SUBSTITUTE(SUBSTITUTE(PROPER(SUBSTITUTE(us_core_reqs[[#This Row],[Page]], "-", " "))&amp;": "&amp;PROPER(SUBSTITUTE(us_core_reqs[[#This Row],[Section]], "-", " ")),"Us ","US "), "Uscdi", "USCDI")</f>
        <v>Structuredefinition US Core Observation Lab: Mandatory And Must Support Data Elements</v>
      </c>
      <c r="U631" t="s">
        <v>1171</v>
      </c>
      <c r="V631" t="s">
        <v>1171</v>
      </c>
      <c r="W631" t="s">
        <v>1171</v>
      </c>
      <c r="X631" t="s">
        <v>1171</v>
      </c>
      <c r="Y631" t="s">
        <v>1171</v>
      </c>
      <c r="Z631" t="s">
        <v>1171</v>
      </c>
      <c r="AA631" t="s">
        <v>1171</v>
      </c>
      <c r="AB631" t="s">
        <v>1171</v>
      </c>
      <c r="AC631" t="s">
        <v>1171</v>
      </c>
      <c r="AD631" t="s">
        <v>1171</v>
      </c>
    </row>
    <row r="632" spans="1:30" ht="51" x14ac:dyDescent="0.2">
      <c r="A632" t="s">
        <v>1171</v>
      </c>
      <c r="B632" t="s">
        <v>1804</v>
      </c>
      <c r="C632" t="str">
        <f>"CONF-"&amp;TEXT(us_core_reqs[[#This Row],[ID*]], "0000")</f>
        <v>CONF-0844</v>
      </c>
      <c r="D632" s="11" t="s">
        <v>778</v>
      </c>
      <c r="E632" t="str">
        <f>SUBSTITUTE(us_core_reqs[[#This Row],[URL*]], "https://hl7.org/fhir/us/core/STU8/","")</f>
        <v>StructureDefinition-us-core-observation-lab.html#mandatory-and-must-support-data-elements</v>
      </c>
      <c r="F632" s="11" t="s">
        <v>2039</v>
      </c>
      <c r="G632" t="s">
        <v>32</v>
      </c>
      <c r="I632" t="s">
        <v>30</v>
      </c>
      <c r="J632" t="s">
        <v>1171</v>
      </c>
      <c r="K632" t="s">
        <v>1171</v>
      </c>
      <c r="L632" t="s">
        <v>1173</v>
      </c>
      <c r="M632" t="s">
        <v>1171</v>
      </c>
      <c r="N632" t="s">
        <v>1171</v>
      </c>
      <c r="O632" t="s">
        <v>1171</v>
      </c>
      <c r="P632" t="s">
        <v>1171</v>
      </c>
      <c r="Q632" t="s">
        <v>1171</v>
      </c>
      <c r="R632" t="str">
        <f>_xlfn.TEXTBEFORE(_xlfn.TEXTAFTER(us_core_reqs[[#This Row],[URL*]],"/",-1),".")</f>
        <v>StructureDefinition-us-core-observation-lab</v>
      </c>
      <c r="S632" t="str">
        <f>_xlfn.TEXTAFTER(us_core_reqs[[#This Row],[URL*]],"#",-1)</f>
        <v>mandatory-and-must-support-data-elements</v>
      </c>
      <c r="T632" t="str">
        <f>SUBSTITUTE(SUBSTITUTE(PROPER(SUBSTITUTE(us_core_reqs[[#This Row],[Page]], "-", " "))&amp;": "&amp;PROPER(SUBSTITUTE(us_core_reqs[[#This Row],[Section]], "-", " ")),"Us ","US "), "Uscdi", "USCDI")</f>
        <v>Structuredefinition US Core Observation Lab: Mandatory And Must Support Data Elements</v>
      </c>
      <c r="U632" t="s">
        <v>1171</v>
      </c>
      <c r="V632" t="s">
        <v>1171</v>
      </c>
      <c r="W632" t="s">
        <v>1171</v>
      </c>
      <c r="X632" t="s">
        <v>1171</v>
      </c>
      <c r="Y632" t="s">
        <v>1171</v>
      </c>
      <c r="Z632" t="s">
        <v>1171</v>
      </c>
      <c r="AA632" t="s">
        <v>1171</v>
      </c>
      <c r="AB632" t="s">
        <v>1171</v>
      </c>
      <c r="AC632" t="s">
        <v>1171</v>
      </c>
      <c r="AD632" t="s">
        <v>1171</v>
      </c>
    </row>
    <row r="633" spans="1:30" ht="51" x14ac:dyDescent="0.2">
      <c r="A633" t="s">
        <v>1171</v>
      </c>
      <c r="B633" t="s">
        <v>1805</v>
      </c>
      <c r="C633" t="str">
        <f>"CONF-"&amp;TEXT(us_core_reqs[[#This Row],[ID*]], "0000")</f>
        <v>CONF-0845</v>
      </c>
      <c r="D633" s="11" t="s">
        <v>783</v>
      </c>
      <c r="E633" t="str">
        <f>SUBSTITUTE(us_core_reqs[[#This Row],[URL*]], "https://hl7.org/fhir/us/core/STU8/","")</f>
        <v>StructureDefinition-us-core-observation-screening-assessment.html#mandatory-and-must-support-data-elements</v>
      </c>
      <c r="F633" s="11" t="s">
        <v>779</v>
      </c>
      <c r="G633" t="s">
        <v>29</v>
      </c>
      <c r="I633" t="s">
        <v>30</v>
      </c>
      <c r="J633" t="s">
        <v>1171</v>
      </c>
      <c r="K633" t="s">
        <v>1171</v>
      </c>
      <c r="L633" t="s">
        <v>1173</v>
      </c>
      <c r="M633" t="s">
        <v>1171</v>
      </c>
      <c r="N633" t="s">
        <v>1171</v>
      </c>
      <c r="O633" t="s">
        <v>1171</v>
      </c>
      <c r="P633" t="s">
        <v>1171</v>
      </c>
      <c r="Q633" t="s">
        <v>1171</v>
      </c>
      <c r="R633" t="str">
        <f>_xlfn.TEXTBEFORE(_xlfn.TEXTAFTER(us_core_reqs[[#This Row],[URL*]],"/",-1),".")</f>
        <v>StructureDefinition-us-core-observation-screening-assessment</v>
      </c>
      <c r="S633" t="str">
        <f>_xlfn.TEXTAFTER(us_core_reqs[[#This Row],[URL*]],"#",-1)</f>
        <v>mandatory-and-must-support-data-elements</v>
      </c>
      <c r="T633" t="str">
        <f>SUBSTITUTE(SUBSTITUTE(PROPER(SUBSTITUTE(us_core_reqs[[#This Row],[Page]], "-", " "))&amp;": "&amp;PROPER(SUBSTITUTE(us_core_reqs[[#This Row],[Section]], "-", " ")),"Us ","US "), "Uscdi", "USCDI")</f>
        <v>Structuredefinition US Core Observation Screening Assessment: Mandatory And Must Support Data Elements</v>
      </c>
      <c r="U633" t="s">
        <v>1171</v>
      </c>
      <c r="V633" t="s">
        <v>1171</v>
      </c>
      <c r="W633" t="s">
        <v>1171</v>
      </c>
      <c r="X633" t="s">
        <v>1171</v>
      </c>
      <c r="Y633" t="s">
        <v>1171</v>
      </c>
      <c r="Z633" t="s">
        <v>1171</v>
      </c>
      <c r="AA633" t="s">
        <v>1171</v>
      </c>
      <c r="AB633" t="s">
        <v>1171</v>
      </c>
      <c r="AC633" t="s">
        <v>1140</v>
      </c>
      <c r="AD633" t="s">
        <v>1140</v>
      </c>
    </row>
    <row r="634" spans="1:30" ht="85" x14ac:dyDescent="0.2">
      <c r="A634" t="s">
        <v>1171</v>
      </c>
      <c r="B634" t="s">
        <v>1806</v>
      </c>
      <c r="C634" t="str">
        <f>"CONF-"&amp;TEXT(us_core_reqs[[#This Row],[ID*]], "0000")</f>
        <v>CONF-0846</v>
      </c>
      <c r="D634" s="11" t="s">
        <v>783</v>
      </c>
      <c r="E634" t="str">
        <f>SUBSTITUTE(us_core_reqs[[#This Row],[URL*]], "https://hl7.org/fhir/us/core/STU8/","")</f>
        <v>StructureDefinition-us-core-observation-screening-assessment.html#mandatory-and-must-support-data-elements</v>
      </c>
      <c r="F634" s="11" t="s">
        <v>780</v>
      </c>
      <c r="G634" t="s">
        <v>29</v>
      </c>
      <c r="I634" t="s">
        <v>30</v>
      </c>
      <c r="J634" t="b">
        <v>1</v>
      </c>
      <c r="K634" t="s">
        <v>1171</v>
      </c>
      <c r="L634" t="s">
        <v>1176</v>
      </c>
      <c r="M634" t="s">
        <v>1155</v>
      </c>
      <c r="N634" t="s">
        <v>1171</v>
      </c>
      <c r="O634" t="s">
        <v>1171</v>
      </c>
      <c r="P634" t="s">
        <v>1171</v>
      </c>
      <c r="Q634" t="s">
        <v>1171</v>
      </c>
      <c r="R634" t="str">
        <f>_xlfn.TEXTBEFORE(_xlfn.TEXTAFTER(us_core_reqs[[#This Row],[URL*]],"/",-1),".")</f>
        <v>StructureDefinition-us-core-observation-screening-assessment</v>
      </c>
      <c r="S634" t="str">
        <f>_xlfn.TEXTAFTER(us_core_reqs[[#This Row],[URL*]],"#",-1)</f>
        <v>mandatory-and-must-support-data-elements</v>
      </c>
      <c r="T634" t="str">
        <f>SUBSTITUTE(SUBSTITUTE(PROPER(SUBSTITUTE(us_core_reqs[[#This Row],[Page]], "-", " "))&amp;": "&amp;PROPER(SUBSTITUTE(us_core_reqs[[#This Row],[Section]], "-", " ")),"Us ","US "), "Uscdi", "USCDI")</f>
        <v>Structuredefinition US Core Observation Screening Assessment: Mandatory And Must Support Data Elements</v>
      </c>
      <c r="U634" t="s">
        <v>1171</v>
      </c>
      <c r="V634" t="s">
        <v>1171</v>
      </c>
      <c r="W634" t="s">
        <v>1171</v>
      </c>
      <c r="X634" t="s">
        <v>1171</v>
      </c>
      <c r="Y634" t="s">
        <v>1171</v>
      </c>
      <c r="Z634" t="s">
        <v>1171</v>
      </c>
      <c r="AA634" t="s">
        <v>1171</v>
      </c>
      <c r="AB634" t="s">
        <v>405</v>
      </c>
      <c r="AC634" t="s">
        <v>1140</v>
      </c>
      <c r="AD634" t="s">
        <v>1156</v>
      </c>
    </row>
    <row r="635" spans="1:30" ht="85" x14ac:dyDescent="0.2">
      <c r="A635" t="s">
        <v>1171</v>
      </c>
      <c r="B635" t="s">
        <v>1807</v>
      </c>
      <c r="C635" t="str">
        <f>"CONF-"&amp;TEXT(us_core_reqs[[#This Row],[ID*]], "0000")</f>
        <v>CONF-0847</v>
      </c>
      <c r="D635" s="11" t="s">
        <v>783</v>
      </c>
      <c r="E635" t="str">
        <f>SUBSTITUTE(us_core_reqs[[#This Row],[URL*]], "https://hl7.org/fhir/us/core/STU8/","")</f>
        <v>StructureDefinition-us-core-observation-screening-assessment.html#mandatory-and-must-support-data-elements</v>
      </c>
      <c r="F635" s="11" t="s">
        <v>781</v>
      </c>
      <c r="G635" t="s">
        <v>32</v>
      </c>
      <c r="I635" t="s">
        <v>30</v>
      </c>
      <c r="J635" t="b">
        <v>1</v>
      </c>
      <c r="K635" t="s">
        <v>1171</v>
      </c>
      <c r="L635" t="s">
        <v>1173</v>
      </c>
      <c r="M635" t="s">
        <v>1171</v>
      </c>
      <c r="N635" t="s">
        <v>1171</v>
      </c>
      <c r="O635" t="s">
        <v>1171</v>
      </c>
      <c r="P635" t="s">
        <v>1171</v>
      </c>
      <c r="Q635" t="s">
        <v>1171</v>
      </c>
      <c r="R635" t="str">
        <f>_xlfn.TEXTBEFORE(_xlfn.TEXTAFTER(us_core_reqs[[#This Row],[URL*]],"/",-1),".")</f>
        <v>StructureDefinition-us-core-observation-screening-assessment</v>
      </c>
      <c r="S635" t="str">
        <f>_xlfn.TEXTAFTER(us_core_reqs[[#This Row],[URL*]],"#",-1)</f>
        <v>mandatory-and-must-support-data-elements</v>
      </c>
      <c r="T635" t="str">
        <f>SUBSTITUTE(SUBSTITUTE(PROPER(SUBSTITUTE(us_core_reqs[[#This Row],[Page]], "-", " "))&amp;": "&amp;PROPER(SUBSTITUTE(us_core_reqs[[#This Row],[Section]], "-", " ")),"Us ","US "), "Uscdi", "USCDI")</f>
        <v>Structuredefinition US Core Observation Screening Assessment: Mandatory And Must Support Data Elements</v>
      </c>
      <c r="U635" t="s">
        <v>1171</v>
      </c>
      <c r="V635" t="s">
        <v>1171</v>
      </c>
      <c r="W635" t="s">
        <v>1171</v>
      </c>
      <c r="X635" t="s">
        <v>1171</v>
      </c>
      <c r="Y635" t="s">
        <v>1171</v>
      </c>
      <c r="Z635" t="s">
        <v>1171</v>
      </c>
      <c r="AA635" t="s">
        <v>1171</v>
      </c>
      <c r="AB635" t="s">
        <v>1171</v>
      </c>
      <c r="AC635" t="s">
        <v>1171</v>
      </c>
      <c r="AD635" t="s">
        <v>1171</v>
      </c>
    </row>
    <row r="636" spans="1:30" ht="51" x14ac:dyDescent="0.2">
      <c r="A636" t="s">
        <v>1171</v>
      </c>
      <c r="B636" t="s">
        <v>1808</v>
      </c>
      <c r="C636" t="str">
        <f>"CONF-"&amp;TEXT(us_core_reqs[[#This Row],[ID*]], "0000")</f>
        <v>CONF-0848</v>
      </c>
      <c r="D636" s="11" t="s">
        <v>783</v>
      </c>
      <c r="E636" t="str">
        <f>SUBSTITUTE(us_core_reqs[[#This Row],[URL*]], "https://hl7.org/fhir/us/core/STU8/","")</f>
        <v>StructureDefinition-us-core-observation-screening-assessment.html#mandatory-and-must-support-data-elements</v>
      </c>
      <c r="F636" s="11" t="s">
        <v>782</v>
      </c>
      <c r="G636" t="s">
        <v>35</v>
      </c>
      <c r="I636" t="s">
        <v>30</v>
      </c>
      <c r="J636" t="b">
        <v>1</v>
      </c>
      <c r="K636" t="s">
        <v>1171</v>
      </c>
      <c r="L636" t="s">
        <v>1173</v>
      </c>
      <c r="M636" t="s">
        <v>1171</v>
      </c>
      <c r="N636" t="s">
        <v>1171</v>
      </c>
      <c r="O636" t="s">
        <v>1171</v>
      </c>
      <c r="P636" t="s">
        <v>1171</v>
      </c>
      <c r="Q636" t="s">
        <v>1171</v>
      </c>
      <c r="R636" t="str">
        <f>_xlfn.TEXTBEFORE(_xlfn.TEXTAFTER(us_core_reqs[[#This Row],[URL*]],"/",-1),".")</f>
        <v>StructureDefinition-us-core-observation-screening-assessment</v>
      </c>
      <c r="S636" t="str">
        <f>_xlfn.TEXTAFTER(us_core_reqs[[#This Row],[URL*]],"#",-1)</f>
        <v>mandatory-and-must-support-data-elements</v>
      </c>
      <c r="T636" t="str">
        <f>SUBSTITUTE(SUBSTITUTE(PROPER(SUBSTITUTE(us_core_reqs[[#This Row],[Page]], "-", " "))&amp;": "&amp;PROPER(SUBSTITUTE(us_core_reqs[[#This Row],[Section]], "-", " ")),"Us ","US "), "Uscdi", "USCDI")</f>
        <v>Structuredefinition US Core Observation Screening Assessment: Mandatory And Must Support Data Elements</v>
      </c>
      <c r="U636" t="s">
        <v>1171</v>
      </c>
      <c r="V636" t="s">
        <v>1171</v>
      </c>
      <c r="W636" t="s">
        <v>1171</v>
      </c>
      <c r="X636" t="s">
        <v>1171</v>
      </c>
      <c r="Y636" t="s">
        <v>1171</v>
      </c>
      <c r="Z636" t="s">
        <v>1171</v>
      </c>
      <c r="AA636" t="s">
        <v>1171</v>
      </c>
      <c r="AB636" t="s">
        <v>1171</v>
      </c>
      <c r="AC636" t="s">
        <v>1171</v>
      </c>
      <c r="AD636" t="s">
        <v>1171</v>
      </c>
    </row>
    <row r="637" spans="1:30" ht="68" x14ac:dyDescent="0.2">
      <c r="A637" t="s">
        <v>1171</v>
      </c>
      <c r="B637" t="s">
        <v>1809</v>
      </c>
      <c r="C637" t="str">
        <f>"CONF-"&amp;TEXT(us_core_reqs[[#This Row],[ID*]], "0000")</f>
        <v>CONF-0849</v>
      </c>
      <c r="D637" s="11" t="s">
        <v>783</v>
      </c>
      <c r="E637" t="str">
        <f>SUBSTITUTE(us_core_reqs[[#This Row],[URL*]], "https://hl7.org/fhir/us/core/STU8/","")</f>
        <v>StructureDefinition-us-core-observation-screening-assessment.html#mandatory-and-must-support-data-elements</v>
      </c>
      <c r="F637" s="11" t="s">
        <v>2203</v>
      </c>
      <c r="G637" t="s">
        <v>29</v>
      </c>
      <c r="I637" t="s">
        <v>58</v>
      </c>
      <c r="J637" t="s">
        <v>1171</v>
      </c>
      <c r="K637" t="s">
        <v>1171</v>
      </c>
      <c r="L637" t="s">
        <v>1173</v>
      </c>
      <c r="M637" t="s">
        <v>1171</v>
      </c>
      <c r="N637" t="s">
        <v>1171</v>
      </c>
      <c r="O637" t="s">
        <v>1171</v>
      </c>
      <c r="P637" t="s">
        <v>1171</v>
      </c>
      <c r="Q637" t="s">
        <v>1171</v>
      </c>
      <c r="R637" t="str">
        <f>_xlfn.TEXTBEFORE(_xlfn.TEXTAFTER(us_core_reqs[[#This Row],[URL*]],"/",-1),".")</f>
        <v>StructureDefinition-us-core-observation-screening-assessment</v>
      </c>
      <c r="S637" t="str">
        <f>_xlfn.TEXTAFTER(us_core_reqs[[#This Row],[URL*]],"#",-1)</f>
        <v>mandatory-and-must-support-data-elements</v>
      </c>
      <c r="T637" t="str">
        <f>SUBSTITUTE(SUBSTITUTE(PROPER(SUBSTITUTE(us_core_reqs[[#This Row],[Page]], "-", " "))&amp;": "&amp;PROPER(SUBSTITUTE(us_core_reqs[[#This Row],[Section]], "-", " ")),"Us ","US "), "Uscdi", "USCDI")</f>
        <v>Structuredefinition US Core Observation Screening Assessment: Mandatory And Must Support Data Elements</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1810</v>
      </c>
      <c r="C638" t="str">
        <f>"CONF-"&amp;TEXT(us_core_reqs[[#This Row],[ID*]], "0000")</f>
        <v>CONF-0850</v>
      </c>
      <c r="D638" s="11" t="s">
        <v>783</v>
      </c>
      <c r="E638" t="str">
        <f>SUBSTITUTE(us_core_reqs[[#This Row],[URL*]], "https://hl7.org/fhir/us/core/STU8/","")</f>
        <v>StructureDefinition-us-core-observation-screening-assessment.html#mandatory-and-must-support-data-elements</v>
      </c>
      <c r="F638" s="11" t="s">
        <v>2040</v>
      </c>
      <c r="G638" t="s">
        <v>32</v>
      </c>
      <c r="I638" t="s">
        <v>30</v>
      </c>
      <c r="J638" t="s">
        <v>1171</v>
      </c>
      <c r="K638" t="s">
        <v>1171</v>
      </c>
      <c r="L638" t="s">
        <v>1173</v>
      </c>
      <c r="M638" t="s">
        <v>1171</v>
      </c>
      <c r="N638" t="s">
        <v>1171</v>
      </c>
      <c r="O638" t="s">
        <v>1171</v>
      </c>
      <c r="P638" t="s">
        <v>1171</v>
      </c>
      <c r="Q638" t="s">
        <v>1171</v>
      </c>
      <c r="R638" t="str">
        <f>_xlfn.TEXTBEFORE(_xlfn.TEXTAFTER(us_core_reqs[[#This Row],[URL*]],"/",-1),".")</f>
        <v>StructureDefinition-us-core-observation-screening-assessment</v>
      </c>
      <c r="S638" t="str">
        <f>_xlfn.TEXTAFTER(us_core_reqs[[#This Row],[URL*]],"#",-1)</f>
        <v>mandatory-and-must-support-data-elements</v>
      </c>
      <c r="T638" t="str">
        <f>SUBSTITUTE(SUBSTITUTE(PROPER(SUBSTITUTE(us_core_reqs[[#This Row],[Page]], "-", " "))&amp;": "&amp;PROPER(SUBSTITUTE(us_core_reqs[[#This Row],[Section]], "-", " ")),"Us ","US "), "Uscdi", "USCDI")</f>
        <v>Structuredefinition US Core Observation Screening Assessment: Mandatory And Must Support Data Elements</v>
      </c>
      <c r="U638" t="s">
        <v>1171</v>
      </c>
      <c r="V638" t="s">
        <v>1171</v>
      </c>
      <c r="W638" t="s">
        <v>1171</v>
      </c>
      <c r="X638" t="s">
        <v>1171</v>
      </c>
      <c r="Y638" t="s">
        <v>1171</v>
      </c>
      <c r="Z638" t="s">
        <v>1171</v>
      </c>
      <c r="AA638" t="s">
        <v>1171</v>
      </c>
      <c r="AB638" t="s">
        <v>1171</v>
      </c>
      <c r="AC638" t="s">
        <v>1171</v>
      </c>
      <c r="AD638" t="s">
        <v>1171</v>
      </c>
    </row>
    <row r="639" spans="1:30" ht="136" x14ac:dyDescent="0.2">
      <c r="A639" t="s">
        <v>1171</v>
      </c>
      <c r="B639" t="s">
        <v>1811</v>
      </c>
      <c r="C639" t="str">
        <f>"CONF-"&amp;TEXT(us_core_reqs[[#This Row],[ID*]], "0000")</f>
        <v>CONF-0851</v>
      </c>
      <c r="D639" s="11" t="s">
        <v>794</v>
      </c>
      <c r="E639" t="str">
        <f>SUBSTITUTE(us_core_reqs[[#This Row],[URL*]], "https://hl7.org/fhir/us/core/STU8/","")</f>
        <v>StructureDefinition-us-core-patient.html#mandatory-and-must-support-data-elements</v>
      </c>
      <c r="F639" s="11" t="s">
        <v>796</v>
      </c>
      <c r="G639" t="s">
        <v>35</v>
      </c>
      <c r="I639" t="s">
        <v>30</v>
      </c>
      <c r="J639" t="s">
        <v>1171</v>
      </c>
      <c r="K639" t="s">
        <v>1171</v>
      </c>
      <c r="L639" t="s">
        <v>1173</v>
      </c>
      <c r="M639" t="s">
        <v>1171</v>
      </c>
      <c r="N639" t="s">
        <v>1171</v>
      </c>
      <c r="O639" t="s">
        <v>1171</v>
      </c>
      <c r="P639" t="s">
        <v>1171</v>
      </c>
      <c r="Q639" t="s">
        <v>1171</v>
      </c>
      <c r="R639" t="str">
        <f>_xlfn.TEXTBEFORE(_xlfn.TEXTAFTER(us_core_reqs[[#This Row],[URL*]],"/",-1),".")</f>
        <v>StructureDefinition-us-core-patient</v>
      </c>
      <c r="S639" t="str">
        <f>_xlfn.TEXTAFTER(us_core_reqs[[#This Row],[URL*]],"#",-1)</f>
        <v>mandatory-and-must-support-data-elements</v>
      </c>
      <c r="T639" t="str">
        <f>SUBSTITUTE(SUBSTITUTE(PROPER(SUBSTITUTE(us_core_reqs[[#This Row],[Page]], "-", " "))&amp;": "&amp;PROPER(SUBSTITUTE(us_core_reqs[[#This Row],[Section]], "-", " ")),"Us ","US "), "Uscdi", "USCDI")</f>
        <v>Structuredefinition US Core Patient: Mandatory And Must Support Data Elements</v>
      </c>
      <c r="U639" t="s">
        <v>1171</v>
      </c>
      <c r="V639" t="s">
        <v>1171</v>
      </c>
      <c r="W639" t="s">
        <v>1171</v>
      </c>
      <c r="X639" t="s">
        <v>1171</v>
      </c>
      <c r="Y639" t="s">
        <v>1171</v>
      </c>
      <c r="Z639" t="s">
        <v>1171</v>
      </c>
      <c r="AA639" t="s">
        <v>1171</v>
      </c>
      <c r="AB639" t="s">
        <v>1171</v>
      </c>
      <c r="AC639" t="s">
        <v>1171</v>
      </c>
      <c r="AD639" t="s">
        <v>1171</v>
      </c>
    </row>
    <row r="640" spans="1:30" ht="102" x14ac:dyDescent="0.2">
      <c r="A640" t="s">
        <v>1171</v>
      </c>
      <c r="B640" t="s">
        <v>1812</v>
      </c>
      <c r="C640" t="str">
        <f>"CONF-"&amp;TEXT(us_core_reqs[[#This Row],[ID*]], "0000")</f>
        <v>CONF-0852</v>
      </c>
      <c r="D640" s="11" t="s">
        <v>794</v>
      </c>
      <c r="E640" t="str">
        <f>SUBSTITUTE(us_core_reqs[[#This Row],[URL*]], "https://hl7.org/fhir/us/core/STU8/","")</f>
        <v>StructureDefinition-us-core-patient.html#mandatory-and-must-support-data-elements</v>
      </c>
      <c r="F640" s="11" t="s">
        <v>795</v>
      </c>
      <c r="G640" t="s">
        <v>29</v>
      </c>
      <c r="I640" t="s">
        <v>30</v>
      </c>
      <c r="J640" t="s">
        <v>1171</v>
      </c>
      <c r="K640" t="s">
        <v>1171</v>
      </c>
      <c r="L640" t="s">
        <v>1176</v>
      </c>
      <c r="M640" t="s">
        <v>800</v>
      </c>
      <c r="N640" t="s">
        <v>1171</v>
      </c>
      <c r="O640" t="s">
        <v>1171</v>
      </c>
      <c r="P640" t="s">
        <v>1171</v>
      </c>
      <c r="Q640" t="s">
        <v>1171</v>
      </c>
      <c r="R640" t="str">
        <f>_xlfn.TEXTBEFORE(_xlfn.TEXTAFTER(us_core_reqs[[#This Row],[URL*]],"/",-1),".")</f>
        <v>StructureDefinition-us-core-patient</v>
      </c>
      <c r="S640" t="str">
        <f>_xlfn.TEXTAFTER(us_core_reqs[[#This Row],[URL*]],"#",-1)</f>
        <v>mandatory-and-must-support-data-elements</v>
      </c>
      <c r="T640" t="str">
        <f>SUBSTITUTE(SUBSTITUTE(PROPER(SUBSTITUTE(us_core_reqs[[#This Row],[Page]], "-", " "))&amp;": "&amp;PROPER(SUBSTITUTE(us_core_reqs[[#This Row],[Section]], "-", " ")),"Us ","US "), "Uscdi", "USCDI")</f>
        <v>Structuredefinition US Core Patient: Mandatory And Must Support Data Elements</v>
      </c>
      <c r="U640" t="s">
        <v>1171</v>
      </c>
      <c r="V640" t="s">
        <v>1171</v>
      </c>
      <c r="W640" t="s">
        <v>1171</v>
      </c>
      <c r="X640" t="s">
        <v>1171</v>
      </c>
      <c r="Y640" t="s">
        <v>1171</v>
      </c>
      <c r="Z640" t="s">
        <v>1171</v>
      </c>
      <c r="AA640" t="s">
        <v>1171</v>
      </c>
      <c r="AB640" t="s">
        <v>405</v>
      </c>
      <c r="AC640" t="s">
        <v>1140</v>
      </c>
      <c r="AD640" t="s">
        <v>1156</v>
      </c>
    </row>
    <row r="641" spans="1:30" ht="102" x14ac:dyDescent="0.2">
      <c r="A641" t="s">
        <v>1171</v>
      </c>
      <c r="B641" t="s">
        <v>1813</v>
      </c>
      <c r="C641" t="str">
        <f>"CONF-"&amp;TEXT(us_core_reqs[[#This Row],[ID*]], "0000")</f>
        <v>CONF-0853</v>
      </c>
      <c r="D641" s="11" t="s">
        <v>794</v>
      </c>
      <c r="E641" t="str">
        <f>SUBSTITUTE(us_core_reqs[[#This Row],[URL*]], "https://hl7.org/fhir/us/core/STU8/","")</f>
        <v>StructureDefinition-us-core-patient.html#mandatory-and-must-support-data-elements</v>
      </c>
      <c r="F641" s="11" t="s">
        <v>797</v>
      </c>
      <c r="G641" t="s">
        <v>29</v>
      </c>
      <c r="I641" t="s">
        <v>58</v>
      </c>
      <c r="J641" t="s">
        <v>1171</v>
      </c>
      <c r="K641" t="s">
        <v>1171</v>
      </c>
      <c r="L641" t="s">
        <v>1176</v>
      </c>
      <c r="M641" t="s">
        <v>799</v>
      </c>
      <c r="N641" t="s">
        <v>1171</v>
      </c>
      <c r="O641" t="s">
        <v>1171</v>
      </c>
      <c r="P641" t="s">
        <v>1171</v>
      </c>
      <c r="Q641" t="s">
        <v>1171</v>
      </c>
      <c r="R641" t="str">
        <f>_xlfn.TEXTBEFORE(_xlfn.TEXTAFTER(us_core_reqs[[#This Row],[URL*]],"/",-1),".")</f>
        <v>StructureDefinition-us-core-patient</v>
      </c>
      <c r="S641" t="str">
        <f>_xlfn.TEXTAFTER(us_core_reqs[[#This Row],[URL*]],"#",-1)</f>
        <v>mandatory-and-must-support-data-elements</v>
      </c>
      <c r="T641" t="str">
        <f>SUBSTITUTE(SUBSTITUTE(PROPER(SUBSTITUTE(us_core_reqs[[#This Row],[Page]], "-", " "))&amp;": "&amp;PROPER(SUBSTITUTE(us_core_reqs[[#This Row],[Section]], "-", " ")),"Us ","US "), "Uscdi", "USCDI")</f>
        <v>Structuredefinition US Core Patient: Mandatory And Must Support Data Elements</v>
      </c>
      <c r="U641" t="s">
        <v>1171</v>
      </c>
      <c r="V641" t="s">
        <v>1171</v>
      </c>
      <c r="W641" t="s">
        <v>1171</v>
      </c>
      <c r="X641" t="s">
        <v>1171</v>
      </c>
      <c r="Y641" t="s">
        <v>1171</v>
      </c>
      <c r="Z641" t="s">
        <v>1171</v>
      </c>
      <c r="AA641" t="s">
        <v>1171</v>
      </c>
      <c r="AB641" t="s">
        <v>1171</v>
      </c>
      <c r="AC641" t="s">
        <v>1171</v>
      </c>
      <c r="AD641" t="s">
        <v>1171</v>
      </c>
    </row>
    <row r="642" spans="1:30" ht="102" x14ac:dyDescent="0.2">
      <c r="A642" t="s">
        <v>1171</v>
      </c>
      <c r="B642" t="s">
        <v>1814</v>
      </c>
      <c r="C642" t="str">
        <f>"CONF-"&amp;TEXT(us_core_reqs[[#This Row],[ID*]], "0000")</f>
        <v>CONF-0854</v>
      </c>
      <c r="D642" s="11" t="s">
        <v>794</v>
      </c>
      <c r="E642" t="str">
        <f>SUBSTITUTE(us_core_reqs[[#This Row],[URL*]], "https://hl7.org/fhir/us/core/STU8/","")</f>
        <v>StructureDefinition-us-core-patient.html#mandatory-and-must-support-data-elements</v>
      </c>
      <c r="F642" s="11" t="s">
        <v>798</v>
      </c>
      <c r="G642" t="s">
        <v>29</v>
      </c>
      <c r="I642" t="s">
        <v>58</v>
      </c>
      <c r="J642" t="s">
        <v>1171</v>
      </c>
      <c r="K642" t="s">
        <v>1171</v>
      </c>
      <c r="L642" t="s">
        <v>1176</v>
      </c>
      <c r="M642" t="s">
        <v>799</v>
      </c>
      <c r="N642" t="s">
        <v>1171</v>
      </c>
      <c r="O642" t="s">
        <v>1171</v>
      </c>
      <c r="P642" t="s">
        <v>1171</v>
      </c>
      <c r="Q642" t="s">
        <v>1171</v>
      </c>
      <c r="R642" t="str">
        <f>_xlfn.TEXTBEFORE(_xlfn.TEXTAFTER(us_core_reqs[[#This Row],[URL*]],"/",-1),".")</f>
        <v>StructureDefinition-us-core-patient</v>
      </c>
      <c r="S642" t="str">
        <f>_xlfn.TEXTAFTER(us_core_reqs[[#This Row],[URL*]],"#",-1)</f>
        <v>mandatory-and-must-support-data-elements</v>
      </c>
      <c r="T642" t="str">
        <f>SUBSTITUTE(SUBSTITUTE(PROPER(SUBSTITUTE(us_core_reqs[[#This Row],[Page]], "-", " "))&amp;": "&amp;PROPER(SUBSTITUTE(us_core_reqs[[#This Row],[Section]], "-", " ")),"Us ","US "), "Uscdi", "USCDI")</f>
        <v>Structuredefinition US Core Patient: Mandatory And Must Support Data Elements</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1815</v>
      </c>
      <c r="C643" t="str">
        <f>"CONF-"&amp;TEXT(us_core_reqs[[#This Row],[ID*]], "0000")</f>
        <v>CONF-0855</v>
      </c>
      <c r="D643" s="11" t="s">
        <v>794</v>
      </c>
      <c r="E643" t="str">
        <f>SUBSTITUTE(us_core_reqs[[#This Row],[URL*]], "https://hl7.org/fhir/us/core/STU8/","")</f>
        <v>StructureDefinition-us-core-patient.html#mandatory-and-must-support-data-elements</v>
      </c>
      <c r="F643" s="11" t="s">
        <v>801</v>
      </c>
      <c r="G643" t="s">
        <v>32</v>
      </c>
      <c r="I643" t="s">
        <v>30</v>
      </c>
      <c r="J643" t="s">
        <v>1171</v>
      </c>
      <c r="K643" t="s">
        <v>1171</v>
      </c>
      <c r="L643" t="s">
        <v>1173</v>
      </c>
      <c r="M643" t="s">
        <v>1171</v>
      </c>
      <c r="N643" t="s">
        <v>1171</v>
      </c>
      <c r="O643" t="s">
        <v>1171</v>
      </c>
      <c r="P643" t="s">
        <v>1171</v>
      </c>
      <c r="Q643" t="s">
        <v>1171</v>
      </c>
      <c r="R643" t="str">
        <f>_xlfn.TEXTBEFORE(_xlfn.TEXTAFTER(us_core_reqs[[#This Row],[URL*]],"/",-1),".")</f>
        <v>StructureDefinition-us-core-patient</v>
      </c>
      <c r="S643" t="str">
        <f>_xlfn.TEXTAFTER(us_core_reqs[[#This Row],[URL*]],"#",-1)</f>
        <v>mandatory-and-must-support-data-elements</v>
      </c>
      <c r="T643" t="str">
        <f>SUBSTITUTE(SUBSTITUTE(PROPER(SUBSTITUTE(us_core_reqs[[#This Row],[Page]], "-", " "))&amp;": "&amp;PROPER(SUBSTITUTE(us_core_reqs[[#This Row],[Section]], "-", " ")),"Us ","US "), "Uscdi", "USCDI")</f>
        <v>Structuredefinition US Core Patient: Mandatory And Must Support Data Elements</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1816</v>
      </c>
      <c r="C644" t="str">
        <f>"CONF-"&amp;TEXT(us_core_reqs[[#This Row],[ID*]], "0000")</f>
        <v>CONF-0856</v>
      </c>
      <c r="D644" s="11" t="s">
        <v>807</v>
      </c>
      <c r="E644" t="str">
        <f>SUBSTITUTE(us_core_reqs[[#This Row],[URL*]], "https://hl7.org/fhir/us/core/STU8/","")</f>
        <v>StructureDefinition-us-core-procedure.html#mandatory-and-must-support-data-elements</v>
      </c>
      <c r="F644" s="11" t="s">
        <v>806</v>
      </c>
      <c r="G644" t="s">
        <v>29</v>
      </c>
      <c r="I644" t="s">
        <v>30</v>
      </c>
      <c r="J644" t="s">
        <v>1171</v>
      </c>
      <c r="K644" t="s">
        <v>1171</v>
      </c>
      <c r="L644" t="s">
        <v>1176</v>
      </c>
      <c r="M644" t="s">
        <v>808</v>
      </c>
      <c r="N644" t="s">
        <v>1171</v>
      </c>
      <c r="O644" t="s">
        <v>1171</v>
      </c>
      <c r="P644" t="s">
        <v>1171</v>
      </c>
      <c r="Q644" t="s">
        <v>1171</v>
      </c>
      <c r="R644" t="str">
        <f>_xlfn.TEXTBEFORE(_xlfn.TEXTAFTER(us_core_reqs[[#This Row],[URL*]],"/",-1),".")</f>
        <v>StructureDefinition-us-core-procedure</v>
      </c>
      <c r="S644" t="str">
        <f>_xlfn.TEXTAFTER(us_core_reqs[[#This Row],[URL*]],"#",-1)</f>
        <v>mandatory-and-must-support-data-elements</v>
      </c>
      <c r="T644" t="str">
        <f>SUBSTITUTE(SUBSTITUTE(PROPER(SUBSTITUTE(us_core_reqs[[#This Row],[Page]], "-", " "))&amp;": "&amp;PROPER(SUBSTITUTE(us_core_reqs[[#This Row],[Section]], "-", " ")),"Us ","US "), "Uscdi", "USCDI")</f>
        <v>Structuredefinition US Core Procedure: Mandatory And Must Support Data Elements</v>
      </c>
      <c r="U644" t="s">
        <v>1171</v>
      </c>
      <c r="V644" t="s">
        <v>1171</v>
      </c>
      <c r="W644" t="s">
        <v>1171</v>
      </c>
      <c r="X644" t="s">
        <v>1171</v>
      </c>
      <c r="Y644" t="s">
        <v>1171</v>
      </c>
      <c r="Z644" t="s">
        <v>1171</v>
      </c>
      <c r="AA644" t="s">
        <v>1171</v>
      </c>
      <c r="AB644" t="s">
        <v>1171</v>
      </c>
      <c r="AC644" t="s">
        <v>1140</v>
      </c>
      <c r="AD644" t="s">
        <v>1154</v>
      </c>
    </row>
    <row r="645" spans="1:30" ht="153" x14ac:dyDescent="0.2">
      <c r="A645" t="s">
        <v>1171</v>
      </c>
      <c r="B645" t="s">
        <v>1817</v>
      </c>
      <c r="C645" t="str">
        <f>"CONF-"&amp;TEXT(us_core_reqs[[#This Row],[ID*]], "0000")</f>
        <v>CONF-0857</v>
      </c>
      <c r="D645" s="11" t="s">
        <v>815</v>
      </c>
      <c r="E645" t="str">
        <f>SUBSTITUTE(us_core_reqs[[#This Row],[URL*]], "https://hl7.org/fhir/us/core/STU8/","")</f>
        <v>StructureDefinition-us-core-servicerequest.html#root</v>
      </c>
      <c r="F645" s="11" t="s">
        <v>2041</v>
      </c>
      <c r="G645" t="s">
        <v>32</v>
      </c>
      <c r="I645" t="s">
        <v>30</v>
      </c>
      <c r="J645" t="s">
        <v>1171</v>
      </c>
      <c r="K645" t="s">
        <v>1171</v>
      </c>
      <c r="L645" t="s">
        <v>1173</v>
      </c>
      <c r="M645" t="s">
        <v>1171</v>
      </c>
      <c r="N645" t="s">
        <v>1171</v>
      </c>
      <c r="O645" t="s">
        <v>1171</v>
      </c>
      <c r="P645" t="s">
        <v>1171</v>
      </c>
      <c r="Q645" t="s">
        <v>1171</v>
      </c>
      <c r="R645" t="str">
        <f>_xlfn.TEXTBEFORE(_xlfn.TEXTAFTER(us_core_reqs[[#This Row],[URL*]],"/",-1),".")</f>
        <v>StructureDefinition-us-core-servicerequest</v>
      </c>
      <c r="S645" t="str">
        <f>_xlfn.TEXTAFTER(us_core_reqs[[#This Row],[URL*]],"#",-1)</f>
        <v>root</v>
      </c>
      <c r="T645" t="str">
        <f>SUBSTITUTE(SUBSTITUTE(PROPER(SUBSTITUTE(us_core_reqs[[#This Row],[Page]], "-", " "))&amp;": "&amp;PROPER(SUBSTITUTE(us_core_reqs[[#This Row],[Section]], "-", " ")),"Us ","US "), "Uscdi", "USCDI")</f>
        <v>Structuredefinition US Core Servicerequest: Root</v>
      </c>
      <c r="U645" t="s">
        <v>1171</v>
      </c>
      <c r="V645" t="s">
        <v>1171</v>
      </c>
      <c r="W645" t="s">
        <v>1171</v>
      </c>
      <c r="X645" t="s">
        <v>1171</v>
      </c>
      <c r="Y645" t="s">
        <v>1171</v>
      </c>
      <c r="Z645" t="s">
        <v>1171</v>
      </c>
      <c r="AA645" t="s">
        <v>1171</v>
      </c>
      <c r="AB645" t="s">
        <v>1171</v>
      </c>
      <c r="AC645" t="s">
        <v>1171</v>
      </c>
      <c r="AD645" t="s">
        <v>1171</v>
      </c>
    </row>
    <row r="646" spans="1:30" ht="289" x14ac:dyDescent="0.2">
      <c r="A646" t="s">
        <v>1171</v>
      </c>
      <c r="B646" t="s">
        <v>1818</v>
      </c>
      <c r="C646" t="str">
        <f>"CONF-"&amp;TEXT(us_core_reqs[[#This Row],[ID*]], "0000")</f>
        <v>CONF-0858</v>
      </c>
      <c r="D646" s="11" t="s">
        <v>815</v>
      </c>
      <c r="E646" t="str">
        <f>SUBSTITUTE(us_core_reqs[[#This Row],[URL*]], "https://hl7.org/fhir/us/core/STU8/","")</f>
        <v>StructureDefinition-us-core-servicerequest.html#root</v>
      </c>
      <c r="F646" s="11" t="s">
        <v>2042</v>
      </c>
      <c r="G646" t="s">
        <v>32</v>
      </c>
      <c r="I646" t="s">
        <v>30</v>
      </c>
      <c r="J646" t="s">
        <v>1171</v>
      </c>
      <c r="K646" t="s">
        <v>1171</v>
      </c>
      <c r="L646" t="s">
        <v>1173</v>
      </c>
      <c r="M646" t="s">
        <v>1171</v>
      </c>
      <c r="N646" t="s">
        <v>1171</v>
      </c>
      <c r="O646" t="s">
        <v>1171</v>
      </c>
      <c r="P646" t="s">
        <v>1171</v>
      </c>
      <c r="Q646" t="s">
        <v>1171</v>
      </c>
      <c r="R646" t="str">
        <f>_xlfn.TEXTBEFORE(_xlfn.TEXTAFTER(us_core_reqs[[#This Row],[URL*]],"/",-1),".")</f>
        <v>StructureDefinition-us-core-servicerequest</v>
      </c>
      <c r="S646" t="str">
        <f>_xlfn.TEXTAFTER(us_core_reqs[[#This Row],[URL*]],"#",-1)</f>
        <v>root</v>
      </c>
      <c r="T646" t="str">
        <f>SUBSTITUTE(SUBSTITUTE(PROPER(SUBSTITUTE(us_core_reqs[[#This Row],[Page]], "-", " "))&amp;": "&amp;PROPER(SUBSTITUTE(us_core_reqs[[#This Row],[Section]], "-", " ")),"Us ","US "), "Uscdi", "USCDI")</f>
        <v>Structuredefinition US Core Servicerequest: Root</v>
      </c>
      <c r="U646" t="s">
        <v>1171</v>
      </c>
      <c r="V646" t="s">
        <v>1171</v>
      </c>
      <c r="W646" t="s">
        <v>1171</v>
      </c>
      <c r="X646" t="s">
        <v>1171</v>
      </c>
      <c r="Y646" t="s">
        <v>1171</v>
      </c>
      <c r="Z646" t="s">
        <v>1171</v>
      </c>
      <c r="AA646" t="s">
        <v>1171</v>
      </c>
      <c r="AB646" t="s">
        <v>1171</v>
      </c>
      <c r="AC646" t="s">
        <v>1171</v>
      </c>
      <c r="AD646" t="s">
        <v>1171</v>
      </c>
    </row>
    <row r="647" spans="1:30" ht="153" x14ac:dyDescent="0.2">
      <c r="A647" t="s">
        <v>1171</v>
      </c>
      <c r="B647" t="s">
        <v>1819</v>
      </c>
      <c r="C647" t="str">
        <f>"CONF-"&amp;TEXT(us_core_reqs[[#This Row],[ID*]], "0000")</f>
        <v>CONF-0859</v>
      </c>
      <c r="D647" s="11" t="s">
        <v>815</v>
      </c>
      <c r="E647" t="str">
        <f>SUBSTITUTE(us_core_reqs[[#This Row],[URL*]], "https://hl7.org/fhir/us/core/STU8/","")</f>
        <v>StructureDefinition-us-core-servicerequest.html#root</v>
      </c>
      <c r="F647" s="11" t="s">
        <v>2043</v>
      </c>
      <c r="G647" t="s">
        <v>32</v>
      </c>
      <c r="I647" t="s">
        <v>30</v>
      </c>
      <c r="J647" t="s">
        <v>1171</v>
      </c>
      <c r="K647" t="s">
        <v>1171</v>
      </c>
      <c r="L647" t="s">
        <v>1173</v>
      </c>
      <c r="M647" t="s">
        <v>1171</v>
      </c>
      <c r="N647" t="s">
        <v>1171</v>
      </c>
      <c r="O647" t="s">
        <v>1171</v>
      </c>
      <c r="P647" t="s">
        <v>1171</v>
      </c>
      <c r="Q647" t="s">
        <v>1171</v>
      </c>
      <c r="R647" t="str">
        <f>_xlfn.TEXTBEFORE(_xlfn.TEXTAFTER(us_core_reqs[[#This Row],[URL*]],"/",-1),".")</f>
        <v>StructureDefinition-us-core-servicerequest</v>
      </c>
      <c r="S647" t="str">
        <f>_xlfn.TEXTAFTER(us_core_reqs[[#This Row],[URL*]],"#",-1)</f>
        <v>root</v>
      </c>
      <c r="T647" t="str">
        <f>SUBSTITUTE(SUBSTITUTE(PROPER(SUBSTITUTE(us_core_reqs[[#This Row],[Page]], "-", " "))&amp;": "&amp;PROPER(SUBSTITUTE(us_core_reqs[[#This Row],[Section]], "-", " ")),"Us ","US "), "Uscdi", "USCDI")</f>
        <v>Structuredefinition US Core Servicerequest: Root</v>
      </c>
      <c r="U647" t="s">
        <v>1171</v>
      </c>
      <c r="V647" t="s">
        <v>1171</v>
      </c>
      <c r="W647" t="s">
        <v>1171</v>
      </c>
      <c r="X647" t="s">
        <v>1171</v>
      </c>
      <c r="Y647" t="s">
        <v>1171</v>
      </c>
      <c r="Z647" t="s">
        <v>1171</v>
      </c>
      <c r="AA647" t="s">
        <v>1171</v>
      </c>
      <c r="AB647" t="s">
        <v>1171</v>
      </c>
      <c r="AC647" t="s">
        <v>1171</v>
      </c>
      <c r="AD647" t="s">
        <v>1171</v>
      </c>
    </row>
    <row r="648" spans="1:30" ht="289" x14ac:dyDescent="0.2">
      <c r="A648" t="s">
        <v>1171</v>
      </c>
      <c r="B648" t="s">
        <v>1820</v>
      </c>
      <c r="C648" t="str">
        <f>"CONF-"&amp;TEXT(us_core_reqs[[#This Row],[ID*]], "0000")</f>
        <v>CONF-0860</v>
      </c>
      <c r="D648" s="11" t="s">
        <v>815</v>
      </c>
      <c r="E648" t="str">
        <f>SUBSTITUTE(us_core_reqs[[#This Row],[URL*]], "https://hl7.org/fhir/us/core/STU8/","")</f>
        <v>StructureDefinition-us-core-servicerequest.html#root</v>
      </c>
      <c r="F648" s="11" t="s">
        <v>2044</v>
      </c>
      <c r="G648" t="s">
        <v>32</v>
      </c>
      <c r="I648" t="s">
        <v>30</v>
      </c>
      <c r="J648" t="s">
        <v>1171</v>
      </c>
      <c r="K648" t="s">
        <v>1171</v>
      </c>
      <c r="L648" t="s">
        <v>1173</v>
      </c>
      <c r="M648" t="s">
        <v>1171</v>
      </c>
      <c r="N648" t="s">
        <v>1171</v>
      </c>
      <c r="O648" t="s">
        <v>1171</v>
      </c>
      <c r="P648" t="s">
        <v>1171</v>
      </c>
      <c r="Q648" t="s">
        <v>1171</v>
      </c>
      <c r="R648" t="str">
        <f>_xlfn.TEXTBEFORE(_xlfn.TEXTAFTER(us_core_reqs[[#This Row],[URL*]],"/",-1),".")</f>
        <v>StructureDefinition-us-core-servicerequest</v>
      </c>
      <c r="S648" t="str">
        <f>_xlfn.TEXTAFTER(us_core_reqs[[#This Row],[URL*]],"#",-1)</f>
        <v>root</v>
      </c>
      <c r="T648" t="str">
        <f>SUBSTITUTE(SUBSTITUTE(PROPER(SUBSTITUTE(us_core_reqs[[#This Row],[Page]], "-", " "))&amp;": "&amp;PROPER(SUBSTITUTE(us_core_reqs[[#This Row],[Section]], "-", " ")),"Us ","US "), "Uscdi", "USCDI")</f>
        <v>Structuredefinition US Core Servicerequest: Root</v>
      </c>
      <c r="U648" t="s">
        <v>1171</v>
      </c>
      <c r="V648" t="s">
        <v>1171</v>
      </c>
      <c r="W648" t="s">
        <v>1171</v>
      </c>
      <c r="X648" t="s">
        <v>1171</v>
      </c>
      <c r="Y648" t="s">
        <v>1171</v>
      </c>
      <c r="Z648" t="s">
        <v>1171</v>
      </c>
      <c r="AA648" t="s">
        <v>1171</v>
      </c>
      <c r="AB648" t="s">
        <v>1171</v>
      </c>
      <c r="AC648" t="s">
        <v>1171</v>
      </c>
      <c r="AD648" t="s">
        <v>1171</v>
      </c>
    </row>
    <row r="649" spans="1:30" ht="153" x14ac:dyDescent="0.2">
      <c r="A649" t="s">
        <v>1171</v>
      </c>
      <c r="B649" t="s">
        <v>1821</v>
      </c>
      <c r="C649" t="str">
        <f>"CONF-"&amp;TEXT(us_core_reqs[[#This Row],[ID*]], "0000")</f>
        <v>CONF-0861</v>
      </c>
      <c r="D649" s="11" t="s">
        <v>879</v>
      </c>
      <c r="E649" t="str">
        <f>SUBSTITUTE(us_core_reqs[[#This Row],[URL*]], "https://hl7.org/fhir/us/core/STU8/","")</f>
        <v>StructureDefinition-us-core-simple-observation.html#mandatory-and-must-support-data-elements</v>
      </c>
      <c r="F649" s="11" t="s">
        <v>1127</v>
      </c>
      <c r="G649" t="s">
        <v>32</v>
      </c>
      <c r="I649" t="s">
        <v>30</v>
      </c>
      <c r="J649" t="b">
        <v>1</v>
      </c>
      <c r="K649" t="s">
        <v>1171</v>
      </c>
      <c r="L649" t="s">
        <v>1176</v>
      </c>
      <c r="M649" t="s">
        <v>1135</v>
      </c>
      <c r="N649" t="s">
        <v>1171</v>
      </c>
      <c r="O649" t="s">
        <v>1171</v>
      </c>
      <c r="P649" t="s">
        <v>1171</v>
      </c>
      <c r="Q649" t="s">
        <v>1171</v>
      </c>
      <c r="R649" t="str">
        <f>_xlfn.TEXTBEFORE(_xlfn.TEXTAFTER(us_core_reqs[[#This Row],[URL*]],"/",-1),".")</f>
        <v>StructureDefinition-us-core-simple-observation</v>
      </c>
      <c r="S649" t="str">
        <f>_xlfn.TEXTAFTER(us_core_reqs[[#This Row],[URL*]],"#",-1)</f>
        <v>mandatory-and-must-support-data-elements</v>
      </c>
      <c r="T649" t="str">
        <f>SUBSTITUTE(SUBSTITUTE(PROPER(SUBSTITUTE(us_core_reqs[[#This Row],[Page]], "-", " "))&amp;": "&amp;PROPER(SUBSTITUTE(us_core_reqs[[#This Row],[Section]], "-", " ")),"Us ","US "), "Uscdi", "USCDI")</f>
        <v>Structuredefinition US Core Simple Observation: Mandatory And Must Support Data Elements</v>
      </c>
      <c r="U649" t="s">
        <v>1171</v>
      </c>
      <c r="V649" t="s">
        <v>1171</v>
      </c>
      <c r="W649" t="s">
        <v>1171</v>
      </c>
      <c r="X649" t="s">
        <v>1171</v>
      </c>
      <c r="Y649" t="s">
        <v>1171</v>
      </c>
      <c r="Z649" t="s">
        <v>1171</v>
      </c>
      <c r="AA649" t="s">
        <v>1171</v>
      </c>
      <c r="AB649" t="s">
        <v>1171</v>
      </c>
      <c r="AC649" t="s">
        <v>1171</v>
      </c>
      <c r="AD649" t="s">
        <v>1171</v>
      </c>
    </row>
    <row r="650" spans="1:30" ht="102" x14ac:dyDescent="0.2">
      <c r="A650" t="s">
        <v>1171</v>
      </c>
      <c r="B650" t="s">
        <v>1822</v>
      </c>
      <c r="C650" t="str">
        <f>"CONF-"&amp;TEXT(us_core_reqs[[#This Row],[ID*]], "0000")</f>
        <v>CONF-0862</v>
      </c>
      <c r="D650" s="11" t="s">
        <v>879</v>
      </c>
      <c r="E650" t="str">
        <f>SUBSTITUTE(us_core_reqs[[#This Row],[URL*]], "https://hl7.org/fhir/us/core/STU8/","")</f>
        <v>StructureDefinition-us-core-simple-observation.html#mandatory-and-must-support-data-elements</v>
      </c>
      <c r="F650" s="11" t="s">
        <v>1128</v>
      </c>
      <c r="G650" t="s">
        <v>29</v>
      </c>
      <c r="I650" t="s">
        <v>30</v>
      </c>
      <c r="J650" t="b">
        <v>1</v>
      </c>
      <c r="K650" t="s">
        <v>1171</v>
      </c>
      <c r="L650" t="s">
        <v>1176</v>
      </c>
      <c r="M650" t="s">
        <v>1135</v>
      </c>
      <c r="N650" t="s">
        <v>1171</v>
      </c>
      <c r="O650" t="s">
        <v>1171</v>
      </c>
      <c r="P650" t="s">
        <v>1171</v>
      </c>
      <c r="Q650" t="s">
        <v>1171</v>
      </c>
      <c r="R650" t="str">
        <f>_xlfn.TEXTBEFORE(_xlfn.TEXTAFTER(us_core_reqs[[#This Row],[URL*]],"/",-1),".")</f>
        <v>StructureDefinition-us-core-simple-observation</v>
      </c>
      <c r="S650" t="str">
        <f>_xlfn.TEXTAFTER(us_core_reqs[[#This Row],[URL*]],"#",-1)</f>
        <v>mandatory-and-must-support-data-elements</v>
      </c>
      <c r="T650" t="str">
        <f>SUBSTITUTE(SUBSTITUTE(PROPER(SUBSTITUTE(us_core_reqs[[#This Row],[Page]], "-", " "))&amp;": "&amp;PROPER(SUBSTITUTE(us_core_reqs[[#This Row],[Section]], "-", " ")),"Us ","US "), "Uscdi", "USCDI")</f>
        <v>Structuredefinition US Core Simple Observation: Mandatory And Must Support Data Elements</v>
      </c>
      <c r="U650" t="s">
        <v>1171</v>
      </c>
      <c r="V650" t="s">
        <v>1171</v>
      </c>
      <c r="W650" t="s">
        <v>1171</v>
      </c>
      <c r="X650" t="s">
        <v>1171</v>
      </c>
      <c r="Y650" t="s">
        <v>1171</v>
      </c>
      <c r="Z650" t="s">
        <v>1171</v>
      </c>
      <c r="AA650" t="s">
        <v>1171</v>
      </c>
      <c r="AB650" t="s">
        <v>405</v>
      </c>
      <c r="AC650" t="s">
        <v>1140</v>
      </c>
      <c r="AD650" t="s">
        <v>1156</v>
      </c>
    </row>
    <row r="651" spans="1:30" ht="170" x14ac:dyDescent="0.2">
      <c r="A651" t="s">
        <v>1171</v>
      </c>
      <c r="B651" t="s">
        <v>1823</v>
      </c>
      <c r="C651" t="str">
        <f>"CONF-"&amp;TEXT(us_core_reqs[[#This Row],[ID*]], "0000")</f>
        <v>CONF-0863</v>
      </c>
      <c r="D651" s="11" t="s">
        <v>879</v>
      </c>
      <c r="E651" t="str">
        <f>SUBSTITUTE(us_core_reqs[[#This Row],[URL*]], "https://hl7.org/fhir/us/core/STU8/","")</f>
        <v>StructureDefinition-us-core-simple-observation.html#mandatory-and-must-support-data-elements</v>
      </c>
      <c r="F651" s="11" t="s">
        <v>1129</v>
      </c>
      <c r="G651" t="s">
        <v>35</v>
      </c>
      <c r="I651" t="s">
        <v>30</v>
      </c>
      <c r="J651" t="b">
        <v>1</v>
      </c>
      <c r="K651" t="s">
        <v>1171</v>
      </c>
      <c r="L651" t="s">
        <v>1176</v>
      </c>
      <c r="M651" t="s">
        <v>1135</v>
      </c>
      <c r="N651" t="s">
        <v>1171</v>
      </c>
      <c r="O651" t="s">
        <v>1171</v>
      </c>
      <c r="P651" t="s">
        <v>1171</v>
      </c>
      <c r="Q651" t="s">
        <v>1171</v>
      </c>
      <c r="R651" t="str">
        <f>_xlfn.TEXTBEFORE(_xlfn.TEXTAFTER(us_core_reqs[[#This Row],[URL*]],"/",-1),".")</f>
        <v>StructureDefinition-us-core-simple-observation</v>
      </c>
      <c r="S651" t="str">
        <f>_xlfn.TEXTAFTER(us_core_reqs[[#This Row],[URL*]],"#",-1)</f>
        <v>mandatory-and-must-support-data-elements</v>
      </c>
      <c r="T651" t="str">
        <f>SUBSTITUTE(SUBSTITUTE(PROPER(SUBSTITUTE(us_core_reqs[[#This Row],[Page]], "-", " "))&amp;": "&amp;PROPER(SUBSTITUTE(us_core_reqs[[#This Row],[Section]], "-", " ")),"Us ","US "), "Uscdi", "USCDI")</f>
        <v>Structuredefinition US Core Simple Observation: Mandatory And Must Support Data Elements</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1824</v>
      </c>
      <c r="C652" t="str">
        <f>"CONF-"&amp;TEXT(us_core_reqs[[#This Row],[ID*]], "0000")</f>
        <v>CONF-0864</v>
      </c>
      <c r="D652" s="11" t="s">
        <v>879</v>
      </c>
      <c r="E652" t="str">
        <f>SUBSTITUTE(us_core_reqs[[#This Row],[URL*]], "https://hl7.org/fhir/us/core/STU8/","")</f>
        <v>StructureDefinition-us-core-simple-observation.html#mandatory-and-must-support-data-elements</v>
      </c>
      <c r="F652" s="11" t="s">
        <v>1126</v>
      </c>
      <c r="G652" t="s">
        <v>29</v>
      </c>
      <c r="I652" t="s">
        <v>30</v>
      </c>
      <c r="J652" t="s">
        <v>1171</v>
      </c>
      <c r="K652" t="s">
        <v>1171</v>
      </c>
      <c r="L652" t="s">
        <v>1173</v>
      </c>
      <c r="M652" t="s">
        <v>1171</v>
      </c>
      <c r="N652" t="s">
        <v>1171</v>
      </c>
      <c r="O652" t="s">
        <v>1171</v>
      </c>
      <c r="P652" t="s">
        <v>45</v>
      </c>
      <c r="Q652" t="s">
        <v>1159</v>
      </c>
      <c r="R652" t="str">
        <f>_xlfn.TEXTBEFORE(_xlfn.TEXTAFTER(us_core_reqs[[#This Row],[URL*]],"/",-1),".")</f>
        <v>StructureDefinition-us-core-simple-observation</v>
      </c>
      <c r="S652" t="str">
        <f>_xlfn.TEXTAFTER(us_core_reqs[[#This Row],[URL*]],"#",-1)</f>
        <v>mandatory-and-must-support-data-elements</v>
      </c>
      <c r="T652" t="str">
        <f>SUBSTITUTE(SUBSTITUTE(PROPER(SUBSTITUTE(us_core_reqs[[#This Row],[Page]], "-", " "))&amp;": "&amp;PROPER(SUBSTITUTE(us_core_reqs[[#This Row],[Section]], "-", " ")),"Us ","US "), "Uscdi", "USCDI")</f>
        <v>Structuredefinition US Core Simple Observation: Mandatory And Must Support Data Elements</v>
      </c>
      <c r="U652" t="s">
        <v>1171</v>
      </c>
      <c r="V652" t="s">
        <v>1171</v>
      </c>
      <c r="W652" t="s">
        <v>1171</v>
      </c>
      <c r="X652" t="s">
        <v>1171</v>
      </c>
      <c r="Y652" t="s">
        <v>1171</v>
      </c>
      <c r="Z652" t="s">
        <v>1171</v>
      </c>
      <c r="AA652" t="s">
        <v>1171</v>
      </c>
      <c r="AB652" t="s">
        <v>1158</v>
      </c>
      <c r="AC652" t="s">
        <v>1140</v>
      </c>
      <c r="AD652" t="s">
        <v>1154</v>
      </c>
    </row>
    <row r="653" spans="1:30" ht="51" x14ac:dyDescent="0.2">
      <c r="A653" t="s">
        <v>1171</v>
      </c>
      <c r="B653" t="s">
        <v>1825</v>
      </c>
      <c r="C653" t="str">
        <f>"CONF-"&amp;TEXT(us_core_reqs[[#This Row],[ID*]], "0000")</f>
        <v>CONF-0865</v>
      </c>
      <c r="D653" s="11" t="s">
        <v>879</v>
      </c>
      <c r="E653" t="str">
        <f>SUBSTITUTE(us_core_reqs[[#This Row],[URL*]], "https://hl7.org/fhir/us/core/STU8/","")</f>
        <v>StructureDefinition-us-core-simple-observation.html#mandatory-and-must-support-data-elements</v>
      </c>
      <c r="F653" s="11" t="s">
        <v>1131</v>
      </c>
      <c r="G653" t="s">
        <v>35</v>
      </c>
      <c r="I653" t="s">
        <v>30</v>
      </c>
      <c r="J653" t="s">
        <v>1171</v>
      </c>
      <c r="K653" t="s">
        <v>1171</v>
      </c>
      <c r="L653" t="s">
        <v>1176</v>
      </c>
      <c r="M653" t="s">
        <v>1136</v>
      </c>
      <c r="N653" t="s">
        <v>1171</v>
      </c>
      <c r="O653" t="s">
        <v>1171</v>
      </c>
      <c r="P653" t="s">
        <v>1171</v>
      </c>
      <c r="Q653" t="s">
        <v>1171</v>
      </c>
      <c r="R653" t="str">
        <f>_xlfn.TEXTBEFORE(_xlfn.TEXTAFTER(us_core_reqs[[#This Row],[URL*]],"/",-1),".")</f>
        <v>StructureDefinition-us-core-simple-observation</v>
      </c>
      <c r="S653" t="str">
        <f>_xlfn.TEXTAFTER(us_core_reqs[[#This Row],[URL*]],"#",-1)</f>
        <v>mandatory-and-must-support-data-elements</v>
      </c>
      <c r="T653" t="str">
        <f>SUBSTITUTE(SUBSTITUTE(PROPER(SUBSTITUTE(us_core_reqs[[#This Row],[Page]], "-", " "))&amp;": "&amp;PROPER(SUBSTITUTE(us_core_reqs[[#This Row],[Section]], "-", " ")),"Us ","US "), "Uscdi", "USCDI")</f>
        <v>Structuredefinition US Core Simple Observation: Mandatory And Must Support Data Elements</v>
      </c>
      <c r="U653" t="s">
        <v>1171</v>
      </c>
      <c r="V653" t="s">
        <v>1171</v>
      </c>
      <c r="W653" t="s">
        <v>1171</v>
      </c>
      <c r="X653" t="s">
        <v>1171</v>
      </c>
      <c r="Y653" t="s">
        <v>1171</v>
      </c>
      <c r="Z653" t="s">
        <v>1171</v>
      </c>
      <c r="AA653" t="s">
        <v>1171</v>
      </c>
      <c r="AB653" t="s">
        <v>1171</v>
      </c>
      <c r="AC653" t="s">
        <v>1171</v>
      </c>
      <c r="AD653" t="s">
        <v>1171</v>
      </c>
    </row>
    <row r="654" spans="1:30" ht="51" x14ac:dyDescent="0.2">
      <c r="A654" t="s">
        <v>1171</v>
      </c>
      <c r="B654" t="s">
        <v>1826</v>
      </c>
      <c r="C654" t="str">
        <f>"CONF-"&amp;TEXT(us_core_reqs[[#This Row],[ID*]], "0000")</f>
        <v>CONF-0866</v>
      </c>
      <c r="D654" s="11" t="s">
        <v>879</v>
      </c>
      <c r="E654" t="str">
        <f>SUBSTITUTE(us_core_reqs[[#This Row],[URL*]], "https://hl7.org/fhir/us/core/STU8/","")</f>
        <v>StructureDefinition-us-core-simple-observation.html#mandatory-and-must-support-data-elements</v>
      </c>
      <c r="F654" s="11" t="s">
        <v>2229</v>
      </c>
      <c r="G654" t="s">
        <v>29</v>
      </c>
      <c r="I654" t="s">
        <v>30</v>
      </c>
      <c r="J654" t="s">
        <v>1171</v>
      </c>
      <c r="K654" t="s">
        <v>1171</v>
      </c>
      <c r="L654" t="s">
        <v>1173</v>
      </c>
      <c r="M654" t="s">
        <v>1171</v>
      </c>
      <c r="N654" t="s">
        <v>1171</v>
      </c>
      <c r="O654" t="s">
        <v>1171</v>
      </c>
      <c r="P654" t="s">
        <v>45</v>
      </c>
      <c r="Q654" t="s">
        <v>1159</v>
      </c>
      <c r="R654" t="str">
        <f>_xlfn.TEXTBEFORE(_xlfn.TEXTAFTER(us_core_reqs[[#This Row],[URL*]],"/",-1),".")</f>
        <v>StructureDefinition-us-core-simple-observation</v>
      </c>
      <c r="S654" t="str">
        <f>_xlfn.TEXTAFTER(us_core_reqs[[#This Row],[URL*]],"#",-1)</f>
        <v>mandatory-and-must-support-data-elements</v>
      </c>
      <c r="T654" t="str">
        <f>SUBSTITUTE(SUBSTITUTE(PROPER(SUBSTITUTE(us_core_reqs[[#This Row],[Page]], "-", " "))&amp;": "&amp;PROPER(SUBSTITUTE(us_core_reqs[[#This Row],[Section]], "-", " ")),"Us ","US "), "Uscdi", "USCDI")</f>
        <v>Structuredefinition US Core Simple Observation: Mandatory And Must Support Data Elements</v>
      </c>
      <c r="U654" t="s">
        <v>1171</v>
      </c>
      <c r="V654" t="s">
        <v>1171</v>
      </c>
      <c r="W654" t="s">
        <v>1171</v>
      </c>
      <c r="X654" t="s">
        <v>1171</v>
      </c>
      <c r="Y654" t="s">
        <v>1171</v>
      </c>
      <c r="Z654" t="s">
        <v>1171</v>
      </c>
      <c r="AA654" t="s">
        <v>1171</v>
      </c>
      <c r="AB654" t="s">
        <v>1158</v>
      </c>
      <c r="AC654" t="s">
        <v>1140</v>
      </c>
      <c r="AD654" t="s">
        <v>1157</v>
      </c>
    </row>
    <row r="655" spans="1:30" ht="51" x14ac:dyDescent="0.2">
      <c r="A655" t="s">
        <v>1171</v>
      </c>
      <c r="B655" t="s">
        <v>1827</v>
      </c>
      <c r="C655" t="str">
        <f>"CONF-"&amp;TEXT(us_core_reqs[[#This Row],[ID*]], "0000")</f>
        <v>CONF-0867</v>
      </c>
      <c r="D655" s="11" t="s">
        <v>879</v>
      </c>
      <c r="E655" t="str">
        <f>SUBSTITUTE(us_core_reqs[[#This Row],[URL*]], "https://hl7.org/fhir/us/core/STU8/","")</f>
        <v>StructureDefinition-us-core-simple-observation.html#mandatory-and-must-support-data-elements</v>
      </c>
      <c r="F655" s="11" t="s">
        <v>1132</v>
      </c>
      <c r="G655" t="s">
        <v>35</v>
      </c>
      <c r="I655" t="s">
        <v>30</v>
      </c>
      <c r="J655" t="s">
        <v>1171</v>
      </c>
      <c r="K655" t="s">
        <v>1171</v>
      </c>
      <c r="L655" t="s">
        <v>1176</v>
      </c>
      <c r="M655" t="s">
        <v>1137</v>
      </c>
      <c r="N655" t="s">
        <v>1171</v>
      </c>
      <c r="O655" t="s">
        <v>1171</v>
      </c>
      <c r="P655" t="s">
        <v>1171</v>
      </c>
      <c r="Q655" t="s">
        <v>1171</v>
      </c>
      <c r="R655" t="str">
        <f>_xlfn.TEXTBEFORE(_xlfn.TEXTAFTER(us_core_reqs[[#This Row],[URL*]],"/",-1),".")</f>
        <v>StructureDefinition-us-core-simple-observation</v>
      </c>
      <c r="S655" t="str">
        <f>_xlfn.TEXTAFTER(us_core_reqs[[#This Row],[URL*]],"#",-1)</f>
        <v>mandatory-and-must-support-data-elements</v>
      </c>
      <c r="T655" t="str">
        <f>SUBSTITUTE(SUBSTITUTE(PROPER(SUBSTITUTE(us_core_reqs[[#This Row],[Page]], "-", " "))&amp;": "&amp;PROPER(SUBSTITUTE(us_core_reqs[[#This Row],[Section]], "-", " ")),"Us ","US "), "Uscdi", "USCDI")</f>
        <v>Structuredefinition US Core Simple Observation: Mandatory And Must Support Data Elements</v>
      </c>
      <c r="U655" t="s">
        <v>1171</v>
      </c>
      <c r="V655" t="s">
        <v>1171</v>
      </c>
      <c r="W655" t="s">
        <v>1171</v>
      </c>
      <c r="X655" t="s">
        <v>1171</v>
      </c>
      <c r="Y655" t="s">
        <v>1171</v>
      </c>
      <c r="Z655" t="s">
        <v>1171</v>
      </c>
      <c r="AA655" t="s">
        <v>1171</v>
      </c>
      <c r="AB655" t="s">
        <v>1171</v>
      </c>
      <c r="AC655" t="s">
        <v>1171</v>
      </c>
      <c r="AD655" t="s">
        <v>1171</v>
      </c>
    </row>
    <row r="656" spans="1:30" ht="102" x14ac:dyDescent="0.2">
      <c r="A656" t="s">
        <v>1171</v>
      </c>
      <c r="B656" t="s">
        <v>1828</v>
      </c>
      <c r="C656" t="str">
        <f>"CONF-"&amp;TEXT(us_core_reqs[[#This Row],[ID*]], "0000")</f>
        <v>CONF-0868</v>
      </c>
      <c r="D656" s="11" t="s">
        <v>879</v>
      </c>
      <c r="E656" t="str">
        <f>SUBSTITUTE(us_core_reqs[[#This Row],[URL*]], "https://hl7.org/fhir/us/core/STU8/","")</f>
        <v>StructureDefinition-us-core-simple-observation.html#mandatory-and-must-support-data-elements</v>
      </c>
      <c r="F656" s="11" t="s">
        <v>2204</v>
      </c>
      <c r="G656" t="s">
        <v>29</v>
      </c>
      <c r="I656" t="s">
        <v>30</v>
      </c>
      <c r="J656" t="s">
        <v>1171</v>
      </c>
      <c r="K656" t="s">
        <v>1171</v>
      </c>
      <c r="L656" t="s">
        <v>1173</v>
      </c>
      <c r="M656" t="s">
        <v>1171</v>
      </c>
      <c r="N656" t="s">
        <v>1171</v>
      </c>
      <c r="O656" t="s">
        <v>1171</v>
      </c>
      <c r="P656" t="s">
        <v>1171</v>
      </c>
      <c r="Q656" t="s">
        <v>1171</v>
      </c>
      <c r="R656" t="str">
        <f>_xlfn.TEXTBEFORE(_xlfn.TEXTAFTER(us_core_reqs[[#This Row],[URL*]],"/",-1),".")</f>
        <v>StructureDefinition-us-core-simple-observation</v>
      </c>
      <c r="S656" t="str">
        <f>_xlfn.TEXTAFTER(us_core_reqs[[#This Row],[URL*]],"#",-1)</f>
        <v>mandatory-and-must-support-data-elements</v>
      </c>
      <c r="T656" t="str">
        <f>SUBSTITUTE(SUBSTITUTE(PROPER(SUBSTITUTE(us_core_reqs[[#This Row],[Page]], "-", " "))&amp;": "&amp;PROPER(SUBSTITUTE(us_core_reqs[[#This Row],[Section]], "-", " ")),"Us ","US "), "Uscdi", "USCDI")</f>
        <v>Structuredefinition US Core Simple Observation: Mandatory And Must Support Data Elements</v>
      </c>
      <c r="U656" t="s">
        <v>1171</v>
      </c>
      <c r="V656" t="s">
        <v>1171</v>
      </c>
      <c r="W656" t="s">
        <v>1171</v>
      </c>
      <c r="X656" t="s">
        <v>1171</v>
      </c>
      <c r="Y656" t="s">
        <v>1171</v>
      </c>
      <c r="Z656" t="s">
        <v>1171</v>
      </c>
      <c r="AA656" t="s">
        <v>1171</v>
      </c>
      <c r="AB656" t="s">
        <v>1171</v>
      </c>
      <c r="AC656" t="s">
        <v>1140</v>
      </c>
      <c r="AD656" t="s">
        <v>1140</v>
      </c>
    </row>
    <row r="657" spans="1:30" ht="102" x14ac:dyDescent="0.2">
      <c r="A657" t="s">
        <v>1171</v>
      </c>
      <c r="B657" t="s">
        <v>1829</v>
      </c>
      <c r="C657" t="str">
        <f>"CONF-"&amp;TEXT(us_core_reqs[[#This Row],[ID*]], "0000")</f>
        <v>CONF-0869</v>
      </c>
      <c r="D657" s="11" t="s">
        <v>879</v>
      </c>
      <c r="E657" t="str">
        <f>SUBSTITUTE(us_core_reqs[[#This Row],[URL*]], "https://hl7.org/fhir/us/core/STU8/","")</f>
        <v>StructureDefinition-us-core-simple-observation.html#mandatory-and-must-support-data-elements</v>
      </c>
      <c r="F657" s="11" t="s">
        <v>2205</v>
      </c>
      <c r="G657" t="s">
        <v>29</v>
      </c>
      <c r="I657" t="s">
        <v>58</v>
      </c>
      <c r="J657" t="s">
        <v>1171</v>
      </c>
      <c r="K657" t="s">
        <v>1171</v>
      </c>
      <c r="L657" t="s">
        <v>1173</v>
      </c>
      <c r="M657" t="s">
        <v>1171</v>
      </c>
      <c r="N657" t="s">
        <v>1171</v>
      </c>
      <c r="O657" t="s">
        <v>1171</v>
      </c>
      <c r="P657" t="s">
        <v>1171</v>
      </c>
      <c r="Q657" t="s">
        <v>1171</v>
      </c>
      <c r="R657" t="str">
        <f>_xlfn.TEXTBEFORE(_xlfn.TEXTAFTER(us_core_reqs[[#This Row],[URL*]],"/",-1),".")</f>
        <v>StructureDefinition-us-core-simple-observation</v>
      </c>
      <c r="S657" t="str">
        <f>_xlfn.TEXTAFTER(us_core_reqs[[#This Row],[URL*]],"#",-1)</f>
        <v>mandatory-and-must-support-data-elements</v>
      </c>
      <c r="T657" t="str">
        <f>SUBSTITUTE(SUBSTITUTE(PROPER(SUBSTITUTE(us_core_reqs[[#This Row],[Page]], "-", " "))&amp;": "&amp;PROPER(SUBSTITUTE(us_core_reqs[[#This Row],[Section]], "-", " ")),"Us ","US "), "Uscdi", "USCDI")</f>
        <v>Structuredefinition US Core Simple Observation: Mandatory And Must Support Data Elements</v>
      </c>
      <c r="U657" t="s">
        <v>1171</v>
      </c>
      <c r="V657" t="s">
        <v>1171</v>
      </c>
      <c r="W657" t="s">
        <v>1171</v>
      </c>
      <c r="X657" t="s">
        <v>1171</v>
      </c>
      <c r="Y657" t="s">
        <v>1171</v>
      </c>
      <c r="Z657" t="s">
        <v>1171</v>
      </c>
      <c r="AA657" t="s">
        <v>1171</v>
      </c>
      <c r="AB657" t="s">
        <v>1171</v>
      </c>
      <c r="AC657" t="s">
        <v>1171</v>
      </c>
      <c r="AD657" t="s">
        <v>1171</v>
      </c>
    </row>
    <row r="658" spans="1:30" ht="68" x14ac:dyDescent="0.2">
      <c r="A658" t="s">
        <v>1171</v>
      </c>
      <c r="B658" t="s">
        <v>1830</v>
      </c>
      <c r="C658" t="str">
        <f>"CONF-"&amp;TEXT(us_core_reqs[[#This Row],[ID*]], "0000")</f>
        <v>CONF-0870</v>
      </c>
      <c r="D658" s="11" t="s">
        <v>621</v>
      </c>
      <c r="E658" t="str">
        <f>SUBSTITUTE(us_core_reqs[[#This Row],[URL*]], "https://hl7.org/fhir/us/core/STU8/","")</f>
        <v>must-support.html#must-support---slices</v>
      </c>
      <c r="F658" s="11" t="s">
        <v>1145</v>
      </c>
      <c r="G658" t="s">
        <v>29</v>
      </c>
      <c r="I658" t="s">
        <v>30</v>
      </c>
      <c r="J658" t="s">
        <v>1171</v>
      </c>
      <c r="K658" t="s">
        <v>1171</v>
      </c>
      <c r="L658" t="b">
        <v>1</v>
      </c>
      <c r="M658" t="s">
        <v>1150</v>
      </c>
      <c r="N658" t="s">
        <v>1171</v>
      </c>
      <c r="O658" t="s">
        <v>1171</v>
      </c>
      <c r="P658" t="s">
        <v>1171</v>
      </c>
      <c r="Q658" t="s">
        <v>1171</v>
      </c>
      <c r="R658" t="str">
        <f>_xlfn.TEXTBEFORE(_xlfn.TEXTAFTER(us_core_reqs[[#This Row],[URL*]],"/",-1),".")</f>
        <v>must-support</v>
      </c>
      <c r="S658" t="str">
        <f>_xlfn.TEXTAFTER(us_core_reqs[[#This Row],[URL*]],"#",-1)</f>
        <v>must-support---slices</v>
      </c>
      <c r="T658" t="str">
        <f>SUBSTITUTE(SUBSTITUTE(PROPER(SUBSTITUTE(us_core_reqs[[#This Row],[Page]], "-", " "))&amp;": "&amp;PROPER(SUBSTITUTE(us_core_reqs[[#This Row],[Section]], "-", " ")),"Us ","US "), "Uscdi", "USCDI")</f>
        <v>Must Support: Must Support   Slices</v>
      </c>
      <c r="U658" t="s">
        <v>1171</v>
      </c>
      <c r="V658" t="s">
        <v>1171</v>
      </c>
      <c r="W658" t="s">
        <v>1171</v>
      </c>
      <c r="X658" t="s">
        <v>1171</v>
      </c>
      <c r="Y658" t="s">
        <v>1171</v>
      </c>
      <c r="Z658" t="s">
        <v>1171</v>
      </c>
      <c r="AA658" t="s">
        <v>1171</v>
      </c>
      <c r="AB658" t="s">
        <v>1171</v>
      </c>
      <c r="AC658" t="s">
        <v>1140</v>
      </c>
      <c r="AD658" t="s">
        <v>1140</v>
      </c>
    </row>
    <row r="659" spans="1:30" ht="51" x14ac:dyDescent="0.2">
      <c r="A659" t="s">
        <v>1171</v>
      </c>
      <c r="B659" t="s">
        <v>1831</v>
      </c>
      <c r="C659" t="str">
        <f>"CONF-"&amp;TEXT(us_core_reqs[[#This Row],[ID*]], "0000")</f>
        <v>CONF-0871</v>
      </c>
      <c r="D659" s="11" t="s">
        <v>621</v>
      </c>
      <c r="E659" t="str">
        <f>SUBSTITUTE(us_core_reqs[[#This Row],[URL*]], "https://hl7.org/fhir/us/core/STU8/","")</f>
        <v>must-support.html#must-support---slices</v>
      </c>
      <c r="F659" s="11" t="s">
        <v>1146</v>
      </c>
      <c r="G659" t="s">
        <v>35</v>
      </c>
      <c r="I659" t="s">
        <v>30</v>
      </c>
      <c r="J659" t="s">
        <v>1171</v>
      </c>
      <c r="K659" t="s">
        <v>1171</v>
      </c>
      <c r="L659" t="s">
        <v>1176</v>
      </c>
      <c r="M659" t="s">
        <v>1148</v>
      </c>
      <c r="N659" t="s">
        <v>1171</v>
      </c>
      <c r="O659" t="s">
        <v>1171</v>
      </c>
      <c r="P659" t="s">
        <v>1171</v>
      </c>
      <c r="Q659" t="s">
        <v>1171</v>
      </c>
      <c r="R659" t="str">
        <f>_xlfn.TEXTBEFORE(_xlfn.TEXTAFTER(us_core_reqs[[#This Row],[URL*]],"/",-1),".")</f>
        <v>must-support</v>
      </c>
      <c r="S659" t="str">
        <f>_xlfn.TEXTAFTER(us_core_reqs[[#This Row],[URL*]],"#",-1)</f>
        <v>must-support---slices</v>
      </c>
      <c r="T659" t="str">
        <f>SUBSTITUTE(SUBSTITUTE(PROPER(SUBSTITUTE(us_core_reqs[[#This Row],[Page]], "-", " "))&amp;": "&amp;PROPER(SUBSTITUTE(us_core_reqs[[#This Row],[Section]], "-", " ")),"Us ","US "), "Uscdi", "USCDI")</f>
        <v>Must Support: Must Support   Slices</v>
      </c>
      <c r="U659" t="s">
        <v>1171</v>
      </c>
      <c r="V659" t="s">
        <v>1171</v>
      </c>
      <c r="W659" t="s">
        <v>1171</v>
      </c>
      <c r="X659" t="s">
        <v>1171</v>
      </c>
      <c r="Y659" t="s">
        <v>1171</v>
      </c>
      <c r="Z659" t="s">
        <v>1171</v>
      </c>
      <c r="AA659" t="s">
        <v>1171</v>
      </c>
      <c r="AB659" t="s">
        <v>1171</v>
      </c>
      <c r="AC659" t="s">
        <v>1171</v>
      </c>
      <c r="AD659" t="s">
        <v>1171</v>
      </c>
    </row>
    <row r="660" spans="1:30" ht="51" x14ac:dyDescent="0.2">
      <c r="A660" t="s">
        <v>1171</v>
      </c>
      <c r="B660" t="s">
        <v>1832</v>
      </c>
      <c r="C660" t="str">
        <f>"CONF-"&amp;TEXT(us_core_reqs[[#This Row],[ID*]], "0000")</f>
        <v>CONF-0872</v>
      </c>
      <c r="D660" s="11" t="s">
        <v>621</v>
      </c>
      <c r="E660" t="str">
        <f>SUBSTITUTE(us_core_reqs[[#This Row],[URL*]], "https://hl7.org/fhir/us/core/STU8/","")</f>
        <v>must-support.html#must-support---slices</v>
      </c>
      <c r="F660" s="11" t="s">
        <v>1147</v>
      </c>
      <c r="G660" t="s">
        <v>29</v>
      </c>
      <c r="I660" t="s">
        <v>30</v>
      </c>
      <c r="J660" t="s">
        <v>1171</v>
      </c>
      <c r="K660" t="s">
        <v>1171</v>
      </c>
      <c r="L660" t="s">
        <v>1176</v>
      </c>
      <c r="M660" t="s">
        <v>1149</v>
      </c>
      <c r="N660" t="s">
        <v>1171</v>
      </c>
      <c r="O660" t="s">
        <v>1171</v>
      </c>
      <c r="P660" t="s">
        <v>1171</v>
      </c>
      <c r="Q660" t="s">
        <v>1171</v>
      </c>
      <c r="R660" t="str">
        <f>_xlfn.TEXTBEFORE(_xlfn.TEXTAFTER(us_core_reqs[[#This Row],[URL*]],"/",-1),".")</f>
        <v>must-support</v>
      </c>
      <c r="S660" t="str">
        <f>_xlfn.TEXTAFTER(us_core_reqs[[#This Row],[URL*]],"#",-1)</f>
        <v>must-support---slices</v>
      </c>
      <c r="T660" t="str">
        <f>SUBSTITUTE(SUBSTITUTE(PROPER(SUBSTITUTE(us_core_reqs[[#This Row],[Page]], "-", " "))&amp;": "&amp;PROPER(SUBSTITUTE(us_core_reqs[[#This Row],[Section]], "-", " ")),"Us ","US "), "Uscdi", "USCDI")</f>
        <v>Must Support: Must Support   Slices</v>
      </c>
      <c r="U660" t="s">
        <v>1171</v>
      </c>
      <c r="V660" t="s">
        <v>1171</v>
      </c>
      <c r="W660" t="s">
        <v>1171</v>
      </c>
      <c r="X660" t="s">
        <v>1171</v>
      </c>
      <c r="Y660" t="s">
        <v>1171</v>
      </c>
      <c r="Z660" t="s">
        <v>1171</v>
      </c>
      <c r="AA660" t="s">
        <v>1171</v>
      </c>
      <c r="AB660" t="s">
        <v>1171</v>
      </c>
      <c r="AC660" t="s">
        <v>1140</v>
      </c>
      <c r="AD660" t="s">
        <v>1140</v>
      </c>
    </row>
    <row r="661" spans="1:30" ht="102" x14ac:dyDescent="0.2">
      <c r="A661" t="b">
        <v>1</v>
      </c>
      <c r="B661">
        <v>873</v>
      </c>
      <c r="C661" t="str">
        <f>"CONF-"&amp;TEXT(us_core_reqs[[#This Row],[ID*]], "0000")</f>
        <v>CONF-0873</v>
      </c>
      <c r="D661" s="11" t="s">
        <v>614</v>
      </c>
      <c r="E661" t="str">
        <f>SUBSTITUTE(us_core_reqs[[#This Row],[URL*]], "https://hl7.org/fhir/us/core/STU8/","")</f>
        <v>must-support.html#defined-pattern-elements</v>
      </c>
      <c r="F661" s="11" t="s">
        <v>653</v>
      </c>
      <c r="G661" t="s">
        <v>29</v>
      </c>
      <c r="I661" t="s">
        <v>30</v>
      </c>
      <c r="J661" t="b">
        <v>1</v>
      </c>
      <c r="K661" t="s">
        <v>1171</v>
      </c>
      <c r="L661" t="b">
        <v>0</v>
      </c>
      <c r="N661" t="s">
        <v>1171</v>
      </c>
      <c r="O661" t="s">
        <v>1171</v>
      </c>
      <c r="P661" t="s">
        <v>1171</v>
      </c>
      <c r="Q661" t="s">
        <v>1171</v>
      </c>
      <c r="R661" t="str">
        <f>_xlfn.TEXTBEFORE(_xlfn.TEXTAFTER(us_core_reqs[[#This Row],[URL*]],"/",-1),".")</f>
        <v>must-support</v>
      </c>
      <c r="S661" t="str">
        <f>_xlfn.TEXTAFTER(us_core_reqs[[#This Row],[URL*]],"#",-1)</f>
        <v>defined-pattern-elements</v>
      </c>
      <c r="T661" t="str">
        <f>SUBSTITUTE(SUBSTITUTE(PROPER(SUBSTITUTE(us_core_reqs[[#This Row],[Page]], "-", " "))&amp;": "&amp;PROPER(SUBSTITUTE(us_core_reqs[[#This Row],[Section]], "-", " ")),"Us ","US "), "Uscdi", "USCDI")</f>
        <v>Must Support: Defined Pattern Elements</v>
      </c>
      <c r="U661" t="s">
        <v>1171</v>
      </c>
      <c r="V661" t="s">
        <v>1171</v>
      </c>
      <c r="W661" t="s">
        <v>1171</v>
      </c>
      <c r="X661" t="s">
        <v>1171</v>
      </c>
      <c r="Y661" t="s">
        <v>1171</v>
      </c>
      <c r="Z661" t="s">
        <v>1171</v>
      </c>
      <c r="AA661" t="s">
        <v>1171</v>
      </c>
      <c r="AB661" t="s">
        <v>1171</v>
      </c>
      <c r="AC661" t="s">
        <v>1140</v>
      </c>
      <c r="AD661" t="s">
        <v>1140</v>
      </c>
    </row>
    <row r="662" spans="1:30" ht="51" x14ac:dyDescent="0.2">
      <c r="A662" t="b">
        <v>1</v>
      </c>
      <c r="B662">
        <v>874</v>
      </c>
      <c r="C662" t="str">
        <f>"CONF-"&amp;TEXT(us_core_reqs[[#This Row],[ID*]], "0000")</f>
        <v>CONF-0874</v>
      </c>
      <c r="D662" s="11" t="s">
        <v>1851</v>
      </c>
      <c r="E662" t="str">
        <f>SUBSTITUTE(us_core_reqs[[#This Row],[URL*]], "https://hl7.org/fhir/us/core/STU8/","")</f>
        <v>must-support.html#must-support---primitive-elements</v>
      </c>
      <c r="F662" s="11" t="s">
        <v>1852</v>
      </c>
      <c r="G662" t="s">
        <v>29</v>
      </c>
      <c r="I662" t="s">
        <v>30</v>
      </c>
      <c r="J662" t="b">
        <v>1</v>
      </c>
      <c r="K662" t="s">
        <v>1171</v>
      </c>
      <c r="L662" t="b">
        <v>0</v>
      </c>
      <c r="N662" t="s">
        <v>1171</v>
      </c>
      <c r="O662" t="s">
        <v>1171</v>
      </c>
      <c r="P662" t="s">
        <v>1171</v>
      </c>
      <c r="Q662" t="s">
        <v>1171</v>
      </c>
      <c r="R662" t="str">
        <f>_xlfn.TEXTBEFORE(_xlfn.TEXTAFTER(us_core_reqs[[#This Row],[URL*]],"/",-1),".")</f>
        <v>must-support</v>
      </c>
      <c r="S662" t="str">
        <f>_xlfn.TEXTAFTER(us_core_reqs[[#This Row],[URL*]],"#",-1)</f>
        <v>must-support---primitive-elements</v>
      </c>
      <c r="T662" t="str">
        <f>SUBSTITUTE(SUBSTITUTE(PROPER(SUBSTITUTE(us_core_reqs[[#This Row],[Page]], "-", " "))&amp;": "&amp;PROPER(SUBSTITUTE(us_core_reqs[[#This Row],[Section]], "-", " ")),"Us ","US "), "Uscdi", "USCDI")</f>
        <v>Must Support: Must Support   Primitive Elements</v>
      </c>
      <c r="U662" t="s">
        <v>1171</v>
      </c>
      <c r="V662" t="s">
        <v>1171</v>
      </c>
      <c r="W662" t="s">
        <v>1171</v>
      </c>
      <c r="X662" t="s">
        <v>1171</v>
      </c>
      <c r="Y662" t="s">
        <v>1171</v>
      </c>
      <c r="Z662" t="s">
        <v>1171</v>
      </c>
      <c r="AA662" t="s">
        <v>1171</v>
      </c>
      <c r="AB662" t="s">
        <v>1171</v>
      </c>
      <c r="AC662" t="s">
        <v>1140</v>
      </c>
      <c r="AD662" t="s">
        <v>1140</v>
      </c>
    </row>
    <row r="663" spans="1:30" ht="51" x14ac:dyDescent="0.2">
      <c r="A663" t="b">
        <v>1</v>
      </c>
      <c r="B663">
        <v>875</v>
      </c>
      <c r="C663" t="str">
        <f>"CONF-"&amp;TEXT(us_core_reqs[[#This Row],[ID*]], "0000")</f>
        <v>CONF-0875</v>
      </c>
      <c r="D663" s="11" t="s">
        <v>616</v>
      </c>
      <c r="E663" t="str">
        <f>SUBSTITUTE(us_core_reqs[[#This Row],[URL*]], "https://hl7.org/fhir/us/core/STU8/","")</f>
        <v>must-support.html#must-support---complex-elements</v>
      </c>
      <c r="F663" s="11" t="s">
        <v>1855</v>
      </c>
      <c r="G663" t="s">
        <v>29</v>
      </c>
      <c r="I663" t="s">
        <v>30</v>
      </c>
      <c r="J663" t="b">
        <v>1</v>
      </c>
      <c r="K663" t="s">
        <v>1171</v>
      </c>
      <c r="L663" t="b">
        <v>0</v>
      </c>
      <c r="N663" t="s">
        <v>1171</v>
      </c>
      <c r="O663" t="s">
        <v>1171</v>
      </c>
      <c r="P663" t="s">
        <v>1171</v>
      </c>
      <c r="Q663" t="s">
        <v>1171</v>
      </c>
      <c r="R663" t="str">
        <f>_xlfn.TEXTBEFORE(_xlfn.TEXTAFTER(us_core_reqs[[#This Row],[URL*]],"/",-1),".")</f>
        <v>must-support</v>
      </c>
      <c r="S663" t="str">
        <f>_xlfn.TEXTAFTER(us_core_reqs[[#This Row],[URL*]],"#",-1)</f>
        <v>must-support---complex-elements</v>
      </c>
      <c r="T663" t="str">
        <f>SUBSTITUTE(SUBSTITUTE(PROPER(SUBSTITUTE(us_core_reqs[[#This Row],[Page]], "-", " "))&amp;": "&amp;PROPER(SUBSTITUTE(us_core_reqs[[#This Row],[Section]], "-", " ")),"Us ","US "), "Uscdi", "USCDI")</f>
        <v>Must Support: Must Support   Complex Elements</v>
      </c>
      <c r="U663" t="s">
        <v>1171</v>
      </c>
      <c r="V663" t="s">
        <v>1171</v>
      </c>
      <c r="W663" t="s">
        <v>1171</v>
      </c>
      <c r="X663" t="s">
        <v>1171</v>
      </c>
      <c r="Y663" t="s">
        <v>1171</v>
      </c>
      <c r="Z663" t="s">
        <v>1171</v>
      </c>
      <c r="AA663" t="s">
        <v>1171</v>
      </c>
      <c r="AB663" t="s">
        <v>1171</v>
      </c>
      <c r="AC663" t="s">
        <v>1140</v>
      </c>
      <c r="AD663" t="s">
        <v>1140</v>
      </c>
    </row>
    <row r="664" spans="1:30" ht="68" x14ac:dyDescent="0.2">
      <c r="A664" t="b">
        <v>1</v>
      </c>
      <c r="B664">
        <v>876</v>
      </c>
      <c r="C664" t="str">
        <f>"CONF-"&amp;TEXT(us_core_reqs[[#This Row],[ID*]], "0000")</f>
        <v>CONF-0876</v>
      </c>
      <c r="D664" s="11" t="s">
        <v>616</v>
      </c>
      <c r="E664" t="str">
        <f>SUBSTITUTE(us_core_reqs[[#This Row],[URL*]], "https://hl7.org/fhir/us/core/STU8/","")</f>
        <v>must-support.html#must-support---complex-elements</v>
      </c>
      <c r="F664" s="11" t="s">
        <v>1854</v>
      </c>
      <c r="G664" t="s">
        <v>29</v>
      </c>
      <c r="I664" t="s">
        <v>30</v>
      </c>
      <c r="J664" t="b">
        <v>1</v>
      </c>
      <c r="L664" t="b">
        <v>0</v>
      </c>
      <c r="N664" t="s">
        <v>1171</v>
      </c>
      <c r="O664" t="s">
        <v>1171</v>
      </c>
      <c r="P664" t="s">
        <v>1171</v>
      </c>
      <c r="Q664" t="s">
        <v>1171</v>
      </c>
      <c r="R664" t="str">
        <f>_xlfn.TEXTBEFORE(_xlfn.TEXTAFTER(us_core_reqs[[#This Row],[URL*]],"/",-1),".")</f>
        <v>must-support</v>
      </c>
      <c r="S664" t="str">
        <f>_xlfn.TEXTAFTER(us_core_reqs[[#This Row],[URL*]],"#",-1)</f>
        <v>must-support---complex-elements</v>
      </c>
      <c r="T664" t="str">
        <f>SUBSTITUTE(SUBSTITUTE(PROPER(SUBSTITUTE(us_core_reqs[[#This Row],[Page]], "-", " "))&amp;": "&amp;PROPER(SUBSTITUTE(us_core_reqs[[#This Row],[Section]], "-", " ")),"Us ","US "), "Uscdi", "USCDI")</f>
        <v>Must Support: Must Support   Complex Elements</v>
      </c>
      <c r="U664" t="s">
        <v>1171</v>
      </c>
      <c r="V664" t="s">
        <v>1171</v>
      </c>
      <c r="W664" t="s">
        <v>1171</v>
      </c>
      <c r="X664" t="s">
        <v>1171</v>
      </c>
      <c r="Y664" t="s">
        <v>1171</v>
      </c>
      <c r="Z664" t="s">
        <v>1171</v>
      </c>
      <c r="AA664" t="s">
        <v>1171</v>
      </c>
      <c r="AB664" t="s">
        <v>1171</v>
      </c>
      <c r="AC664" t="s">
        <v>1140</v>
      </c>
      <c r="AD664" t="s">
        <v>1140</v>
      </c>
    </row>
    <row r="665" spans="1:30" ht="51" x14ac:dyDescent="0.2">
      <c r="A665" t="b">
        <v>1</v>
      </c>
      <c r="B665">
        <v>877</v>
      </c>
      <c r="C665" t="str">
        <f>"CONF-"&amp;TEXT(us_core_reqs[[#This Row],[ID*]], "0000")</f>
        <v>CONF-0877</v>
      </c>
      <c r="D665" s="11" t="s">
        <v>617</v>
      </c>
      <c r="E665" t="str">
        <f>SUBSTITUTE(us_core_reqs[[#This Row],[URL*]], "https://hl7.org/fhir/us/core/STU8/","")</f>
        <v>must-support.html#must-support---resource-references</v>
      </c>
      <c r="F665" s="11" t="s">
        <v>1858</v>
      </c>
      <c r="G665" t="s">
        <v>64</v>
      </c>
      <c r="I665" t="s">
        <v>30</v>
      </c>
      <c r="K665" t="s">
        <v>1171</v>
      </c>
      <c r="L665" t="b">
        <v>0</v>
      </c>
      <c r="N665" t="s">
        <v>1171</v>
      </c>
      <c r="O665" t="s">
        <v>1171</v>
      </c>
      <c r="P665" t="s">
        <v>1171</v>
      </c>
      <c r="Q665" t="s">
        <v>1171</v>
      </c>
      <c r="R665" t="str">
        <f>_xlfn.TEXTBEFORE(_xlfn.TEXTAFTER(us_core_reqs[[#This Row],[URL*]],"/",-1),".")</f>
        <v>must-support</v>
      </c>
      <c r="S665" t="str">
        <f>_xlfn.TEXTAFTER(us_core_reqs[[#This Row],[URL*]],"#",-1)</f>
        <v>must-support---resource-references</v>
      </c>
      <c r="T665" t="str">
        <f>SUBSTITUTE(SUBSTITUTE(PROPER(SUBSTITUTE(us_core_reqs[[#This Row],[Page]], "-", " "))&amp;": "&amp;PROPER(SUBSTITUTE(us_core_reqs[[#This Row],[Section]], "-", " ")),"Us ","US "), "Uscdi", "USCDI")</f>
        <v>Must Support: Must Support   Resource References</v>
      </c>
      <c r="U665" t="s">
        <v>1171</v>
      </c>
      <c r="V665" t="s">
        <v>1171</v>
      </c>
      <c r="W665" t="s">
        <v>1171</v>
      </c>
      <c r="X665" t="s">
        <v>1171</v>
      </c>
      <c r="Y665" t="s">
        <v>1171</v>
      </c>
      <c r="Z665" t="s">
        <v>1171</v>
      </c>
      <c r="AA665" t="s">
        <v>1171</v>
      </c>
      <c r="AB665" t="s">
        <v>1171</v>
      </c>
      <c r="AC665" t="s">
        <v>1140</v>
      </c>
      <c r="AD665" t="s">
        <v>1140</v>
      </c>
    </row>
    <row r="666" spans="1:30" ht="51" x14ac:dyDescent="0.2">
      <c r="A666" t="b">
        <v>1</v>
      </c>
      <c r="B666">
        <v>878</v>
      </c>
      <c r="C666" t="str">
        <f>"CONF-"&amp;TEXT(us_core_reqs[[#This Row],[ID*]], "0000")</f>
        <v>CONF-0878</v>
      </c>
      <c r="D666" s="11" t="s">
        <v>617</v>
      </c>
      <c r="E666" t="str">
        <f>SUBSTITUTE(us_core_reqs[[#This Row],[URL*]], "https://hl7.org/fhir/us/core/STU8/","")</f>
        <v>must-support.html#must-support---resource-references</v>
      </c>
      <c r="F666" s="11" t="s">
        <v>1859</v>
      </c>
      <c r="G666" t="s">
        <v>29</v>
      </c>
      <c r="I666" t="s">
        <v>30</v>
      </c>
      <c r="J666" t="b">
        <v>1</v>
      </c>
      <c r="K666" t="s">
        <v>1171</v>
      </c>
      <c r="L666" t="b">
        <v>0</v>
      </c>
      <c r="N666" t="s">
        <v>1171</v>
      </c>
      <c r="O666" t="s">
        <v>1171</v>
      </c>
      <c r="P666" t="s">
        <v>1171</v>
      </c>
      <c r="Q666" t="s">
        <v>1171</v>
      </c>
      <c r="R666" t="str">
        <f>_xlfn.TEXTBEFORE(_xlfn.TEXTAFTER(us_core_reqs[[#This Row],[URL*]],"/",-1),".")</f>
        <v>must-support</v>
      </c>
      <c r="S666" t="str">
        <f>_xlfn.TEXTAFTER(us_core_reqs[[#This Row],[URL*]],"#",-1)</f>
        <v>must-support---resource-references</v>
      </c>
      <c r="T666" t="str">
        <f>SUBSTITUTE(SUBSTITUTE(PROPER(SUBSTITUTE(us_core_reqs[[#This Row],[Page]], "-", " "))&amp;": "&amp;PROPER(SUBSTITUTE(us_core_reqs[[#This Row],[Section]], "-", " ")),"Us ","US "), "Uscdi", "USCDI")</f>
        <v>Must Support: Must Support   Resource References</v>
      </c>
      <c r="U666" t="s">
        <v>1171</v>
      </c>
      <c r="V666" t="s">
        <v>1171</v>
      </c>
      <c r="W666" t="s">
        <v>1171</v>
      </c>
      <c r="X666" t="s">
        <v>1171</v>
      </c>
      <c r="Y666" t="s">
        <v>1171</v>
      </c>
      <c r="Z666" t="s">
        <v>1171</v>
      </c>
      <c r="AA666" t="s">
        <v>1171</v>
      </c>
      <c r="AB666" t="s">
        <v>1171</v>
      </c>
      <c r="AC666" t="s">
        <v>1140</v>
      </c>
      <c r="AD666" t="s">
        <v>1140</v>
      </c>
    </row>
    <row r="667" spans="1:30" ht="68" x14ac:dyDescent="0.2">
      <c r="A667" t="b">
        <v>1</v>
      </c>
      <c r="B667">
        <v>879</v>
      </c>
      <c r="C667" t="str">
        <f>"CONF-"&amp;TEXT(us_core_reqs[[#This Row],[ID*]], "0000")</f>
        <v>CONF-0879</v>
      </c>
      <c r="D667" s="11" t="s">
        <v>617</v>
      </c>
      <c r="E667" t="str">
        <f>SUBSTITUTE(us_core_reqs[[#This Row],[URL*]], "https://hl7.org/fhir/us/core/STU8/","")</f>
        <v>must-support.html#must-support---resource-references</v>
      </c>
      <c r="F667" s="11" t="s">
        <v>1860</v>
      </c>
      <c r="G667" t="s">
        <v>64</v>
      </c>
      <c r="I667" t="s">
        <v>30</v>
      </c>
      <c r="K667" t="s">
        <v>1171</v>
      </c>
      <c r="L667" t="b">
        <v>0</v>
      </c>
      <c r="N667" t="s">
        <v>1171</v>
      </c>
      <c r="O667" t="s">
        <v>1171</v>
      </c>
      <c r="P667" t="s">
        <v>1171</v>
      </c>
      <c r="Q667" t="s">
        <v>1171</v>
      </c>
      <c r="R667" t="str">
        <f>_xlfn.TEXTBEFORE(_xlfn.TEXTAFTER(us_core_reqs[[#This Row],[URL*]],"/",-1),".")</f>
        <v>must-support</v>
      </c>
      <c r="S667" t="str">
        <f>_xlfn.TEXTAFTER(us_core_reqs[[#This Row],[URL*]],"#",-1)</f>
        <v>must-support---resource-references</v>
      </c>
      <c r="T667" t="str">
        <f>SUBSTITUTE(SUBSTITUTE(PROPER(SUBSTITUTE(us_core_reqs[[#This Row],[Page]], "-", " "))&amp;": "&amp;PROPER(SUBSTITUTE(us_core_reqs[[#This Row],[Section]], "-", " ")),"Us ","US "), "Uscdi", "USCDI")</f>
        <v>Must Support: Must Support   Resource References</v>
      </c>
      <c r="U667" t="s">
        <v>1171</v>
      </c>
      <c r="V667" t="s">
        <v>1171</v>
      </c>
      <c r="W667" t="s">
        <v>1171</v>
      </c>
      <c r="X667" t="s">
        <v>1171</v>
      </c>
      <c r="Y667" t="s">
        <v>1171</v>
      </c>
      <c r="Z667" t="s">
        <v>1171</v>
      </c>
      <c r="AA667" t="s">
        <v>1171</v>
      </c>
      <c r="AB667" t="s">
        <v>1171</v>
      </c>
      <c r="AC667" t="s">
        <v>1140</v>
      </c>
      <c r="AD667" t="s">
        <v>1140</v>
      </c>
    </row>
    <row r="668" spans="1:30" ht="68" x14ac:dyDescent="0.2">
      <c r="A668" t="b">
        <v>1</v>
      </c>
      <c r="B668">
        <v>880</v>
      </c>
      <c r="C668" t="str">
        <f>"CONF-"&amp;TEXT(us_core_reqs[[#This Row],[ID*]], "0000")</f>
        <v>CONF-0880</v>
      </c>
      <c r="D668" s="11" t="s">
        <v>617</v>
      </c>
      <c r="E668" t="str">
        <f>SUBSTITUTE(us_core_reqs[[#This Row],[URL*]], "https://hl7.org/fhir/us/core/STU8/","")</f>
        <v>must-support.html#must-support---resource-references</v>
      </c>
      <c r="F668" s="11" t="s">
        <v>1861</v>
      </c>
      <c r="G668" t="s">
        <v>29</v>
      </c>
      <c r="I668" t="s">
        <v>30</v>
      </c>
      <c r="J668" t="b">
        <v>1</v>
      </c>
      <c r="K668" t="s">
        <v>1171</v>
      </c>
      <c r="L668" t="b">
        <v>0</v>
      </c>
      <c r="N668" t="s">
        <v>1171</v>
      </c>
      <c r="O668" t="s">
        <v>1171</v>
      </c>
      <c r="P668" t="s">
        <v>1171</v>
      </c>
      <c r="Q668" t="s">
        <v>1171</v>
      </c>
      <c r="R668" t="str">
        <f>_xlfn.TEXTBEFORE(_xlfn.TEXTAFTER(us_core_reqs[[#This Row],[URL*]],"/",-1),".")</f>
        <v>must-support</v>
      </c>
      <c r="S668" t="str">
        <f>_xlfn.TEXTAFTER(us_core_reqs[[#This Row],[URL*]],"#",-1)</f>
        <v>must-support---resource-references</v>
      </c>
      <c r="T668" t="str">
        <f>SUBSTITUTE(SUBSTITUTE(PROPER(SUBSTITUTE(us_core_reqs[[#This Row],[Page]], "-", " "))&amp;": "&amp;PROPER(SUBSTITUTE(us_core_reqs[[#This Row],[Section]], "-", " ")),"Us ","US "), "Uscdi", "USCDI")</f>
        <v>Must Support: Must Support   Resource References</v>
      </c>
      <c r="U668" t="s">
        <v>1171</v>
      </c>
      <c r="V668" t="s">
        <v>1171</v>
      </c>
      <c r="W668" t="s">
        <v>1171</v>
      </c>
      <c r="X668" t="s">
        <v>1171</v>
      </c>
      <c r="Y668" t="s">
        <v>1171</v>
      </c>
      <c r="Z668" t="s">
        <v>1171</v>
      </c>
      <c r="AA668" t="s">
        <v>1171</v>
      </c>
      <c r="AB668" t="s">
        <v>1171</v>
      </c>
      <c r="AC668" t="s">
        <v>1140</v>
      </c>
      <c r="AD668" t="s">
        <v>1140</v>
      </c>
    </row>
    <row r="669" spans="1:30" ht="119" x14ac:dyDescent="0.2">
      <c r="A669" t="b">
        <v>1</v>
      </c>
      <c r="B669">
        <v>881</v>
      </c>
      <c r="C669" t="str">
        <f>"CONF-"&amp;TEXT(us_core_reqs[[#This Row],[ID*]], "0000")</f>
        <v>CONF-0881</v>
      </c>
      <c r="D669" s="11" t="s">
        <v>617</v>
      </c>
      <c r="E669" t="str">
        <f>SUBSTITUTE(us_core_reqs[[#This Row],[URL*]], "https://hl7.org/fhir/us/core/STU8/","")</f>
        <v>must-support.html#must-support---resource-references</v>
      </c>
      <c r="F669" s="11" t="s">
        <v>1865</v>
      </c>
      <c r="G669" t="s">
        <v>29</v>
      </c>
      <c r="I669" t="s">
        <v>30</v>
      </c>
      <c r="K669" t="s">
        <v>1171</v>
      </c>
      <c r="L669" t="b">
        <v>0</v>
      </c>
      <c r="N669" t="s">
        <v>1171</v>
      </c>
      <c r="O669" t="s">
        <v>1171</v>
      </c>
      <c r="P669" t="s">
        <v>1171</v>
      </c>
      <c r="Q669" t="s">
        <v>1171</v>
      </c>
      <c r="R669" t="str">
        <f>_xlfn.TEXTBEFORE(_xlfn.TEXTAFTER(us_core_reqs[[#This Row],[URL*]],"/",-1),".")</f>
        <v>must-support</v>
      </c>
      <c r="S669" t="str">
        <f>_xlfn.TEXTAFTER(us_core_reqs[[#This Row],[URL*]],"#",-1)</f>
        <v>must-support---resource-references</v>
      </c>
      <c r="T669" t="str">
        <f>SUBSTITUTE(SUBSTITUTE(PROPER(SUBSTITUTE(us_core_reqs[[#This Row],[Page]], "-", " "))&amp;": "&amp;PROPER(SUBSTITUTE(us_core_reqs[[#This Row],[Section]], "-", " ")),"Us ","US "), "Uscdi", "USCDI")</f>
        <v>Must Support: Must Support   Resource References</v>
      </c>
      <c r="U669" t="s">
        <v>1171</v>
      </c>
      <c r="V669" t="s">
        <v>1171</v>
      </c>
      <c r="W669" t="s">
        <v>1171</v>
      </c>
      <c r="X669" t="s">
        <v>1171</v>
      </c>
      <c r="Y669" t="s">
        <v>1171</v>
      </c>
      <c r="Z669" t="s">
        <v>1171</v>
      </c>
      <c r="AA669" t="s">
        <v>1171</v>
      </c>
      <c r="AB669" t="s">
        <v>1171</v>
      </c>
      <c r="AC669" t="s">
        <v>1140</v>
      </c>
      <c r="AD669" t="s">
        <v>1140</v>
      </c>
    </row>
    <row r="670" spans="1:30" ht="119" x14ac:dyDescent="0.2">
      <c r="A670" t="b">
        <v>1</v>
      </c>
      <c r="B670">
        <v>882</v>
      </c>
      <c r="C670" t="str">
        <f>"CONF-"&amp;TEXT(us_core_reqs[[#This Row],[ID*]], "0000")</f>
        <v>CONF-0882</v>
      </c>
      <c r="D670" s="11" t="s">
        <v>617</v>
      </c>
      <c r="E670" t="str">
        <f>SUBSTITUTE(us_core_reqs[[#This Row],[URL*]], "https://hl7.org/fhir/us/core/STU8/","")</f>
        <v>must-support.html#must-support---resource-references</v>
      </c>
      <c r="F670" s="11" t="s">
        <v>1864</v>
      </c>
      <c r="G670" t="s">
        <v>29</v>
      </c>
      <c r="I670" t="s">
        <v>58</v>
      </c>
      <c r="K670" t="s">
        <v>1171</v>
      </c>
      <c r="L670" t="b">
        <v>0</v>
      </c>
      <c r="N670" t="s">
        <v>1171</v>
      </c>
      <c r="O670" t="s">
        <v>1171</v>
      </c>
      <c r="P670" t="s">
        <v>1171</v>
      </c>
      <c r="Q670" t="s">
        <v>1171</v>
      </c>
      <c r="R670" t="str">
        <f>_xlfn.TEXTBEFORE(_xlfn.TEXTAFTER(us_core_reqs[[#This Row],[URL*]],"/",-1),".")</f>
        <v>must-support</v>
      </c>
      <c r="S670" t="str">
        <f>_xlfn.TEXTAFTER(us_core_reqs[[#This Row],[URL*]],"#",-1)</f>
        <v>must-support---resource-references</v>
      </c>
      <c r="T670" t="str">
        <f>SUBSTITUTE(SUBSTITUTE(PROPER(SUBSTITUTE(us_core_reqs[[#This Row],[Page]], "-", " "))&amp;": "&amp;PROPER(SUBSTITUTE(us_core_reqs[[#This Row],[Section]], "-", " ")),"Us ","US "), "Uscdi", "USCDI")</f>
        <v>Must Support: Must Support   Resource References</v>
      </c>
      <c r="U670" t="s">
        <v>1171</v>
      </c>
      <c r="V670" t="s">
        <v>1171</v>
      </c>
      <c r="W670" t="s">
        <v>1171</v>
      </c>
      <c r="X670" t="s">
        <v>1171</v>
      </c>
      <c r="Y670" t="s">
        <v>1171</v>
      </c>
      <c r="Z670" t="s">
        <v>1171</v>
      </c>
      <c r="AA670" t="s">
        <v>1171</v>
      </c>
      <c r="AB670" t="s">
        <v>1171</v>
      </c>
      <c r="AC670" t="s">
        <v>1140</v>
      </c>
      <c r="AD670" t="s">
        <v>1140</v>
      </c>
    </row>
    <row r="671" spans="1:30" ht="68" x14ac:dyDescent="0.2">
      <c r="A671" t="b">
        <v>1</v>
      </c>
      <c r="B671">
        <v>883</v>
      </c>
      <c r="C671" t="str">
        <f>"CONF-"&amp;TEXT(us_core_reqs[[#This Row],[ID*]], "0000")</f>
        <v>CONF-0883</v>
      </c>
      <c r="D671" s="11" t="s">
        <v>617</v>
      </c>
      <c r="E671" t="str">
        <f>SUBSTITUTE(us_core_reqs[[#This Row],[URL*]], "https://hl7.org/fhir/us/core/STU8/","")</f>
        <v>must-support.html#must-support---resource-references</v>
      </c>
      <c r="F671" s="11" t="s">
        <v>1863</v>
      </c>
      <c r="G671" t="s">
        <v>29</v>
      </c>
      <c r="I671" t="s">
        <v>30</v>
      </c>
      <c r="J671" t="b">
        <v>1</v>
      </c>
      <c r="K671" t="s">
        <v>1171</v>
      </c>
      <c r="L671" t="b">
        <v>0</v>
      </c>
      <c r="N671" t="s">
        <v>1171</v>
      </c>
      <c r="O671" t="s">
        <v>1171</v>
      </c>
      <c r="P671" t="s">
        <v>1171</v>
      </c>
      <c r="Q671" t="s">
        <v>1171</v>
      </c>
      <c r="R671" t="str">
        <f>_xlfn.TEXTBEFORE(_xlfn.TEXTAFTER(us_core_reqs[[#This Row],[URL*]],"/",-1),".")</f>
        <v>must-support</v>
      </c>
      <c r="S671" t="str">
        <f>_xlfn.TEXTAFTER(us_core_reqs[[#This Row],[URL*]],"#",-1)</f>
        <v>must-support---resource-references</v>
      </c>
      <c r="T671" t="str">
        <f>SUBSTITUTE(SUBSTITUTE(PROPER(SUBSTITUTE(us_core_reqs[[#This Row],[Page]], "-", " "))&amp;": "&amp;PROPER(SUBSTITUTE(us_core_reqs[[#This Row],[Section]], "-", " ")),"Us ","US "), "Uscdi", "USCDI")</f>
        <v>Must Support: Must Support   Resource References</v>
      </c>
      <c r="U671" t="s">
        <v>1171</v>
      </c>
      <c r="V671" t="s">
        <v>1171</v>
      </c>
      <c r="W671" t="s">
        <v>1171</v>
      </c>
      <c r="X671" t="s">
        <v>1171</v>
      </c>
      <c r="Y671" t="s">
        <v>1171</v>
      </c>
      <c r="Z671" t="s">
        <v>1171</v>
      </c>
      <c r="AA671" t="s">
        <v>1171</v>
      </c>
      <c r="AB671" t="s">
        <v>1171</v>
      </c>
      <c r="AC671" t="s">
        <v>1140</v>
      </c>
      <c r="AD671" t="s">
        <v>1140</v>
      </c>
    </row>
    <row r="672" spans="1:30" ht="51" x14ac:dyDescent="0.2">
      <c r="A672" t="b">
        <v>1</v>
      </c>
      <c r="B672">
        <v>884</v>
      </c>
      <c r="C672" t="str">
        <f>"CONF-"&amp;TEXT(us_core_reqs[[#This Row],[ID*]], "0000")</f>
        <v>CONF-0884</v>
      </c>
      <c r="D672" s="11" t="s">
        <v>619</v>
      </c>
      <c r="E672" t="str">
        <f>SUBSTITUTE(us_core_reqs[[#This Row],[URL*]], "https://hl7.org/fhir/us/core/STU8/","")</f>
        <v>must-support.html#must-support---choice-of-data-types</v>
      </c>
      <c r="F672" s="11" t="s">
        <v>1868</v>
      </c>
      <c r="G672" t="s">
        <v>29</v>
      </c>
      <c r="I672" t="s">
        <v>30</v>
      </c>
      <c r="J672" t="b">
        <v>1</v>
      </c>
      <c r="L672" t="b">
        <v>0</v>
      </c>
      <c r="R672" t="str">
        <f>_xlfn.TEXTBEFORE(_xlfn.TEXTAFTER(us_core_reqs[[#This Row],[URL*]],"/",-1),".")</f>
        <v>must-support</v>
      </c>
      <c r="S672" t="str">
        <f>_xlfn.TEXTAFTER(us_core_reqs[[#This Row],[URL*]],"#",-1)</f>
        <v>must-support---choice-of-data-types</v>
      </c>
      <c r="T672" t="str">
        <f>SUBSTITUTE(SUBSTITUTE(PROPER(SUBSTITUTE(us_core_reqs[[#This Row],[Page]], "-", " "))&amp;": "&amp;PROPER(SUBSTITUTE(us_core_reqs[[#This Row],[Section]], "-", " ")),"Us ","US "), "Uscdi", "USCDI")</f>
        <v>Must Support: Must Support   Choice Of Data Types</v>
      </c>
    </row>
    <row r="673" spans="1:20" ht="153" x14ac:dyDescent="0.2">
      <c r="A673" t="b">
        <v>1</v>
      </c>
      <c r="B673">
        <v>885</v>
      </c>
      <c r="C673" t="str">
        <f>"CONF-"&amp;TEXT(us_core_reqs[[#This Row],[ID*]], "0000")</f>
        <v>CONF-0885</v>
      </c>
      <c r="D673" s="11" t="s">
        <v>1889</v>
      </c>
      <c r="E673" t="str">
        <f>SUBSTITUTE(us_core_reqs[[#This Row],[URL*]], "https://hl7.org/fhir/us/core/STU8/","")</f>
        <v>basic-provenance.html#individual-level-provenance</v>
      </c>
      <c r="F673" s="11" t="s">
        <v>1890</v>
      </c>
      <c r="G673" t="s">
        <v>32</v>
      </c>
      <c r="I673" t="s">
        <v>30</v>
      </c>
      <c r="L673" t="b">
        <v>0</v>
      </c>
      <c r="R673" t="str">
        <f>_xlfn.TEXTBEFORE(_xlfn.TEXTAFTER(us_core_reqs[[#This Row],[URL*]],"/",-1),".")</f>
        <v>basic-provenance</v>
      </c>
      <c r="S673" t="str">
        <f>_xlfn.TEXTAFTER(us_core_reqs[[#This Row],[URL*]],"#",-1)</f>
        <v>individual-level-provenance</v>
      </c>
      <c r="T673" t="str">
        <f>SUBSTITUTE(SUBSTITUTE(PROPER(SUBSTITUTE(us_core_reqs[[#This Row],[Page]], "-", " "))&amp;": "&amp;PROPER(SUBSTITUTE(us_core_reqs[[#This Row],[Section]], "-", " ")),"Us ","US "), "Uscdi", "USCDI")</f>
        <v>Basic Provenance: Individual Level Provenance</v>
      </c>
    </row>
  </sheetData>
  <phoneticPr fontId="19" type="noConversion"/>
  <hyperlinks>
    <hyperlink ref="D81" r:id="rId1" location="must-support-el+D647ements" xr:uid="{A14B4D5F-33FE-294C-9B9A-081DD89AA7C2}"/>
  </hyperlinks>
  <pageMargins left="0.7" right="0.7" top="0.75" bottom="0.75" header="0.3" footer="0.3"/>
  <pageSetup orientation="portrait" horizontalDpi="0" verticalDpi="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7" t="s">
        <v>578</v>
      </c>
      <c r="B1" s="78"/>
    </row>
    <row r="2" spans="1:2" ht="82.25" customHeight="1" x14ac:dyDescent="0.2">
      <c r="A2" s="78"/>
      <c r="B2" s="78"/>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25D6BB-BE6A-3148-AA42-4BBE2D66A470}">
  <ds:schemaRefs>
    <ds:schemaRef ds:uri="http://schemas.microsoft.com/DataMashup"/>
  </ds:schemaRefs>
</ds:datastoreItem>
</file>

<file path=customXml/itemProps2.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4.xml><?xml version="1.0" encoding="utf-8"?>
<ds:datastoreItem xmlns:ds="http://schemas.openxmlformats.org/officeDocument/2006/customXml" ds:itemID="{CA84097F-5807-4DCF-92C6-48C9EE26CF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2026-03-04T05:12:17Z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