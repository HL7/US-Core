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BD09073F-6A17-7845-A686-BE8E16EFDC5A}" xr6:coauthVersionLast="47" xr6:coauthVersionMax="47" xr10:uidLastSave="{00000000-0000-0000-0000-000000000000}"/>
  <bookViews>
    <workbookView xWindow="6112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us_core_reqs!$A$1:$AD$673</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0" i="11" l="1"/>
  <c r="S672" i="11"/>
  <c r="R672" i="11"/>
  <c r="E672" i="11"/>
  <c r="C672" i="11"/>
  <c r="S673" i="11"/>
  <c r="R673"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S241" i="11"/>
  <c r="R241" i="11"/>
  <c r="S240" i="11"/>
  <c r="R240" i="11"/>
  <c r="S239" i="11"/>
  <c r="R239" i="11"/>
  <c r="S238" i="11"/>
  <c r="R238" i="11"/>
  <c r="S237" i="11"/>
  <c r="R237" i="11"/>
  <c r="S236" i="11"/>
  <c r="R236" i="11"/>
  <c r="S235" i="11"/>
  <c r="R235" i="1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3" i="11"/>
  <c r="C673" i="11"/>
  <c r="C671" i="11"/>
  <c r="C670" i="11"/>
  <c r="P587" i="5"/>
  <c r="O587" i="5"/>
  <c r="N587" i="5" a="1"/>
  <c r="N587" i="5" s="1"/>
  <c r="M587" i="5" a="1"/>
  <c r="M587" i="5" s="1"/>
  <c r="P586" i="5"/>
  <c r="O586" i="5"/>
  <c r="N586" i="5" a="1"/>
  <c r="N586" i="5" s="1"/>
  <c r="M586" i="5" a="1"/>
  <c r="M586" i="5" s="1"/>
  <c r="T453" i="11" l="1"/>
  <c r="T461" i="11"/>
  <c r="T469" i="11"/>
  <c r="T477" i="11"/>
  <c r="T481" i="11"/>
  <c r="T485" i="11"/>
  <c r="T489" i="11"/>
  <c r="T493" i="11"/>
  <c r="T501" i="11"/>
  <c r="T5" i="11"/>
  <c r="T9" i="11"/>
  <c r="T13" i="11"/>
  <c r="T17" i="11"/>
  <c r="T21" i="11"/>
  <c r="T25" i="11"/>
  <c r="T29" i="11"/>
  <c r="T33" i="11"/>
  <c r="T37" i="11"/>
  <c r="T41" i="11"/>
  <c r="T45" i="11"/>
  <c r="T49" i="11"/>
  <c r="T53" i="11"/>
  <c r="T57" i="11"/>
  <c r="T61" i="11"/>
  <c r="T65" i="11"/>
  <c r="T69" i="11"/>
  <c r="T73" i="11"/>
  <c r="T77" i="11"/>
  <c r="T81" i="11"/>
  <c r="T85" i="11"/>
  <c r="T89" i="11"/>
  <c r="T93" i="11"/>
  <c r="T97" i="11"/>
  <c r="T101" i="11"/>
  <c r="T105" i="11"/>
  <c r="T109" i="11"/>
  <c r="T113" i="11"/>
  <c r="T117" i="11"/>
  <c r="T121" i="11"/>
  <c r="T125" i="11"/>
  <c r="T129" i="11"/>
  <c r="T133" i="11"/>
  <c r="T137" i="11"/>
  <c r="T141" i="11"/>
  <c r="T6" i="11"/>
  <c r="T10" i="11"/>
  <c r="T14" i="11"/>
  <c r="T18" i="11"/>
  <c r="T22" i="11"/>
  <c r="T26" i="11"/>
  <c r="T30" i="11"/>
  <c r="T34" i="11"/>
  <c r="T38" i="11"/>
  <c r="T42" i="11"/>
  <c r="T46" i="11"/>
  <c r="T50" i="11"/>
  <c r="T54" i="11"/>
  <c r="T58" i="11"/>
  <c r="T62" i="11"/>
  <c r="T66" i="11"/>
  <c r="T70" i="11"/>
  <c r="T74" i="11"/>
  <c r="T78" i="11"/>
  <c r="T82" i="11"/>
  <c r="T86" i="11"/>
  <c r="T90" i="11"/>
  <c r="T94" i="11"/>
  <c r="T98" i="11"/>
  <c r="T102" i="11"/>
  <c r="T3" i="11"/>
  <c r="T7" i="11"/>
  <c r="T11" i="11"/>
  <c r="T15" i="11"/>
  <c r="T19" i="11"/>
  <c r="T23" i="11"/>
  <c r="T27" i="11"/>
  <c r="T31" i="11"/>
  <c r="T35" i="11"/>
  <c r="T39" i="11"/>
  <c r="T43" i="11"/>
  <c r="T47" i="11"/>
  <c r="T51" i="11"/>
  <c r="T55" i="11"/>
  <c r="T59" i="11"/>
  <c r="T63" i="11"/>
  <c r="T67" i="11"/>
  <c r="T71" i="11"/>
  <c r="T75" i="11"/>
  <c r="T79" i="11"/>
  <c r="T83" i="11"/>
  <c r="T87" i="11"/>
  <c r="T91" i="11"/>
  <c r="T95" i="11"/>
  <c r="T99" i="11"/>
  <c r="T103" i="11"/>
  <c r="T107" i="11"/>
  <c r="T111" i="11"/>
  <c r="T115" i="11"/>
  <c r="T119" i="11"/>
  <c r="T123" i="11"/>
  <c r="T127" i="11"/>
  <c r="T131" i="11"/>
  <c r="T135" i="11"/>
  <c r="T139" i="11"/>
  <c r="T143" i="11"/>
  <c r="T147" i="11"/>
  <c r="T151" i="11"/>
  <c r="T155" i="11"/>
  <c r="T159" i="11"/>
  <c r="T163" i="11"/>
  <c r="T167" i="11"/>
  <c r="T171" i="11"/>
  <c r="T175" i="11"/>
  <c r="T179" i="11"/>
  <c r="T183" i="11"/>
  <c r="T187" i="11"/>
  <c r="T191" i="11"/>
  <c r="T195" i="11"/>
  <c r="T199" i="11"/>
  <c r="T203" i="11"/>
  <c r="T207" i="11"/>
  <c r="T211" i="11"/>
  <c r="T215" i="11"/>
  <c r="T219" i="11"/>
  <c r="T223" i="11"/>
  <c r="T227" i="11"/>
  <c r="T145" i="11"/>
  <c r="T149" i="11"/>
  <c r="T153" i="11"/>
  <c r="T157" i="11"/>
  <c r="T161" i="11"/>
  <c r="T165" i="11"/>
  <c r="T169" i="11"/>
  <c r="T173" i="11"/>
  <c r="T177" i="11"/>
  <c r="T181" i="11"/>
  <c r="T185" i="11"/>
  <c r="T189" i="11"/>
  <c r="T193" i="11"/>
  <c r="T197" i="11"/>
  <c r="T365" i="11"/>
  <c r="T373" i="11"/>
  <c r="T381" i="11"/>
  <c r="T389" i="11"/>
  <c r="T397" i="11"/>
  <c r="T405" i="11"/>
  <c r="T413" i="11"/>
  <c r="T417" i="11"/>
  <c r="T421" i="11"/>
  <c r="T425" i="11"/>
  <c r="T429" i="11"/>
  <c r="T437" i="11"/>
  <c r="T445" i="11"/>
  <c r="T106" i="11"/>
  <c r="T110" i="11"/>
  <c r="T114" i="11"/>
  <c r="T118" i="11"/>
  <c r="T122" i="11"/>
  <c r="T126" i="11"/>
  <c r="T130" i="11"/>
  <c r="T134" i="11"/>
  <c r="T138" i="11"/>
  <c r="T142" i="11"/>
  <c r="T146" i="11"/>
  <c r="T150" i="11"/>
  <c r="T154" i="11"/>
  <c r="T158" i="11"/>
  <c r="T162" i="11"/>
  <c r="T166" i="11"/>
  <c r="T170" i="11"/>
  <c r="T174" i="11"/>
  <c r="T178" i="11"/>
  <c r="T182" i="11"/>
  <c r="T186" i="11"/>
  <c r="T190" i="11"/>
  <c r="T194" i="11"/>
  <c r="T198" i="11"/>
  <c r="T202" i="11"/>
  <c r="T206" i="11"/>
  <c r="T210" i="11"/>
  <c r="T214" i="11"/>
  <c r="T218" i="11"/>
  <c r="T222" i="11"/>
  <c r="T226" i="11"/>
  <c r="T658" i="11"/>
  <c r="T662" i="11"/>
  <c r="T666" i="11"/>
  <c r="T670" i="11"/>
  <c r="T231" i="11"/>
  <c r="T235" i="11"/>
  <c r="T239" i="11"/>
  <c r="T243" i="11"/>
  <c r="T247" i="11"/>
  <c r="T251" i="11"/>
  <c r="T255" i="11"/>
  <c r="T259" i="11"/>
  <c r="T263" i="11"/>
  <c r="T267" i="11"/>
  <c r="T271" i="11"/>
  <c r="T275" i="11"/>
  <c r="T279" i="11"/>
  <c r="T283" i="11"/>
  <c r="T287" i="11"/>
  <c r="T291" i="11"/>
  <c r="T295" i="11"/>
  <c r="T303" i="11"/>
  <c r="T307" i="11"/>
  <c r="T311" i="11"/>
  <c r="T315" i="11"/>
  <c r="T319" i="11"/>
  <c r="T323" i="11"/>
  <c r="T327" i="11"/>
  <c r="T331" i="11"/>
  <c r="T335" i="11"/>
  <c r="T339" i="11"/>
  <c r="T343" i="11"/>
  <c r="T347" i="11"/>
  <c r="T351" i="11"/>
  <c r="T355" i="11"/>
  <c r="T359" i="11"/>
  <c r="T363" i="11"/>
  <c r="T367" i="11"/>
  <c r="T371" i="11"/>
  <c r="T375" i="11"/>
  <c r="T379" i="11"/>
  <c r="T383" i="11"/>
  <c r="T387" i="11"/>
  <c r="T391" i="11"/>
  <c r="T395" i="11"/>
  <c r="T399" i="11"/>
  <c r="T403" i="11"/>
  <c r="T407" i="11"/>
  <c r="T411" i="11"/>
  <c r="T415" i="11"/>
  <c r="T419" i="11"/>
  <c r="T423" i="11"/>
  <c r="T427" i="11"/>
  <c r="T431" i="11"/>
  <c r="T435" i="11"/>
  <c r="T439" i="11"/>
  <c r="T443" i="11"/>
  <c r="T447" i="11"/>
  <c r="T451" i="11"/>
  <c r="T455" i="11"/>
  <c r="T459" i="11"/>
  <c r="T463" i="11"/>
  <c r="T467" i="11"/>
  <c r="T471" i="11"/>
  <c r="T475" i="11"/>
  <c r="T479" i="11"/>
  <c r="T483" i="11"/>
  <c r="T487" i="11"/>
  <c r="T491" i="11"/>
  <c r="T495" i="11"/>
  <c r="T499" i="11"/>
  <c r="T503" i="11"/>
  <c r="T507" i="11"/>
  <c r="T511" i="11"/>
  <c r="T515" i="11"/>
  <c r="T519" i="11"/>
  <c r="T523" i="11"/>
  <c r="T527" i="11"/>
  <c r="T531" i="11"/>
  <c r="T535" i="11"/>
  <c r="T539" i="11"/>
  <c r="T543" i="11"/>
  <c r="T547" i="11"/>
  <c r="T551" i="11"/>
  <c r="T555" i="11"/>
  <c r="T559" i="11"/>
  <c r="T563" i="11"/>
  <c r="T567" i="11"/>
  <c r="T571" i="11"/>
  <c r="T230" i="11"/>
  <c r="T234" i="11"/>
  <c r="T246" i="11"/>
  <c r="T250" i="11"/>
  <c r="T254" i="11"/>
  <c r="T258" i="11"/>
  <c r="T262" i="11"/>
  <c r="T266" i="11"/>
  <c r="T270" i="11"/>
  <c r="T274" i="11"/>
  <c r="T278" i="11"/>
  <c r="T282" i="11"/>
  <c r="T286" i="11"/>
  <c r="T294" i="11"/>
  <c r="T302" i="11"/>
  <c r="T306" i="11"/>
  <c r="T310" i="11"/>
  <c r="T314" i="11"/>
  <c r="T318" i="11"/>
  <c r="T4" i="11"/>
  <c r="T8" i="11"/>
  <c r="T12" i="11"/>
  <c r="T16" i="11"/>
  <c r="T20" i="11"/>
  <c r="T24" i="11"/>
  <c r="T28" i="11"/>
  <c r="T32" i="11"/>
  <c r="T36" i="11"/>
  <c r="T40" i="11"/>
  <c r="T44" i="11"/>
  <c r="T48" i="11"/>
  <c r="T52" i="11"/>
  <c r="T56" i="11"/>
  <c r="T60" i="11"/>
  <c r="T64" i="11"/>
  <c r="T68" i="11"/>
  <c r="T72" i="11"/>
  <c r="T76" i="11"/>
  <c r="T80" i="11"/>
  <c r="T84" i="11"/>
  <c r="T88" i="11"/>
  <c r="T92" i="11"/>
  <c r="T96" i="11"/>
  <c r="T100" i="11"/>
  <c r="T104" i="11"/>
  <c r="T108" i="11"/>
  <c r="T112" i="11"/>
  <c r="T116" i="11"/>
  <c r="T120" i="11"/>
  <c r="T124" i="11"/>
  <c r="T128" i="11"/>
  <c r="T132" i="11"/>
  <c r="T136" i="11"/>
  <c r="T140" i="11"/>
  <c r="T144" i="11"/>
  <c r="T148" i="11"/>
  <c r="T152" i="11"/>
  <c r="T156" i="11"/>
  <c r="T160" i="11"/>
  <c r="T164" i="11"/>
  <c r="T168" i="11"/>
  <c r="T172" i="11"/>
  <c r="T176" i="11"/>
  <c r="T180" i="11"/>
  <c r="T184" i="11"/>
  <c r="T188" i="11"/>
  <c r="T192" i="11"/>
  <c r="T196" i="11"/>
  <c r="T200" i="11"/>
  <c r="T204" i="11"/>
  <c r="T208" i="11"/>
  <c r="T212" i="11"/>
  <c r="T216" i="11"/>
  <c r="T220" i="11"/>
  <c r="T224" i="11"/>
  <c r="T228" i="11"/>
  <c r="T232" i="11"/>
  <c r="T236" i="11"/>
  <c r="T240" i="11"/>
  <c r="T244" i="11"/>
  <c r="T248" i="11"/>
  <c r="T252" i="11"/>
  <c r="T256" i="11"/>
  <c r="T260" i="11"/>
  <c r="T264" i="11"/>
  <c r="T268" i="11"/>
  <c r="T272" i="11"/>
  <c r="T276" i="11"/>
  <c r="T280" i="11"/>
  <c r="T284" i="11"/>
  <c r="T201" i="11"/>
  <c r="T205" i="11"/>
  <c r="T209" i="11"/>
  <c r="T213" i="11"/>
  <c r="T217" i="11"/>
  <c r="T221" i="11"/>
  <c r="T225" i="11"/>
  <c r="T229" i="11"/>
  <c r="T233" i="11"/>
  <c r="T241" i="11"/>
  <c r="T245" i="11"/>
  <c r="T253" i="11"/>
  <c r="T261" i="11"/>
  <c r="T269" i="11"/>
  <c r="T285" i="11"/>
  <c r="T289" i="11"/>
  <c r="T293" i="11"/>
  <c r="T297" i="11"/>
  <c r="T301" i="11"/>
  <c r="T309" i="11"/>
  <c r="T317" i="11"/>
  <c r="T325" i="11"/>
  <c r="T333" i="11"/>
  <c r="T341" i="11"/>
  <c r="T349" i="11"/>
  <c r="T353" i="11"/>
  <c r="T357" i="11"/>
  <c r="T361" i="11"/>
  <c r="T509" i="11"/>
  <c r="T517" i="11"/>
  <c r="T525" i="11"/>
  <c r="T533" i="11"/>
  <c r="T541" i="11"/>
  <c r="T545" i="11"/>
  <c r="T549" i="11"/>
  <c r="T553" i="11"/>
  <c r="T557" i="11"/>
  <c r="T565" i="11"/>
  <c r="T573" i="11"/>
  <c r="T581" i="11"/>
  <c r="T589" i="11"/>
  <c r="T597" i="11"/>
  <c r="T605" i="11"/>
  <c r="T609" i="11"/>
  <c r="T613" i="11"/>
  <c r="T617" i="11"/>
  <c r="T621" i="11"/>
  <c r="T629" i="11"/>
  <c r="T637" i="11"/>
  <c r="T645" i="11"/>
  <c r="T653" i="11"/>
  <c r="T661" i="11"/>
  <c r="T669" i="11"/>
  <c r="T322" i="11"/>
  <c r="T326" i="11"/>
  <c r="T330" i="11"/>
  <c r="T334" i="11"/>
  <c r="T338" i="11"/>
  <c r="T342" i="11"/>
  <c r="T346" i="11"/>
  <c r="T350" i="11"/>
  <c r="T354" i="11"/>
  <c r="T358" i="11"/>
  <c r="T362" i="11"/>
  <c r="T366" i="11"/>
  <c r="T370" i="11"/>
  <c r="T374" i="11"/>
  <c r="T378" i="11"/>
  <c r="T382" i="11"/>
  <c r="T386" i="11"/>
  <c r="T390" i="11"/>
  <c r="T394" i="11"/>
  <c r="T398" i="11"/>
  <c r="T402" i="11"/>
  <c r="T406" i="11"/>
  <c r="T410" i="11"/>
  <c r="T414" i="11"/>
  <c r="T418" i="11"/>
  <c r="T422" i="11"/>
  <c r="T426" i="11"/>
  <c r="T430" i="11"/>
  <c r="T434" i="11"/>
  <c r="T438" i="11"/>
  <c r="T442" i="11"/>
  <c r="T446" i="11"/>
  <c r="T450" i="11"/>
  <c r="T454" i="11"/>
  <c r="T458" i="11"/>
  <c r="T462" i="11"/>
  <c r="T466" i="11"/>
  <c r="T470" i="11"/>
  <c r="T474" i="11"/>
  <c r="T478" i="11"/>
  <c r="T482" i="11"/>
  <c r="T486" i="11"/>
  <c r="T490" i="11"/>
  <c r="T494" i="11"/>
  <c r="T498" i="11"/>
  <c r="T502" i="11"/>
  <c r="T506" i="11"/>
  <c r="T510" i="11"/>
  <c r="T514" i="11"/>
  <c r="T518" i="11"/>
  <c r="T522" i="11"/>
  <c r="T526" i="11"/>
  <c r="T530" i="11"/>
  <c r="T534" i="11"/>
  <c r="T538" i="11"/>
  <c r="T542" i="11"/>
  <c r="T546" i="11"/>
  <c r="T550" i="11"/>
  <c r="T554" i="11"/>
  <c r="T558" i="11"/>
  <c r="T562" i="11"/>
  <c r="T566" i="11"/>
  <c r="T570" i="11"/>
  <c r="T574" i="11"/>
  <c r="T578" i="11"/>
  <c r="T582" i="11"/>
  <c r="T586" i="11"/>
  <c r="T590" i="11"/>
  <c r="T594" i="11"/>
  <c r="T598" i="11"/>
  <c r="T602" i="11"/>
  <c r="T606" i="11"/>
  <c r="T610" i="11"/>
  <c r="T614" i="11"/>
  <c r="T618" i="11"/>
  <c r="T622" i="11"/>
  <c r="T626" i="11"/>
  <c r="T630" i="11"/>
  <c r="T634" i="11"/>
  <c r="T638" i="11"/>
  <c r="T642" i="11"/>
  <c r="T646" i="11"/>
  <c r="T650" i="11"/>
  <c r="T654" i="11"/>
  <c r="T672" i="11"/>
  <c r="T288" i="11"/>
  <c r="T292" i="11"/>
  <c r="T296" i="11"/>
  <c r="T304" i="11"/>
  <c r="T308" i="11"/>
  <c r="T312" i="11"/>
  <c r="T316" i="11"/>
  <c r="T320" i="11"/>
  <c r="T324" i="11"/>
  <c r="T328" i="11"/>
  <c r="T332" i="11"/>
  <c r="T336" i="11"/>
  <c r="T277" i="11"/>
  <c r="T237" i="11"/>
  <c r="T249" i="11"/>
  <c r="T257" i="11"/>
  <c r="T265" i="11"/>
  <c r="T273" i="11"/>
  <c r="T281" i="11"/>
  <c r="T305" i="11"/>
  <c r="T313" i="11"/>
  <c r="T321" i="11"/>
  <c r="T329" i="11"/>
  <c r="T337" i="11"/>
  <c r="T345" i="11"/>
  <c r="T369" i="11"/>
  <c r="T377" i="11"/>
  <c r="T385" i="11"/>
  <c r="T393" i="11"/>
  <c r="T401" i="11"/>
  <c r="T409" i="11"/>
  <c r="T433" i="11"/>
  <c r="T441" i="11"/>
  <c r="T449" i="11"/>
  <c r="T457" i="11"/>
  <c r="T465" i="11"/>
  <c r="T473" i="11"/>
  <c r="T497" i="11"/>
  <c r="T505" i="11"/>
  <c r="T513" i="11"/>
  <c r="T521" i="11"/>
  <c r="T529" i="11"/>
  <c r="T537" i="11"/>
  <c r="T561" i="11"/>
  <c r="T569" i="11"/>
  <c r="T577" i="11"/>
  <c r="T585" i="11"/>
  <c r="T593" i="11"/>
  <c r="T601" i="11"/>
  <c r="T625" i="11"/>
  <c r="T633" i="11"/>
  <c r="T641" i="11"/>
  <c r="T649" i="11"/>
  <c r="T657" i="11"/>
  <c r="T665" i="11"/>
  <c r="T575" i="11"/>
  <c r="T579" i="11"/>
  <c r="T583" i="11"/>
  <c r="T587" i="11"/>
  <c r="T591" i="11"/>
  <c r="T595" i="11"/>
  <c r="T599" i="11"/>
  <c r="T603" i="11"/>
  <c r="T607" i="11"/>
  <c r="T611" i="11"/>
  <c r="T615" i="11"/>
  <c r="T619" i="11"/>
  <c r="T623" i="11"/>
  <c r="T627" i="11"/>
  <c r="T631" i="11"/>
  <c r="T635" i="11"/>
  <c r="T639" i="11"/>
  <c r="T643" i="11"/>
  <c r="T647" i="11"/>
  <c r="T651" i="11"/>
  <c r="T655" i="11"/>
  <c r="T659" i="11"/>
  <c r="T663" i="11"/>
  <c r="T667" i="11"/>
  <c r="T671" i="11"/>
  <c r="T340" i="11"/>
  <c r="T344" i="11"/>
  <c r="T348" i="11"/>
  <c r="T352" i="11"/>
  <c r="T356" i="11"/>
  <c r="T360" i="11"/>
  <c r="T364" i="11"/>
  <c r="T368" i="11"/>
  <c r="T372" i="11"/>
  <c r="T376" i="11"/>
  <c r="T380" i="11"/>
  <c r="T384" i="11"/>
  <c r="T388" i="11"/>
  <c r="T392" i="11"/>
  <c r="T396" i="11"/>
  <c r="T400" i="11"/>
  <c r="T404" i="11"/>
  <c r="T408" i="11"/>
  <c r="T412" i="11"/>
  <c r="T416" i="11"/>
  <c r="T420" i="11"/>
  <c r="T424" i="11"/>
  <c r="T428" i="11"/>
  <c r="T432" i="11"/>
  <c r="T436" i="11"/>
  <c r="T440" i="11"/>
  <c r="T444" i="11"/>
  <c r="T448" i="11"/>
  <c r="T452" i="11"/>
  <c r="T456" i="11"/>
  <c r="T460" i="11"/>
  <c r="T464" i="11"/>
  <c r="T468" i="11"/>
  <c r="T472" i="11"/>
  <c r="T476" i="11"/>
  <c r="T480" i="11"/>
  <c r="T484" i="11"/>
  <c r="T488" i="11"/>
  <c r="T492" i="11"/>
  <c r="T496" i="11"/>
  <c r="T500" i="11"/>
  <c r="T504" i="11"/>
  <c r="T508" i="11"/>
  <c r="T512" i="11"/>
  <c r="T516" i="11"/>
  <c r="T520" i="11"/>
  <c r="T524" i="11"/>
  <c r="T528" i="11"/>
  <c r="T532" i="11"/>
  <c r="T536" i="11"/>
  <c r="T540" i="11"/>
  <c r="T544" i="11"/>
  <c r="T548" i="11"/>
  <c r="T552" i="11"/>
  <c r="T556" i="11"/>
  <c r="T560" i="11"/>
  <c r="T564" i="11"/>
  <c r="T568" i="11"/>
  <c r="T572" i="11"/>
  <c r="T576" i="11"/>
  <c r="T580" i="11"/>
  <c r="T584" i="11"/>
  <c r="T588" i="11"/>
  <c r="T592" i="11"/>
  <c r="T596" i="11"/>
  <c r="T600" i="11"/>
  <c r="T604" i="11"/>
  <c r="T608" i="11"/>
  <c r="T612" i="11"/>
  <c r="T616" i="11"/>
  <c r="T620" i="11"/>
  <c r="T624" i="11"/>
  <c r="T628" i="11"/>
  <c r="T632" i="11"/>
  <c r="T636" i="11"/>
  <c r="T640" i="11"/>
  <c r="T644" i="11"/>
  <c r="T648" i="11"/>
  <c r="T652" i="11"/>
  <c r="T656" i="11"/>
  <c r="T660" i="11"/>
  <c r="T664" i="11"/>
  <c r="T668" i="11"/>
  <c r="T673" i="11"/>
  <c r="T298" i="11"/>
  <c r="T299" i="11"/>
  <c r="T290" i="11"/>
  <c r="T300" i="11"/>
  <c r="T2" i="11"/>
  <c r="T238" i="11"/>
  <c r="T242" i="11"/>
  <c r="P58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<sst xmlns="http://schemas.openxmlformats.org/spreadsheetml/2006/main" count="19684" uniqueCount="2235">
  <si>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</si>
  <si>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</si>
  <si>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</si>
  <si>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</si>
  <si>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</si>
  <si>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</si>
  <si>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</si>
  <si>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</si>
  <si>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</si>
  <si>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</si>
  <si>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</si>
  <si>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</si>
  <si>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</si>
  <si>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</si>
  <si>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</si>
  <si>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</si>
  <si>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</si>
  <si>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</si>
  <si>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</si>
  <si>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</si>
  <si>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</si>
  <si>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</si>
  <si>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</si>
  <si>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</si>
  <si>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</si>
  <si>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</si>
  <si>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</si>
  <si>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</si>
  <si>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</si>
  <si>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</si>
  <si>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</si>
  <si>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</si>
  <si>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</si>
  <si>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</si>
  <si>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</si>
  <si>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</si>
  <si>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</si>
  <si>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</si>
  <si>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</si>
  <si>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</si>
  <si>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</si>
  <si>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</si>
  <si>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</si>
  <si>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</si>
  <si>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</si>
  <si>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</si>
  <si>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</si>
  <si>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</si>
  <si>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</si>
  <si>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</si>
  <si>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</si>
  <si>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</si>
  <si>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</si>
  <si>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</si>
  <si>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</si>
  <si>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</si>
  <si>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</si>
  <si>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</si>
  <si>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</si>
  <si>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</si>
  <si>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</si>
  <si>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</si>
  <si>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</si>
  <si>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</si>
  <si>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</si>
  <si>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</si>
  <si>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</si>
  <si>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</si>
  <si>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</si>
  <si>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</si>
  <si>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</si>
  <si>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</si>
  <si>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</si>
  <si>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</si>
  <si>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</si>
  <si>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</si>
  <si>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</si>
  <si>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</si>
  <si>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</si>
  <si>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</si>
  <si>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</si>
  <si>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</si>
  <si>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</si>
  <si>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</si>
  <si>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</si>
  <si>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</si>
  <si>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</si>
  <si>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</si>
  <si>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</si>
  <si>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</si>
  <si>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</si>
  <si>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</si>
  <si>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</si>
  <si>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</si>
  <si>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</si>
  <si>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</si>
  <si>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</si>
  <si>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</si>
  <si>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</si>
  <si>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</si>
  <si>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</si>
  <si>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</si>
  <si>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</si>
  <si>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</si>
  <si>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</si>
  <si>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</si>
  <si>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</si>
  <si>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</si>
  <si>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</si>
  <si>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</si>
  <si>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</si>
  <si>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</si>
  <si>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</si>
  <si>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</si>
  <si>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</si>
  <si>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</si>
  <si>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</si>
  <si>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</si>
  <si>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</si>
  <si>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</si>
  <si>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</si>
  <si>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</si>
  <si>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</si>
  <si>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</si>
  <si>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</si>
  <si>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</si>
  <si>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</si>
  <si>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</si>
  <si>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</si>
  <si>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</si>
  <si>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</si>
  <si>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</si>
  <si>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</si>
  <si>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</si>
  <si>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</si>
  <si>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</si>
  <si>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</si>
  <si>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</si>
  <si>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</si>
  <si>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</si>
  <si>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</si>
  <si>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</si>
  <si>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</si>
  <si>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</si>
  <si>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</si>
  <si>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</si>
  <si>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</si>
  <si>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</si>
  <si>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</si>
  <si>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</si>
  <si>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</si>
  <si>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</si>
  <si>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</si>
  <si>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</si>
  <si>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</si>
  <si>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</si>
  <si>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</si>
  <si>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</si>
  <si>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</si>
  <si>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</si>
  <si>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</si>
  <si>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</si>
  <si>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</si>
  <si>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</si>
  <si>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</si>
  <si>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</si>
  <si>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</si>
  <si>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</si>
  <si>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</si>
  <si>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</si>
  <si>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</si>
  <si>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</si>
  <si>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</si>
  <si>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</si>
  <si>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</si>
  <si>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</si>
  <si>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</si>
  <si>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</si>
  <si>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</si>
  <si>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</si>
  <si>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</si>
  <si>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</si>
  <si>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</si>
  <si>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</si>
  <si>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</si>
  <si>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</si>
  <si>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</si>
  <si>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</si>
  <si>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</si>
  <si>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</si>
  <si>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</si>
  <si>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</si>
  <si>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</si>
  <si>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</si>
  <si>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</si>
  <si>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</si>
  <si>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</si>
  <si>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</si>
  <si>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</si>
  <si>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</si>
  <si>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</si>
  <si>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</si>
  <si>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</si>
  <si>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</si>
  <si>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</si>
  <si>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</si>
  <si>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</si>
  <si>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</si>
  <si>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</si>
  <si>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</si>
  <si>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</si>
  <si>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</si>
  <si>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</si>
  <si>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</si>
  <si>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</si>
  <si>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</si>
  <si>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</si>
  <si>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</si>
  <si>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</si>
  <si>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</si>
  <si>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</si>
  <si>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</si>
  <si>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</si>
  <si>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</si>
  <si>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</si>
  <si>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</si>
  <si>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</si>
  <si>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</si>
  <si>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</si>
  <si>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</si>
  <si>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</si>
  <si>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</si>
  <si>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</si>
  <si>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</si>
  <si>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</si>
  <si>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</si>
  <si>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</si>
  <si>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</si>
  <si>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</si>
  <si>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</si>
  <si>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</si>
  <si>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</si>
  <si>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</si>
  <si>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</si>
  <si>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</si>
  <si>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</si>
  <si>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</si>
  <si>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</si>
  <si>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</si>
  <si>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</si>
  <si>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</si>
  <si>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</si>
  <si>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</si>
  <si>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</si>
  <si>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</si>
  <si>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</si>
  <si>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</si>
  <si>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</si>
  <si>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</si>
  <si>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</si>
  <si>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</si>
  <si>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</si>
  <si>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</si>
  <si>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</si>
  <si>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</si>
  <si>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</si>
  <si>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</si>
  <si>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</si>
  <si>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</si>
  <si>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</si>
  <si>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</si>
  <si>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</si>
  <si>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</si>
  <si>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</si>
  <si>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</si>
  <si>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</si>
  <si>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</si>
  <si>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</si>
  <si>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</si>
  <si>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</si>
  <si>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</si>
  <si>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</si>
  <si>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</si>
  <si>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</si>
  <si>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</si>
  <si>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</si>
  <si>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</si>
  <si>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</si>
  <si>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</si>
  <si>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</si>
  <si>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</si>
  <si>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</si>
  <si>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</si>
  <si>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</si>
  <si>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</si>
  <si>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</si>
  <si>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</si>
  <si>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</si>
  <si>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</si>
  <si>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</si>
  <si>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</si>
  <si>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</si>
  <si>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</si>
  <si>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</si>
  <si>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</si>
  <si>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</si>
  <si>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</si>
  <si>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</si>
  <si>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</si>
  <si>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</si>
  <si>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</si>
  <si>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</si>
  <si>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</si>
  <si>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</si>
  <si>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</si>
  <si>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</si>
  <si>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</si>
  <si>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</si>
  <si>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</si>
  <si>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</si>
  <si>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</si>
  <si>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</si>
  <si>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</si>
  <si>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</si>
  <si>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</si>
  <si>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</si>
  <si>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</si>
  <si>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</si>
  <si>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</si>
  <si>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</si>
  <si>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</si>
  <si>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</si>
  <si>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</si>
  <si>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</si>
  <si>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</si>
  <si>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</si>
  <si>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</si>
  <si>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</si>
  <si>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</si>
  <si>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</si>
  <si>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</si>
  <si>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</si>
  <si>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</si>
  <si>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</si>
  <si>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</si>
  <si>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</si>
  <si>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</si>
  <si>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</si>
  <si>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</si>
  <si>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</si>
  <si>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</si>
  <si>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</si>
  <si>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</si>
  <si>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</si>
  <si>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</si>
  <si>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</si>
  <si>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</si>
  <si>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</si>
  <si>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</si>
  <si>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</si>
  <si>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</si>
  <si>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</si>
  <si>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</si>
  <si>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</si>
  <si>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</si>
  <si>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</si>
  <si>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</si>
  <si>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</si>
  <si>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</si>
  <si>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</si>
  <si>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</si>
  <si>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</si>
  <si>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</si>
  <si>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</si>
  <si>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</si>
  <si>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</si>
  <si>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</si>
  <si>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</si>
  <si>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</si>
  <si>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</si>
  <si>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</si>
  <si>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</si>
  <si>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</si>
  <si>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</si>
  <si>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</si>
  <si>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</si>
  <si>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</si>
  <si>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</si>
  <si>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</si>
  <si>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</si>
  <si>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</si>
  <si>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</si>
  <si>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</si>
  <si>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</si>
  <si>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</si>
  <si>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</si>
  <si>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</si>
  <si>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</si>
  <si>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</si>
  <si>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</si>
  <si>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</si>
  <si>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</si>
  <si>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</si>
  <si>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</si>
  <si>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</si>
  <si>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</si>
  <si>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</si>
  <si>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</si>
  <si>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</si>
  <si>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</si>
  <si>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</si>
  <si>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</si>
  <si>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</si>
  <si>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</si>
  <si>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</si>
  <si>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</si>
  <si>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</si>
  <si>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</si>
  <si>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</si>
  <si>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</si>
  <si>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</si>
  <si>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</si>
  <si>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</si>
  <si>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</si>
  <si>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</si>
  <si>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</si>
  <si>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</si>
  <si>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</si>
  <si>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</si>
  <si>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</si>
  <si>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</si>
  <si>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</si>
  <si>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</si>
  <si>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</si>
  <si>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</si>
  <si>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</si>
  <si>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</si>
  <si>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</si>
  <si>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</si>
  <si>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</si>
  <si>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</si>
  <si>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</si>
  <si>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</si>
  <si>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</si>
  <si>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</si>
  <si>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</si>
  <si>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</si>
  <si>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</si>
  <si>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</si>
  <si>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</si>
  <si>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</si>
  <si>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</si>
  <si>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</si>
  <si>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</si>
  <si>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</si>
  <si>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</si>
  <si>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</si>
  <si>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</si>
  <si>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</si>
  <si>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</si>
  <si>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</si>
  <si>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</si>
  <si>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</si>
  <si>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</si>
  <si>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</si>
  <si>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</si>
  <si>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</si>
  <si>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</si>
  <si>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</si>
  <si>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</si>
  <si>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</si>
  <si>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</si>
  <si>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</si>
  <si>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</si>
  <si>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</si>
  <si>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</si>
  <si>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</si>
  <si>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</si>
  <si>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</si>
  <si>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</si>
  <si>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</si>
  <si>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</si>
  <si>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</si>
  <si>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</si>
  <si>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</si>
  <si>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</si>
  <si>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</si>
  <si>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</si>
  <si>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</si>
  <si>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</si>
  <si>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</si>
  <si>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</si>
  <si>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</si>
  <si>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</si>
  <si>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</si>
  <si>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</si>
  <si>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</si>
  <si>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</si>
  <si>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</si>
  <si>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</si>
  <si>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</si>
  <si>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</si>
  <si>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</si>
  <si>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</si>
  <si>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</si>
  <si>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</si>
  <si>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</si>
  <si>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</si>
  <si>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</si>
  <si>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</si>
  <si>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</si>
  <si>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</si>
  <si>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</si>
  <si>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</si>
  <si>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</si>
  <si>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</si>
  <si>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</si>
  <si>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</si>
  <si>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</si>
  <si>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</si>
  <si>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</si>
  <si>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</si>
  <si>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</si>
  <si>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</si>
  <si>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</si>
  <si>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</si>
  <si>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</si>
  <si>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</si>
  <si>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</si>
  <si>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</si>
  <si>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</si>
  <si>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</si>
  <si>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</si>
  <si>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</si>
  <si>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</si>
  <si>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</si>
  <si>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</si>
  <si>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</si>
  <si>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</si>
  <si>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</si>
  <si>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</si>
  <si>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</si>
  <si>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</si>
  <si>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</si>
  <si>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</si>
  <si>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</si>
  <si>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</si>
  <si>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</si>
  <si>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</si>
  <si>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</si>
  <si>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</si>
  <si>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</si>
  <si>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</si>
  <si>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</si>
  <si>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</si>
  <si>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</si>
  <si>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</si>
  <si>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</si>
  <si>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</si>
  <si>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</si>
  <si>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</si>
  <si>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</si>
  <si>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</si>
  <si>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</si>
  <si>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</si>
  <si>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</si>
  <si>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</si>
  <si>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</si>
  <si>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</si>
  <si>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</si>
  <si>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</si>
  <si>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</si>
  <si>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</si>
  <si>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</si>
  <si>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</si>
  <si>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</si>
  <si>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</si>
  <si>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</si>
  <si>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</si>
  <si>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</si>
  <si>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</si>
  <si>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</si>
  <si>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</si>
  <si>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</si>
  <si>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</si>
  <si>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</si>
  <si>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</si>
  <si>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</si>
  <si>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</si>
  <si>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</si>
  <si>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</si>
  <si>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</si>
  <si>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</si>
  <si>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</si>
  <si>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</si>
  <si>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</si>
  <si>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</si>
  <si>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</si>
  <si>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</si>
  <si>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</si>
  <si>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</si>
  <si>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</si>
  <si>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</si>
  <si>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</si>
  <si>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</si>
  <si>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</si>
  <si>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</si>
  <si>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</si>
  <si>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</si>
  <si>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</si>
  <si>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</si>
  <si>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</si>
  <si>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</si>
  <si>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</si>
  <si>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</si>
  <si>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</si>
  <si>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</si>
  <si>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</si>
  <si>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</si>
  <si>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</si>
  <si>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</si>
  <si>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</si>
  <si>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</si>
  <si>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</si>
  <si>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</si>
  <si>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</si>
  <si>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</si>
  <si>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</si>
  <si>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</si>
  <si>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</si>
  <si>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</si>
  <si>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</si>
  <si>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</si>
  <si>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</si>
  <si>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</si>
  <si>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</si>
  <si>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</si>
  <si>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</si>
  <si>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</si>
  <si>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</si>
  <si>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</si>
  <si>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</si>
  <si>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</si>
  <si>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</si>
  <si>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</si>
  <si>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</si>
  <si>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</si>
  <si>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</si>
  <si>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</si>
  <si>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</si>
  <si>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</si>
  <si>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</si>
  <si>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</si>
  <si>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</si>
  <si>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</si>
  <si>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</si>
  <si>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</si>
  <si>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</si>
  <si>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</si>
  <si>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</si>
  <si>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</si>
  <si>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</si>
  <si>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</si>
  <si>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</si>
  <si>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</si>
  <si>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</si>
  <si>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</si>
  <si>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</si>
  <si>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</si>
  <si>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</si>
  <si>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</si>
  <si>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</si>
  <si>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</si>
  <si>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</si>
  <si>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</si>
  <si>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</si>
  <si>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</si>
  <si>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</si>
  <si>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</si>
  <si>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</si>
  <si>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</si>
  <si>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</si>
  <si>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</si>
  <si>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</si>
  <si>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</si>
  <si>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</si>
  <si>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</si>
  <si>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</si>
  <si>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</si>
  <si>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</si>
  <si>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</si>
  <si>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</si>
  <si>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</si>
  <si>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</si>
  <si>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</si>
  <si>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</si>
  <si>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</si>
  <si>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</si>
  <si>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</si>
  <si>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</si>
  <si>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</si>
  <si>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</si>
  <si>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</si>
  <si>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</si>
  <si>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</si>
  <si>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</si>
  <si>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</si>
  <si>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</si>
  <si>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</si>
  <si>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</si>
  <si>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</si>
  <si>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</si>
  <si>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</si>
  <si>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</si>
  <si>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</si>
  <si>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</si>
  <si>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</si>
  <si>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</si>
  <si>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</si>
  <si>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</si>
  <si>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</si>
  <si>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</si>
  <si>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</si>
  <si>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</si>
  <si>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</si>
  <si>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</si>
  <si>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</si>
  <si>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</si>
  <si>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</si>
  <si>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</si>
  <si>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</si>
  <si>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</si>
  <si>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</si>
  <si>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</si>
  <si>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</si>
  <si>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</si>
  <si>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</si>
  <si>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</si>
  <si>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</si>
  <si>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</si>
  <si>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</si>
  <si>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</si>
  <si>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</si>
  <si>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</si>
  <si>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</si>
  <si>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</si>
  <si>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</si>
  <si>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</si>
  <si>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</si>
  <si>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</si>
  <si>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</si>
  <si>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</si>
  <si>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</si>
  <si>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</si>
  <si>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</si>
  <si>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</si>
  <si>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</si>
  <si>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</si>
  <si>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</si>
  <si>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</si>
  <si>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</si>
  <si>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</si>
  <si>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</si>
  <si>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</si>
  <si>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</si>
  <si>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</si>
  <si>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</si>
  <si>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</si>
  <si>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</si>
  <si>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</si>
  <si>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</si>
  <si>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</si>
  <si>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</si>
  <si>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</si>
  <si>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</si>
  <si>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</si>
  <si>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</si>
  <si>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</si>
  <si>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</si>
  <si>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</si>
  <si>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</si>
  <si>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</si>
  <si>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</si>
  <si>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</si>
  <si>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</si>
  <si>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</si>
  <si>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</si>
  <si>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</si>
  <si>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</si>
  <si>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</si>
  <si>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</si>
  <si>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</si>
  <si>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</si>
  <si>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</si>
  <si>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</si>
  <si>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</si>
  <si>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</si>
  <si>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</si>
  <si>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</si>
  <si>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</si>
  <si>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</si>
  <si>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</si>
  <si>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</si>
  <si>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</si>
  <si>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</si>
  <si>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</si>
  <si>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</si>
  <si>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</si>
  <si>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</si>
  <si>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</si>
  <si>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</si>
  <si>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</si>
  <si>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</si>
  <si>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</si>
  <si>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</si>
  <si>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</si>
  <si>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</si>
  <si>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</si>
  <si>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</si>
  <si>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</si>
  <si>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</si>
  <si>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</si>
  <si>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</si>
  <si>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</si>
  <si>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</si>
  <si>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</si>
  <si>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</si>
  <si>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</si>
  <si>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</si>
  <si>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</si>
  <si>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</si>
  <si>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</si>
  <si>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</si>
  <si>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</si>
  <si>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</si>
  <si>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</si>
  <si>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</si>
  <si>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</si>
  <si>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</si>
  <si>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</si>
  <si>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</si>
  <si>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</si>
  <si>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</si>
  <si>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</si>
  <si>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</si>
  <si>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</si>
  <si>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</si>
  <si>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</si>
  <si>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</si>
  <si>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</si>
  <si>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</si>
  <si>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</si>
  <si>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</si>
  <si>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</si>
  <si>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</si>
  <si>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</si>
  <si>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</si>
  <si>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</si>
  <si>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</si>
  <si>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</si>
  <si>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</si>
  <si>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</si>
  <si>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</si>
  <si>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</si>
  <si>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</si>
  <si>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</si>
  <si>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</si>
  <si>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</si>
  <si>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</si>
  <si>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</si>
  <si>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</si>
  <si>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</si>
  <si>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</si>
  <si>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</si>
  <si>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</si>
  <si>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</si>
  <si>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</si>
  <si>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</si>
  <si>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</si>
  <si>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</si>
  <si>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</si>
  <si>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</si>
  <si>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</si>
  <si>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</si>
  <si>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</si>
  <si>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</si>
  <si>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</si>
  <si>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</si>
  <si>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</si>
  <si>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</si>
  <si>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</si>
  <si>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</si>
  <si>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</si>
  <si>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</si>
  <si>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</si>
  <si>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</si>
  <si>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</si>
  <si>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</si>
  <si>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</si>
  <si>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</si>
  <si>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</si>
  <si>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</si>
  <si>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</si>
  <si>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</si>
  <si>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</si>
  <si>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</si>
  <si>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</si>
  <si>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</si>
  <si>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</si>
  <si>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</si>
  <si>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</si>
  <si>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</si>
  <si>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</si>
  <si>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</si>
  <si>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</si>
  <si>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</si>
  <si>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</si>
  <si>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</si>
  <si>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</si>
  <si>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</si>
  <si>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</si>
  <si>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</si>
  <si>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</si>
  <si>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</si>
  <si>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</si>
  <si>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</si>
  <si>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</si>
  <si>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</si>
  <si>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</si>
  <si>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</si>
  <si>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</si>
  <si>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</si>
  <si>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</si>
  <si>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</si>
  <si>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</si>
  <si>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</si>
  <si>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</si>
  <si>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</si>
  <si>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</si>
  <si>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</si>
  <si>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</si>
  <si>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</si>
  <si>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</si>
  <si>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</si>
  <si>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</si>
  <si>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</si>
  <si>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</si>
  <si>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</si>
  <si>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</si>
  <si>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</si>
  <si>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</si>
  <si>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</si>
  <si>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</si>
  <si>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</si>
  <si>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</si>
  <si>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</si>
  <si>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</si>
  <si>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</si>
  <si>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</si>
  <si>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</si>
  <si>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</si>
  <si>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</si>
  <si>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</si>
  <si>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</si>
  <si>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</si>
  <si>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</si>
  <si>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</si>
  <si>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</si>
  <si>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</si>
  <si>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</si>
  <si>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</si>
  <si>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</si>
  <si>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</si>
  <si>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</si>
  <si>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</si>
  <si>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</si>
  <si>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</si>
  <si>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</si>
  <si>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</si>
  <si>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</si>
  <si>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</si>
  <si>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</si>
  <si>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</si>
  <si>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</si>
  <si>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</si>
  <si>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</si>
  <si>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</si>
  <si>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</si>
  <si>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</si>
  <si>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</si>
  <si>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</si>
  <si>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</si>
  <si>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</si>
  <si>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</si>
  <si>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</si>
  <si>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</si>
  <si>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</si>
  <si>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</si>
  <si>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</si>
  <si>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</si>
  <si>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</si>
  <si>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</si>
  <si>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</si>
  <si>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</si>
  <si>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</si>
  <si>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</si>
  <si>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</si>
  <si>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</si>
  <si>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</si>
  <si>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</si>
  <si>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</si>
  <si>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</si>
  <si>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</si>
  <si>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</si>
  <si>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</si>
  <si>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</si>
  <si>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</si>
  <si>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</si>
  <si>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</si>
  <si>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</si>
  <si>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</si>
  <si>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</si>
  <si>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</si>
  <si>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</si>
  <si>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</si>
  <si>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</si>
  <si>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</si>
  <si>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</si>
  <si>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</si>
  <si>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</si>
  <si>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</si>
  <si>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</si>
  <si>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</si>
  <si>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</si>
  <si>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</si>
  <si>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</si>
  <si>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</si>
  <si>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</si>
  <si>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</si>
  <si>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</si>
  <si>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</si>
  <si>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</si>
  <si>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</si>
  <si>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</si>
  <si>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</si>
  <si>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</si>
  <si>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</si>
  <si>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</si>
  <si>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</si>
  <si>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</si>
  <si>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</si>
  <si>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</si>
  <si>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</si>
  <si>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</si>
  <si>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</si>
  <si>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</si>
  <si>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</si>
  <si>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</si>
  <si>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</si>
  <si>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</si>
  <si>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</si>
  <si>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</si>
  <si>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</si>
  <si>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</si>
  <si>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</si>
  <si>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</si>
  <si>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</si>
  <si>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</si>
  <si>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</si>
  <si>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</si>
  <si>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</si>
  <si>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</si>
  <si>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</si>
  <si>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</si>
  <si>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</si>
  <si>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</si>
  <si>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</si>
  <si>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</si>
  <si>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</si>
  <si>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</si>
  <si>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</si>
  <si>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</si>
  <si>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</si>
  <si>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</si>
  <si>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</si>
  <si>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</si>
  <si>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</si>
  <si>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</si>
  <si>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</si>
  <si>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</si>
  <si>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</si>
  <si>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</si>
  <si>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</si>
  <si>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</si>
  <si>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</si>
  <si>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</si>
  <si>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</si>
  <si>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</si>
  <si>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</si>
  <si>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</si>
  <si>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</si>
  <si>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</si>
  <si>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</si>
  <si>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</si>
  <si>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</si>
  <si>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</si>
  <si>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</si>
  <si>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</si>
  <si>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</si>
  <si>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</si>
  <si>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</si>
  <si>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</si>
  <si>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</si>
  <si>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</si>
  <si>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</si>
  <si>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</si>
  <si>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</si>
  <si>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</si>
  <si>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</si>
  <si>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</si>
  <si>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</si>
  <si>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</si>
  <si>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</si>
  <si>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</si>
  <si>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</si>
  <si>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</si>
  <si>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</si>
  <si>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</si>
  <si>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</si>
  <si>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</si>
  <si>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</si>
  <si>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</si>
  <si>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</si>
  <si>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</si>
  <si>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</si>
  <si>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</si>
  <si>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</si>
  <si>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</si>
  <si>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</si>
  <si>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</si>
  <si>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</si>
  <si>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</si>
  <si>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</si>
  <si>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</si>
  <si>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</si>
  <si>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</si>
  <si>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</si>
  <si>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</si>
  <si>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</si>
  <si>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</si>
  <si>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</si>
  <si>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</si>
  <si>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</si>
  <si>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</si>
  <si>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</si>
  <si>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</si>
  <si>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</si>
  <si>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</si>
  <si>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</si>
  <si>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</si>
  <si>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</si>
  <si>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</si>
  <si>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</si>
  <si>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</si>
  <si>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</si>
  <si>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</si>
  <si>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</si>
  <si>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</si>
  <si>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</si>
  <si>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</si>
  <si>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</si>
  <si>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</si>
  <si>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</si>
  <si>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</si>
  <si>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</si>
  <si>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</si>
  <si>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</si>
  <si>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</si>
  <si>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</si>
  <si>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</si>
  <si>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</si>
  <si>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</si>
  <si>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</si>
  <si>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</si>
  <si>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</si>
  <si>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</si>
  <si>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</si>
  <si>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</si>
  <si>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</si>
  <si>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</si>
  <si>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</si>
  <si>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</si>
  <si>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</si>
  <si>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</si>
  <si>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</si>
  <si>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</si>
  <si>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</si>
  <si>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</si>
  <si>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</si>
  <si>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</si>
  <si>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</si>
  <si>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</si>
  <si>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</si>
  <si>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</si>
  <si>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</si>
  <si>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</si>
  <si>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</si>
  <si>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</si>
  <si>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</si>
  <si>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</si>
  <si>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</si>
  <si>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</si>
  <si>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</si>
  <si>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</si>
  <si>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</si>
  <si>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</si>
  <si>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</si>
  <si>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</si>
  <si>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</si>
  <si>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</si>
  <si>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</si>
  <si>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</si>
  <si>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</si>
  <si>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</si>
  <si>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</si>
  <si>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</si>
  <si>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</si>
  <si>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</si>
  <si>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</si>
  <si>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</si>
  <si>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</si>
  <si>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</si>
  <si>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</si>
  <si>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</si>
  <si>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</si>
  <si>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</si>
  <si>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</si>
  <si>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</si>
  <si>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</si>
  <si>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</si>
  <si>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</si>
  <si>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</si>
  <si>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</si>
  <si>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</si>
  <si>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</si>
  <si>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</si>
  <si>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</si>
  <si>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</si>
  <si>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</si>
  <si>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</si>
  <si>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</si>
  <si>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</si>
  <si>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</si>
  <si>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</si>
  <si>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</si>
  <si>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</si>
  <si>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</si>
  <si>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</si>
  <si>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</si>
  <si>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</si>
  <si>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</si>
  <si>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</si>
  <si>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</si>
  <si>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</si>
  <si>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</si>
  <si>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</si>
  <si>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</si>
  <si>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</si>
  <si>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</si>
  <si>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</si>
  <si>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</si>
  <si>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</si>
  <si>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</si>
  <si>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</si>
  <si>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</si>
  <si>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</si>
  <si>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</si>
  <si>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</si>
  <si>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</si>
  <si>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</si>
  <si>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</si>
  <si>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</si>
  <si>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</si>
  <si>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</si>
  <si>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</si>
  <si>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</si>
  <si>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</si>
  <si>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</si>
  <si>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</si>
  <si>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</si>
  <si>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</si>
  <si>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</si>
  <si>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</si>
  <si>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</si>
  <si>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</si>
  <si>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</si>
  <si>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</si>
  <si>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</si>
  <si>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</si>
  <si>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</si>
  <si>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</si>
  <si>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</si>
  <si>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</si>
  <si>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</si>
  <si>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</si>
  <si>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</si>
  <si>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</si>
  <si>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</si>
  <si>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</si>
  <si>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</si>
  <si>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</si>
  <si>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</si>
  <si>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</si>
  <si>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</si>
  <si>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</si>
  <si>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</si>
  <si>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</si>
  <si>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</si>
  <si>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</si>
  <si>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</si>
  <si>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</si>
  <si>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</si>
  <si>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</si>
  <si>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</si>
  <si>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</si>
  <si>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</si>
  <si>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</si>
  <si>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</si>
  <si>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</si>
  <si>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</si>
  <si>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</si>
  <si>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</si>
  <si>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</si>
  <si>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</si>
  <si>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</si>
  <si>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</si>
  <si>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</si>
  <si>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</si>
  <si>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</si>
  <si>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</si>
  <si>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</si>
  <si>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</si>
  <si>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</si>
  <si>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</si>
  <si>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</si>
  <si>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</si>
  <si>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</si>
  <si>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</si>
  <si>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</si>
  <si>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</si>
  <si>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</si>
  <si>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</si>
  <si>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</si>
  <si>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</si>
  <si>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</si>
  <si>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</si>
  <si>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</si>
  <si>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</si>
  <si>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</si>
  <si>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</si>
  <si>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</si>
  <si>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</si>
  <si>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</si>
  <si>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</si>
  <si>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</si>
  <si>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</si>
  <si>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</si>
  <si>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</si>
  <si>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</si>
  <si>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</si>
  <si>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</si>
  <si>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</si>
  <si>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</si>
  <si>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</si>
  <si>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</si>
  <si>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</si>
  <si>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</si>
  <si>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</si>
  <si>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</si>
  <si>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</si>
  <si>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</si>
  <si>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</si>
  <si>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</si>
  <si>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</si>
  <si>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</si>
  <si>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</si>
  <si>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</si>
  <si>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</si>
  <si>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</si>
  <si>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</si>
  <si>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</si>
  <si>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</si>
  <si>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</si>
  <si>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</si>
  <si>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</si>
  <si>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</si>
  <si>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</si>
  <si>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</si>
  <si>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</si>
  <si>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</si>
  <si>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</si>
  <si>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</si>
  <si>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</si>
  <si>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</si>
  <si>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</si>
  <si>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</si>
  <si>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</si>
  <si>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</si>
  <si>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</si>
  <si>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</si>
  <si>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</si>
  <si>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</si>
  <si>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</si>
  <si>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</si>
  <si>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</si>
  <si>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</si>
  <si>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</si>
  <si>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</si>
  <si>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</si>
  <si>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</si>
  <si>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</si>
  <si>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</si>
  <si>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</si>
  <si>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</si>
  <si>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</si>
  <si>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</si>
  <si>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</si>
  <si>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</si>
  <si>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</si>
  <si>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</si>
  <si>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</si>
  <si>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</si>
  <si>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</si>
  <si>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</si>
  <si>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</si>
  <si>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</si>
  <si>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</si>
  <si>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</si>
  <si>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</si>
  <si>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</si>
  <si>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</si>
  <si>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</si>
  <si>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</si>
  <si>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</si>
  <si>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</si>
  <si>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</si>
  <si>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</si>
  <si>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</si>
  <si>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</si>
  <si>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</si>
  <si>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</si>
  <si>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</si>
  <si>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</si>
  <si>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</si>
  <si>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</si>
  <si>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</si>
  <si>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</si>
  <si>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</si>
  <si>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</si>
  <si>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</si>
  <si>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</si>
  <si>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</si>
  <si>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</si>
  <si>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</si>
  <si>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</si>
  <si>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</si>
  <si>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</si>
  <si>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</si>
  <si>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</si>
  <si>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</si>
  <si>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</si>
  <si>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</si>
  <si>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</si>
  <si>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</si>
  <si>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</si>
  <si>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</si>
  <si>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</si>
  <si>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</si>
  <si>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</si>
  <si>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</si>
  <si>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</si>
  <si>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</si>
  <si>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</si>
  <si>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</si>
  <si>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</si>
  <si>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</si>
  <si>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</si>
  <si>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</si>
  <si>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</si>
  <si>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</si>
  <si>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</si>
  <si>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</si>
  <si>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</si>
  <si>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</si>
  <si>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</si>
  <si>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</si>
  <si>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</si>
  <si>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</si>
  <si>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</si>
  <si>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</si>
  <si>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</si>
  <si>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</si>
  <si>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</si>
  <si>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</si>
  <si>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</si>
  <si>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</si>
  <si>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</si>
  <si>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</si>
  <si>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</si>
  <si>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</si>
  <si>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</si>
  <si>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</si>
  <si>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</si>
  <si>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</si>
  <si>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</si>
  <si>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</si>
  <si>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</si>
  <si>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</si>
  <si>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</si>
  <si>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</si>
  <si>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</si>
  <si>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</si>
  <si>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</si>
  <si>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</si>
  <si>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</si>
  <si>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</si>
  <si>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</si>
  <si>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</si>
  <si>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</si>
  <si>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</si>
  <si>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</si>
  <si>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</si>
  <si>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</si>
  <si>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</si>
  <si>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</si>
  <si>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</si>
  <si>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</si>
  <si>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</si>
  <si>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</si>
  <si>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</si>
  <si>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</si>
  <si>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</si>
  <si>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</si>
  <si>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</si>
  <si>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</si>
  <si>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</si>
  <si>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</si>
  <si>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</si>
  <si>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</si>
  <si>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</si>
  <si>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</si>
  <si>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</si>
  <si>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</si>
  <si>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</si>
  <si>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</si>
  <si>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</si>
  <si>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</si>
  <si>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</si>
  <si>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</si>
  <si>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</si>
  <si>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</si>
  <si>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</si>
  <si>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</si>
  <si>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</si>
  <si>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</si>
  <si>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</si>
  <si>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</si>
  <si>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</si>
  <si>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</si>
  <si>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</si>
  <si>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</si>
  <si>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</si>
  <si>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</si>
  <si>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</si>
  <si>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</si>
  <si>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</si>
  <si>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</si>
  <si>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</si>
  <si>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</si>
  <si>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</si>
  <si>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</si>
  <si>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</si>
  <si>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</si>
  <si>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</si>
  <si>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</si>
  <si>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</si>
  <si>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</si>
  <si>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</si>
  <si>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</si>
  <si>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</si>
  <si>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</si>
  <si>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</si>
  <si>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</si>
  <si>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</si>
  <si>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</si>
  <si>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</si>
  <si>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</si>
  <si>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</si>
  <si>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</si>
  <si>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</si>
  <si>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</si>
  <si>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</si>
  <si>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</si>
  <si>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</si>
  <si>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</si>
  <si>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</si>
  <si>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</si>
  <si>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</si>
  <si>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</si>
  <si>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</si>
  <si>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</si>
  <si>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</si>
  <si>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</si>
  <si>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</si>
  <si>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</si>
  <si>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</si>
  <si>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</si>
  <si>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</si>
  <si>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</si>
  <si>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</si>
  <si>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</si>
  <si>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</si>
  <si>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</si>
  <si>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</si>
  <si>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</si>
  <si>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</si>
  <si>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</si>
  <si>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</si>
  <si>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</si>
  <si>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</si>
  <si>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</si>
  <si>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</si>
  <si>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</si>
  <si>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</si>
  <si>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</si>
  <si>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</si>
  <si>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</si>
  <si>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</si>
  <si>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</si>
  <si>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</si>
  <si>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</si>
  <si>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</si>
  <si>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</si>
  <si>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</si>
  <si>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</si>
  <si>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</si>
  <si>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</si>
  <si>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</si>
  <si>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</si>
  <si>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</si>
  <si>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</si>
  <si>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</si>
  <si>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</si>
  <si>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</si>
  <si>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</si>
  <si>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</si>
  <si>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</si>
  <si>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</si>
  <si>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</si>
  <si>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</si>
  <si>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</si>
  <si>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</si>
  <si>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</si>
  <si>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</si>
  <si>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</si>
  <si>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</si>
  <si>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</si>
  <si>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</si>
  <si>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</si>
  <si>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</si>
  <si>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</si>
  <si>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</si>
  <si>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</si>
  <si>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</si>
  <si>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</si>
  <si>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</si>
  <si>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</si>
  <si>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</si>
  <si>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</si>
  <si>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</si>
  <si>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</si>
  <si>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</si>
  <si>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</si>
  <si>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</si>
  <si>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</si>
  <si>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</si>
  <si>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</si>
  <si>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</si>
  <si>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</si>
  <si>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</si>
  <si>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</si>
  <si>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</si>
  <si>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</si>
  <si>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</si>
  <si>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</si>
  <si>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</si>
  <si>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</si>
  <si>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</si>
  <si>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</si>
  <si>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</si>
  <si>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</si>
  <si>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</si>
  <si>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</si>
  <si>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</si>
  <si>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</si>
  <si>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</si>
  <si>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</si>
  <si>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</si>
  <si>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</si>
  <si>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</si>
  <si>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</si>
  <si>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</si>
  <si>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</si>
  <si>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</si>
  <si>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</si>
  <si>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</si>
  <si>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</si>
  <si>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</si>
  <si>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</si>
  <si>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</si>
  <si>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</si>
  <si>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</si>
  <si>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</si>
  <si>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</si>
  <si>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</si>
  <si>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</si>
  <si>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</si>
  <si>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</si>
  <si>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</si>
  <si>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</si>
  <si>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</si>
  <si>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</si>
  <si>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</si>
  <si>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</si>
  <si>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</si>
  <si>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</si>
  <si>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</si>
  <si>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</si>
  <si>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</si>
  <si>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</si>
  <si>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</si>
  <si>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</si>
  <si>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</si>
  <si>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</si>
  <si>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</si>
  <si>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</si>
  <si>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</si>
  <si>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</si>
  <si>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</si>
  <si>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</si>
  <si>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</si>
  <si>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</si>
  <si>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</si>
  <si>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</si>
  <si>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</si>
  <si>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</si>
  <si>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</si>
  <si>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</si>
  <si>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</si>
  <si>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</si>
  <si>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</si>
  <si>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</si>
  <si>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</si>
  <si>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</si>
  <si>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</si>
  <si>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</si>
  <si>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</si>
  <si>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</si>
  <si>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</si>
  <si>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</si>
  <si>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</si>
  <si>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</si>
  <si>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</si>
  <si>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</si>
  <si>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</si>
  <si>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</si>
  <si>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</si>
  <si>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</si>
  <si>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</si>
  <si>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</si>
  <si>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</si>
  <si>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</si>
  <si>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</si>
  <si>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</si>
  <si>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</si>
  <si>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</si>
  <si>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</si>
  <si>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</si>
  <si>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</si>
  <si>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</si>
  <si>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</si>
  <si>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</si>
  <si>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</si>
  <si>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</si>
  <si>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</si>
  <si>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</si>
  <si>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</si>
  <si>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</si>
  <si>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</si>
  <si>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</si>
  <si>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</si>
  <si>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</si>
  <si>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</si>
  <si>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</si>
  <si>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</si>
  <si>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</si>
  <si>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</si>
  <si>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</si>
  <si>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</si>
  <si>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</si>
  <si>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</si>
  <si>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</si>
  <si>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</si>
  <si>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</si>
  <si>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</si>
  <si>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</si>
  <si>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</si>
  <si>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</si>
  <si>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</si>
  <si>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</si>
  <si>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</si>
  <si>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</si>
  <si>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</si>
  <si>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</si>
  <si>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</si>
  <si>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</si>
  <si>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</si>
  <si>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</si>
  <si>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</si>
  <si>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</si>
  <si>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</si>
  <si>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</si>
  <si>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</si>
  <si>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</si>
  <si>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</si>
  <si>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</si>
  <si>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</si>
  <si>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</si>
  <si>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</si>
  <si>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</si>
  <si>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</si>
  <si>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</si>
  <si>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</si>
  <si>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</si>
  <si>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</si>
  <si>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</si>
  <si>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</si>
  <si>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</si>
  <si>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</si>
  <si>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</si>
  <si>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</si>
  <si>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</si>
  <si>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</si>
  <si>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</si>
  <si>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</si>
  <si>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</si>
  <si>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</si>
  <si>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</si>
  <si>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</si>
  <si>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</si>
  <si>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</si>
  <si>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</si>
  <si>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</si>
  <si>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</si>
  <si>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</si>
  <si>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</si>
  <si>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</si>
  <si>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</si>
  <si>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</si>
  <si>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</si>
  <si>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</si>
  <si>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</si>
  <si>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</si>
  <si>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</si>
  <si>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</si>
  <si>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</si>
  <si>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</si>
  <si>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</si>
  <si>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</si>
  <si>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</si>
  <si>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</si>
  <si>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</si>
  <si>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</si>
  <si>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</si>
  <si>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</si>
  <si>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</si>
  <si>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</si>
  <si>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</si>
  <si>
    <t>An agent.type=”assembler”, agent.type=”transmitter”, or other agents from [Provenance Agent Type](https://hl7.org/fhir/us/core/STU8/ValueSet-us-core-provenance-participant-type.html) value set **MAY** also be included.</t>
  </si>
  <si>
    <t>https://hl7.org/fhir/us/core/STU8/basic-provenance.html#individual-level-provenance</t>
  </si>
  <si>
    <t>The author is communicated by the elements and the author's role by the referenced target resource (for example, Patient, Practitioner/PractitionerRole, RelatedPerson, Device). Details about the author's role are contained in the target resource's contents. Many of these elements are labeled Must Support or Additional USCDI Requirements. However,[even if they are not   labeled Must Support or Additional USCDI Requirements] all of these elements and target resources **SHOULD** be supported in the profiles if the system captures the data.</t>
  </si>
  <si>
    <t>implementers [of US Core's framework of Screening and Assessments] **SHOULD** consider more constrained, domain-specific profiles derived from the US Core Profiles to meet the needs of their respective use cases.</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</si>
  <si>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</si>
  <si>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must to **SHOULD**</t>
  </si>
  <si>
    <t>SHALL to DEPRECATED</t>
  </si>
  <si>
    <t>SHALL To DEPRECATED</t>
  </si>
  <si>
    <t>"A Server may support Version DSTU2 and Argonaut Data Query or FHIR R4 and US Core ver 3.1.1+ or both.  A Server may make explicit ...". To  "In practice, a server may support Argonaut Data Query in FHIR DSTU2, and one or more versions of US Core in FHIR R4. Sometimes, the Server explicitly names the version of Argo/US Core on its FHIR endpoint (e.g., a "DSTU2" or "R4" path component, or separate files based on version)."</t>
  </si>
  <si>
    <t>https://hl7.org/fhir/us/core/STU8/changes-between-versions.html#expectation-that-data-is-preserved-between-versions</t>
  </si>
  <si>
    <t>To allow Clients to use a single authorization token when accessing resources from multiple version-specific endpoints, Servers **SHOULD** use the same base authorization endpoint across versions.</t>
  </si>
  <si>
    <t>[C]lient application[s conforming to the US Core CareTeam profile] **SHALL** support [US Core Practitioner Profile]</t>
  </si>
  <si>
    <t>[Certifying systems](https://www.healthit.gov/topic/certification-ehrs/about-onc-health-it-certification-program) [, those that are participating in the ONC Health IT certification program,] **SHALL**...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</si>
  <si>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[When using the US Core Practioner Profile] Practitioner.address … **SHALL**[be supported] if … [the Server does] not support the US Core PractitionerRole Profile</t>
  </si>
  <si>
    <t>US Core Server **SHALL**… Implement the RESTful behavior according to the FHIR specification.</t>
  </si>
  <si>
    <t>US Core Server **SHALL**… return the following response class (Status 400) [for] invalid parameters</t>
  </si>
  <si>
    <t>US Core Server **SHALL**… return the following response class (Status 401/4xx) [for] unauthorized request</t>
  </si>
  <si>
    <t>US Core Server **SHALL**… return the following response class (Status 403) [for] insufficient scopes</t>
  </si>
  <si>
    <t>US Core Server **SHALL**… return the following response class (Status 404) [for] unknown resource</t>
  </si>
  <si>
    <t>US Core Server **SHALL**… support JSON source formats for all US Core interactions.</t>
  </si>
  <si>
    <t>Implementers **SHOULD** review the “Key Elements Tab” on the US Core profile pages.</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</si>
  <si>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</si>
  <si>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</si>
  <si>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For “Backend-Services”, System-level scopes (system) describe data that a Client system is directly authorized to access. Systems that support system-level (system) scopes **SHOULD** support the recommended US Core scopes</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</si>
  <si>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</si>
  <si>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Therefore, a [reference](http://hl7.org/fhir/R4/references.html) to a US Core resource **SHOULD** include a logical id (Reference.reference), not an identifier (Reference.identifier).</t>
  </si>
  <si>
    <t>For all references, US Core Responders **SHOULD** return resources that conform to a US Core profile if a US Core profile exists for the resource type.</t>
  </si>
  <si>
    <t>When responding to a query, Servers **SHOULD** not use inline [contained](http://hl7.org/fhir/R4/references.html#contained) resources to represent the returned data.</t>
  </si>
  <si>
    <t>[I]f referencing a contained resource in a US Core Profile, the contained resource **SHOULD** be a US Core Profile if a US Core Profile exists for the resource type.</t>
  </si>
  <si>
    <t>[M]asking data [where a specific piece of data is hidden for security and privacy reasons] **SHOULD** be handled based on implemented policies.</t>
  </si>
  <si>
    <t>[When masking data] elements with a minimum cardinality = 0 (including elements labeled Must Support) [for security and privacy reasons], the element **SHOULD** be omitted from the resource.</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</si>
  <si>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</si>
  <si>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[If a] US Core Profiles binds the Quantity.code element in the Quantity datatype to the [UCUM](http://unitsofmeasure.org/) code system, [when] UCUM code [is] provided [it **SHOULD** be indicated in the Quantity.unit and Quantity.code elements with Quantity.system = "http://unitsofmeasure.org"]</t>
  </si>
  <si>
    <t>A FHIR Server **SHOULD** not delete records.</t>
  </si>
  <si>
    <t>A FHIR Server **SHOULD** update the appropriate resource status to entered-in-error or inactive [when requested to delete records]</t>
  </si>
  <si>
    <t>If a system supports the deletion of records, they **SHOULD** refer to the [Deletion Safety Checks](http://hl7.org/fhir/R4/safety.html#conformance) in the FHIR specification.</t>
  </si>
  <si>
    <t>A FHIR Server **SHOULD** allow these resources [those entered in error] to be searchable by Client applications.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</si>
  <si>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</si>
  <si>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the data provider **SHOULD** do their best to translate (safely) to the requested language [when accessing records in a native or requested language]</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</si>
  <si>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</si>
  <si>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</si>
  <si>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 [use] the [Human Language](http://hl7.org/fhir/R4/extension-language.html) Extension when the language of a display, etc, is known to differ from the stated (or inferred) language.</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</si>
  <si>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</si>
  <si>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</si>
  <si>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Servers **SHOULD** support the [_lastUpdated](http://hl7.org/fhir/R4/search.html#lastUpdated) search parameter for US Core Profiles</t>
  </si>
  <si>
    <t>Servers ... **SHOULD** populate [Resource.meta.lastUpdated](http://hl7.org/fhir/R4/resource.html#Meta) for US Core Profiles as accurately as possible.</t>
  </si>
  <si>
    <t xml:space="preserve">The following **SHOULD** be exposed via DiagnosticReport: Imaging Narrative
</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</si>
  <si>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</si>
  <si>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</si>
  <si>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</si>
  <si>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FHIR Server claiming support to this guide **SHOULD** support the $expand operation [[operation link](http://hl7.org/fhir/R4/valueset-operation-expand.html) to provide information to Clients requesting information on the note and report types the Server supports]</t>
  </si>
  <si>
    <t>To provide a list of a patient’s medications, it may be necessary to “de-duplicate” them. The de-duplication activity ... **SHOULD** be provided by the Client.</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</si>
  <si>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</si>
  <si>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</si>
  <si>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</si>
  <si>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</si>
  <si>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</si>
  <si>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</si>
  <si>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</si>
  <si>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</si>
  <si>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</si>
  <si>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</si>
  <si>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</si>
  <si>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Servers **SHOULD** make available the same information in DSTU2 and R4 where the more recent standard allows.</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</si>
  <si>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</si>
  <si>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</si>
  <si>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Data **SHOULD** be maintained between [FHIR] versions (i.e., not be degraded).</t>
  </si>
  <si>
    <t>When updating between versions, Clients **SHOULD** consider the impact of any changes to data visualization on the usability for the end user and the maintenance of data integrity.</t>
  </si>
  <si>
    <t>Considerations for systems aligning with [HL7 Consolidated (C-CDA)](http://www.hl7.org/implement/standards/product_brief.cfm?product_id=492) Care Plan requirements: US Core Goal **SHOULD** be present in CarePlan.goal</t>
  </si>
  <si>
    <t>Considerations for systems aligning with [HL7 Consolidated (C-CDA)] (http://www.hl7.org/implement/standards/product_brief.cfm?product_id=492) Care Plan requirements: ... US Core Condition **SHOULD** be present in CarePlan.addresses</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</si>
  <si>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</si>
  <si>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For Problems and Health Concerns [records, systems **SHOULD**] use the [US Core Condition Problems and Health Concerns Profile](https://hl7.org/fhir/us/core/STU8/StructureDefinition-us-core-condition-problems-health-concerns.html).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</si>
  <si>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</si>
  <si>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[A US Core Condition Encounter Diagnosis] encounter **SHOULD** always be referenced in Condition.encounter.</t>
  </si>
  <si>
    <t>For Encounter Diagnosis [records, systems **SHOULD**] use the [US Core Condition Encounter Diagnosis Profile](https://hl7.org/fhir/us/core/STU8/StructureDefinition-us-core-condition-encounter-diagnosis.html).</t>
  </si>
  <si>
    <t>If the category is "problem-list-item", Condition.clinicalStatus **SHOULD** be present.</t>
  </si>
  <si>
    <t xml:space="preserve">Updates to .meta.lastUpdated **SHOULD** reflect: New problems and health concerns </t>
  </si>
  <si>
    <t>If UDI is not present and the manufacturer … is available, … [it] **SHOULD** be included to support historical reports of implantable medical devices [where] manufacturer [is sent in] Device.manufacturer</t>
  </si>
  <si>
    <t>If UDI is not present and the ... model number information is available, … [it] **SHOULD** be included to support historical reports of implantable medical devices [where] model [is sent in] Device.model</t>
  </si>
  <si>
    <t xml:space="preserve">Updates to .meta.lastUpdated **SHOULD** reflect New laboratory reports. </t>
  </si>
  <si>
    <t>Updates to .meta.lastUpdated **SHOULD** reflect changes in the status of laboratory reports, including events that trigger the same status (e.g., amended → amended).</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</si>
  <si>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</si>
  <si>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If Encounter.reasonReference references an Observation, it **SHOULD** conform to a US Core Observation [profile applicable to the observation being made]</t>
  </si>
  <si>
    <t>If the event facility/location differs from the Encounter.location, systems **SHOULD** reference it directly</t>
  </si>
  <si>
    <t>Updates to .meta.lastUpdated **SHOULD** reflect New encounters/visits</t>
  </si>
  <si>
    <t>Updates to .meta.lastUpdated **SHOULD** reflect changes in the status of encounters, including events that trigger the same status (e.g., in-progress → in-progress).</t>
  </si>
  <si>
    <t>[NDC vaccine codes](http://www2a.cdc.gov/vaccines/iis/iisstandards/ndc_crosswalk.asp) **SHOULD** be supported as an additional code [of [CVX Vaccine Codes](https://www2a.cdc.gov/vaccines/iis/iisstandards/ndc_crosswalk.asp)]</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</si>
  <si>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</si>
  <si>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</si>
  <si>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recording “self-prescribed” medication, requester **SHOULD** be used to indicate the Patient or RelatedPerson as the prescriber</t>
  </si>
  <si>
    <t>[For organizations participating in the ONC Health IT Certification program,] the referenced resources **SHOULD** be a US Core Profile as documented in [Referencing US Core Profiles](https://hl7.org/fhir/us/core/STU8/general-guidance.html#referencing-us-core-profiles).</t>
  </si>
  <si>
    <t>Source EHR identifiers **SHOULD** be included to support deduplication across MedicationRequest resources.</t>
  </si>
  <si>
    <t>[For an Observation a] code system value **SHOULD** be supplied for each additional code</t>
  </si>
  <si>
    <t>The context or precondition of a patient’s [care experience] preference **SHOULD** be supplied in the Observation.valueString or in an extension</t>
  </si>
  <si>
    <t>Servers **SHOULD** use the base FHIR [Observation Category Codes] (http://hl7.org/fhir/R4/valueset-observation-category.html) [in Observation.category]</t>
  </si>
  <si>
    <t>Systems **SHOULD** support Observation.effectivePeriod to accurately represent measurements over time</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</si>
  <si>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</si>
  <si>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</si>
  <si>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[For] multi-question surveys or assessments Observation.code is an overarching assessment or screening code, and the Observation.value element **SHOULD** be empty</t>
  </si>
  <si>
    <t>Observations formally part of an assessment tool or survey **SHOULD** use the [US Core Observation Screening Assessment Profile](https://hl7.org/fhir/us/core/STU8/StructureDefinition-us-core-observation-screening-assessment.html).</t>
  </si>
  <si>
    <t>An assertion or determination derived from screening and assessment tools **SHOULD** reference them using Observation.derivedFrom</t>
  </si>
  <si>
    <t>When using `Observation.derivedFrom’ to reference an Observation, the referenced Observation **SHOULD** be a US Core Observation</t>
  </si>
  <si>
    <t>[When using US Core Treatment Intervention Preference Profile] the context or precondition of a patient’s preference **SHOULD** be supplied in the Observation.valueString ... or an extension</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</si>
  <si>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</si>
  <si>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</si>
  <si>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Many pulse oximetry readings are taken while the patient is breathing room air. The concept of “room air” (unmodified, ambient air) **SHOULD** be represented as an inhaled oxygen flow rate of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</si>
  <si>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</si>
  <si>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</si>
  <si>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</si>
  <si>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</si>
  <si>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</si>
  <si>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</si>
  <si>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</si>
  <si>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[If using LOINC codes in procedure.code] only LOINC concepts that reflect actual procedures **SHOULD** be used</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</si>
  <si>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</si>
  <si>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Systems that need to know the activity has occurred **SHOULD** populate the activity [Provenance.activity]</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</si>
  <si>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</si>
  <si>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</si>
  <si>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</si>
  <si>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[Clients] **SHOULD** Support the Following Implementation Guide [SMART App Launch version 2.0.0 and later](http://hl7.org/fhir/smart-app-launch/history.html)</t>
  </si>
  <si>
    <t>[Servers] **SHOULD** Support the ...
[SMART App Launch version 2.0.0 and later](http://hl7.org/fhir/smart-app-launch/history.html)</t>
  </si>
  <si>
    <t>US Core Server **SHOULD** … support XML source formats for all US Core interactions.</t>
  </si>
  <si>
    <t>US Core Server **SHOULD** … identify the US Core profiles supported as part of the FHIR meta.profile attribute for each instance.</t>
  </si>
  <si>
    <t>[US Core Servers] **SHOULD** support [$expand](http://hl7.org/fhir/OperationDefinition/ValueSet-expand) operation</t>
  </si>
  <si>
    <t>If a Server supports DocumentReference for creating, using, and sharing clinical notes, it **SHOULD** also support the context and contextdirection parameters of the $expand operation</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</si>
  <si>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</si>
  <si>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</si>
  <si>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</si>
  <si>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The selected time service **SHOULD** be documented in the Business Associate Agreement when available.</t>
  </si>
  <si>
    <t>US Federal systems **SHOULD** conform with FIPS PUB 140-2.</t>
  </si>
  <si>
    <t>The Business Associate Agreements **SHOULD** document systems’ mutual consent requirements.</t>
  </si>
  <si>
    <t>Systems **SHOULD** provide Provenance statements using the [US Core Provenance Profile](https://hl7.org/fhir/us/core/STU8/StructureDefinition-us-core-provenance.html) resource and associated requirements.</t>
  </si>
  <si>
    <t>For the US Core ServiceRequest Profile, Servers **SHOULD** support all the [[listed](https://hl7.org/fhir/us/core/STU8/screening-and-assessments.html#category-codes)] category codes.</t>
  </si>
  <si>
    <t>[For US Core Laboratory Result Observation Profile, the] type of specimen [in `Observation.specimen`] **SHOULD** not conflict with the LOINC code [in `Observation.code`].</t>
  </si>
  <si>
    <t>[For the US Core Observation Screening Assessment Profile,] when using Observation.derivedFrom to reference an Observation, the referenced Observation **SHOULD** be a US Core Observation.</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</si>
  <si>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</si>
  <si>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</si>
  <si>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</si>
  <si>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</si>
  <si>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 xml:space="preserve"> **SHOULD  NOT** supply the unit field]</t>
  </si>
  <si>
    <t xml:space="preserve"> **SHOULD  NOT** require additional authorization to access.</t>
  </si>
  <si>
    <t xml:space="preserve"> **SHOULD  NOT** be used as a patient identifier in Patient.identifier.value</t>
  </si>
  <si>
    <t xml:space="preserve"> **SHALL NOT** restrict search results ( i.e., apply ‘hidden’ filters) when a Client includes status parameters in the query.</t>
  </si>
  <si>
    <t>none to **SHOULD**</t>
  </si>
  <si>
    <t>Updates to .meta.lastUpdated **SHOULD** reflect:
Changes in the clinical status or verifications status of problems or health concerns.</t>
  </si>
  <si>
    <t>is-required to **SHALL**</t>
  </si>
  <si>
    <t>To provide a list of a patient’s medications, it may be necessary to “de-duplicate” them. The de-duplication activity **MAY** be  supplied by the Server</t>
  </si>
  <si>
    <t>Considerations for systems aligning with [HL7 Consolidated (C-CDA)] (http://www.hl7.org/implement/standards/product_brief.cfm?product_id=492) Care Plan requirements: Assessment and Plan **MAY** be  included as narrative in CarePlan.text</t>
  </si>
  <si>
    <t>A coverage.type of “81” (Self-pay) **MAY** be  used to imply that the patient has no coverage or that an individual or organization other than an insurer is taking responsibility for payment for a portion of the health care costs.</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</si>
  <si>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</si>
  <si>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</si>
  <si>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</si>
  <si>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</si>
  <si>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</si>
  <si>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</si>
  <si>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</si>
  <si>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</si>
  <si>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</si>
  <si>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</si>
  <si>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</si>
  <si>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</si>
  <si>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</si>
  <si>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</si>
  <si>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[The clinical status of the allergy] **SHALL** be  present if verification status is not “entered-in-error”</t>
  </si>
  <si>
    <t>UDI-PI elements present [in Device.udiCarrier.carrierHRF] **SHALL** be  represented in the corresponding US Core Implantable Device Profile elements</t>
  </si>
  <si>
    <t>The diagnostically relevant time (known as the “effective time” and typically the time of specimen collection) … **SHALL** be  present if status [of the diagnostic report] is ‘partial’, ‘preliminary’, ‘final’, ‘amended’, ‘corrected’, or ‘appended’.</t>
  </si>
  <si>
    <t>When the report was released … **SHALL** be  present if status [of the diagnostic report] is ‘partial’, ‘preliminary’, ‘final’, ‘amended’, ‘corrected’, or ‘appended’.</t>
  </si>
  <si>
    <t>The organization responsible for the DocumentReference **SHALL** be  present either in DocumentReference.custodian or accessible in the Provenance resource targeting the DocumentReference using Provenance.agent.who or Provenance.agent.onBehalfOf</t>
  </si>
  <si>
    <t>Because the blood pressure values are communicated in the mandatory systolic and diastolic components [when using the US Core Average Blood Pressure Profile,] the Observation.value[x] element **SHALL** be  omitted</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</si>
  <si>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</si>
  <si>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</si>
  <si>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</si>
  <si>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</si>
  <si>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</si>
  <si>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</si>
  <si>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</si>
  <si>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</si>
  <si>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</si>
  <si>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</si>
  <si>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</si>
  <si>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</si>
  <si>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</si>
  <si>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</si>
  <si>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</si>
  <si>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</si>
  <si>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</si>
  <si>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</si>
  <si>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</si>
  <si>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[The clinical status of the allergy] **SHALL NOT**  be present if verification Status is “entered-in-error”</t>
  </si>
  <si>
    <t>The [documentReference.content] element **SHALL NOT** contain different versions of the same content.</t>
  </si>
  <si>
    <t>[I]f any sub-element is marked as Must Support [for a complex element] and the parent element is not… [and] the parent element is represented in the structure, Servers **SHALL** support the sub-element(s) marked as Must Support.</t>
  </si>
  <si>
    <t>US Core Server[s] **SHALL** support token introspection defined by the SMART App Launch Guide. For more details and additional consideration, see SMART App Launch’s [Token Introspection](http://hl7.org/fhir/smart-app-launch/STU2/token-introspection.html#token-introspection).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</si>
  <si>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</si>
  <si>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“Backend-Services”, System-level scopes (system) describe data that a Client system is directly authorized to access. Systems that support system-level (system) scopes **SHALL** support the required US Core scopes</t>
  </si>
  <si>
    <t>Servers **SHALL** support, at minimum, these … "Common Clinical Notes":
[Consultation Note (11488-4)](https://loinc.org/11488-4.html)</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</si>
  <si>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</si>
  <si>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</si>
  <si>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</si>
  <si>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Servers **SHALL** support, at minimum, these … "Common Clinical Notes":
[Progress Note (11506-3)](https://loinc.org/11506-3.html)</t>
  </si>
  <si>
    <t>Servers **SHALL** support, at minimum, these … "Common Clinical Notes":
[Imaging Narrative (18748-4)](https://loinc.org/18748-4.html)</t>
  </si>
  <si>
    <t>Servers **SHALL** support, at minimum, these … "Common Clinical Notes":
[Laboratory Report Narrative (11502-2)](https://loinc.org/11502-2.html)</t>
  </si>
  <si>
    <t>Servers **SHALL** support, at minimum, these … "Common Clinical Notes":
[Pathology Report Narrative (11526-1)](https://loinc.org/11526-1.html)</t>
  </si>
  <si>
    <t>Servers **SHALL** support, at minimum, these … DiagnosticReport categories:
[Cardiology (LP29708-2)](https://loinc.org/LP29708-2)</t>
  </si>
  <si>
    <t>Servers **SHALL** support, at minimum, these … DiagnosticReport categories:
[Pathology (LP7839-6)](https://loinc.org/LP7839-6)</t>
  </si>
  <si>
    <t>Servers **SHALL** support, at minimum, these … DiagnosticReport categories:
[Radiology (LP29684-5)](https://loinc.org/LP29684-5)</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</si>
  <si>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</si>
  <si>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</si>
  <si>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</si>
  <si>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</si>
  <si>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</si>
  <si>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</si>
  <si>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</si>
  <si>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</si>
  <si>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if an external reference to Medication is used, the Server **SHALL** support the [_include](http://hl7.org/fhir/R4/search.html#include) parameter for searching this element</t>
  </si>
  <si>
    <t>Although both US Core Practitioner Profile and US Core PractitionerRole are Must Support, ... Server system[s conforming to the US Core CareTeam profile are] ... not required to support references to both, but **SHALL** support at least one of them</t>
  </si>
  <si>
    <t>[C]lient application[s conforming to the US Core CareTeam profile] **SHALL** support [US Core PractitionerRole Profile]</t>
  </si>
  <si>
    <t>[C]lient application[s conforming to the US Core CareTeam profile] **SHALL** support [US Core RelatedPerson Profile]</t>
  </si>
  <si>
    <t>A [US Core Condition Encounter Diagnosis] Server **SHALL** support Condition.recordedDate</t>
  </si>
  <si>
    <t>A Server **SHALL** support at least one of [assertedDate Extension](http://hl7.org/fhir/R4/extension-condition-asserteddate.html) and Condition.onsetDateTime.</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</si>
  <si>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</si>
  <si>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</si>
  <si>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</si>
  <si>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Although both [DocumentReference.attachment.url and DocumentReference.attachment.data] are marked as Must Support, the Server system is not required to support an address and inline base64 encoded data, but **SHALL** support at least one of these elements.</t>
  </si>
  <si>
    <t>The Client application **SHALL** support [DocumentReference.attachment.url]</t>
  </si>
  <si>
    <t>The Client application **SHALL** support [DocumentReference.attachment.data]</t>
  </si>
  <si>
    <t>Although ... marked as Must Support, Servers are not required to support both [an Encounter.reasonCode or a reference with Encounter.reasonReference], but they **SHALL** support at least one of these elements.</t>
  </si>
  <si>
    <t>The Client application **SHALL** support [ Encounter.reasonCode]</t>
  </si>
  <si>
    <t>The Client application **SHALL** support [Encounter.reasonReference]</t>
  </si>
  <si>
    <t>Although … marked as Must Support, Servers are not required to support both Encounter.location.location and Encounter.serviceProvider, but they **SHALL** support at least one of these elements.</t>
  </si>
  <si>
    <t>The Client application **SHALL** support [Encounter.location.location]</t>
  </si>
  <si>
    <t>The Client application **SHALL** support [Encounter.serviceProvider]</t>
  </si>
  <si>
    <t>Although both Goal.startDate and Goal.target.dueDate are marked as Must Support, the Server system is not required to support both, but **SHALL** support at least one of these elements.</t>
  </si>
  <si>
    <t>The Client application **SHALL** support ... Goal.startDate</t>
  </si>
  <si>
    <t>The Client application **SHALL** support ... Goal.target.dueDate</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</si>
  <si>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</si>
  <si>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</si>
  <si>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</si>
  <si>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</si>
  <si>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</si>
  <si>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</si>
  <si>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</si>
  <si>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The Client application **SHALL** support [medicationRequest.reporedtBoolean]</t>
  </si>
  <si>
    <t>The Client application **SHALL** support [MedicationRequest.reportedReference]</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</si>
  <si>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</si>
  <si>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</si>
  <si>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</si>
  <si>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and supporting MedicationRequest.reasonReference,] Servers **SHALL** support at least one target resource in MedicationRequest.reasonReference</t>
  </si>
  <si>
    <t>[For organizations participating in the ONC Health IT Certification program,] Clients **SHALL** support all target resources in MedicationRequest.reasonReference.</t>
  </si>
  <si>
    <t>the Server system ... **SHALL** support [either] Reference(US Core Observation Screening Assessment Profile) or Reference(US Core QuestionnaireResponse Profile) for Observation.derivedFrom</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</si>
  <si>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</si>
  <si>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</si>
  <si>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Systems **SHALL** support National Provider Identifier (NPI) for organizations</t>
  </si>
  <si>
    <t>Although Patient.deceased[x] is marked as additional USCDI, certifying systems are not required to support both [boolean and dateTime data types], but **SHALL** support [at] least Patient.deceasedDateTime</t>
  </si>
  <si>
    <t>The Client application **SHALL** support both [the PractionerRole profile and the Practioner.address element]</t>
  </si>
  <si>
    <t>[For organizations participating in the ONC Health IT Certification program] Servers … **SHALL** support ... US Core Procedure Profile for communicating the reason or justification for a referral as Additional USCDI Requirements</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</si>
  <si>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</si>
  <si>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</si>
  <si>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the ONC Health IT Certification program,] The certifying Client application **SHALL** support both [Procedure.reasonCode and Procedure.reasonReference]</t>
  </si>
  <si>
    <t>[For organizations participating in the ONC Health IT Certification program,] when using Procedure.reasonReference Servers **SHALL** support at least one target resource in Procedure.reasonReference</t>
  </si>
  <si>
    <t>[For organizations participating in the ONC Health IT Certification program,] when using Procedure.reasonReference … Clients **SHALL** support all target resources in Procedure.reasonReference</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</si>
  <si>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</si>
  <si>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</si>
  <si>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</si>
  <si>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[For organizations participating in the ONC Health IT Certification program,] The certifying Client application **SHALL** support both [ServiceRequest.reasonCode and ServiceRequest.reasonReference]</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</si>
  <si>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</si>
  <si>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</si>
  <si>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Although both Specimen.identifier and Specimen.accessionIdentifier are marked as Must Support, the Server system is not required to support both, but **SHALL** support at least one of these elements.</t>
  </si>
  <si>
    <t>The Client application **SHALL** support both [ Specimen.identifier and Specimen.accessionIdentifier]</t>
  </si>
  <si>
    <t>US Core Server **SHALL** support the US Core Patient resource profile</t>
  </si>
  <si>
    <t>US Core Server **SHALL** support … at least one additional resource profile [in addition to the US Core Patient resource profile] from the list of US Core Profiles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</si>
  <si>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</si>
  <si>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</si>
  <si>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Servers **SHALL** support, at minimum, these … "Common Clinical Notes":
[Surgical Operation Note (11504-8)](https://loinc.org/11504-8.html)</t>
  </si>
  <si>
    <t>Servers **SHALL** support, at minimum, these … "Common Clinical Notes":
[Emergency Department Note (34111-5)](https://loinc.org/34111-5.html)</t>
  </si>
  <si>
    <t>[For the US Core Observation Screening Assessment Profile,] the Client system ... **SHALL** support [both] Reference(US Core Observation Screening Assessment Profile) [and] Reference(US Core QuestionnaireResponse Profile) for Observation.derivedFrom</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</si>
  <si>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</si>
  <si>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</si>
  <si>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</si>
  <si>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Servers **MAY** support other scopes in addition to those listed below and in the Quick Start sections.</t>
  </si>
  <si>
    <t>[Clients] **MAY** support the transaction interaction</t>
  </si>
  <si>
    <t>[Clients] **MAY** support the batch interaction</t>
  </si>
  <si>
    <t>[Clients] **MAY** support the search-system interaction</t>
  </si>
  <si>
    <t>[Clients] **MAY** support the history-system interaction</t>
  </si>
  <si>
    <t>[Server] **MAY** support the transaction interaction</t>
  </si>
  <si>
    <t>[Server] **MAY** support the batch interaction</t>
  </si>
  <si>
    <t>[Server] **MAY** support the search-system interaction</t>
  </si>
  <si>
    <t>[Server] **MAY** support the history-system interaction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</si>
  <si>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</si>
  <si>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</si>
  <si>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</si>
  <si>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If a system receives a provider in Provenance.agent.who as free text, they must capture [the organization] who sent them the information [and upon] request ... **SHALL**  provide this organization as the source</t>
  </si>
  <si>
    <t>Implementations [US Core Responders] supporting Backend Services ... **SHALL**  include support for the Client-confidential-asymmetric capability.</t>
  </si>
  <si>
    <t>Implementations [US Core Responders] supporting Backend Services ... **SHALL**  include support for the ... system/scopes.</t>
  </si>
  <si>
    <t>Implementations [US Core Requestors] supporting Backend Services – for example, to meet US EHR certification requirements [of the ONC IT Health Certification program]- **SHALL**  include support for the Client-confidential-asymmetric capability and system/scopes.</t>
  </si>
  <si>
    <t>An Observation.component without a value, **SHALL**  include a reason why the data is absent</t>
  </si>
  <si>
    <t>An Observation without a value, **SHALL**  include a reason why the data is absent</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</si>
  <si>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</si>
  <si>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</si>
  <si>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</si>
  <si>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Systems **SHALL**  implement consent requirements per their state, local, and institutional policies.</t>
  </si>
  <si>
    <t xml:space="preserve">An `Observation.component` without a value, **SHALL**  include a reason why the data is absent. </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</si>
  <si>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</si>
  <si>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</si>
  <si>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If a system receives a provider in Provenance.agent.who as free text, … [upon request they] **MAY**  include the free text provider.</t>
  </si>
  <si>
    <t>Systems **MAY**  implement the [FHIR Digital Signatures](http://hl7.org/fhir/R4/security.html#digital%20signatures)</t>
  </si>
  <si>
    <t>Communication.preferred **MAY**  designate a preferred language when multiple languages are represented</t>
  </si>
  <si>
    <t>communication.preferred **MAY**  designate a preferred language when multiple languages are represented</t>
  </si>
  <si>
    <t>[Historical Encounter Diagnosis records **MAY**  have a] Condition.code … [from the] base “preferred” … [value set] binding.</t>
  </si>
  <si>
    <t>The observations **MAY**  have additional codes that translate or map to the Observation code or category codes [such as] … local system-specific codes [and] …more specific codes</t>
  </si>
  <si>
    <t>[US Core Vital Signs] observations **MAY**  have [component](http://hl7.org/fhir/R4/observation.html#gr-comp) observations … [see] FHIR core specification [vital signs table](http://hl7.org/fhir/R4/observation-vitalsigns.html#vitals-table) for examples</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</si>
  <si>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</si>
  <si>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Systems **MAY**  protect the confidentiality of data at rest via encryption and associated access controls.</t>
  </si>
  <si>
    <t>[When Clients request a resource in a specific language] Clients **MAY**  request language/locale using the http [Accept-Language](https://www.ietf.org/rfc/rfc2616.txt) header.</t>
  </si>
  <si>
    <t>[When using SNOMED codes in US Core Profiles I]mplementers **MAY**  use the default system URI [of [SNOMED CT](http://snomed.info/sct)], which refers to an unspecified edition/version [of SNOMED]</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</si>
  <si>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</si>
  <si>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</si>
  <si>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</si>
  <si>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</si>
  <si>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</si>
  <si>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</si>
  <si>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</si>
  <si>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Transformation of data from one format to another **MAY** change the authorship of the information, where the HIE is the author/author organization</t>
  </si>
  <si>
    <t>[For] an Observation without a value … [Systems **MAY** choose not to] include a reason why the data is absent … [if] there are component observations or … reporting panel observations using Observation.hasMember</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</si>
  <si>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</si>
  <si>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</si>
  <si>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when DiagnosticReport.presentedForm.url references a Scan (PDF), that Attachment **SHALL** also be accessible through DocumentReference.content.attachment.url</t>
  </si>
  <si>
    <t>If there are multiple DocumentReference.content element repetitions, these **SHALL** all represent the same document in different formats or attachment metadata</t>
  </si>
  <si>
    <t>Systems **SHALL** conform to [FHIR Communications Security](http://hl7.org/fhir/R4/security.html#http) requirements.</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</si>
  <si>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</si>
  <si>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</si>
  <si>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Servers **SHALL** document in CapabilityStatement.rest.resource.searchParam.documentation the types of changes that can be detected using the _lastUpdated search parameter</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</si>
  <si>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</si>
  <si>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Systems **SHALL** establish a risk analysis and management regime that conforms with HIPAA security regulatory requirements</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</si>
  <si>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</si>
  <si>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Servers **SHALL** follow the guidance on the Medication List page and return all active medications as MedicationRequest.</t>
  </si>
  <si>
    <t>[Newly created Encounter Diagnosis records **SHALL** have a] Condition.code … [from the] [“current”](https://hl7.org/fhir/R5/terminologies.html#binding) … [value set] binding.</t>
  </si>
  <si>
    <t>Systems **SHALL** keep audit logs of the various transactions.</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</si>
  <si>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</si>
  <si>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Implantable medical devices with UDI information **SHALL** represent the UDI code in Device.udiCarrier.carrierHRF</t>
  </si>
  <si>
    <t>A Server **SHALL** reject any unauthorized requests by returning an HTTP 401 "Unauthorized", HTTP 403 "Forbidden", or HTTP 404 "Not Found"</t>
  </si>
  <si>
    <t>Systems **SHALL** reference a single time source to establish a common time base for security auditing and clinical data records among computing systems.</t>
  </si>
  <si>
    <t>If the event facility/location differs from the Encounter.location, … systems **SHALL** use the location element for all resources where the element is available.</t>
  </si>
  <si>
    <t>Systems **SHALL** use TLS version 1.2 or higher for all transmissions not taking place over a secure network connection.</t>
  </si>
  <si>
    <t xml:space="preserve"> **SHALL NOT** include the data elements in the resource instance returned as part of the query results.</t>
  </si>
  <si>
    <t xml:space="preserve"> **SHOULD  NOT** search the same data within the time stated in the `Cache-Control` header.</t>
  </si>
  <si>
    <t xml:space="preserve"> **SHALL NOT** be interpreted as search parameters for search. </t>
  </si>
  <si>
    <t>https://hl7.org/fhir/us/core/STU8/general-guidance.html#representing-deleted-and-entered-in-error-information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</si>
</sst>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80">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xf numFmtId="0" fontId="0" fillId="0" borderId="0" xfId="0" applyFill="1"/>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3" tableType="queryTable" totalsRowShown="0" headerRowDxfId="29">
  <autoFilter ref="A1:AD673"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3"/>
  <sheetViews>
    <sheetView tabSelected="1" topLeftCell="A184" zoomScale="140" zoomScaleNormal="140" workbookViewId="0">
      <selection activeCell="D193" sqref="D193"/>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1885</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51"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51"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68"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51"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85"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102"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68"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68"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68"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68"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68"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68"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51"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2041</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51"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2042</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2043</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51"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51"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x14ac:dyDescent="0.2">
      <c r="A39" t="s">
        <v>1171</v>
      </c>
      <c r="B39" t="s">
        <v>1211</v>
      </c>
      <c r="C39" t="str">
        <f>"CONF-"&amp;TEXT(us_core_reqs[[#This Row],[ID*]], "0000")</f>
        <v>CONF-0038</v>
      </c>
      <c r="D39" s="11" t="s">
        <v>821</v>
      </c>
      <c r="E39" t="str">
        <f>SUBSTITUTE(us_core_reqs[[#This Row],[URL*]], "https://hl7.org/fhir/us/core/STU8/","")</f>
        <v>general-requirements.html#modifier-elements</v>
      </c>
      <c r="F39" s="11" t="s">
        <v>1908</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51"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51"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85"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102"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85"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68"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68"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68"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34"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2030</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34"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x14ac:dyDescent="0.2">
      <c r="A79" t="s">
        <v>1171</v>
      </c>
      <c r="B79" t="s">
        <v>1251</v>
      </c>
      <c r="C79" t="str">
        <f>"CONF-"&amp;TEXT(us_core_reqs[[#This Row],[ID*]], "0000")</f>
        <v>CONF-0078</v>
      </c>
      <c r="D79" s="11" t="s">
        <v>612</v>
      </c>
      <c r="E79" t="str">
        <f>SUBSTITUTE(us_core_reqs[[#This Row],[URL*]], "https://hl7.org/fhir/us/core/STU8/","")</f>
        <v>must-support.html#must-support-elements</v>
      </c>
      <c r="F79" s="11" t="s">
        <v>2231</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85"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68"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68"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102"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2044</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2045</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51"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51"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51"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x14ac:dyDescent="0.2">
      <c r="A97" t="s">
        <v>1171</v>
      </c>
      <c r="B97" t="s">
        <v>1269</v>
      </c>
      <c r="C97" t="str">
        <f>"CONF-"&amp;TEXT(us_core_reqs[[#This Row],[ID*]], "0000")</f>
        <v>CONF-0096</v>
      </c>
      <c r="D97" s="11" t="s">
        <v>616</v>
      </c>
      <c r="E97" t="str">
        <f>SUBSTITUTE(us_core_reqs[[#This Row],[URL*]], "https://hl7.org/fhir/us/core/STU8/","")</f>
        <v>must-support.html#must-support---complex-elements</v>
      </c>
      <c r="F97" s="11" t="s">
        <v>2078</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2046</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2047</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2048</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2049</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51"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51"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68"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19"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19"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51"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51"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68"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x14ac:dyDescent="0.2">
      <c r="A118" t="s">
        <v>1171</v>
      </c>
      <c r="B118" t="s">
        <v>1290</v>
      </c>
      <c r="C118" t="str">
        <f>"CONF-"&amp;TEXT(us_core_reqs[[#This Row],[ID*]], "0000")</f>
        <v>CONF-0117</v>
      </c>
      <c r="D118" s="11" t="s">
        <v>825</v>
      </c>
      <c r="E118" t="str">
        <f>SUBSTITUTE(us_core_reqs[[#This Row],[URL*]], "https://hl7.org/fhir/us/core/STU8/","")</f>
        <v>scopes.html#capability-sets</v>
      </c>
      <c r="F118" s="11" t="s">
        <v>2165</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36"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1909</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19"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2050</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51"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2179</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2180</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2181</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2079</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b">
        <v>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2166</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x14ac:dyDescent="0.2">
      <c r="A129" t="s">
        <v>1171</v>
      </c>
      <c r="B129" t="s">
        <v>1301</v>
      </c>
      <c r="C129" t="str">
        <f>"CONF-"&amp;TEXT(us_core_reqs[[#This Row],[ID*]], "0000")</f>
        <v>CONF-0128</v>
      </c>
      <c r="D129" s="11" t="s">
        <v>828</v>
      </c>
      <c r="E129" t="str">
        <f>SUBSTITUTE(us_core_reqs[[#This Row],[URL*]], "https://hl7.org/fhir/us/core/STU8/","")</f>
        <v>scopes.html#us-core-scopes</v>
      </c>
      <c r="F129" s="11" t="s">
        <v>2080</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x14ac:dyDescent="0.2">
      <c r="A130" t="s">
        <v>1171</v>
      </c>
      <c r="B130" t="s">
        <v>1302</v>
      </c>
      <c r="C130" t="str">
        <f>"CONF-"&amp;TEXT(us_core_reqs[[#This Row],[ID*]], "0000")</f>
        <v>CONF-0129</v>
      </c>
      <c r="D130" s="11" t="s">
        <v>828</v>
      </c>
      <c r="E130" t="str">
        <f>SUBSTITUTE(us_core_reqs[[#This Row],[URL*]], "https://hl7.org/fhir/us/core/STU8/","")</f>
        <v>scopes.html#us-core-scopes</v>
      </c>
      <c r="F130" s="11" t="s">
        <v>1910</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x14ac:dyDescent="0.2">
      <c r="A131" t="s">
        <v>1171</v>
      </c>
      <c r="B131" t="s">
        <v>1303</v>
      </c>
      <c r="C131" t="str">
        <f>"CONF-"&amp;TEXT(us_core_reqs[[#This Row],[ID*]], "0000")</f>
        <v>CONF-0130</v>
      </c>
      <c r="D131" s="11" t="s">
        <v>828</v>
      </c>
      <c r="E131" t="str">
        <f>SUBSTITUTE(us_core_reqs[[#This Row],[URL*]], "https://hl7.org/fhir/us/core/STU8/","")</f>
        <v>scopes.html#us-core-scopes</v>
      </c>
      <c r="F131" s="11" t="s">
        <v>2081</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x14ac:dyDescent="0.2">
      <c r="A132" t="s">
        <v>1171</v>
      </c>
      <c r="B132" t="s">
        <v>1304</v>
      </c>
      <c r="C132" t="str">
        <f>"CONF-"&amp;TEXT(us_core_reqs[[#This Row],[ID*]], "0000")</f>
        <v>CONF-0131</v>
      </c>
      <c r="D132" s="11" t="s">
        <v>828</v>
      </c>
      <c r="E132" t="str">
        <f>SUBSTITUTE(us_core_reqs[[#This Row],[URL*]], "https://hl7.org/fhir/us/core/STU8/","")</f>
        <v>scopes.html#us-core-scopes</v>
      </c>
      <c r="F132" s="11" t="s">
        <v>1911</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53"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36"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119"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119"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119"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119"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136"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136"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119"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119"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119"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136"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136"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119"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119"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119"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119"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136"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119"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119"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136"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119"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119"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119"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119"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119"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36"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36"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36"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36"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36"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36"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36"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36"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53"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2216</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119"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2225</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2198</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2212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119"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1912</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2217</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51"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1913</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51"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1914</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1915</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51"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1916</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51"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1917</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51"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1918</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2201</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102"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1919</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85"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85"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1920</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68"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68"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2027</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17" x14ac:dyDescent="0.2">
      <c r="A188" t="s">
        <v>1171</v>
      </c>
      <c r="B188" t="s">
        <v>1360</v>
      </c>
      <c r="C188" t="str">
        <f>"CONF-"&amp;TEXT(us_core_reqs[[#This Row],[ID*]], "0000")</f>
        <v>CONF-0187</v>
      </c>
      <c r="D188" s="79" t="s">
        <v>2234</v>
      </c>
      <c r="E188" t="str">
        <f>SUBSTITUTE(us_core_reqs[[#This Row],[URL*]], "https://hl7.org/fhir/us/core/STU8/","")</f>
        <v>general-guidance.html#representing-deleted-and-entered-in-error-information</v>
      </c>
      <c r="F188" s="11" t="s">
        <v>1921</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representing-deleted-and-entered-in-error-information</v>
      </c>
      <c r="T188" t="str">
        <f>SUBSTITUTE(SUBSTITUTE(PROPER(SUBSTITUTE(us_core_reqs[[#This Row],[Page]], "-", " "))&amp;": "&amp;PROPER(SUBSTITUTE(us_core_reqs[[#This Row],[Section]], "-", " ")),"Us ","US "), "Uscdi", "USCDI")</f>
        <v>General Guidance: Representing Deleted And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s="79" t="s">
        <v>2234</v>
      </c>
      <c r="E189" t="str">
        <f>SUBSTITUTE(us_core_reqs[[#This Row],[URL*]], "https://hl7.org/fhir/us/core/STU8/","")</f>
        <v>general-guidance.html#representing-deleted-and-entered-in-error-information</v>
      </c>
      <c r="F189" s="11" t="s">
        <v>1922</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representing-deleted-and-entered-in-error-information</v>
      </c>
      <c r="T189" t="str">
        <f>SUBSTITUTE(SUBSTITUTE(PROPER(SUBSTITUTE(us_core_reqs[[#This Row],[Page]], "-", " "))&amp;": "&amp;PROPER(SUBSTITUTE(us_core_reqs[[#This Row],[Section]], "-", " ")),"Us ","US "), "Uscdi", "USCDI")</f>
        <v>General Guidance: Representing Deleted And Entered In Error Information</v>
      </c>
      <c r="U189" t="s">
        <v>32</v>
      </c>
      <c r="V189" t="s">
        <v>30</v>
      </c>
      <c r="W189" t="s">
        <v>218</v>
      </c>
      <c r="X189" t="s">
        <v>1171</v>
      </c>
      <c r="Y189" t="s">
        <v>1171</v>
      </c>
      <c r="Z189" t="s">
        <v>1171</v>
      </c>
      <c r="AA189" t="s">
        <v>1171</v>
      </c>
      <c r="AB189" t="s">
        <v>1171</v>
      </c>
      <c r="AC189" t="s">
        <v>1171</v>
      </c>
      <c r="AD189" t="s">
        <v>1171</v>
      </c>
    </row>
    <row r="190" spans="1:30" ht="68" x14ac:dyDescent="0.2">
      <c r="A190" t="s">
        <v>1171</v>
      </c>
      <c r="B190" t="s">
        <v>1362</v>
      </c>
      <c r="C190" t="str">
        <f>"CONF-"&amp;TEXT(us_core_reqs[[#This Row],[ID*]], "0000")</f>
        <v>CONF-0189</v>
      </c>
      <c r="D190" s="79" t="s">
        <v>2234</v>
      </c>
      <c r="E190" t="str">
        <f>SUBSTITUTE(us_core_reqs[[#This Row],[URL*]], "https://hl7.org/fhir/us/core/STU8/","")</f>
        <v>general-guidance.html#representing-deleted-and-entered-in-error-information</v>
      </c>
      <c r="F190" s="11" t="s">
        <v>1923</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representing-deleted-and-entered-in-error-information</v>
      </c>
      <c r="T190" t="str">
        <f>SUBSTITUTE(SUBSTITUTE(PROPER(SUBSTITUTE(us_core_reqs[[#This Row],[Page]], "-", " "))&amp;": "&amp;PROPER(SUBSTITUTE(us_core_reqs[[#This Row],[Section]], "-", " ")),"Us ","US "), "Uscdi", "USCDI")</f>
        <v>General Guidance: Representing Deleted And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s="79" t="s">
        <v>2234</v>
      </c>
      <c r="E191" t="str">
        <f>SUBSTITUTE(us_core_reqs[[#This Row],[URL*]], "https://hl7.org/fhir/us/core/STU8/","")</f>
        <v>general-guidance.html#representing-deleted-and-entered-in-error-information</v>
      </c>
      <c r="F191" s="11" t="s">
        <v>1924</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representing-deleted-and-entered-in-error-information</v>
      </c>
      <c r="T191" t="str">
        <f>SUBSTITUTE(SUBSTITUTE(PROPER(SUBSTITUTE(us_core_reqs[[#This Row],[Page]], "-", " "))&amp;": "&amp;PROPER(SUBSTITUTE(us_core_reqs[[#This Row],[Section]], "-", " ")),"Us ","US "), "Uscdi", "USCDI")</f>
        <v>General Guidance: Representing Deleted And Entered In Error Information</v>
      </c>
      <c r="U191" t="s">
        <v>32</v>
      </c>
      <c r="V191" t="s">
        <v>30</v>
      </c>
      <c r="W191" t="s">
        <v>226</v>
      </c>
      <c r="X191" t="s">
        <v>1171</v>
      </c>
      <c r="Y191" t="s">
        <v>1171</v>
      </c>
      <c r="Z191" t="s">
        <v>1171</v>
      </c>
      <c r="AA191" t="s">
        <v>1171</v>
      </c>
      <c r="AB191" t="s">
        <v>1171</v>
      </c>
      <c r="AC191" t="s">
        <v>1171</v>
      </c>
      <c r="AD191" t="s">
        <v>1171</v>
      </c>
    </row>
    <row r="192" spans="1:30" ht="85" x14ac:dyDescent="0.2">
      <c r="A192" t="s">
        <v>1171</v>
      </c>
      <c r="B192" t="s">
        <v>1364</v>
      </c>
      <c r="C192" t="str">
        <f>"CONF-"&amp;TEXT(us_core_reqs[[#This Row],[ID*]], "0000")</f>
        <v>CONF-0191</v>
      </c>
      <c r="D192" s="79" t="s">
        <v>2234</v>
      </c>
      <c r="E192" t="str">
        <f>SUBSTITUTE(us_core_reqs[[#This Row],[URL*]], "https://hl7.org/fhir/us/core/STU8/","")</f>
        <v>general-guidance.html#representing-deleted-and-entered-in-error-information</v>
      </c>
      <c r="F192" s="11" t="s">
        <v>1925</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representing-deleted-and-entered-in-error-information</v>
      </c>
      <c r="T192" t="str">
        <f>SUBSTITUTE(SUBSTITUTE(PROPER(SUBSTITUTE(us_core_reqs[[#This Row],[Page]], "-", " "))&amp;": "&amp;PROPER(SUBSTITUTE(us_core_reqs[[#This Row],[Section]], "-", " ")),"Us ","US "), "Uscdi", "USCDI")</f>
        <v>General Guidance: Representing Deleted And Entered In Error Information</v>
      </c>
      <c r="U192" t="s">
        <v>32</v>
      </c>
      <c r="V192" t="s">
        <v>30</v>
      </c>
      <c r="W192" t="s">
        <v>228</v>
      </c>
      <c r="X192" t="s">
        <v>1171</v>
      </c>
      <c r="Y192" t="s">
        <v>1171</v>
      </c>
      <c r="Z192" t="s">
        <v>1171</v>
      </c>
      <c r="AA192" t="s">
        <v>1171</v>
      </c>
      <c r="AB192" t="s">
        <v>1171</v>
      </c>
      <c r="AC192" t="s">
        <v>1171</v>
      </c>
      <c r="AD192" t="s">
        <v>1171</v>
      </c>
    </row>
    <row r="193" spans="1:30" ht="119" x14ac:dyDescent="0.2">
      <c r="A193" t="s">
        <v>1171</v>
      </c>
      <c r="B193" t="s">
        <v>1365</v>
      </c>
      <c r="C193" t="str">
        <f>"CONF-"&amp;TEXT(us_core_reqs[[#This Row],[ID*]], "0000")</f>
        <v>CONF-0192</v>
      </c>
      <c r="D193" s="79" t="s">
        <v>2234</v>
      </c>
      <c r="E193" t="str">
        <f>SUBSTITUTE(us_core_reqs[[#This Row],[URL*]], "https://hl7.org/fhir/us/core/STU8/","")</f>
        <v>general-guidance.html#representing-deleted-and-entered-in-error-information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representing-deleted-and-entered-in-error-information</v>
      </c>
      <c r="T193" t="str">
        <f>SUBSTITUTE(SUBSTITUTE(PROPER(SUBSTITUTE(us_core_reqs[[#This Row],[Page]], "-", " "))&amp;": "&amp;PROPER(SUBSTITUTE(us_core_reqs[[#This Row],[Section]], "-", " ")),"Us ","US "), "Uscdi", "USCDI")</f>
        <v>General Guidance: Representing Deleted And Entered In Error Information</v>
      </c>
      <c r="U193" t="s">
        <v>35</v>
      </c>
      <c r="V193" t="s">
        <v>30</v>
      </c>
      <c r="W193" t="s">
        <v>229</v>
      </c>
      <c r="X193" t="s">
        <v>1171</v>
      </c>
      <c r="Y193" t="s">
        <v>1171</v>
      </c>
      <c r="Z193" t="s">
        <v>1171</v>
      </c>
      <c r="AA193" t="s">
        <v>1171</v>
      </c>
      <c r="AB193" t="s">
        <v>1171</v>
      </c>
      <c r="AC193" t="s">
        <v>1171</v>
      </c>
      <c r="AD193" t="s">
        <v>1171</v>
      </c>
    </row>
    <row r="194" spans="1:30" ht="51" x14ac:dyDescent="0.2">
      <c r="A194" t="s">
        <v>1171</v>
      </c>
      <c r="B194" t="s">
        <v>1366</v>
      </c>
      <c r="C194" t="str">
        <f>"CONF-"&amp;TEXT(us_core_reqs[[#This Row],[ID*]], "0000")</f>
        <v>CONF-0193</v>
      </c>
      <c r="D194" s="11" t="s">
        <v>837</v>
      </c>
      <c r="E194" t="str">
        <f>SUBSTITUTE(us_core_reqs[[#This Row],[URL*]], "https://hl7.org/fhir/us/core/STU8/","")</f>
        <v>general-guidance.html#language-support</v>
      </c>
      <c r="F194" s="11" t="s">
        <v>1926</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51" x14ac:dyDescent="0.2">
      <c r="A195" t="s">
        <v>1171</v>
      </c>
      <c r="B195" t="s">
        <v>1367</v>
      </c>
      <c r="C195" t="str">
        <f>"CONF-"&amp;TEXT(us_core_reqs[[#This Row],[ID*]], "0000")</f>
        <v>CONF-0194</v>
      </c>
      <c r="D195" s="11" t="s">
        <v>837</v>
      </c>
      <c r="E195" t="str">
        <f>SUBSTITUTE(us_core_reqs[[#This Row],[URL*]], "https://hl7.org/fhir/us/core/STU8/","")</f>
        <v>general-guidance.html#language-support</v>
      </c>
      <c r="F195" s="11" t="s">
        <v>2200</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51" x14ac:dyDescent="0.2">
      <c r="A196" t="s">
        <v>1171</v>
      </c>
      <c r="B196" t="s">
        <v>1368</v>
      </c>
      <c r="C196" t="str">
        <f>"CONF-"&amp;TEXT(us_core_reqs[[#This Row],[ID*]], "0000")</f>
        <v>CONF-0195</v>
      </c>
      <c r="D196" s="11" t="s">
        <v>837</v>
      </c>
      <c r="E196" t="str">
        <f>SUBSTITUTE(us_core_reqs[[#This Row],[URL*]], "https://hl7.org/fhir/us/core/STU8/","")</f>
        <v>general-guidance.html#language-support</v>
      </c>
      <c r="F196" s="11" t="s">
        <v>1927</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x14ac:dyDescent="0.2">
      <c r="A197" t="s">
        <v>1171</v>
      </c>
      <c r="B197" t="s">
        <v>1369</v>
      </c>
      <c r="C197" t="str">
        <f>"CONF-"&amp;TEXT(us_core_reqs[[#This Row],[ID*]], "0000")</f>
        <v>CONF-0196</v>
      </c>
      <c r="D197" s="11" t="s">
        <v>837</v>
      </c>
      <c r="E197" t="str">
        <f>SUBSTITUTE(us_core_reqs[[#This Row],[URL*]], "https://hl7.org/fhir/us/core/STU8/","")</f>
        <v>general-guidance.html#language-support</v>
      </c>
      <c r="F197" s="11" t="s">
        <v>1928</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x14ac:dyDescent="0.2">
      <c r="A198" t="s">
        <v>1171</v>
      </c>
      <c r="B198" t="s">
        <v>1370</v>
      </c>
      <c r="C198" t="str">
        <f>"CONF-"&amp;TEXT(us_core_reqs[[#This Row],[ID*]], "0000")</f>
        <v>CONF-0197</v>
      </c>
      <c r="D198" s="11" t="s">
        <v>837</v>
      </c>
      <c r="E198" t="str">
        <f>SUBSTITUTE(us_core_reqs[[#This Row],[URL*]], "https://hl7.org/fhir/us/core/STU8/","")</f>
        <v>general-guidance.html#language-support</v>
      </c>
      <c r="F198" s="11" t="s">
        <v>1929</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85" x14ac:dyDescent="0.2">
      <c r="A199" t="s">
        <v>1171</v>
      </c>
      <c r="B199" t="s">
        <v>1371</v>
      </c>
      <c r="C199" t="str">
        <f>"CONF-"&amp;TEXT(us_core_reqs[[#This Row],[ID*]], "0000")</f>
        <v>CONF-0198</v>
      </c>
      <c r="D199" s="11" t="s">
        <v>837</v>
      </c>
      <c r="E199" t="str">
        <f>SUBSTITUTE(us_core_reqs[[#This Row],[URL*]], "https://hl7.org/fhir/us/core/STU8/","")</f>
        <v>general-guidance.html#language-support</v>
      </c>
      <c r="F199" s="11" t="s">
        <v>1930</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119" x14ac:dyDescent="0.2">
      <c r="A200" t="s">
        <v>1171</v>
      </c>
      <c r="B200" t="s">
        <v>1372</v>
      </c>
      <c r="C200" t="str">
        <f>"CONF-"&amp;TEXT(us_core_reqs[[#This Row],[ID*]], "0000")</f>
        <v>CONF-0199</v>
      </c>
      <c r="D200" s="11" t="s">
        <v>837</v>
      </c>
      <c r="E200" t="str">
        <f>SUBSTITUTE(us_core_reqs[[#This Row],[URL*]], "https://hl7.org/fhir/us/core/STU8/","")</f>
        <v>general-guidance.html#language-support</v>
      </c>
      <c r="F200" s="11" t="s">
        <v>1931</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51"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1932</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1933</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68"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2218</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68"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2082</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2083</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2084</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2085</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2086</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2087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2088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2089</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2090</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2091</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2092</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51"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51"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51"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102"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2219</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51"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2213</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51"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1879</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1880</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68"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1880</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34"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1879</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34"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1879</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51"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1934</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51"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1935</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51"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1936</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34"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1937</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1882</v>
      </c>
      <c r="G232" t="s">
        <v>29</v>
      </c>
      <c r="H232" t="s">
        <v>1881</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68"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1883</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68" x14ac:dyDescent="0.2">
      <c r="A234" t="s">
        <v>1171</v>
      </c>
      <c r="B234" t="s">
        <v>1406</v>
      </c>
      <c r="C234" t="str">
        <f>"CONF-"&amp;TEXT(us_core_reqs[[#This Row],[ID*]], "0000")</f>
        <v>CONF-0233</v>
      </c>
      <c r="D234" s="11" t="s">
        <v>1884</v>
      </c>
      <c r="E234" t="str">
        <f>SUBSTITUTE(us_core_reqs[[#This Row],[URL*]], "https://hl7.org/fhir/us/core/STU8/","")</f>
        <v>clinical-notes.html#using-expand</v>
      </c>
      <c r="F234" s="11" t="s">
        <v>1938</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s="11" t="s">
        <v>1884</v>
      </c>
      <c r="E235" t="str">
        <f>SUBSTITUTE(us_core_reqs[[#This Row],[URL*]], "https://hl7.org/fhir/us/core/STU8/","")</f>
        <v>clinical-notes.html#using-expand</v>
      </c>
      <c r="F235" s="11" t="s">
        <v>2093</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s="11" t="s">
        <v>1884</v>
      </c>
      <c r="E236" t="str">
        <f>SUBSTITUTE(us_core_reqs[[#This Row],[URL*]], "https://hl7.org/fhir/us/core/STU8/","")</f>
        <v>clinical-notes.html#using-expand</v>
      </c>
      <c r="F236" s="11" t="s">
        <v>2094</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s="11" t="s">
        <v>1884</v>
      </c>
      <c r="E237" t="str">
        <f>SUBSTITUTE(us_core_reqs[[#This Row],[URL*]], "https://hl7.org/fhir/us/core/STU8/","")</f>
        <v>clinical-notes.html#using-expand</v>
      </c>
      <c r="F237" s="11" t="s">
        <v>2095</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s="11" t="s">
        <v>1884</v>
      </c>
      <c r="E238" t="str">
        <f>SUBSTITUTE(us_core_reqs[[#This Row],[URL*]], "https://hl7.org/fhir/us/core/STU8/","")</f>
        <v>clinical-notes.html#using-expand</v>
      </c>
      <c r="F238" s="11" t="s">
        <v>2096</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53" x14ac:dyDescent="0.2">
      <c r="A239" t="s">
        <v>1171</v>
      </c>
      <c r="B239" t="s">
        <v>1411</v>
      </c>
      <c r="C239" t="str">
        <f>"CONF-"&amp;TEXT(us_core_reqs[[#This Row],[ID*]], "0000")</f>
        <v>CONF-0238</v>
      </c>
      <c r="D239" s="11" t="s">
        <v>1884</v>
      </c>
      <c r="E239" t="str">
        <f>SUBSTITUTE(us_core_reqs[[#This Row],[URL*]], "https://hl7.org/fhir/us/core/STU8/","")</f>
        <v>clinical-notes.html#using-expand</v>
      </c>
      <c r="F239" s="11" t="s">
        <v>2097</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53" x14ac:dyDescent="0.2">
      <c r="A240" t="s">
        <v>1171</v>
      </c>
      <c r="B240" t="s">
        <v>1412</v>
      </c>
      <c r="C240" t="str">
        <f>"CONF-"&amp;TEXT(us_core_reqs[[#This Row],[ID*]], "0000")</f>
        <v>CONF-0239</v>
      </c>
      <c r="D240" s="11" t="s">
        <v>1884</v>
      </c>
      <c r="E240" t="str">
        <f>SUBSTITUTE(us_core_reqs[[#This Row],[URL*]], "https://hl7.org/fhir/us/core/STU8/","")</f>
        <v>clinical-notes.html#using-expand</v>
      </c>
      <c r="F240" s="11" t="s">
        <v>2098</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53" x14ac:dyDescent="0.2">
      <c r="A241" t="s">
        <v>1171</v>
      </c>
      <c r="B241" t="s">
        <v>1413</v>
      </c>
      <c r="C241" t="str">
        <f>"CONF-"&amp;TEXT(us_core_reqs[[#This Row],[ID*]], "0000")</f>
        <v>CONF-0240</v>
      </c>
      <c r="D241" s="11" t="s">
        <v>1884</v>
      </c>
      <c r="E241" t="str">
        <f>SUBSTITUTE(us_core_reqs[[#This Row],[URL*]], "https://hl7.org/fhir/us/core/STU8/","")</f>
        <v>clinical-notes.html#using-expand</v>
      </c>
      <c r="F241" s="11" t="s">
        <v>2099</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s="11" t="s">
        <v>1884</v>
      </c>
      <c r="E242" t="str">
        <f>SUBSTITUTE(us_core_reqs[[#This Row],[URL*]], "https://hl7.org/fhir/us/core/STU8/","")</f>
        <v>clinical-notes.html#using-expand</v>
      </c>
      <c r="F242" s="11" t="s">
        <v>2100</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1886</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2221</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2208</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2101</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1887</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1879</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2034</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1939</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2209</v>
      </c>
      <c r="G266" t="s">
        <v>64</v>
      </c>
      <c r="H266" t="s">
        <v>1869</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64</v>
      </c>
      <c r="H267" t="s">
        <v>1895</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85"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1888</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1891</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259" customHeight="1"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1892</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96" customHeight="1"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H273" t="s">
        <v>1893</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64</v>
      </c>
      <c r="H274" t="s">
        <v>1894</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80" customHeight="1"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64</v>
      </c>
      <c r="H275" t="s">
        <v>1894</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H276" t="s">
        <v>1883</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1940</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1941</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1942</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1943</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1944</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1945</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64</v>
      </c>
      <c r="H283" t="s">
        <v>1896</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64</v>
      </c>
      <c r="H284" t="s">
        <v>1896</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64</v>
      </c>
      <c r="H285" t="s">
        <v>1896</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64</v>
      </c>
      <c r="H286" t="s">
        <v>1896</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1946</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11" t="s">
        <v>1897</v>
      </c>
      <c r="E289" t="str">
        <f>SUBSTITUTE(us_core_reqs[[#This Row],[URL*]], "https://hl7.org/fhir/us/core/STU8/","")</f>
        <v>changes-between-versions.html#expectation-that-data-is-preserved-between-versions</v>
      </c>
      <c r="F289" s="11" t="s">
        <v>1947</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expectation-that-data-is-preserved-between-versions</v>
      </c>
      <c r="T289" t="str">
        <f>SUBSTITUTE(SUBSTITUTE(PROPER(SUBSTITUTE(us_core_reqs[[#This Row],[Page]], "-", " "))&amp;": "&amp;PROPER(SUBSTITUTE(us_core_reqs[[#This Row],[Section]], "-", " ")),"Us ","US "), "Uscdi", "USCDI")</f>
        <v>Changes Between Versions: Expectation That Data Is Preserved Between Versions</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11" t="s">
        <v>1897</v>
      </c>
      <c r="E290" t="str">
        <f>SUBSTITUTE(us_core_reqs[[#This Row],[URL*]], "https://hl7.org/fhir/us/core/STU8/","")</f>
        <v>changes-between-versions.html#expectation-that-data-is-preserved-between-versions</v>
      </c>
      <c r="F290" s="11" t="s">
        <v>1948</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expectation-that-data-is-preserved-between-versions</v>
      </c>
      <c r="T290" t="str">
        <f>SUBSTITUTE(SUBSTITUTE(PROPER(SUBSTITUTE(us_core_reqs[[#This Row],[Page]], "-", " "))&amp;": "&amp;PROPER(SUBSTITUTE(us_core_reqs[[#This Row],[Section]], "-", " ")),"Us ","US "), "Uscdi", "USCDI")</f>
        <v>Changes Between Versions: Expectation That Data Is Preserved Between Versions</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11" t="s">
        <v>1897</v>
      </c>
      <c r="E291" t="str">
        <f>SUBSTITUTE(us_core_reqs[[#This Row],[URL*]], "https://hl7.org/fhir/us/core/STU8/","")</f>
        <v>changes-between-versions.html#expectation-that-data-is-preserved-between-versions</v>
      </c>
      <c r="F291" s="11" t="s">
        <v>1949</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expectation-that-data-is-preserved-between-versions</v>
      </c>
      <c r="T291" t="str">
        <f>SUBSTITUTE(SUBSTITUTE(PROPER(SUBSTITUTE(us_core_reqs[[#This Row],[Page]], "-", " "))&amp;": "&amp;PROPER(SUBSTITUTE(us_core_reqs[[#This Row],[Section]], "-", " ")),"Us ","US "), "Uscdi", "USCDI")</f>
        <v>Changes Between Versions: Expectation That Data Is Preserved Between Versions</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11" t="s">
        <v>1897</v>
      </c>
      <c r="E292" t="str">
        <f>SUBSTITUTE(us_core_reqs[[#This Row],[URL*]], "https://hl7.org/fhir/us/core/STU8/","")</f>
        <v>changes-between-versions.html#expectation-that-data-is-preserved-between-versions</v>
      </c>
      <c r="F292" s="11" t="s">
        <v>1950</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expectation-that-data-is-preserved-between-versions</v>
      </c>
      <c r="T292" t="str">
        <f>SUBSTITUTE(SUBSTITUTE(PROPER(SUBSTITUTE(us_core_reqs[[#This Row],[Page]], "-", " "))&amp;": "&amp;PROPER(SUBSTITUTE(us_core_reqs[[#This Row],[Section]], "-", " ")),"Us ","US "), "Uscdi", "USCDI")</f>
        <v>Changes Between Versions: Expectation That Data Is Preserved Between Versions</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1897</v>
      </c>
      <c r="E293" t="str">
        <f>SUBSTITUTE(us_core_reqs[[#This Row],[URL*]], "https://hl7.org/fhir/us/core/STU8/","")</f>
        <v>changes-between-versions.html#expectation-that-data-is-preserved-between-versions</v>
      </c>
      <c r="F293" s="11" t="s">
        <v>1948</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expectation-that-data-is-preserved-between-versions</v>
      </c>
      <c r="T293" t="str">
        <f>SUBSTITUTE(SUBSTITUTE(PROPER(SUBSTITUTE(us_core_reqs[[#This Row],[Page]], "-", " "))&amp;": "&amp;PROPER(SUBSTITUTE(us_core_reqs[[#This Row],[Section]], "-", " ")),"Us ","US "), "Uscdi", "USCDI")</f>
        <v>Changes Between Versions: Expectation That Data Is Preserved Between Versions</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1897</v>
      </c>
      <c r="E294" t="str">
        <f>SUBSTITUTE(us_core_reqs[[#This Row],[URL*]], "https://hl7.org/fhir/us/core/STU8/","")</f>
        <v>changes-between-versions.html#expectation-that-data-is-preserved-between-versions</v>
      </c>
      <c r="F294" s="11" t="s">
        <v>1949</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expectation-that-data-is-preserved-between-versions</v>
      </c>
      <c r="T294" t="str">
        <f>SUBSTITUTE(SUBSTITUTE(PROPER(SUBSTITUTE(us_core_reqs[[#This Row],[Page]], "-", " "))&amp;": "&amp;PROPER(SUBSTITUTE(us_core_reqs[[#This Row],[Section]], "-", " ")),"Us ","US "), "Uscdi", "USCDI")</f>
        <v>Changes Between Versions: Expectation That Data Is Preserved Between Versions</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1897</v>
      </c>
      <c r="E295" t="str">
        <f>SUBSTITUTE(us_core_reqs[[#This Row],[URL*]], "https://hl7.org/fhir/us/core/STU8/","")</f>
        <v>changes-between-versions.html#expectation-that-data-is-preserved-between-versions</v>
      </c>
      <c r="F295" s="11" t="s">
        <v>1950</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expectation-that-data-is-preserved-between-versions</v>
      </c>
      <c r="T295" t="str">
        <f>SUBSTITUTE(SUBSTITUTE(PROPER(SUBSTITUTE(us_core_reqs[[#This Row],[Page]], "-", " "))&amp;": "&amp;PROPER(SUBSTITUTE(us_core_reqs[[#This Row],[Section]], "-", " ")),"Us ","US "), "Uscdi", "USCDI")</f>
        <v>Changes Between Versions: Expectation That Data Is Preserved Between Versions</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1897</v>
      </c>
      <c r="E296" t="str">
        <f>SUBSTITUTE(us_core_reqs[[#This Row],[URL*]], "https://hl7.org/fhir/us/core/STU8/","")</f>
        <v>changes-between-versions.html#expectation-that-data-is-preserved-between-versions</v>
      </c>
      <c r="F296" s="11" t="s">
        <v>1951</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expectation-that-data-is-preserved-between-versions</v>
      </c>
      <c r="T296" t="str">
        <f>SUBSTITUTE(SUBSTITUTE(PROPER(SUBSTITUTE(us_core_reqs[[#This Row],[Page]], "-", " "))&amp;": "&amp;PROPER(SUBSTITUTE(us_core_reqs[[#This Row],[Section]], "-", " ")),"Us ","US "), "Uscdi", "USCDI")</f>
        <v>Changes Between Versions: Expectation That Data Is Preserved Between Versions</v>
      </c>
      <c r="U296" t="s">
        <v>32</v>
      </c>
      <c r="V296" t="s">
        <v>30</v>
      </c>
      <c r="W296" t="s">
        <v>1171</v>
      </c>
      <c r="X296" t="s">
        <v>1171</v>
      </c>
      <c r="Y296" t="s">
        <v>1171</v>
      </c>
      <c r="Z296" t="s">
        <v>1171</v>
      </c>
      <c r="AA296" t="s">
        <v>1171</v>
      </c>
      <c r="AB296" t="s">
        <v>1171</v>
      </c>
      <c r="AC296" t="s">
        <v>1171</v>
      </c>
      <c r="AD296" t="s">
        <v>1171</v>
      </c>
    </row>
    <row r="297" spans="1:30" ht="85" x14ac:dyDescent="0.2">
      <c r="A297" t="s">
        <v>1171</v>
      </c>
      <c r="B297" t="s">
        <v>1469</v>
      </c>
      <c r="C297" t="str">
        <f>"CONF-"&amp;TEXT(us_core_reqs[[#This Row],[ID*]], "0000")</f>
        <v>CONF-0296</v>
      </c>
      <c r="D297" s="11" t="s">
        <v>1897</v>
      </c>
      <c r="E297" t="str">
        <f>SUBSTITUTE(us_core_reqs[[#This Row],[URL*]], "https://hl7.org/fhir/us/core/STU8/","")</f>
        <v>changes-between-versions.html#expectation-that-data-is-preserved-between-versions</v>
      </c>
      <c r="F297" s="11" t="s">
        <v>1952</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expectation-that-data-is-preserved-between-versions</v>
      </c>
      <c r="T297" t="str">
        <f>SUBSTITUTE(SUBSTITUTE(PROPER(SUBSTITUTE(us_core_reqs[[#This Row],[Page]], "-", " "))&amp;": "&amp;PROPER(SUBSTITUTE(us_core_reqs[[#This Row],[Section]], "-", " ")),"Us ","US "), "Uscdi", "USCDI")</f>
        <v>Changes Between Versions: Expectation That Data Is Preserved Between Versions</v>
      </c>
      <c r="U297" t="s">
        <v>32</v>
      </c>
      <c r="V297" t="s">
        <v>30</v>
      </c>
      <c r="W297" t="s">
        <v>31</v>
      </c>
      <c r="X297" t="s">
        <v>1171</v>
      </c>
      <c r="Y297" t="s">
        <v>1171</v>
      </c>
      <c r="Z297" t="s">
        <v>1171</v>
      </c>
      <c r="AA297" t="s">
        <v>1171</v>
      </c>
      <c r="AB297" t="s">
        <v>1171</v>
      </c>
      <c r="AC297" t="s">
        <v>1171</v>
      </c>
      <c r="AD297" t="s">
        <v>1171</v>
      </c>
    </row>
    <row r="298" spans="1:30" ht="85" x14ac:dyDescent="0.2">
      <c r="A298" t="s">
        <v>1171</v>
      </c>
      <c r="B298" t="s">
        <v>1470</v>
      </c>
      <c r="C298" t="str">
        <f>"CONF-"&amp;TEXT(us_core_reqs[[#This Row],[ID*]], "0000")</f>
        <v>CONF-0297</v>
      </c>
      <c r="D298" s="11" t="s">
        <v>1897</v>
      </c>
      <c r="E298" t="str">
        <f>SUBSTITUTE(us_core_reqs[[#This Row],[URL*]], "https://hl7.org/fhir/us/core/STU8/","")</f>
        <v>changes-between-versions.html#expectation-that-data-is-preserved-between-versions</v>
      </c>
      <c r="F298" s="11" t="s">
        <v>1953</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expectation-that-data-is-preserved-between-versions</v>
      </c>
      <c r="T298" t="str">
        <f>SUBSTITUTE(SUBSTITUTE(PROPER(SUBSTITUTE(us_core_reqs[[#This Row],[Page]], "-", " "))&amp;": "&amp;PROPER(SUBSTITUTE(us_core_reqs[[#This Row],[Section]], "-", " ")),"Us ","US "), "Uscdi", "USCDI")</f>
        <v>Changes Between Versions: Expectation That Data Is Preserved Between Versions</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1897</v>
      </c>
      <c r="E299" t="str">
        <f>SUBSTITUTE(us_core_reqs[[#This Row],[URL*]], "https://hl7.org/fhir/us/core/STU8/","")</f>
        <v>changes-between-versions.html#expectation-that-data-is-preserved-between-versions</v>
      </c>
      <c r="F299" s="11" t="s">
        <v>1954</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expectation-that-data-is-preserved-between-versions</v>
      </c>
      <c r="T299" t="str">
        <f>SUBSTITUTE(SUBSTITUTE(PROPER(SUBSTITUTE(us_core_reqs[[#This Row],[Page]], "-", " "))&amp;": "&amp;PROPER(SUBSTITUTE(us_core_reqs[[#This Row],[Section]], "-", " ")),"Us ","US "), "Uscdi", "USCDI")</f>
        <v>Changes Between Versions: Expectation That Data Is Preserved Between Versions</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1897</v>
      </c>
      <c r="E300" t="str">
        <f>SUBSTITUTE(us_core_reqs[[#This Row],[URL*]], "https://hl7.org/fhir/us/core/STU8/","")</f>
        <v>changes-between-versions.html#expectation-that-data-is-preserved-between-versions</v>
      </c>
      <c r="F300" s="11" t="s">
        <v>1955</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expectation-that-data-is-preserved-between-versions</v>
      </c>
      <c r="T300" t="str">
        <f>SUBSTITUTE(SUBSTITUTE(PROPER(SUBSTITUTE(us_core_reqs[[#This Row],[Page]], "-", " "))&amp;": "&amp;PROPER(SUBSTITUTE(us_core_reqs[[#This Row],[Section]], "-", " ")),"Us ","US "), "Uscdi", "USCDI")</f>
        <v>Changes Between Versions: Expectation That Data Is Preserved Between Versions</v>
      </c>
      <c r="U300" t="s">
        <v>32</v>
      </c>
      <c r="V300" t="s">
        <v>58</v>
      </c>
      <c r="W300" t="s">
        <v>106</v>
      </c>
      <c r="X300" t="s">
        <v>1171</v>
      </c>
      <c r="Y300" t="s">
        <v>1171</v>
      </c>
      <c r="Z300" t="s">
        <v>1171</v>
      </c>
      <c r="AA300" t="s">
        <v>1171</v>
      </c>
      <c r="AB300" t="s">
        <v>1171</v>
      </c>
      <c r="AC300" t="s">
        <v>1171</v>
      </c>
      <c r="AD300" t="s">
        <v>1171</v>
      </c>
    </row>
    <row r="301" spans="1:30" ht="68"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1898</v>
      </c>
      <c r="G301" t="s">
        <v>32</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64</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2051</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2076</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H306" t="s">
        <v>1879</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1956</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1957</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2035</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2102</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1899</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2103</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2104</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1958</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2175</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2176</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1959</v>
      </c>
      <c r="G321" t="s">
        <v>32</v>
      </c>
      <c r="H321" t="s">
        <v>2031</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2223</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2195</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1960</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1961</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2105</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2106</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2107</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2108</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2109</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1962</v>
      </c>
      <c r="G331" t="s">
        <v>32</v>
      </c>
      <c r="H331" t="s">
        <v>2031</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1963</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1964</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51"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2032</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2036</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2226</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2052</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1965</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1966</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2037</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2038</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2039</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2040</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2203</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2204</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2205</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2206</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2207</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2053</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2054</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1967</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1968</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1969</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2110</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2111</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2112</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2028</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2214</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2077</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85"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2055</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2113</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2114</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2115</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1970</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2116</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2117</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2118</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1971</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2229</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2202</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1972</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1973</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2119</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2120</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2121</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102"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1974</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102"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1975</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102"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1976</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2122</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2123</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2124</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2125</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2126</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2127</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1977</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2128</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2129</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2130</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2131</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2132</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2133</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2134</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2135</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1978</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1979</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2222</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2196</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1980</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2056</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1981</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1982</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1983</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2182</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2183</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2210</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1984</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1985</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1986</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2136</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1987</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1988</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1989</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2137</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1990</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2197</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1991</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68"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1992</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2184</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2138</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68"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1993</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1994</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2139</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1995</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1996</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102"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1997</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2189</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2185</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2190</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2186</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2140</v>
      </c>
      <c r="G466" t="s">
        <v>29</v>
      </c>
      <c r="I466" t="s">
        <v>30</v>
      </c>
      <c r="J466" t="b">
        <v>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2193</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1900</v>
      </c>
      <c r="G470" t="s">
        <v>29</v>
      </c>
      <c r="I470" t="s">
        <v>30</v>
      </c>
      <c r="J470" t="b">
        <v>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1998</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2211</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2029</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2177</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1901</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2141</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1999</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102"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2000</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2001</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2194</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2142</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2143</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2144</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2145</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68"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2146</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68"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2147</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2002</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2057</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2058</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2059</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2060</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2061</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2062</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2063</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2064</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2065</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2066</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2067</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2068</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2069</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2070</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2071</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2072</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2073</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2074</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2075</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68"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2178</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2191</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2003</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102"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2004</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2005</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2148</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2149</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2150</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2151</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2152</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2153</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2006</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2154</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2155</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2007</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2167</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2168</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2169</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2170</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2008</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2156</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2157</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1902</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1903</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1904</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1905</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1906</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1907</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2009</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2010</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51"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2227</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2171</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2172</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2173</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2174</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2011</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2012</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2220</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2220</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2013</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2013</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2014</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2014</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2015</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2015</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2228</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2228</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2016</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2016</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2224</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2224</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2230</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2230</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2017</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2017</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2215</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2215</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2158</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2159</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2187</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2187</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2018</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2018</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2019</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2019</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2192</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2192</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2199</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2199</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b">
        <v>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b">
        <v>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b">
        <v>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b">
        <v>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b">
        <v>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b">
        <v>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b">
        <v>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b">
        <v>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x14ac:dyDescent="0.2">
      <c r="A603" t="s">
        <v>1171</v>
      </c>
      <c r="B603" t="s">
        <v>1775</v>
      </c>
      <c r="C603" t="str">
        <f>"CONF-"&amp;TEXT(us_core_reqs[[#This Row],[ID*]], "0000")</f>
        <v>CONF-0815</v>
      </c>
      <c r="D603" s="11"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34"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2232</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x14ac:dyDescent="0.2">
      <c r="A606" t="s">
        <v>1171</v>
      </c>
      <c r="B606" t="s">
        <v>1778</v>
      </c>
      <c r="C606" t="str">
        <f>"CONF-"&amp;TEXT(us_core_reqs[[#This Row],[ID*]], "0000")</f>
        <v>CONF-0818</v>
      </c>
      <c r="D606" s="11" t="s">
        <v>627</v>
      </c>
      <c r="E606" t="str">
        <f>SUBSTITUTE(us_core_reqs[[#This Row],[URL*]], "https://hl7.org/fhir/us/core/STU8/","")</f>
        <v>clinical-notes.html#clinical-notes</v>
      </c>
      <c r="F606" s="11" t="s">
        <v>2160</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x14ac:dyDescent="0.2">
      <c r="A607" t="s">
        <v>1171</v>
      </c>
      <c r="B607" t="s">
        <v>1779</v>
      </c>
      <c r="C607" t="str">
        <f>"CONF-"&amp;TEXT(us_core_reqs[[#This Row],[ID*]], "0000")</f>
        <v>CONF-0819</v>
      </c>
      <c r="D607" s="11" t="s">
        <v>627</v>
      </c>
      <c r="E607" t="str">
        <f>SUBSTITUTE(us_core_reqs[[#This Row],[URL*]], "https://hl7.org/fhir/us/core/STU8/","")</f>
        <v>clinical-notes.html#clinical-notes</v>
      </c>
      <c r="F607" s="11" t="s">
        <v>2161</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2020</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68"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2233</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68"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2233</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H619" t="s">
        <v>2033</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H620" t="s">
        <v>2033</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b">
        <v>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b">
        <v>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b">
        <v>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2021</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b">
        <v>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b">
        <v>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b">
        <v>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2162</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2022</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2023</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2024</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2025</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2026</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b">
        <v>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b">
        <v>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b">
        <v>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2188</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2163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2164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x14ac:dyDescent="0.2">
      <c r="A661" t="b">
        <v>1</v>
      </c>
      <c r="B661">
        <v>873</v>
      </c>
      <c r="C661" t="str">
        <f>"CONF-"&amp;TEXT(us_core_reqs[[#This Row],[ID*]], "0000")</f>
        <v>CONF-0873</v>
      </c>
      <c r="D661" s="1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x14ac:dyDescent="0.2">
      <c r="A662" t="b">
        <v>1</v>
      </c>
      <c r="B662">
        <v>874</v>
      </c>
      <c r="C662" t="str">
        <f>"CONF-"&amp;TEXT(us_core_reqs[[#This Row],[ID*]], "0000")</f>
        <v>CONF-0874</v>
      </c>
      <c r="D662" s="11"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x14ac:dyDescent="0.2">
      <c r="A663" t="b">
        <v>1</v>
      </c>
      <c r="B663">
        <v>875</v>
      </c>
      <c r="C663" t="str">
        <f>"CONF-"&amp;TEXT(us_core_reqs[[#This Row],[ID*]], "0000")</f>
        <v>CONF-0875</v>
      </c>
      <c r="D663" s="11"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x14ac:dyDescent="0.2">
      <c r="A664" t="b">
        <v>1</v>
      </c>
      <c r="B664">
        <v>876</v>
      </c>
      <c r="C664" t="str">
        <f>"CONF-"&amp;TEXT(us_core_reqs[[#This Row],[ID*]], "0000")</f>
        <v>CONF-0876</v>
      </c>
      <c r="D664" s="11"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x14ac:dyDescent="0.2">
      <c r="A665" t="b">
        <v>1</v>
      </c>
      <c r="B665">
        <v>877</v>
      </c>
      <c r="C665" t="str">
        <f>"CONF-"&amp;TEXT(us_core_reqs[[#This Row],[ID*]], "0000")</f>
        <v>CONF-0877</v>
      </c>
      <c r="D665" s="11"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x14ac:dyDescent="0.2">
      <c r="A666" t="b">
        <v>1</v>
      </c>
      <c r="B666">
        <v>878</v>
      </c>
      <c r="C666" t="str">
        <f>"CONF-"&amp;TEXT(us_core_reqs[[#This Row],[ID*]], "0000")</f>
        <v>CONF-0878</v>
      </c>
      <c r="D666" s="11"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x14ac:dyDescent="0.2">
      <c r="A667" t="b">
        <v>1</v>
      </c>
      <c r="B667">
        <v>879</v>
      </c>
      <c r="C667" t="str">
        <f>"CONF-"&amp;TEXT(us_core_reqs[[#This Row],[ID*]], "0000")</f>
        <v>CONF-0879</v>
      </c>
      <c r="D667" s="11"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x14ac:dyDescent="0.2">
      <c r="A668" t="b">
        <v>1</v>
      </c>
      <c r="B668">
        <v>880</v>
      </c>
      <c r="C668" t="str">
        <f>"CONF-"&amp;TEXT(us_core_reqs[[#This Row],[ID*]], "0000")</f>
        <v>CONF-0880</v>
      </c>
      <c r="D668" s="11"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s="11"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11"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x14ac:dyDescent="0.2">
      <c r="A671" t="b">
        <v>1</v>
      </c>
      <c r="B671">
        <v>883</v>
      </c>
      <c r="C671" t="str">
        <f>"CONF-"&amp;TEXT(us_core_reqs[[#This Row],[ID*]], "0000")</f>
        <v>CONF-0883</v>
      </c>
      <c r="D671" s="1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row r="673" spans="1:20" ht="153" x14ac:dyDescent="0.2">
      <c r="A673" t="b">
        <v>1</v>
      </c>
      <c r="B673">
        <v>885</v>
      </c>
      <c r="C673" t="str">
        <f>"CONF-"&amp;TEXT(us_core_reqs[[#This Row],[ID*]], "0000")</f>
        <v>CONF-0885</v>
      </c>
      <c r="D673" s="11" t="s">
        <v>1889</v>
      </c>
      <c r="E673" t="str">
        <f>SUBSTITUTE(us_core_reqs[[#This Row],[URL*]], "https://hl7.org/fhir/us/core/STU8/","")</f>
        <v>basic-provenance.html#individual-level-provenance</v>
      </c>
      <c r="F673" s="11" t="s">
        <v>1890</v>
      </c>
      <c r="G673" t="s">
        <v>32</v>
      </c>
      <c r="I673" t="s">
        <v>30</v>
      </c>
      <c r="L673" t="b">
        <v>0</v>
      </c>
      <c r="R673" t="str">
        <f>_xlfn.TEXTBEFORE(_xlfn.TEXTAFTER(us_core_reqs[[#This Row],[URL*]],"/",-1),".")</f>
        <v>basic-provenance</v>
      </c>
      <c r="S673" t="str">
        <f>_xlfn.TEXTAFTER(us_core_reqs[[#This Row],[URL*]],"#",-1)</f>
        <v>individual-level-provenance</v>
      </c>
      <c r="T673" t="str">
        <f>SUBSTITUTE(SUBSTITUTE(PROPER(SUBSTITUTE(us_core_reqs[[#This Row],[Page]], "-", " "))&amp;": "&amp;PROPER(SUBSTITUTE(us_core_reqs[[#This Row],[Section]], "-", " ")),"Us ","US "), "Uscdi", "USCDI")</f>
        <v>Basic Provenance: Individual Level Provenance</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225D6BB-BE6A-3148-AA42-4BBE2D66A470}">
  <ds:schemaRefs>
    <ds:schemaRef ds:uri="http://schemas.microsoft.com/DataMashup"/>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4.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2026-03-06T18:41:24Z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