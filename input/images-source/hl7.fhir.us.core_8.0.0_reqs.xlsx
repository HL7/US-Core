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127D1609-6AEB-8149-8985-904AFA01EEA0}" xr6:coauthVersionLast="47" xr6:coauthVersionMax="47" xr10:uidLastSave="{00000000-0000-0000-0000-000000000000}"/>
  <bookViews>
    <workbookView xWindow="6104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us_core_reqs!$A$1:$AD$672</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672" i="11" l="1"/>
  <c r="T671" i="11"/>
  <c r="T670" i="11"/>
  <c r="T669" i="11"/>
  <c r="T668" i="11"/>
  <c r="T667" i="11"/>
  <c r="T666" i="11"/>
  <c r="T665" i="11"/>
  <c r="T664" i="11"/>
  <c r="T663" i="11"/>
  <c r="T662" i="11"/>
  <c r="T661" i="11"/>
  <c r="T660" i="11"/>
  <c r="T659" i="11"/>
  <c r="T658" i="11"/>
  <c r="T657" i="11"/>
  <c r="T656" i="11"/>
  <c r="T655" i="11"/>
  <c r="T654" i="11"/>
  <c r="T653" i="11"/>
  <c r="T652" i="11"/>
  <c r="T651" i="11"/>
  <c r="T650" i="11"/>
  <c r="T649" i="11"/>
  <c r="T648" i="11"/>
  <c r="T647" i="11"/>
  <c r="T646" i="11"/>
  <c r="T645" i="11"/>
  <c r="T644" i="11"/>
  <c r="T643" i="11"/>
  <c r="T642" i="11"/>
  <c r="T641" i="11"/>
  <c r="T640" i="11"/>
  <c r="T639" i="11"/>
  <c r="T638" i="11"/>
  <c r="T637" i="11"/>
  <c r="T636" i="11"/>
  <c r="T635" i="11"/>
  <c r="T634" i="11"/>
  <c r="T633" i="11"/>
  <c r="T632" i="11"/>
  <c r="T631" i="11"/>
  <c r="T630" i="11"/>
  <c r="T629" i="11"/>
  <c r="T628" i="11"/>
  <c r="T627" i="11"/>
  <c r="T626" i="11"/>
  <c r="T625" i="11"/>
  <c r="T624" i="11"/>
  <c r="T623" i="11"/>
  <c r="T622" i="11"/>
  <c r="T621" i="11"/>
  <c r="T620" i="11"/>
  <c r="T619" i="11"/>
  <c r="T618" i="11"/>
  <c r="T617" i="11"/>
  <c r="T616" i="11"/>
  <c r="T615" i="11"/>
  <c r="T614" i="11"/>
  <c r="T613" i="11"/>
  <c r="T612" i="11"/>
  <c r="T611" i="11"/>
  <c r="T610" i="11"/>
  <c r="T609" i="11"/>
  <c r="T608" i="11"/>
  <c r="T607" i="11"/>
  <c r="T606" i="11"/>
  <c r="T605" i="11"/>
  <c r="T604" i="11"/>
  <c r="T603" i="11"/>
  <c r="T602" i="11"/>
  <c r="T601" i="11"/>
  <c r="T600" i="11"/>
  <c r="T599" i="11"/>
  <c r="T598" i="11"/>
  <c r="T597" i="11"/>
  <c r="T596" i="11"/>
  <c r="T595" i="11"/>
  <c r="T594" i="11"/>
  <c r="T593" i="11"/>
  <c r="T592" i="11"/>
  <c r="T591" i="11"/>
  <c r="T590" i="11"/>
  <c r="T589" i="11"/>
  <c r="T588" i="11"/>
  <c r="T587" i="11"/>
  <c r="T586" i="11"/>
  <c r="T585" i="11"/>
  <c r="T584" i="11"/>
  <c r="T583" i="11"/>
  <c r="T582" i="11"/>
  <c r="T581" i="11"/>
  <c r="T580" i="11"/>
  <c r="T579" i="11"/>
  <c r="T578" i="11"/>
  <c r="T577" i="11"/>
  <c r="T576" i="11"/>
  <c r="T575" i="11"/>
  <c r="T574" i="11"/>
  <c r="T573" i="11"/>
  <c r="T572" i="11"/>
  <c r="T571" i="11"/>
  <c r="T570" i="11"/>
  <c r="T569" i="11"/>
  <c r="T568" i="11"/>
  <c r="T567" i="11"/>
  <c r="T566" i="11"/>
  <c r="T565" i="11"/>
  <c r="T564" i="11"/>
  <c r="T563" i="11"/>
  <c r="T562" i="11"/>
  <c r="T561" i="11"/>
  <c r="T560" i="11"/>
  <c r="T559" i="11"/>
  <c r="T558" i="11"/>
  <c r="T557" i="11"/>
  <c r="T556" i="11"/>
  <c r="T555" i="11"/>
  <c r="T554" i="11"/>
  <c r="T553" i="11"/>
  <c r="T552" i="11"/>
  <c r="T551" i="11"/>
  <c r="T550" i="11"/>
  <c r="T549" i="11"/>
  <c r="T548" i="11"/>
  <c r="T547" i="11"/>
  <c r="T546" i="11"/>
  <c r="T545" i="11"/>
  <c r="T544" i="11"/>
  <c r="T543" i="11"/>
  <c r="T542" i="11"/>
  <c r="T541" i="11"/>
  <c r="T540" i="11"/>
  <c r="T539" i="11"/>
  <c r="T538" i="11"/>
  <c r="T537" i="11"/>
  <c r="T536" i="11"/>
  <c r="T535" i="11"/>
  <c r="T534" i="11"/>
  <c r="T533" i="11"/>
  <c r="T532" i="11"/>
  <c r="T531" i="11"/>
  <c r="T530" i="11"/>
  <c r="T529" i="11"/>
  <c r="T528" i="11"/>
  <c r="T527" i="11"/>
  <c r="T526" i="11"/>
  <c r="T525" i="11"/>
  <c r="T524" i="11"/>
  <c r="T523" i="11"/>
  <c r="T522" i="11"/>
  <c r="T521" i="11"/>
  <c r="T520" i="11"/>
  <c r="T519" i="11"/>
  <c r="T518" i="11"/>
  <c r="T517" i="11"/>
  <c r="T516" i="11"/>
  <c r="T515" i="11"/>
  <c r="T514" i="11"/>
  <c r="T513" i="11"/>
  <c r="T512" i="11"/>
  <c r="T511" i="11"/>
  <c r="T510" i="11"/>
  <c r="T509" i="11"/>
  <c r="T508" i="11"/>
  <c r="T507" i="11"/>
  <c r="T506" i="11"/>
  <c r="T505" i="11"/>
  <c r="T504" i="11"/>
  <c r="T503" i="11"/>
  <c r="T502" i="11"/>
  <c r="T501" i="11"/>
  <c r="T500" i="11"/>
  <c r="T499" i="11"/>
  <c r="T498" i="11"/>
  <c r="T497" i="11"/>
  <c r="T496" i="11"/>
  <c r="T495" i="11"/>
  <c r="T494" i="11"/>
  <c r="T493" i="11"/>
  <c r="T492" i="11"/>
  <c r="T491" i="11"/>
  <c r="T490" i="11"/>
  <c r="T489" i="11"/>
  <c r="T488" i="11"/>
  <c r="T487" i="11"/>
  <c r="T486" i="11"/>
  <c r="T485" i="11"/>
  <c r="T484" i="11"/>
  <c r="T483" i="11"/>
  <c r="T482" i="11"/>
  <c r="T481" i="11"/>
  <c r="T480" i="11"/>
  <c r="T479" i="11"/>
  <c r="T478" i="11"/>
  <c r="T477" i="11"/>
  <c r="T476" i="11"/>
  <c r="T475" i="11"/>
  <c r="T474" i="11"/>
  <c r="T473" i="11"/>
  <c r="T472" i="11"/>
  <c r="T471" i="11"/>
  <c r="T470" i="11"/>
  <c r="T469" i="11"/>
  <c r="T468" i="11"/>
  <c r="T467" i="11"/>
  <c r="T466" i="11"/>
  <c r="T465" i="11"/>
  <c r="T464" i="11"/>
  <c r="T463" i="11"/>
  <c r="T462" i="11"/>
  <c r="T461" i="11"/>
  <c r="T460" i="11"/>
  <c r="T459" i="11"/>
  <c r="T458" i="11"/>
  <c r="T457" i="11"/>
  <c r="T456" i="11"/>
  <c r="T455" i="11"/>
  <c r="T454" i="11"/>
  <c r="T453" i="11"/>
  <c r="T452" i="11"/>
  <c r="T451" i="11"/>
  <c r="T450" i="11"/>
  <c r="T449" i="11"/>
  <c r="T448" i="11"/>
  <c r="T447" i="11"/>
  <c r="T446" i="11"/>
  <c r="T445" i="11"/>
  <c r="T444" i="11"/>
  <c r="T443" i="11"/>
  <c r="T442" i="11"/>
  <c r="T441" i="11"/>
  <c r="T440" i="11"/>
  <c r="T439" i="11"/>
  <c r="T438" i="11"/>
  <c r="T437" i="11"/>
  <c r="T436" i="11"/>
  <c r="T435" i="11"/>
  <c r="T434" i="11"/>
  <c r="T433" i="11"/>
  <c r="T432" i="11"/>
  <c r="T431" i="11"/>
  <c r="T430" i="11"/>
  <c r="T429" i="11"/>
  <c r="T428" i="11"/>
  <c r="T427" i="11"/>
  <c r="T426" i="11"/>
  <c r="T425" i="11"/>
  <c r="T424" i="11"/>
  <c r="T423" i="11"/>
  <c r="T422" i="11"/>
  <c r="T421" i="11"/>
  <c r="T420" i="11"/>
  <c r="T419" i="11"/>
  <c r="T418" i="11"/>
  <c r="T417" i="11"/>
  <c r="T416" i="11"/>
  <c r="T415" i="11"/>
  <c r="T414" i="11"/>
  <c r="T413" i="11"/>
  <c r="T412" i="11"/>
  <c r="T411" i="11"/>
  <c r="T410" i="11"/>
  <c r="T409" i="11"/>
  <c r="T408" i="11"/>
  <c r="T407" i="11"/>
  <c r="T406" i="11"/>
  <c r="T405" i="11"/>
  <c r="T404" i="11"/>
  <c r="T403" i="11"/>
  <c r="T402" i="11"/>
  <c r="T401" i="11"/>
  <c r="T400" i="11"/>
  <c r="T399" i="11"/>
  <c r="T398" i="11"/>
  <c r="T397" i="11"/>
  <c r="T396" i="11"/>
  <c r="T395" i="11"/>
  <c r="T394" i="11"/>
  <c r="T393" i="11"/>
  <c r="T392" i="11"/>
  <c r="T391" i="11"/>
  <c r="T390" i="11"/>
  <c r="T389" i="11"/>
  <c r="T388" i="11"/>
  <c r="T387" i="11"/>
  <c r="T386" i="11"/>
  <c r="T385" i="11"/>
  <c r="T384" i="11"/>
  <c r="T383" i="11"/>
  <c r="T382" i="11"/>
  <c r="T381" i="11"/>
  <c r="T380" i="11"/>
  <c r="T379" i="11"/>
  <c r="T378" i="11"/>
  <c r="T377" i="11"/>
  <c r="T376" i="11"/>
  <c r="T375" i="11"/>
  <c r="T374" i="11"/>
  <c r="T373" i="11"/>
  <c r="T372" i="11"/>
  <c r="T371" i="11"/>
  <c r="T370" i="11"/>
  <c r="T369" i="11"/>
  <c r="T368" i="11"/>
  <c r="T367" i="11"/>
  <c r="T366" i="11"/>
  <c r="T365" i="11"/>
  <c r="T364" i="11"/>
  <c r="T363" i="11"/>
  <c r="T362" i="11"/>
  <c r="T361" i="11"/>
  <c r="T360" i="11"/>
  <c r="T359" i="11"/>
  <c r="T358" i="11"/>
  <c r="T357" i="11"/>
  <c r="T356" i="11"/>
  <c r="T355" i="11"/>
  <c r="T354" i="11"/>
  <c r="T353" i="11"/>
  <c r="T352" i="11"/>
  <c r="T351" i="11"/>
  <c r="T350" i="11"/>
  <c r="T349" i="11"/>
  <c r="T348" i="11"/>
  <c r="T347" i="11"/>
  <c r="T346" i="11"/>
  <c r="T345" i="11"/>
  <c r="T344" i="11"/>
  <c r="T343" i="11"/>
  <c r="T342" i="11"/>
  <c r="T341" i="11"/>
  <c r="T340" i="11"/>
  <c r="T339" i="11"/>
  <c r="T338" i="11"/>
  <c r="T337" i="11"/>
  <c r="T336" i="11"/>
  <c r="T335" i="11"/>
  <c r="T334" i="11"/>
  <c r="T333" i="11"/>
  <c r="T332" i="11"/>
  <c r="T331" i="11"/>
  <c r="T330" i="11"/>
  <c r="T329" i="11"/>
  <c r="T328" i="11"/>
  <c r="T327" i="11"/>
  <c r="T326" i="11"/>
  <c r="T325" i="11"/>
  <c r="T324" i="11"/>
  <c r="T323" i="11"/>
  <c r="T322" i="11"/>
  <c r="T321" i="11"/>
  <c r="T320" i="11"/>
  <c r="T319" i="11"/>
  <c r="T318" i="11"/>
  <c r="T317" i="11"/>
  <c r="T316" i="11"/>
  <c r="T315" i="11"/>
  <c r="T314" i="11"/>
  <c r="T313" i="11"/>
  <c r="T312" i="11"/>
  <c r="T311" i="11"/>
  <c r="T310" i="11"/>
  <c r="T309" i="11"/>
  <c r="T308" i="11"/>
  <c r="T307" i="11"/>
  <c r="T306" i="11"/>
  <c r="T305" i="11"/>
  <c r="T304" i="11"/>
  <c r="T303" i="11"/>
  <c r="T302" i="11"/>
  <c r="T301" i="11"/>
  <c r="T300" i="11"/>
  <c r="T299" i="11"/>
  <c r="T298" i="11"/>
  <c r="T297" i="11"/>
  <c r="T296" i="11"/>
  <c r="T295" i="11"/>
  <c r="T294" i="11"/>
  <c r="T293" i="11"/>
  <c r="T292" i="11"/>
  <c r="T291" i="11"/>
  <c r="T290" i="11"/>
  <c r="T289" i="11"/>
  <c r="T288" i="11"/>
  <c r="T287" i="11"/>
  <c r="T286" i="11"/>
  <c r="T285" i="11"/>
  <c r="T284" i="11"/>
  <c r="T283" i="11"/>
  <c r="T282" i="11"/>
  <c r="T281" i="11"/>
  <c r="T280" i="11"/>
  <c r="T279" i="11"/>
  <c r="T278" i="11"/>
  <c r="T277" i="11"/>
  <c r="T276" i="11"/>
  <c r="T275" i="11"/>
  <c r="T274" i="11"/>
  <c r="T273" i="11"/>
  <c r="T272" i="11"/>
  <c r="T271" i="11"/>
  <c r="T270" i="11"/>
  <c r="T269" i="11"/>
  <c r="T268" i="11"/>
  <c r="T267" i="11"/>
  <c r="T266" i="11"/>
  <c r="T265" i="11"/>
  <c r="T264" i="11"/>
  <c r="T263" i="11"/>
  <c r="T262" i="11"/>
  <c r="T261" i="11"/>
  <c r="T260" i="11"/>
  <c r="T259" i="11"/>
  <c r="T258" i="11"/>
  <c r="T257" i="11"/>
  <c r="T256" i="11"/>
  <c r="T255" i="11"/>
  <c r="T254" i="11"/>
  <c r="T253" i="11"/>
  <c r="T252" i="11"/>
  <c r="T251" i="11"/>
  <c r="T250" i="11"/>
  <c r="T249" i="11"/>
  <c r="T248" i="11"/>
  <c r="T247" i="11"/>
  <c r="T246" i="11"/>
  <c r="T245" i="11"/>
  <c r="T244" i="11"/>
  <c r="T243" i="11"/>
  <c r="T241" i="11"/>
  <c r="T237" i="11"/>
  <c r="T234" i="11"/>
  <c r="T233" i="11"/>
  <c r="T232" i="11"/>
  <c r="T231" i="11"/>
  <c r="T230" i="11"/>
  <c r="T229" i="11"/>
  <c r="T228" i="11"/>
  <c r="T227" i="11"/>
  <c r="T226" i="11"/>
  <c r="T225" i="11"/>
  <c r="T224" i="11"/>
  <c r="T223" i="11"/>
  <c r="T222" i="11"/>
  <c r="T221" i="11"/>
  <c r="T220" i="11"/>
  <c r="T219" i="11"/>
  <c r="T218" i="11"/>
  <c r="T217" i="11"/>
  <c r="T216" i="11"/>
  <c r="T215" i="11"/>
  <c r="T214" i="11"/>
  <c r="T213" i="11"/>
  <c r="T212" i="11"/>
  <c r="T211" i="11"/>
  <c r="T210" i="11"/>
  <c r="T209" i="11"/>
  <c r="T208" i="11"/>
  <c r="T207" i="11"/>
  <c r="T206" i="11"/>
  <c r="T205" i="11"/>
  <c r="T204" i="11"/>
  <c r="T203" i="11"/>
  <c r="T202" i="11"/>
  <c r="T201" i="11"/>
  <c r="T200" i="11"/>
  <c r="T199" i="11"/>
  <c r="T198" i="11"/>
  <c r="T197" i="11"/>
  <c r="T196" i="11"/>
  <c r="T195" i="11"/>
  <c r="T194" i="11"/>
  <c r="T193" i="11"/>
  <c r="T192" i="11"/>
  <c r="T191" i="11"/>
  <c r="T190" i="11"/>
  <c r="T189" i="11"/>
  <c r="T188" i="11"/>
  <c r="T187" i="11"/>
  <c r="T186" i="11"/>
  <c r="T185" i="11"/>
  <c r="T184" i="11"/>
  <c r="T183" i="11"/>
  <c r="T182" i="11"/>
  <c r="T181" i="11"/>
  <c r="T180" i="11"/>
  <c r="T179" i="11"/>
  <c r="T178" i="11"/>
  <c r="T177" i="11"/>
  <c r="T176" i="11"/>
  <c r="T175" i="11"/>
  <c r="T174" i="11"/>
  <c r="T173" i="11"/>
  <c r="T172" i="11"/>
  <c r="T171" i="11"/>
  <c r="T170" i="11"/>
  <c r="T169" i="11"/>
  <c r="T168" i="11"/>
  <c r="T167" i="11"/>
  <c r="T166" i="11"/>
  <c r="T165" i="11"/>
  <c r="T164" i="11"/>
  <c r="T163" i="11"/>
  <c r="T162" i="11"/>
  <c r="T161" i="11"/>
  <c r="T160" i="11"/>
  <c r="T159" i="11"/>
  <c r="T158" i="11"/>
  <c r="T157" i="11"/>
  <c r="T156" i="11"/>
  <c r="T155" i="11"/>
  <c r="T154" i="11"/>
  <c r="T153" i="11"/>
  <c r="T152" i="11"/>
  <c r="T151" i="11"/>
  <c r="T150" i="11"/>
  <c r="T149" i="11"/>
  <c r="T148" i="11"/>
  <c r="T147" i="11"/>
  <c r="T146" i="11"/>
  <c r="T145" i="11"/>
  <c r="T144" i="11"/>
  <c r="T143" i="11"/>
  <c r="T142" i="11"/>
  <c r="T141" i="11"/>
  <c r="T140" i="11"/>
  <c r="T139" i="11"/>
  <c r="T138" i="11"/>
  <c r="T137" i="11"/>
  <c r="T136" i="11"/>
  <c r="T135" i="11"/>
  <c r="T134" i="11"/>
  <c r="T133" i="11"/>
  <c r="T132" i="11"/>
  <c r="T131" i="11"/>
  <c r="T130" i="11"/>
  <c r="T129" i="11"/>
  <c r="T128" i="11"/>
  <c r="T127" i="11"/>
  <c r="T126" i="11"/>
  <c r="T125" i="11"/>
  <c r="T124" i="11"/>
  <c r="T123" i="11"/>
  <c r="T122" i="11"/>
  <c r="T121" i="11"/>
  <c r="T120" i="11"/>
  <c r="T119" i="11"/>
  <c r="T118" i="11"/>
  <c r="T117" i="11"/>
  <c r="T116" i="11"/>
  <c r="T115" i="11"/>
  <c r="T114" i="11"/>
  <c r="T113" i="11"/>
  <c r="T112" i="11"/>
  <c r="T111" i="11"/>
  <c r="T110" i="11"/>
  <c r="T109" i="11"/>
  <c r="T108" i="11"/>
  <c r="T107" i="11"/>
  <c r="T106" i="11"/>
  <c r="T105" i="11"/>
  <c r="T104" i="11"/>
  <c r="T103" i="11"/>
  <c r="T102" i="11"/>
  <c r="T101" i="11"/>
  <c r="T100" i="11"/>
  <c r="T99" i="11"/>
  <c r="T98" i="11"/>
  <c r="T97" i="11"/>
  <c r="T96" i="11"/>
  <c r="T95" i="11"/>
  <c r="T94" i="11"/>
  <c r="T93" i="11"/>
  <c r="T92" i="11"/>
  <c r="T91" i="11"/>
  <c r="T90" i="11"/>
  <c r="T89" i="11"/>
  <c r="T88" i="11"/>
  <c r="T87" i="11"/>
  <c r="T86" i="11"/>
  <c r="T85" i="11"/>
  <c r="T84" i="11"/>
  <c r="T83" i="11"/>
  <c r="T82" i="11"/>
  <c r="T81" i="11"/>
  <c r="T80" i="11"/>
  <c r="T79" i="11"/>
  <c r="T78" i="11"/>
  <c r="T77" i="11"/>
  <c r="T76" i="11"/>
  <c r="T75" i="11"/>
  <c r="T74" i="11"/>
  <c r="T73" i="11"/>
  <c r="T72" i="11"/>
  <c r="T71" i="11"/>
  <c r="T70" i="11"/>
  <c r="T69" i="11"/>
  <c r="T68" i="11"/>
  <c r="T67" i="11"/>
  <c r="T66" i="11"/>
  <c r="T65" i="11"/>
  <c r="T64" i="11"/>
  <c r="T63" i="11"/>
  <c r="T62" i="11"/>
  <c r="T61" i="11"/>
  <c r="T60" i="11"/>
  <c r="T59" i="11"/>
  <c r="T58" i="11"/>
  <c r="T57" i="11"/>
  <c r="T56" i="11"/>
  <c r="T55" i="11"/>
  <c r="T54" i="11"/>
  <c r="T53" i="11"/>
  <c r="T52" i="11"/>
  <c r="T51" i="11"/>
  <c r="T50" i="11"/>
  <c r="T49" i="11"/>
  <c r="T48" i="11"/>
  <c r="T47" i="11"/>
  <c r="T46" i="11"/>
  <c r="T45" i="11"/>
  <c r="T44" i="11"/>
  <c r="T43" i="11"/>
  <c r="T42" i="11"/>
  <c r="T41" i="11"/>
  <c r="T40" i="11"/>
  <c r="T39" i="11"/>
  <c r="T38" i="11"/>
  <c r="T37" i="11"/>
  <c r="T36" i="11"/>
  <c r="T35" i="11"/>
  <c r="T34" i="11"/>
  <c r="T33" i="11"/>
  <c r="T32" i="11"/>
  <c r="T31" i="11"/>
  <c r="T30" i="11"/>
  <c r="T29" i="11"/>
  <c r="T28" i="11"/>
  <c r="T27" i="11"/>
  <c r="T26" i="11"/>
  <c r="T25" i="11"/>
  <c r="T24" i="11"/>
  <c r="T23" i="11"/>
  <c r="T22" i="11"/>
  <c r="T21" i="11"/>
  <c r="T20" i="11"/>
  <c r="T19" i="11"/>
  <c r="T18" i="11"/>
  <c r="T17" i="11"/>
  <c r="T16" i="11"/>
  <c r="T15" i="11"/>
  <c r="T14" i="11"/>
  <c r="T13" i="11"/>
  <c r="T12" i="11"/>
  <c r="T11" i="11"/>
  <c r="T10" i="11"/>
  <c r="T9" i="11"/>
  <c r="T8" i="11"/>
  <c r="T7" i="11"/>
  <c r="T6" i="11"/>
  <c r="T5" i="11"/>
  <c r="T4" i="11"/>
  <c r="T3" i="11"/>
  <c r="T2" i="11"/>
  <c r="S672" i="11"/>
  <c r="R672" i="11"/>
  <c r="S671" i="11"/>
  <c r="R671" i="11"/>
  <c r="S670" i="11"/>
  <c r="R670" i="11"/>
  <c r="S669" i="11"/>
  <c r="R669" i="11"/>
  <c r="S668" i="11"/>
  <c r="R668" i="11"/>
  <c r="S667" i="11"/>
  <c r="R667" i="11"/>
  <c r="S666" i="11"/>
  <c r="R666" i="11"/>
  <c r="S665" i="11"/>
  <c r="R665" i="11"/>
  <c r="S664" i="11"/>
  <c r="R664" i="11"/>
  <c r="S663" i="11"/>
  <c r="R663" i="11"/>
  <c r="S662" i="11"/>
  <c r="R662" i="11"/>
  <c r="S661" i="11"/>
  <c r="R661" i="11"/>
  <c r="S660" i="11"/>
  <c r="R660" i="11"/>
  <c r="S659" i="11"/>
  <c r="R659" i="11"/>
  <c r="S658" i="11"/>
  <c r="R658" i="11"/>
  <c r="S657" i="11"/>
  <c r="R657" i="11"/>
  <c r="S656" i="11"/>
  <c r="R656" i="11"/>
  <c r="S655" i="11"/>
  <c r="R655" i="11"/>
  <c r="S654" i="11"/>
  <c r="R654" i="11"/>
  <c r="S653" i="11"/>
  <c r="R653" i="11"/>
  <c r="S652" i="11"/>
  <c r="R652" i="11"/>
  <c r="S651" i="11"/>
  <c r="R651" i="11"/>
  <c r="S650" i="11"/>
  <c r="R650" i="11"/>
  <c r="S649" i="11"/>
  <c r="R649" i="11"/>
  <c r="S648" i="11"/>
  <c r="R648" i="11"/>
  <c r="S647" i="11"/>
  <c r="R647" i="11"/>
  <c r="S646" i="11"/>
  <c r="R646" i="11"/>
  <c r="S645" i="11"/>
  <c r="R645" i="11"/>
  <c r="S644" i="11"/>
  <c r="R644" i="11"/>
  <c r="S643" i="11"/>
  <c r="R643" i="11"/>
  <c r="S642" i="11"/>
  <c r="R642" i="11"/>
  <c r="S641" i="11"/>
  <c r="R641" i="11"/>
  <c r="S640" i="11"/>
  <c r="R640" i="11"/>
  <c r="S639" i="11"/>
  <c r="R639" i="11"/>
  <c r="S638" i="11"/>
  <c r="R638" i="11"/>
  <c r="S637" i="11"/>
  <c r="R637" i="11"/>
  <c r="S636" i="11"/>
  <c r="R636" i="11"/>
  <c r="S635" i="11"/>
  <c r="R635" i="11"/>
  <c r="S634" i="11"/>
  <c r="R634" i="11"/>
  <c r="S633" i="11"/>
  <c r="R633" i="11"/>
  <c r="S632" i="11"/>
  <c r="R632" i="11"/>
  <c r="S631" i="11"/>
  <c r="R631" i="11"/>
  <c r="S630" i="11"/>
  <c r="R630" i="11"/>
  <c r="S629" i="11"/>
  <c r="R629" i="11"/>
  <c r="S628" i="11"/>
  <c r="R628" i="11"/>
  <c r="S627" i="11"/>
  <c r="R627" i="11"/>
  <c r="S626" i="11"/>
  <c r="R626" i="11"/>
  <c r="S625" i="11"/>
  <c r="R625" i="11"/>
  <c r="S624" i="11"/>
  <c r="R624" i="11"/>
  <c r="S623" i="11"/>
  <c r="R623" i="11"/>
  <c r="S622" i="11"/>
  <c r="R622" i="11"/>
  <c r="S621" i="11"/>
  <c r="R621" i="11"/>
  <c r="S620" i="11"/>
  <c r="R620" i="11"/>
  <c r="S619" i="11"/>
  <c r="R619" i="11"/>
  <c r="S618" i="11"/>
  <c r="R618" i="11"/>
  <c r="S617" i="11"/>
  <c r="R617" i="11"/>
  <c r="S616" i="11"/>
  <c r="R616" i="11"/>
  <c r="S615" i="11"/>
  <c r="R615" i="11"/>
  <c r="S614" i="11"/>
  <c r="R614" i="11"/>
  <c r="S613" i="11"/>
  <c r="R613" i="11"/>
  <c r="S612" i="11"/>
  <c r="R612" i="11"/>
  <c r="S611" i="11"/>
  <c r="R611" i="11"/>
  <c r="S610" i="11"/>
  <c r="R610" i="11"/>
  <c r="S609" i="11"/>
  <c r="R609" i="11"/>
  <c r="S608" i="11"/>
  <c r="R608" i="11"/>
  <c r="S607" i="11"/>
  <c r="R607" i="11"/>
  <c r="S606" i="11"/>
  <c r="R606" i="11"/>
  <c r="S605" i="11"/>
  <c r="R605" i="11"/>
  <c r="S604" i="11"/>
  <c r="R604" i="11"/>
  <c r="S603" i="11"/>
  <c r="R603" i="11"/>
  <c r="S602" i="11"/>
  <c r="R602" i="11"/>
  <c r="S601" i="11"/>
  <c r="R601" i="11"/>
  <c r="S600" i="11"/>
  <c r="R600" i="11"/>
  <c r="S599" i="11"/>
  <c r="R599" i="11"/>
  <c r="S598" i="11"/>
  <c r="R598" i="11"/>
  <c r="S597" i="11"/>
  <c r="R597" i="11"/>
  <c r="S596" i="11"/>
  <c r="R596" i="11"/>
  <c r="S595" i="11"/>
  <c r="R595" i="11"/>
  <c r="S594" i="11"/>
  <c r="R594" i="11"/>
  <c r="S593" i="11"/>
  <c r="R593" i="11"/>
  <c r="S592" i="11"/>
  <c r="R592" i="11"/>
  <c r="S591" i="11"/>
  <c r="R591" i="11"/>
  <c r="S590" i="11"/>
  <c r="R590" i="11"/>
  <c r="S589" i="11"/>
  <c r="R589" i="11"/>
  <c r="S588" i="11"/>
  <c r="R588" i="11"/>
  <c r="S587" i="11"/>
  <c r="R587" i="11"/>
  <c r="S586" i="11"/>
  <c r="R586" i="11"/>
  <c r="S585" i="11"/>
  <c r="R585" i="11"/>
  <c r="S584" i="11"/>
  <c r="R584" i="11"/>
  <c r="S583" i="11"/>
  <c r="R583" i="11"/>
  <c r="S582" i="11"/>
  <c r="R582" i="11"/>
  <c r="S581" i="11"/>
  <c r="R581" i="11"/>
  <c r="S580" i="11"/>
  <c r="R580" i="11"/>
  <c r="S579" i="11"/>
  <c r="R579" i="11"/>
  <c r="S578" i="11"/>
  <c r="R578" i="11"/>
  <c r="S577" i="11"/>
  <c r="R577" i="11"/>
  <c r="S576" i="11"/>
  <c r="R576" i="11"/>
  <c r="S575" i="11"/>
  <c r="R575" i="11"/>
  <c r="S574" i="11"/>
  <c r="R574" i="11"/>
  <c r="S573" i="11"/>
  <c r="R573" i="11"/>
  <c r="S572" i="11"/>
  <c r="R572" i="11"/>
  <c r="S571" i="11"/>
  <c r="R571" i="11"/>
  <c r="S570" i="11"/>
  <c r="R570" i="11"/>
  <c r="S569" i="11"/>
  <c r="R569" i="11"/>
  <c r="S568" i="11"/>
  <c r="R568" i="11"/>
  <c r="S567" i="11"/>
  <c r="R567" i="11"/>
  <c r="S566" i="11"/>
  <c r="R566" i="11"/>
  <c r="S565" i="11"/>
  <c r="R565" i="11"/>
  <c r="S564" i="11"/>
  <c r="R564" i="11"/>
  <c r="S563" i="11"/>
  <c r="R563" i="11"/>
  <c r="S562" i="11"/>
  <c r="R562" i="11"/>
  <c r="S561" i="11"/>
  <c r="R561" i="11"/>
  <c r="S560" i="11"/>
  <c r="R560" i="11"/>
  <c r="S559" i="11"/>
  <c r="R559" i="11"/>
  <c r="S558" i="11"/>
  <c r="R558" i="11"/>
  <c r="S557" i="11"/>
  <c r="R557" i="11"/>
  <c r="S556" i="11"/>
  <c r="R556" i="11"/>
  <c r="S555" i="11"/>
  <c r="R555" i="11"/>
  <c r="S554" i="11"/>
  <c r="R554" i="11"/>
  <c r="S553" i="11"/>
  <c r="R553" i="11"/>
  <c r="S552" i="11"/>
  <c r="R552" i="11"/>
  <c r="S551" i="11"/>
  <c r="R551" i="11"/>
  <c r="S550" i="11"/>
  <c r="R550" i="11"/>
  <c r="S549" i="11"/>
  <c r="R549" i="11"/>
  <c r="S548" i="11"/>
  <c r="R548" i="11"/>
  <c r="S547" i="11"/>
  <c r="R547" i="11"/>
  <c r="S546" i="11"/>
  <c r="R546" i="11"/>
  <c r="S545" i="11"/>
  <c r="R545" i="11"/>
  <c r="S544" i="11"/>
  <c r="R544" i="11"/>
  <c r="S543" i="11"/>
  <c r="R543" i="11"/>
  <c r="S542" i="11"/>
  <c r="R542" i="11"/>
  <c r="S541" i="11"/>
  <c r="R541" i="11"/>
  <c r="S540" i="11"/>
  <c r="R540" i="11"/>
  <c r="S539" i="11"/>
  <c r="R539" i="11"/>
  <c r="S538" i="11"/>
  <c r="R538" i="11"/>
  <c r="S537" i="11"/>
  <c r="R537" i="11"/>
  <c r="S536" i="11"/>
  <c r="R536" i="11"/>
  <c r="S535" i="11"/>
  <c r="R535" i="11"/>
  <c r="S534" i="11"/>
  <c r="R534" i="11"/>
  <c r="S533" i="11"/>
  <c r="R533" i="11"/>
  <c r="S532" i="11"/>
  <c r="R532" i="11"/>
  <c r="S531" i="11"/>
  <c r="R531" i="11"/>
  <c r="S530" i="11"/>
  <c r="R530" i="11"/>
  <c r="S529" i="11"/>
  <c r="R529" i="11"/>
  <c r="S528" i="11"/>
  <c r="R528" i="11"/>
  <c r="S527" i="11"/>
  <c r="R527" i="11"/>
  <c r="S526" i="11"/>
  <c r="R526" i="11"/>
  <c r="S525" i="11"/>
  <c r="R525" i="11"/>
  <c r="S524" i="11"/>
  <c r="R524" i="11"/>
  <c r="S523" i="11"/>
  <c r="R523" i="11"/>
  <c r="S522" i="11"/>
  <c r="R522" i="11"/>
  <c r="S521" i="11"/>
  <c r="R521" i="11"/>
  <c r="S520" i="11"/>
  <c r="R520" i="11"/>
  <c r="S519" i="11"/>
  <c r="R519" i="11"/>
  <c r="S518" i="11"/>
  <c r="R518" i="11"/>
  <c r="S517" i="11"/>
  <c r="R517" i="11"/>
  <c r="S516" i="11"/>
  <c r="R516" i="11"/>
  <c r="S515" i="11"/>
  <c r="R515" i="11"/>
  <c r="S514" i="11"/>
  <c r="R514" i="11"/>
  <c r="S513" i="11"/>
  <c r="R513" i="11"/>
  <c r="S512" i="11"/>
  <c r="R512" i="11"/>
  <c r="S511" i="11"/>
  <c r="R511" i="11"/>
  <c r="S510" i="11"/>
  <c r="R510" i="11"/>
  <c r="S509" i="11"/>
  <c r="R509" i="11"/>
  <c r="S508" i="11"/>
  <c r="R508" i="11"/>
  <c r="S507" i="11"/>
  <c r="R507" i="11"/>
  <c r="S506" i="11"/>
  <c r="R506" i="11"/>
  <c r="S505" i="11"/>
  <c r="R505" i="11"/>
  <c r="S504" i="11"/>
  <c r="R504" i="11"/>
  <c r="S503" i="11"/>
  <c r="R503" i="11"/>
  <c r="S502" i="11"/>
  <c r="R502" i="11"/>
  <c r="S501" i="11"/>
  <c r="R501" i="11"/>
  <c r="S500" i="11"/>
  <c r="R500" i="11"/>
  <c r="S499" i="11"/>
  <c r="R499" i="11"/>
  <c r="S498" i="11"/>
  <c r="R498" i="11"/>
  <c r="S497" i="11"/>
  <c r="R497" i="11"/>
  <c r="S496" i="11"/>
  <c r="R496" i="11"/>
  <c r="S495" i="11"/>
  <c r="R495" i="11"/>
  <c r="S494" i="11"/>
  <c r="R494" i="11"/>
  <c r="S493" i="11"/>
  <c r="R493" i="11"/>
  <c r="S492" i="11"/>
  <c r="R492" i="11"/>
  <c r="S491" i="11"/>
  <c r="R491" i="11"/>
  <c r="S490" i="11"/>
  <c r="R490" i="11"/>
  <c r="S489" i="11"/>
  <c r="R489" i="11"/>
  <c r="S488" i="11"/>
  <c r="R488" i="11"/>
  <c r="S487" i="11"/>
  <c r="R487" i="11"/>
  <c r="S486" i="11"/>
  <c r="R486" i="11"/>
  <c r="S485" i="11"/>
  <c r="R485" i="11"/>
  <c r="S484" i="11"/>
  <c r="R484" i="11"/>
  <c r="S483" i="11"/>
  <c r="R483" i="11"/>
  <c r="S482" i="11"/>
  <c r="R482" i="11"/>
  <c r="S481" i="11"/>
  <c r="R481" i="11"/>
  <c r="S480" i="11"/>
  <c r="R480" i="11"/>
  <c r="S479" i="11"/>
  <c r="R479" i="11"/>
  <c r="S478" i="11"/>
  <c r="R478" i="11"/>
  <c r="S477" i="11"/>
  <c r="R477" i="11"/>
  <c r="S476" i="11"/>
  <c r="R476" i="11"/>
  <c r="S475" i="11"/>
  <c r="R475" i="11"/>
  <c r="S474" i="11"/>
  <c r="R474" i="11"/>
  <c r="S473" i="11"/>
  <c r="R473" i="11"/>
  <c r="S472" i="11"/>
  <c r="R472" i="11"/>
  <c r="S471" i="11"/>
  <c r="R471" i="11"/>
  <c r="S470" i="11"/>
  <c r="R470" i="11"/>
  <c r="S469" i="11"/>
  <c r="R469" i="11"/>
  <c r="S468" i="11"/>
  <c r="R468" i="11"/>
  <c r="S467" i="11"/>
  <c r="R467" i="11"/>
  <c r="S466" i="11"/>
  <c r="R466" i="11"/>
  <c r="S465" i="11"/>
  <c r="R465" i="11"/>
  <c r="S464" i="11"/>
  <c r="R464" i="11"/>
  <c r="S463" i="11"/>
  <c r="R463" i="11"/>
  <c r="S462" i="11"/>
  <c r="R462" i="11"/>
  <c r="S461" i="11"/>
  <c r="R461" i="11"/>
  <c r="S460" i="11"/>
  <c r="R460" i="11"/>
  <c r="S459" i="11"/>
  <c r="R459" i="11"/>
  <c r="S458" i="11"/>
  <c r="R458" i="11"/>
  <c r="S457" i="11"/>
  <c r="R457" i="11"/>
  <c r="S456" i="11"/>
  <c r="R456" i="11"/>
  <c r="S455" i="11"/>
  <c r="R455" i="11"/>
  <c r="S454" i="11"/>
  <c r="R454" i="11"/>
  <c r="S453" i="11"/>
  <c r="R453" i="11"/>
  <c r="S452" i="11"/>
  <c r="R452" i="11"/>
  <c r="S451" i="11"/>
  <c r="R451" i="11"/>
  <c r="S450" i="11"/>
  <c r="R450" i="11"/>
  <c r="S449" i="11"/>
  <c r="R449" i="11"/>
  <c r="S448" i="11"/>
  <c r="R448" i="11"/>
  <c r="S447" i="11"/>
  <c r="R447" i="11"/>
  <c r="S446" i="11"/>
  <c r="R446" i="11"/>
  <c r="S445" i="11"/>
  <c r="R445" i="11"/>
  <c r="S444" i="11"/>
  <c r="R444" i="11"/>
  <c r="S443" i="11"/>
  <c r="R443" i="11"/>
  <c r="S442" i="11"/>
  <c r="R442" i="11"/>
  <c r="S441" i="11"/>
  <c r="R441" i="11"/>
  <c r="S440" i="11"/>
  <c r="R440" i="11"/>
  <c r="S439" i="11"/>
  <c r="R439" i="11"/>
  <c r="S438" i="11"/>
  <c r="R438" i="11"/>
  <c r="S437" i="11"/>
  <c r="R437" i="11"/>
  <c r="S436" i="11"/>
  <c r="R436" i="11"/>
  <c r="S435" i="11"/>
  <c r="R435" i="11"/>
  <c r="S434" i="11"/>
  <c r="R434" i="11"/>
  <c r="S433" i="11"/>
  <c r="R433" i="11"/>
  <c r="S432" i="11"/>
  <c r="R432" i="11"/>
  <c r="S431" i="11"/>
  <c r="R431" i="11"/>
  <c r="S430" i="11"/>
  <c r="R430" i="11"/>
  <c r="S429" i="11"/>
  <c r="R429" i="11"/>
  <c r="S428" i="11"/>
  <c r="R428" i="11"/>
  <c r="S427" i="11"/>
  <c r="R427" i="11"/>
  <c r="S426" i="11"/>
  <c r="R426" i="11"/>
  <c r="S425" i="11"/>
  <c r="R425" i="11"/>
  <c r="S424" i="11"/>
  <c r="R424" i="11"/>
  <c r="S423" i="11"/>
  <c r="R423" i="11"/>
  <c r="S422" i="11"/>
  <c r="R422" i="11"/>
  <c r="S421" i="11"/>
  <c r="R421" i="11"/>
  <c r="S420" i="11"/>
  <c r="R420" i="11"/>
  <c r="S419" i="11"/>
  <c r="R419" i="11"/>
  <c r="S418" i="11"/>
  <c r="R418" i="11"/>
  <c r="S417" i="11"/>
  <c r="R417" i="11"/>
  <c r="S416" i="11"/>
  <c r="R416" i="11"/>
  <c r="S415" i="11"/>
  <c r="R415" i="11"/>
  <c r="S414" i="11"/>
  <c r="R414" i="11"/>
  <c r="S413" i="11"/>
  <c r="R413" i="11"/>
  <c r="S412" i="11"/>
  <c r="R412" i="11"/>
  <c r="S411" i="11"/>
  <c r="R411" i="11"/>
  <c r="S410" i="11"/>
  <c r="R410" i="11"/>
  <c r="S409" i="11"/>
  <c r="R409" i="11"/>
  <c r="S408" i="11"/>
  <c r="R408" i="11"/>
  <c r="S407" i="11"/>
  <c r="R407" i="11"/>
  <c r="S406" i="11"/>
  <c r="R406" i="11"/>
  <c r="S405" i="11"/>
  <c r="R405" i="11"/>
  <c r="S404" i="11"/>
  <c r="R404" i="11"/>
  <c r="S403" i="11"/>
  <c r="R403" i="11"/>
  <c r="S402" i="11"/>
  <c r="R402" i="11"/>
  <c r="S401" i="11"/>
  <c r="R401" i="11"/>
  <c r="S400" i="11"/>
  <c r="R400" i="11"/>
  <c r="S399" i="11"/>
  <c r="R399" i="11"/>
  <c r="S398" i="11"/>
  <c r="R398" i="11"/>
  <c r="S397" i="11"/>
  <c r="R397" i="11"/>
  <c r="S396" i="11"/>
  <c r="R396" i="11"/>
  <c r="S395" i="11"/>
  <c r="R395" i="11"/>
  <c r="S394" i="11"/>
  <c r="R394" i="11"/>
  <c r="S393" i="11"/>
  <c r="R393" i="11"/>
  <c r="S392" i="11"/>
  <c r="R392" i="11"/>
  <c r="S391" i="11"/>
  <c r="R391" i="11"/>
  <c r="S390" i="11"/>
  <c r="R390" i="11"/>
  <c r="S389" i="11"/>
  <c r="R389" i="11"/>
  <c r="S388" i="11"/>
  <c r="R388" i="11"/>
  <c r="S387" i="11"/>
  <c r="R387" i="11"/>
  <c r="S386" i="11"/>
  <c r="R386" i="11"/>
  <c r="S385" i="11"/>
  <c r="R385" i="11"/>
  <c r="S384" i="11"/>
  <c r="R384" i="11"/>
  <c r="S383" i="11"/>
  <c r="R383" i="11"/>
  <c r="S382" i="11"/>
  <c r="R382" i="11"/>
  <c r="S381" i="11"/>
  <c r="R381" i="11"/>
  <c r="S380" i="11"/>
  <c r="R380" i="11"/>
  <c r="S379" i="11"/>
  <c r="R379" i="11"/>
  <c r="S378" i="11"/>
  <c r="R378" i="11"/>
  <c r="S377" i="11"/>
  <c r="R377" i="11"/>
  <c r="S376" i="11"/>
  <c r="R376" i="11"/>
  <c r="S375" i="11"/>
  <c r="R375" i="11"/>
  <c r="S374" i="11"/>
  <c r="R374" i="11"/>
  <c r="S373" i="11"/>
  <c r="R373" i="11"/>
  <c r="S372" i="11"/>
  <c r="R372" i="11"/>
  <c r="S371" i="11"/>
  <c r="R371" i="11"/>
  <c r="S370" i="11"/>
  <c r="R370" i="11"/>
  <c r="S369" i="11"/>
  <c r="R369" i="11"/>
  <c r="S368" i="11"/>
  <c r="R368" i="11"/>
  <c r="S367" i="11"/>
  <c r="R367" i="11"/>
  <c r="S366" i="11"/>
  <c r="R366" i="11"/>
  <c r="S365" i="11"/>
  <c r="R365" i="11"/>
  <c r="S364" i="11"/>
  <c r="R364" i="11"/>
  <c r="S363" i="11"/>
  <c r="R363" i="11"/>
  <c r="S362" i="11"/>
  <c r="R362" i="11"/>
  <c r="S361" i="11"/>
  <c r="R361" i="11"/>
  <c r="S360" i="11"/>
  <c r="R360" i="11"/>
  <c r="S359" i="11"/>
  <c r="R359" i="11"/>
  <c r="S358" i="11"/>
  <c r="R358" i="11"/>
  <c r="S357" i="11"/>
  <c r="R357" i="11"/>
  <c r="S356" i="11"/>
  <c r="R356" i="11"/>
  <c r="S355" i="11"/>
  <c r="R355" i="11"/>
  <c r="S354" i="11"/>
  <c r="R354" i="11"/>
  <c r="S353" i="11"/>
  <c r="R353" i="11"/>
  <c r="S352" i="11"/>
  <c r="R352" i="11"/>
  <c r="S351" i="11"/>
  <c r="R351" i="11"/>
  <c r="S350" i="11"/>
  <c r="R350" i="11"/>
  <c r="S349" i="11"/>
  <c r="R349" i="11"/>
  <c r="S348" i="11"/>
  <c r="R348" i="11"/>
  <c r="S347" i="11"/>
  <c r="R347" i="11"/>
  <c r="S346" i="11"/>
  <c r="R346" i="11"/>
  <c r="S345" i="11"/>
  <c r="R345" i="11"/>
  <c r="S344" i="11"/>
  <c r="R344" i="11"/>
  <c r="S343" i="11"/>
  <c r="R343" i="11"/>
  <c r="S342" i="11"/>
  <c r="R342" i="11"/>
  <c r="S341" i="11"/>
  <c r="R341" i="11"/>
  <c r="S340" i="11"/>
  <c r="R340" i="11"/>
  <c r="S339" i="11"/>
  <c r="R339" i="11"/>
  <c r="S338" i="11"/>
  <c r="R338" i="11"/>
  <c r="S337" i="11"/>
  <c r="R337" i="11"/>
  <c r="S336" i="11"/>
  <c r="R336" i="11"/>
  <c r="S335" i="11"/>
  <c r="R335" i="11"/>
  <c r="S334" i="11"/>
  <c r="R334" i="11"/>
  <c r="S333" i="11"/>
  <c r="R333" i="11"/>
  <c r="S332" i="11"/>
  <c r="R332" i="11"/>
  <c r="S331" i="11"/>
  <c r="R331" i="11"/>
  <c r="S330" i="11"/>
  <c r="R330" i="11"/>
  <c r="S329" i="11"/>
  <c r="R329" i="11"/>
  <c r="S328" i="11"/>
  <c r="R328" i="11"/>
  <c r="S327" i="11"/>
  <c r="R327" i="11"/>
  <c r="S326" i="11"/>
  <c r="R326" i="11"/>
  <c r="S325" i="11"/>
  <c r="R325" i="11"/>
  <c r="S324" i="11"/>
  <c r="R324" i="11"/>
  <c r="S323" i="11"/>
  <c r="R323" i="11"/>
  <c r="S322" i="11"/>
  <c r="R322" i="11"/>
  <c r="S321" i="11"/>
  <c r="R321" i="11"/>
  <c r="S320" i="11"/>
  <c r="R320" i="11"/>
  <c r="S319" i="11"/>
  <c r="R319" i="11"/>
  <c r="S318" i="11"/>
  <c r="R318" i="11"/>
  <c r="S317" i="11"/>
  <c r="R317" i="11"/>
  <c r="S316" i="11"/>
  <c r="R316" i="11"/>
  <c r="S315" i="11"/>
  <c r="R315" i="11"/>
  <c r="S314" i="11"/>
  <c r="R314" i="11"/>
  <c r="S313" i="11"/>
  <c r="R313" i="11"/>
  <c r="S312" i="11"/>
  <c r="R312" i="11"/>
  <c r="S311" i="11"/>
  <c r="R311" i="11"/>
  <c r="S310" i="11"/>
  <c r="R310" i="11"/>
  <c r="S309" i="11"/>
  <c r="R309" i="11"/>
  <c r="S308" i="11"/>
  <c r="R308" i="11"/>
  <c r="S307" i="11"/>
  <c r="R307" i="11"/>
  <c r="S306" i="11"/>
  <c r="R306" i="11"/>
  <c r="S305" i="11"/>
  <c r="R305" i="11"/>
  <c r="S304" i="11"/>
  <c r="R304" i="11"/>
  <c r="S303" i="11"/>
  <c r="R303" i="11"/>
  <c r="S302" i="11"/>
  <c r="R302" i="11"/>
  <c r="S301" i="11"/>
  <c r="R301" i="11"/>
  <c r="S300" i="11"/>
  <c r="R300" i="11"/>
  <c r="S299" i="11"/>
  <c r="R299" i="11"/>
  <c r="S298" i="11"/>
  <c r="R298" i="11"/>
  <c r="S297" i="11"/>
  <c r="R297" i="11"/>
  <c r="S296" i="11"/>
  <c r="R296" i="11"/>
  <c r="S295" i="11"/>
  <c r="R295" i="11"/>
  <c r="S294" i="11"/>
  <c r="R294" i="11"/>
  <c r="S293" i="11"/>
  <c r="R293" i="11"/>
  <c r="S292" i="11"/>
  <c r="R292" i="11"/>
  <c r="S291" i="11"/>
  <c r="R291" i="11"/>
  <c r="S290" i="11"/>
  <c r="R290" i="11"/>
  <c r="S289" i="11"/>
  <c r="R289" i="11"/>
  <c r="S288" i="11"/>
  <c r="R288" i="11"/>
  <c r="S287" i="11"/>
  <c r="R287" i="11"/>
  <c r="S286" i="11"/>
  <c r="R286" i="11"/>
  <c r="S285" i="11"/>
  <c r="R285" i="11"/>
  <c r="S284" i="11"/>
  <c r="R284" i="11"/>
  <c r="S283" i="11"/>
  <c r="R283" i="11"/>
  <c r="S282" i="11"/>
  <c r="R282" i="11"/>
  <c r="S281" i="11"/>
  <c r="R281" i="11"/>
  <c r="S280" i="11"/>
  <c r="R280" i="11"/>
  <c r="S279" i="11"/>
  <c r="R279" i="11"/>
  <c r="S278" i="11"/>
  <c r="R278" i="11"/>
  <c r="S277" i="11"/>
  <c r="R277" i="11"/>
  <c r="S276" i="11"/>
  <c r="R276" i="11"/>
  <c r="S275" i="11"/>
  <c r="R275" i="11"/>
  <c r="S274" i="11"/>
  <c r="R274" i="11"/>
  <c r="S273" i="11"/>
  <c r="R273" i="11"/>
  <c r="S272" i="11"/>
  <c r="R272" i="11"/>
  <c r="S271" i="11"/>
  <c r="R271" i="11"/>
  <c r="S270" i="11"/>
  <c r="R270" i="11"/>
  <c r="S269" i="11"/>
  <c r="R269" i="11"/>
  <c r="S268" i="11"/>
  <c r="R268" i="11"/>
  <c r="S267" i="11"/>
  <c r="R267" i="11"/>
  <c r="S266" i="11"/>
  <c r="R266" i="11"/>
  <c r="S265" i="11"/>
  <c r="R265" i="11"/>
  <c r="S264" i="11"/>
  <c r="R264" i="11"/>
  <c r="S263" i="11"/>
  <c r="R263" i="11"/>
  <c r="S262" i="11"/>
  <c r="R262" i="11"/>
  <c r="S261" i="11"/>
  <c r="R261" i="11"/>
  <c r="S260" i="11"/>
  <c r="R260" i="11"/>
  <c r="S259" i="11"/>
  <c r="R259" i="11"/>
  <c r="S258" i="11"/>
  <c r="R258" i="11"/>
  <c r="S257" i="11"/>
  <c r="R257" i="11"/>
  <c r="S256" i="11"/>
  <c r="R256" i="11"/>
  <c r="S255" i="11"/>
  <c r="R255" i="11"/>
  <c r="S254" i="11"/>
  <c r="R254" i="11"/>
  <c r="S253" i="11"/>
  <c r="R253" i="11"/>
  <c r="S252" i="11"/>
  <c r="R252" i="11"/>
  <c r="S251" i="11"/>
  <c r="R251" i="11"/>
  <c r="S250" i="11"/>
  <c r="R250" i="11"/>
  <c r="S249" i="11"/>
  <c r="R249" i="11"/>
  <c r="S248" i="11"/>
  <c r="R248" i="11"/>
  <c r="S247" i="11"/>
  <c r="R247" i="11"/>
  <c r="S246" i="11"/>
  <c r="R246" i="11"/>
  <c r="S245" i="11"/>
  <c r="R245" i="11"/>
  <c r="S244" i="11"/>
  <c r="R244" i="11"/>
  <c r="S243" i="11"/>
  <c r="R243" i="11"/>
  <c r="S242" i="11"/>
  <c r="R242" i="11"/>
  <c r="T242" i="11" s="1"/>
  <c r="S241" i="11"/>
  <c r="R241" i="11"/>
  <c r="S240" i="11"/>
  <c r="R240" i="11"/>
  <c r="T240" i="11" s="1"/>
  <c r="S239" i="11"/>
  <c r="R239" i="11"/>
  <c r="T239" i="11" s="1"/>
  <c r="S238" i="11"/>
  <c r="R238" i="11"/>
  <c r="T238" i="11" s="1"/>
  <c r="S237" i="11"/>
  <c r="R237" i="11"/>
  <c r="S236" i="11"/>
  <c r="R236" i="11"/>
  <c r="T236" i="11" s="1"/>
  <c r="S235" i="11"/>
  <c r="R235" i="11"/>
  <c r="T235" i="11" s="1"/>
  <c r="S234" i="11"/>
  <c r="R234" i="11"/>
  <c r="S233" i="11"/>
  <c r="R233" i="11"/>
  <c r="S232" i="11"/>
  <c r="R232" i="11"/>
  <c r="S231" i="11"/>
  <c r="R231" i="11"/>
  <c r="S230" i="11"/>
  <c r="R230" i="11"/>
  <c r="S229" i="11"/>
  <c r="R229" i="11"/>
  <c r="S228" i="11"/>
  <c r="R228" i="11"/>
  <c r="S227" i="11"/>
  <c r="R227" i="11"/>
  <c r="S226" i="11"/>
  <c r="R226" i="11"/>
  <c r="S225" i="11"/>
  <c r="R225" i="11"/>
  <c r="S224" i="11"/>
  <c r="R224" i="11"/>
  <c r="S223" i="11"/>
  <c r="R223" i="11"/>
  <c r="S222" i="11"/>
  <c r="R222" i="11"/>
  <c r="S221" i="11"/>
  <c r="R221" i="11"/>
  <c r="S220" i="11"/>
  <c r="R220" i="11"/>
  <c r="S219" i="11"/>
  <c r="R219" i="11"/>
  <c r="S218" i="11"/>
  <c r="R218" i="11"/>
  <c r="S217" i="11"/>
  <c r="R217" i="11"/>
  <c r="S216" i="11"/>
  <c r="R216" i="11"/>
  <c r="S215" i="11"/>
  <c r="R215" i="11"/>
  <c r="S214" i="11"/>
  <c r="R214" i="11"/>
  <c r="S213" i="11"/>
  <c r="R213" i="11"/>
  <c r="S212" i="11"/>
  <c r="R212" i="11"/>
  <c r="S211" i="11"/>
  <c r="R211" i="11"/>
  <c r="S210" i="11"/>
  <c r="R210" i="11"/>
  <c r="S209" i="11"/>
  <c r="R209" i="11"/>
  <c r="S208" i="11"/>
  <c r="R208" i="11"/>
  <c r="S207" i="11"/>
  <c r="R207" i="11"/>
  <c r="S206" i="11"/>
  <c r="R206" i="11"/>
  <c r="S205" i="11"/>
  <c r="R205" i="11"/>
  <c r="S204" i="11"/>
  <c r="R204" i="11"/>
  <c r="S203" i="11"/>
  <c r="R203" i="11"/>
  <c r="S202" i="11"/>
  <c r="R202" i="11"/>
  <c r="S201" i="11"/>
  <c r="R201" i="11"/>
  <c r="S200" i="11"/>
  <c r="R200" i="11"/>
  <c r="S199" i="11"/>
  <c r="R199" i="11"/>
  <c r="S198" i="11"/>
  <c r="R198" i="11"/>
  <c r="S197" i="11"/>
  <c r="R197" i="11"/>
  <c r="S196" i="11"/>
  <c r="R196" i="11"/>
  <c r="S195" i="11"/>
  <c r="R195" i="11"/>
  <c r="S194" i="11"/>
  <c r="R194" i="11"/>
  <c r="S193" i="11"/>
  <c r="R193" i="11"/>
  <c r="S192" i="11"/>
  <c r="R192" i="11"/>
  <c r="S191" i="11"/>
  <c r="R191" i="11"/>
  <c r="S190" i="11"/>
  <c r="R190" i="11"/>
  <c r="S189" i="11"/>
  <c r="R189" i="11"/>
  <c r="S188" i="11"/>
  <c r="R188" i="11"/>
  <c r="S187" i="11"/>
  <c r="R187" i="11"/>
  <c r="S186" i="11"/>
  <c r="R186" i="11"/>
  <c r="S185" i="11"/>
  <c r="R185" i="11"/>
  <c r="S184" i="11"/>
  <c r="R184" i="11"/>
  <c r="S183" i="11"/>
  <c r="R183" i="11"/>
  <c r="S182" i="11"/>
  <c r="R182" i="11"/>
  <c r="S181" i="11"/>
  <c r="R181" i="11"/>
  <c r="S180" i="11"/>
  <c r="R180" i="11"/>
  <c r="S179" i="11"/>
  <c r="R179" i="11"/>
  <c r="S178" i="11"/>
  <c r="R178" i="11"/>
  <c r="S177" i="11"/>
  <c r="R177" i="11"/>
  <c r="S176" i="11"/>
  <c r="R176" i="11"/>
  <c r="S175" i="11"/>
  <c r="R175" i="11"/>
  <c r="S174" i="11"/>
  <c r="R174" i="11"/>
  <c r="S173" i="11"/>
  <c r="R173" i="11"/>
  <c r="S172" i="11"/>
  <c r="R172" i="11"/>
  <c r="S171" i="11"/>
  <c r="R171" i="11"/>
  <c r="S170" i="11"/>
  <c r="R170" i="11"/>
  <c r="S169" i="11"/>
  <c r="R169" i="11"/>
  <c r="S168" i="11"/>
  <c r="R168" i="11"/>
  <c r="S167" i="11"/>
  <c r="R167" i="11"/>
  <c r="S166" i="11"/>
  <c r="R166" i="11"/>
  <c r="S165" i="11"/>
  <c r="R165" i="11"/>
  <c r="S164" i="11"/>
  <c r="R164" i="11"/>
  <c r="S163" i="11"/>
  <c r="R163" i="11"/>
  <c r="S162" i="11"/>
  <c r="R162" i="11"/>
  <c r="S161" i="11"/>
  <c r="R161" i="11"/>
  <c r="S160" i="11"/>
  <c r="R160" i="11"/>
  <c r="S159" i="11"/>
  <c r="R159" i="11"/>
  <c r="S158" i="11"/>
  <c r="R158" i="11"/>
  <c r="S157" i="11"/>
  <c r="R157" i="11"/>
  <c r="S156" i="11"/>
  <c r="R156" i="11"/>
  <c r="S155" i="11"/>
  <c r="R155" i="11"/>
  <c r="S154" i="11"/>
  <c r="R154" i="11"/>
  <c r="S153" i="11"/>
  <c r="R153" i="11"/>
  <c r="S152" i="11"/>
  <c r="R152" i="11"/>
  <c r="S151" i="11"/>
  <c r="R151" i="11"/>
  <c r="S150" i="11"/>
  <c r="R150" i="11"/>
  <c r="S149" i="11"/>
  <c r="R149" i="11"/>
  <c r="S148" i="11"/>
  <c r="R148" i="11"/>
  <c r="S147" i="11"/>
  <c r="R147" i="11"/>
  <c r="S146" i="11"/>
  <c r="R146" i="11"/>
  <c r="S145" i="11"/>
  <c r="R145" i="11"/>
  <c r="S144" i="11"/>
  <c r="R144" i="11"/>
  <c r="S143" i="11"/>
  <c r="R143" i="11"/>
  <c r="S142" i="11"/>
  <c r="R142" i="11"/>
  <c r="S141" i="11"/>
  <c r="R141" i="11"/>
  <c r="S140" i="11"/>
  <c r="R140" i="11"/>
  <c r="S139" i="11"/>
  <c r="R139" i="11"/>
  <c r="S138" i="11"/>
  <c r="R138" i="11"/>
  <c r="S137" i="11"/>
  <c r="R137" i="11"/>
  <c r="S136" i="11"/>
  <c r="R136" i="11"/>
  <c r="S135" i="11"/>
  <c r="R135" i="11"/>
  <c r="S134" i="11"/>
  <c r="R134" i="11"/>
  <c r="S133" i="11"/>
  <c r="R133" i="11"/>
  <c r="S132" i="11"/>
  <c r="R132" i="11"/>
  <c r="S131" i="11"/>
  <c r="R131" i="11"/>
  <c r="S130" i="11"/>
  <c r="R130" i="11"/>
  <c r="S129" i="11"/>
  <c r="R129" i="11"/>
  <c r="S128" i="11"/>
  <c r="R128" i="11"/>
  <c r="S127" i="11"/>
  <c r="R127" i="11"/>
  <c r="S126" i="11"/>
  <c r="R126" i="11"/>
  <c r="S125" i="11"/>
  <c r="R125" i="11"/>
  <c r="S124" i="11"/>
  <c r="R124" i="11"/>
  <c r="S123" i="11"/>
  <c r="R123" i="11"/>
  <c r="S122" i="11"/>
  <c r="R122" i="11"/>
  <c r="S121" i="11"/>
  <c r="R121" i="11"/>
  <c r="S120" i="11"/>
  <c r="R120" i="11"/>
  <c r="S119" i="11"/>
  <c r="R119" i="11"/>
  <c r="S118" i="11"/>
  <c r="R118" i="11"/>
  <c r="S117" i="11"/>
  <c r="R117" i="11"/>
  <c r="S116" i="11"/>
  <c r="R116" i="11"/>
  <c r="S115" i="11"/>
  <c r="R115" i="11"/>
  <c r="S114" i="11"/>
  <c r="R114" i="11"/>
  <c r="S113" i="11"/>
  <c r="R113" i="11"/>
  <c r="S112" i="11"/>
  <c r="R112" i="11"/>
  <c r="S111" i="11"/>
  <c r="R111" i="11"/>
  <c r="S110" i="11"/>
  <c r="R110" i="11"/>
  <c r="S109" i="11"/>
  <c r="R109" i="11"/>
  <c r="S108" i="11"/>
  <c r="R108" i="11"/>
  <c r="S107" i="11"/>
  <c r="R107" i="11"/>
  <c r="S106" i="11"/>
  <c r="R106" i="11"/>
  <c r="S105" i="11"/>
  <c r="R105" i="11"/>
  <c r="S104" i="11"/>
  <c r="R104" i="11"/>
  <c r="S103" i="11"/>
  <c r="R103" i="11"/>
  <c r="S102" i="11"/>
  <c r="R102" i="11"/>
  <c r="S101" i="11"/>
  <c r="R101" i="11"/>
  <c r="S100" i="11"/>
  <c r="R100" i="11"/>
  <c r="S99" i="11"/>
  <c r="R99" i="11"/>
  <c r="S98" i="11"/>
  <c r="R98" i="11"/>
  <c r="S97" i="11"/>
  <c r="R97" i="11"/>
  <c r="S96" i="11"/>
  <c r="R96" i="11"/>
  <c r="S95" i="11"/>
  <c r="R95" i="11"/>
  <c r="S94" i="11"/>
  <c r="R94" i="11"/>
  <c r="S93" i="11"/>
  <c r="R93" i="11"/>
  <c r="S92" i="11"/>
  <c r="R92" i="11"/>
  <c r="S91" i="11"/>
  <c r="R91" i="11"/>
  <c r="S90" i="11"/>
  <c r="R90" i="11"/>
  <c r="S89" i="11"/>
  <c r="R89" i="11"/>
  <c r="S88" i="11"/>
  <c r="R88" i="11"/>
  <c r="S87" i="11"/>
  <c r="R87" i="11"/>
  <c r="S86" i="11"/>
  <c r="R86" i="11"/>
  <c r="S85" i="11"/>
  <c r="R85" i="11"/>
  <c r="S84" i="11"/>
  <c r="R84" i="11"/>
  <c r="S83" i="11"/>
  <c r="R83" i="11"/>
  <c r="S82" i="11"/>
  <c r="R82" i="11"/>
  <c r="S81" i="11"/>
  <c r="R81" i="11"/>
  <c r="S80" i="11"/>
  <c r="R80" i="11"/>
  <c r="S79" i="11"/>
  <c r="R79" i="11"/>
  <c r="S78" i="11"/>
  <c r="R78" i="11"/>
  <c r="S77" i="11"/>
  <c r="R77" i="11"/>
  <c r="S76" i="11"/>
  <c r="R76" i="11"/>
  <c r="S75" i="11"/>
  <c r="R75" i="11"/>
  <c r="S74" i="11"/>
  <c r="R74" i="11"/>
  <c r="S73" i="11"/>
  <c r="R73" i="11"/>
  <c r="S72" i="11"/>
  <c r="R72" i="11"/>
  <c r="S71" i="11"/>
  <c r="R71" i="11"/>
  <c r="S70" i="11"/>
  <c r="R70" i="11"/>
  <c r="S69" i="11"/>
  <c r="R69" i="11"/>
  <c r="S68" i="11"/>
  <c r="R68" i="11"/>
  <c r="S67" i="11"/>
  <c r="R67" i="11"/>
  <c r="S66" i="11"/>
  <c r="R66" i="11"/>
  <c r="S65" i="11"/>
  <c r="R65" i="11"/>
  <c r="S64" i="11"/>
  <c r="R64" i="11"/>
  <c r="S63" i="11"/>
  <c r="R63" i="11"/>
  <c r="S62" i="11"/>
  <c r="R62" i="11"/>
  <c r="S61" i="11"/>
  <c r="R61" i="11"/>
  <c r="S60" i="11"/>
  <c r="R60" i="11"/>
  <c r="S59" i="11"/>
  <c r="R59" i="11"/>
  <c r="S58" i="11"/>
  <c r="R58" i="11"/>
  <c r="S57" i="11"/>
  <c r="R57" i="11"/>
  <c r="S56" i="11"/>
  <c r="R56" i="11"/>
  <c r="S55" i="11"/>
  <c r="R55" i="11"/>
  <c r="S54" i="11"/>
  <c r="R54" i="11"/>
  <c r="S53" i="11"/>
  <c r="R53" i="11"/>
  <c r="S52" i="11"/>
  <c r="R52" i="11"/>
  <c r="S51" i="11"/>
  <c r="R51" i="11"/>
  <c r="S50" i="11"/>
  <c r="R50" i="11"/>
  <c r="S49" i="11"/>
  <c r="R49" i="11"/>
  <c r="S48" i="11"/>
  <c r="R48" i="11"/>
  <c r="S47" i="11"/>
  <c r="R47" i="11"/>
  <c r="S46" i="11"/>
  <c r="R46" i="11"/>
  <c r="S45" i="11"/>
  <c r="R45" i="11"/>
  <c r="S44" i="11"/>
  <c r="R44" i="11"/>
  <c r="S43" i="11"/>
  <c r="R43" i="11"/>
  <c r="S42" i="11"/>
  <c r="R42" i="11"/>
  <c r="S41" i="11"/>
  <c r="R41" i="11"/>
  <c r="S40" i="11"/>
  <c r="R40" i="11"/>
  <c r="S39" i="11"/>
  <c r="R39" i="11"/>
  <c r="S38" i="11"/>
  <c r="R38" i="11"/>
  <c r="S37" i="11"/>
  <c r="R37" i="11"/>
  <c r="S36" i="11"/>
  <c r="R36" i="11"/>
  <c r="S35" i="11"/>
  <c r="R35" i="11"/>
  <c r="S34" i="11"/>
  <c r="R34" i="11"/>
  <c r="S33" i="11"/>
  <c r="R33" i="11"/>
  <c r="S32" i="11"/>
  <c r="R32" i="11"/>
  <c r="S31" i="11"/>
  <c r="R31" i="11"/>
  <c r="S30" i="11"/>
  <c r="R30" i="11"/>
  <c r="S29" i="11"/>
  <c r="R29" i="11"/>
  <c r="S28" i="11"/>
  <c r="R28" i="11"/>
  <c r="S27" i="11"/>
  <c r="R27" i="11"/>
  <c r="S26" i="11"/>
  <c r="R26" i="11"/>
  <c r="S25" i="11"/>
  <c r="R25" i="11"/>
  <c r="S24" i="11"/>
  <c r="R24" i="11"/>
  <c r="S23" i="11"/>
  <c r="R23" i="11"/>
  <c r="S22" i="11"/>
  <c r="R22" i="11"/>
  <c r="S21" i="11"/>
  <c r="R21" i="11"/>
  <c r="S20" i="11"/>
  <c r="R20" i="11"/>
  <c r="S19" i="11"/>
  <c r="R19" i="11"/>
  <c r="S18" i="11"/>
  <c r="R18" i="11"/>
  <c r="S17" i="11"/>
  <c r="R17" i="11"/>
  <c r="S16" i="11"/>
  <c r="R16" i="11"/>
  <c r="S15" i="11"/>
  <c r="R15" i="11"/>
  <c r="S14" i="11"/>
  <c r="R14" i="11"/>
  <c r="S13" i="11"/>
  <c r="R13" i="11"/>
  <c r="S12" i="11"/>
  <c r="R12" i="11"/>
  <c r="S11" i="11"/>
  <c r="R11" i="11"/>
  <c r="S10" i="11"/>
  <c r="R10" i="11"/>
  <c r="S9" i="11"/>
  <c r="R9" i="11"/>
  <c r="S8" i="11"/>
  <c r="R8" i="11"/>
  <c r="S7" i="11"/>
  <c r="R7" i="11"/>
  <c r="S6" i="11"/>
  <c r="R6" i="11"/>
  <c r="S5" i="11"/>
  <c r="R5" i="11"/>
  <c r="S4" i="11"/>
  <c r="R4" i="11"/>
  <c r="S3" i="11"/>
  <c r="R3" i="1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90"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2" i="11"/>
  <c r="C672" i="11"/>
  <c r="C671" i="11"/>
  <c r="C670" i="11"/>
  <c r="P587" i="5"/>
  <c r="O587" i="5"/>
  <c r="N587" i="5" a="1"/>
  <c r="N587" i="5" s="1"/>
  <c r="M587" i="5" a="1"/>
  <c r="M587" i="5" s="1"/>
  <c r="P586" i="5"/>
  <c r="O586" i="5"/>
  <c r="N586" i="5" a="1"/>
  <c r="N586" i="5" s="1"/>
  <c r="M586" i="5" a="1"/>
  <c r="M586" i="5" s="1"/>
  <c r="P585" i="5" l="1"/>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<sst xmlns="http://schemas.openxmlformats.org/spreadsheetml/2006/main" count="19685" uniqueCount="1889">
  <si>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</si>
  <si>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</si>
  <si>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</si>
  <si>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</si>
  <si>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</si>
  <si>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</si>
  <si>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</si>
  <si>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</si>
  <si>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</si>
  <si>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</si>
  <si>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</si>
  <si>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</si>
  <si>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</si>
  <si>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</si>
  <si>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</si>
  <si>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</si>
  <si>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</si>
  <si>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</si>
  <si>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</si>
  <si>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</si>
  <si>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</si>
  <si>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</si>
  <si>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</si>
  <si>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</si>
  <si>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</si>
  <si>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</si>
  <si>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</si>
  <si>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</si>
  <si>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</si>
  <si>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</si>
  <si>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</si>
  <si>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</si>
  <si>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</si>
  <si>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</si>
  <si>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</si>
  <si>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</si>
  <si>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</si>
  <si>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</si>
  <si>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</si>
  <si>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</si>
  <si>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</si>
  <si>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</si>
  <si>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</si>
  <si>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</si>
  <si>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</si>
  <si>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</si>
  <si>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</si>
  <si>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</si>
  <si>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</si>
  <si>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</si>
  <si>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</si>
  <si>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</si>
  <si>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</si>
  <si>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</si>
  <si>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</si>
  <si>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</si>
  <si>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</si>
  <si>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</si>
  <si>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</si>
  <si>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</si>
  <si>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</si>
  <si>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</si>
  <si>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</si>
  <si>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</si>
  <si>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</si>
  <si>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</si>
  <si>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</si>
  <si>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</si>
  <si>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</si>
  <si>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</si>
  <si>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</si>
  <si>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</si>
  <si>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</si>
  <si>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</si>
  <si>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</si>
  <si>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</si>
  <si>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</si>
  <si>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</si>
  <si>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</si>
  <si>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</si>
  <si>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</si>
  <si>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</si>
  <si>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</si>
  <si>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</si>
  <si>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</si>
  <si>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</si>
  <si>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</si>
  <si>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</si>
  <si>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</si>
  <si>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</si>
  <si>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</si>
  <si>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</si>
  <si>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</si>
  <si>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</si>
  <si>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</si>
  <si>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</si>
  <si>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</si>
  <si>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</si>
  <si>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</si>
  <si>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</si>
  <si>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</si>
  <si>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</si>
  <si>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</si>
  <si>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</si>
  <si>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</si>
  <si>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</si>
  <si>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</si>
  <si>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</si>
  <si>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</si>
  <si>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</si>
  <si>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</si>
  <si>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</si>
  <si>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</si>
  <si>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</si>
  <si>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</si>
  <si>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</si>
  <si>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</si>
  <si>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</si>
  <si>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</si>
  <si>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</si>
  <si>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</si>
  <si>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</si>
  <si>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</si>
  <si>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</si>
  <si>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</si>
  <si>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</si>
  <si>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</si>
  <si>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</si>
  <si>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</si>
  <si>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</si>
  <si>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</si>
  <si>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</si>
  <si>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</si>
  <si>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</si>
  <si>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</si>
  <si>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</si>
  <si>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</si>
  <si>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</si>
  <si>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</si>
  <si>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</si>
  <si>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</si>
  <si>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</si>
  <si>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</si>
  <si>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</si>
  <si>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</si>
  <si>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</si>
  <si>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</si>
  <si>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</si>
  <si>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</si>
  <si>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</si>
  <si>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</si>
  <si>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</si>
  <si>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</si>
  <si>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</si>
  <si>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</si>
  <si>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</si>
  <si>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</si>
  <si>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</si>
  <si>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</si>
  <si>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</si>
  <si>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</si>
  <si>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</si>
  <si>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</si>
  <si>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</si>
  <si>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</si>
  <si>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</si>
  <si>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</si>
  <si>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</si>
  <si>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</si>
  <si>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</si>
  <si>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</si>
  <si>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</si>
  <si>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</si>
  <si>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</si>
  <si>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</si>
  <si>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</si>
  <si>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</si>
  <si>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</si>
  <si>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</si>
  <si>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</si>
  <si>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</si>
  <si>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</si>
  <si>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</si>
  <si>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</si>
  <si>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</si>
  <si>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</si>
  <si>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</si>
  <si>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</si>
  <si>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</si>
  <si>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</si>
  <si>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</si>
  <si>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</si>
  <si>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</si>
  <si>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</si>
  <si>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</si>
  <si>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</si>
  <si>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</si>
  <si>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</si>
  <si>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</si>
  <si>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</si>
  <si>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</si>
  <si>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</si>
  <si>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</si>
  <si>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</si>
  <si>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</si>
  <si>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</si>
  <si>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</si>
  <si>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</si>
  <si>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</si>
  <si>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</si>
  <si>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</si>
  <si>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</si>
  <si>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</si>
  <si>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</si>
  <si>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</si>
  <si>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</si>
  <si>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</si>
  <si>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</si>
  <si>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</si>
  <si>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</si>
  <si>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</si>
  <si>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</si>
  <si>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</si>
  <si>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</si>
  <si>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</si>
  <si>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</si>
  <si>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</si>
  <si>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</si>
  <si>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</si>
  <si>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</si>
  <si>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</si>
  <si>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</si>
  <si>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</si>
  <si>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</si>
  <si>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</si>
  <si>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</si>
  <si>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</si>
  <si>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</si>
  <si>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</si>
  <si>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</si>
  <si>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</si>
  <si>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</si>
  <si>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</si>
  <si>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</si>
  <si>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</si>
  <si>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</si>
  <si>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</si>
  <si>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</si>
  <si>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</si>
  <si>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</si>
  <si>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</si>
  <si>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</si>
  <si>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</si>
  <si>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</si>
  <si>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</si>
  <si>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</si>
  <si>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</si>
  <si>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</si>
  <si>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</si>
  <si>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</si>
  <si>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</si>
  <si>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</si>
  <si>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</si>
  <si>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</si>
  <si>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</si>
  <si>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</si>
  <si>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</si>
  <si>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</si>
  <si>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</si>
  <si>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</si>
  <si>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</si>
  <si>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</si>
  <si>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</si>
  <si>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</si>
  <si>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</si>
  <si>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</si>
  <si>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</si>
  <si>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</si>
  <si>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</si>
  <si>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</si>
  <si>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</si>
  <si>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</si>
  <si>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</si>
  <si>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</si>
  <si>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</si>
  <si>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</si>
  <si>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</si>
  <si>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</si>
  <si>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</si>
  <si>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</si>
  <si>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</si>
  <si>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</si>
  <si>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</si>
  <si>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</si>
  <si>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</si>
  <si>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</si>
  <si>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</si>
  <si>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</si>
  <si>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</si>
  <si>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</si>
  <si>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</si>
  <si>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</si>
  <si>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</si>
  <si>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</si>
  <si>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</si>
  <si>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</si>
  <si>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</si>
  <si>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</si>
  <si>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</si>
  <si>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</si>
  <si>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</si>
  <si>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</si>
  <si>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</si>
  <si>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</si>
  <si>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</si>
  <si>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</si>
  <si>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</si>
  <si>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</si>
  <si>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</si>
  <si>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</si>
  <si>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</si>
  <si>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</si>
  <si>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</si>
  <si>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</si>
  <si>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</si>
  <si>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</si>
  <si>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</si>
  <si>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</si>
  <si>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</si>
  <si>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</si>
  <si>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</si>
  <si>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</si>
  <si>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</si>
  <si>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</si>
  <si>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</si>
  <si>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</si>
  <si>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</si>
  <si>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</si>
  <si>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</si>
  <si>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</si>
  <si>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</si>
  <si>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</si>
  <si>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</si>
  <si>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</si>
  <si>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</si>
  <si>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</si>
  <si>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</si>
  <si>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</si>
  <si>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</si>
  <si>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</si>
  <si>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</si>
  <si>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</si>
  <si>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</si>
  <si>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</si>
  <si>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</si>
  <si>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</si>
  <si>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</si>
  <si>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</si>
  <si>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</si>
  <si>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</si>
  <si>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</si>
  <si>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</si>
  <si>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</si>
  <si>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</si>
  <si>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</si>
  <si>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</si>
  <si>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</si>
  <si>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</si>
  <si>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</si>
  <si>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</si>
  <si>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</si>
  <si>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</si>
  <si>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</si>
  <si>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</si>
  <si>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</si>
  <si>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</si>
  <si>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</si>
  <si>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</si>
  <si>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</si>
  <si>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</si>
  <si>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</si>
  <si>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</si>
  <si>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</si>
  <si>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</si>
  <si>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</si>
  <si>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</si>
  <si>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</si>
  <si>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</si>
  <si>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</si>
  <si>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</si>
  <si>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</si>
  <si>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</si>
  <si>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</si>
  <si>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</si>
  <si>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</si>
  <si>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</si>
  <si>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</si>
  <si>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</si>
  <si>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</si>
  <si>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</si>
  <si>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</si>
  <si>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</si>
  <si>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</si>
  <si>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</si>
  <si>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</si>
  <si>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</si>
  <si>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</si>
  <si>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</si>
  <si>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</si>
  <si>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</si>
  <si>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</si>
  <si>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</si>
  <si>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</si>
  <si>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</si>
  <si>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</si>
  <si>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</si>
  <si>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</si>
  <si>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</si>
  <si>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</si>
  <si>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</si>
  <si>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</si>
  <si>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</si>
  <si>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</si>
  <si>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</si>
  <si>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</si>
  <si>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</si>
  <si>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</si>
  <si>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</si>
  <si>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</si>
  <si>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</si>
  <si>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</si>
  <si>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</si>
  <si>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</si>
  <si>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</si>
  <si>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</si>
  <si>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</si>
  <si>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</si>
  <si>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</si>
  <si>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</si>
  <si>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</si>
  <si>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</si>
  <si>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</si>
  <si>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</si>
  <si>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</si>
  <si>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</si>
  <si>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</si>
  <si>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</si>
  <si>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</si>
  <si>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</si>
  <si>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</si>
  <si>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</si>
  <si>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</si>
  <si>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</si>
  <si>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</si>
  <si>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</si>
  <si>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</si>
  <si>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</si>
  <si>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</si>
  <si>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</si>
  <si>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</si>
  <si>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</si>
  <si>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</si>
  <si>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</si>
  <si>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</si>
  <si>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</si>
  <si>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</si>
  <si>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</si>
  <si>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</si>
  <si>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</si>
  <si>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</si>
  <si>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</si>
  <si>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</si>
  <si>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</si>
  <si>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</si>
  <si>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</si>
  <si>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</si>
  <si>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</si>
  <si>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</si>
  <si>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</si>
  <si>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</si>
  <si>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</si>
  <si>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</si>
  <si>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</si>
  <si>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</si>
  <si>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</si>
  <si>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</si>
  <si>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</si>
  <si>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</si>
  <si>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</si>
  <si>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</si>
  <si>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</si>
  <si>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</si>
  <si>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</si>
  <si>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</si>
  <si>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</si>
  <si>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</si>
  <si>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</si>
  <si>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</si>
  <si>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</si>
  <si>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</si>
  <si>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</si>
  <si>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</si>
  <si>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</si>
  <si>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</si>
  <si>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</si>
  <si>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</si>
  <si>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</si>
  <si>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</si>
  <si>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</si>
  <si>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</si>
  <si>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</si>
  <si>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</si>
  <si>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</si>
  <si>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</si>
  <si>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</si>
  <si>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</si>
  <si>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</si>
  <si>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</si>
  <si>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</si>
  <si>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</si>
  <si>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</si>
  <si>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</si>
  <si>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</si>
  <si>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</si>
  <si>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</si>
  <si>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</si>
  <si>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</si>
  <si>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</si>
  <si>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</si>
  <si>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</si>
  <si>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</si>
  <si>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</si>
  <si>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</si>
  <si>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</si>
  <si>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</si>
  <si>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</si>
  <si>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</si>
  <si>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</si>
  <si>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</si>
  <si>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</si>
  <si>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</si>
  <si>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</si>
  <si>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</si>
  <si>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</si>
  <si>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</si>
  <si>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</si>
  <si>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</si>
  <si>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</si>
  <si>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</si>
  <si>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</si>
  <si>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</si>
  <si>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</si>
  <si>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</si>
  <si>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</si>
  <si>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</si>
  <si>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</si>
  <si>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</si>
  <si>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</si>
  <si>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</si>
  <si>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</si>
  <si>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</si>
  <si>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</si>
  <si>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</si>
  <si>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</si>
  <si>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</si>
  <si>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</si>
  <si>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</si>
  <si>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</si>
  <si>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</si>
  <si>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</si>
  <si>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</si>
  <si>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</si>
  <si>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</si>
  <si>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</si>
  <si>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</si>
  <si>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</si>
  <si>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</si>
  <si>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</si>
  <si>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</si>
  <si>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</si>
  <si>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</si>
  <si>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</si>
  <si>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</si>
  <si>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</si>
  <si>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</si>
  <si>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</si>
  <si>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</si>
  <si>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</si>
  <si>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</si>
  <si>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</si>
  <si>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</si>
  <si>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</si>
  <si>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</si>
  <si>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</si>
  <si>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</si>
  <si>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</si>
  <si>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</si>
  <si>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</si>
  <si>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</si>
  <si>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</si>
  <si>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</si>
  <si>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</si>
  <si>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</si>
  <si>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</si>
  <si>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</si>
  <si>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</si>
  <si>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</si>
  <si>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</si>
  <si>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</si>
  <si>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</si>
  <si>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</si>
  <si>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</si>
  <si>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</si>
  <si>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</si>
  <si>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</si>
  <si>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</si>
  <si>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</si>
  <si>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</si>
  <si>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</si>
  <si>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</si>
  <si>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</si>
  <si>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</si>
  <si>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</si>
  <si>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</si>
  <si>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</si>
  <si>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</si>
  <si>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</si>
  <si>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</si>
  <si>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</si>
  <si>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</si>
  <si>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</si>
  <si>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</si>
  <si>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</si>
  <si>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</si>
  <si>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</si>
  <si>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</si>
  <si>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</si>
  <si>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</si>
  <si>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</si>
  <si>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</si>
  <si>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</si>
  <si>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</si>
  <si>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</si>
  <si>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</si>
  <si>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</si>
  <si>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</si>
  <si>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</si>
  <si>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</si>
  <si>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</si>
  <si>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</si>
  <si>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</si>
  <si>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</si>
  <si>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</si>
  <si>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</si>
  <si>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</si>
  <si>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</si>
  <si>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</si>
  <si>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</si>
  <si>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</si>
  <si>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</si>
  <si>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</si>
  <si>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</si>
  <si>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</si>
  <si>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</si>
  <si>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</si>
  <si>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</si>
  <si>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</si>
  <si>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</si>
  <si>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</si>
  <si>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</si>
  <si>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</si>
  <si>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</si>
  <si>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</si>
  <si>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</si>
  <si>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</si>
  <si>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</si>
  <si>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</si>
  <si>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</si>
  <si>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</si>
  <si>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</si>
  <si>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</si>
  <si>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</si>
  <si>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</si>
  <si>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</si>
  <si>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</si>
  <si>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</si>
  <si>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</si>
  <si>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</si>
  <si>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</si>
  <si>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</si>
  <si>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</si>
  <si>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</si>
  <si>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</si>
  <si>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</si>
  <si>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</si>
  <si>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</si>
  <si>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</si>
  <si>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</si>
  <si>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</si>
  <si>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</si>
  <si>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</si>
  <si>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</si>
  <si>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</si>
  <si>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</si>
  <si>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</si>
  <si>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</si>
  <si>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</si>
  <si>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</si>
  <si>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</si>
  <si>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</si>
  <si>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</si>
  <si>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</si>
  <si>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</si>
  <si>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</si>
  <si>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</si>
  <si>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</si>
  <si>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</si>
  <si>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</si>
  <si>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</si>
  <si>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</si>
  <si>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</si>
  <si>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</si>
  <si>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</si>
  <si>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</si>
  <si>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</si>
  <si>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</si>
  <si>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</si>
  <si>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</si>
  <si>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</si>
  <si>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</si>
  <si>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</si>
  <si>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</si>
  <si>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</si>
  <si>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</si>
  <si>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</si>
  <si>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</si>
  <si>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</si>
  <si>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</si>
  <si>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</si>
  <si>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</si>
  <si>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</si>
  <si>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</si>
  <si>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</si>
  <si>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</si>
  <si>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</si>
  <si>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</si>
  <si>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</si>
  <si>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</si>
  <si>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</si>
  <si>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</si>
  <si>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</si>
  <si>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</si>
  <si>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</si>
  <si>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</si>
  <si>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</si>
  <si>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</si>
  <si>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</si>
  <si>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</si>
  <si>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</si>
  <si>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</si>
  <si>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</si>
  <si>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</si>
  <si>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</si>
  <si>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</si>
  <si>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</si>
  <si>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</si>
  <si>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</si>
  <si>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</si>
  <si>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</si>
  <si>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</si>
  <si>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</si>
  <si>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</si>
  <si>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</si>
  <si>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</si>
  <si>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</si>
  <si>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</si>
  <si>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</si>
  <si>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</si>
  <si>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</si>
  <si>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</si>
  <si>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</si>
  <si>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</si>
  <si>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</si>
  <si>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</si>
  <si>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</si>
  <si>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</si>
  <si>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</si>
  <si>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</si>
  <si>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</si>
  <si>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</si>
  <si>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</si>
  <si>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</si>
  <si>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</si>
  <si>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</si>
  <si>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</si>
  <si>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</si>
  <si>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</si>
  <si>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</si>
  <si>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</si>
  <si>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</si>
  <si>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</si>
  <si>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</si>
  <si>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</si>
  <si>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</si>
  <si>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</si>
  <si>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</si>
  <si>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</si>
  <si>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</si>
  <si>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</si>
  <si>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</si>
  <si>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</si>
  <si>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</si>
  <si>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</si>
  <si>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</si>
  <si>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</si>
  <si>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</si>
  <si>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</si>
  <si>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</si>
  <si>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</si>
  <si>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</si>
  <si>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</si>
  <si>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</si>
  <si>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</si>
  <si>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</si>
  <si>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</si>
  <si>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</si>
  <si>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</si>
  <si>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</si>
  <si>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</si>
  <si>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</si>
  <si>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</si>
  <si>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</si>
  <si>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</si>
  <si>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</si>
  <si>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</si>
  <si>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</si>
  <si>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</si>
  <si>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</si>
  <si>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</si>
  <si>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</si>
  <si>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</si>
  <si>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</si>
  <si>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</si>
  <si>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</si>
  <si>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</si>
  <si>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</si>
  <si>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</si>
  <si>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</si>
  <si>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</si>
  <si>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</si>
  <si>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</si>
  <si>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</si>
  <si>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</si>
  <si>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</si>
  <si>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</si>
  <si>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</si>
  <si>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</si>
  <si>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</si>
  <si>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</si>
  <si>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</si>
  <si>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</si>
  <si>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</si>
  <si>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</si>
  <si>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</si>
  <si>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</si>
  <si>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</si>
  <si>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</si>
  <si>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</si>
  <si>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</si>
  <si>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</si>
  <si>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</si>
  <si>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</si>
  <si>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</si>
  <si>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</si>
  <si>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</si>
  <si>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</si>
  <si>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</si>
  <si>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</si>
  <si>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</si>
  <si>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</si>
  <si>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</si>
  <si>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</si>
  <si>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</si>
  <si>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</si>
  <si>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</si>
  <si>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</si>
  <si>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</si>
  <si>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</si>
  <si>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</si>
  <si>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</si>
  <si>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</si>
  <si>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</si>
  <si>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</si>
  <si>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</si>
  <si>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</si>
  <si>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</si>
  <si>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</si>
  <si>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</si>
  <si>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</si>
  <si>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</si>
  <si>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</si>
  <si>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</si>
  <si>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</si>
  <si>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</si>
  <si>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</si>
  <si>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</si>
  <si>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</si>
  <si>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</si>
  <si>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</si>
  <si>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</si>
  <si>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</si>
  <si>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</si>
  <si>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</si>
  <si>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</si>
  <si>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</si>
  <si>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</si>
  <si>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</si>
  <si>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</si>
  <si>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</si>
  <si>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</si>
  <si>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</si>
  <si>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</si>
  <si>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</si>
  <si>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</si>
  <si>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</si>
  <si>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</si>
  <si>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</si>
  <si>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</si>
  <si>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</si>
  <si>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</si>
  <si>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</si>
  <si>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</si>
  <si>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</si>
  <si>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</si>
  <si>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</si>
  <si>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</si>
  <si>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</si>
  <si>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</si>
  <si>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</si>
  <si>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</si>
  <si>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</si>
  <si>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</si>
  <si>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</si>
  <si>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</si>
  <si>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</si>
  <si>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</si>
  <si>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</si>
  <si>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</si>
  <si>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</si>
  <si>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</si>
  <si>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</si>
  <si>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</si>
  <si>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</si>
  <si>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</si>
  <si>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</si>
  <si>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</si>
  <si>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</si>
  <si>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</si>
  <si>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</si>
  <si>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</si>
  <si>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</si>
  <si>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</si>
  <si>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</si>
  <si>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</si>
  <si>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</si>
  <si>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</si>
  <si>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</si>
  <si>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</si>
  <si>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</si>
  <si>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</si>
  <si>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</si>
  <si>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</si>
  <si>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</si>
  <si>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</si>
  <si>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</si>
  <si>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</si>
  <si>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</si>
  <si>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</si>
  <si>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</si>
  <si>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</si>
  <si>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</si>
  <si>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</si>
  <si>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</si>
  <si>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</si>
  <si>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</si>
  <si>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</si>
  <si>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</si>
  <si>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</si>
  <si>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</si>
  <si>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</si>
  <si>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</si>
  <si>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</si>
  <si>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</si>
  <si>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</si>
  <si>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</si>
  <si>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</si>
  <si>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</si>
  <si>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</si>
  <si>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</si>
  <si>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</si>
  <si>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</si>
  <si>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</si>
  <si>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</si>
  <si>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</si>
  <si>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</si>
  <si>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</si>
  <si>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</si>
  <si>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</si>
  <si>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</si>
  <si>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</si>
  <si>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</si>
  <si>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</si>
  <si>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</si>
  <si>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</si>
  <si>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</si>
  <si>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</si>
  <si>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</si>
  <si>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</si>
  <si>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</si>
  <si>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</si>
  <si>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</si>
  <si>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</si>
  <si>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</si>
  <si>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</si>
  <si>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</si>
  <si>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</si>
  <si>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</si>
  <si>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</si>
  <si>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</si>
  <si>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</si>
  <si>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</si>
  <si>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</si>
  <si>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</si>
  <si>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</si>
  <si>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</si>
  <si>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</si>
  <si>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</si>
  <si>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</si>
  <si>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</si>
  <si>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</si>
  <si>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</si>
  <si>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</si>
  <si>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</si>
  <si>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</si>
  <si>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</si>
  <si>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</si>
  <si>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</si>
  <si>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</si>
  <si>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</si>
  <si>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</si>
  <si>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</si>
  <si>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</si>
  <si>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</si>
  <si>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</si>
  <si>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</si>
  <si>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</si>
  <si>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</si>
  <si>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</si>
  <si>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</si>
  <si>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</si>
  <si>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</si>
  <si>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</si>
  <si>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</si>
  <si>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</si>
  <si>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</si>
  <si>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</si>
  <si>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</si>
  <si>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</si>
  <si>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</si>
  <si>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</si>
  <si>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</si>
  <si>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</si>
  <si>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</si>
  <si>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</si>
  <si>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</si>
  <si>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</si>
  <si>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</si>
  <si>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</si>
  <si>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</si>
  <si>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</si>
  <si>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</si>
  <si>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</si>
  <si>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</si>
  <si>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</si>
  <si>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</si>
  <si>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</si>
  <si>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</si>
  <si>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</si>
  <si>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</si>
  <si>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</si>
  <si>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</si>
  <si>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</si>
  <si>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</si>
  <si>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</si>
  <si>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</si>
  <si>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</si>
  <si>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</si>
  <si>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</si>
  <si>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</si>
  <si>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</si>
  <si>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</si>
  <si>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</si>
  <si>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</si>
  <si>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</si>
  <si>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</si>
  <si>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</si>
  <si>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</si>
  <si>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</si>
  <si>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</si>
  <si>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</si>
  <si>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</si>
  <si>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</si>
  <si>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</si>
  <si>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</si>
  <si>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</si>
  <si>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</si>
  <si>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</si>
  <si>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</si>
  <si>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</si>
  <si>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</si>
  <si>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</si>
  <si>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</si>
  <si>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</si>
  <si>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</si>
  <si>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</si>
  <si>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</si>
  <si>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</si>
  <si>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</si>
  <si>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</si>
  <si>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</si>
  <si>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</si>
  <si>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</si>
  <si>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</si>
  <si>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</si>
  <si>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</si>
  <si>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</si>
  <si>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</si>
  <si>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</si>
  <si>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</si>
  <si>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</si>
  <si>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</si>
  <si>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</si>
  <si>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</si>
  <si>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</si>
  <si>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</si>
  <si>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</si>
  <si>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</si>
  <si>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</si>
  <si>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</si>
  <si>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</si>
  <si>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</si>
  <si>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</si>
  <si>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</si>
  <si>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</si>
  <si>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</si>
  <si>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</si>
  <si>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</si>
  <si>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</si>
  <si>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</si>
  <si>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</si>
  <si>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</si>
  <si>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</si>
  <si>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</si>
  <si>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</si>
  <si>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</si>
  <si>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</si>
  <si>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</si>
  <si>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</si>
  <si>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</si>
  <si>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</si>
  <si>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</si>
  <si>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</si>
  <si>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</si>
  <si>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</si>
  <si>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</si>
  <si>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</si>
  <si>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</si>
  <si>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</si>
  <si>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</si>
  <si>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</si>
  <si>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</si>
  <si>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</si>
  <si>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</si>
  <si>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</si>
  <si>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</si>
  <si>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</si>
  <si>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</si>
  <si>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</si>
  <si>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</si>
  <si>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</si>
  <si>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</si>
  <si>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</si>
  <si>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</si>
  <si>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</si>
  <si>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</si>
  <si>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</si>
  <si>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</si>
  <si>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</si>
  <si>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</si>
  <si>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</si>
  <si>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</si>
  <si>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</si>
  <si>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</si>
  <si>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</si>
  <si>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</si>
  <si>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</si>
  <si>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</si>
  <si>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</si>
  <si>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</si>
  <si>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</si>
  <si>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</si>
  <si>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</si>
  <si>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</si>
  <si>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</si>
  <si>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</si>
  <si>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</si>
  <si>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</si>
  <si>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</si>
  <si>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</si>
  <si>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</si>
  <si>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</si>
  <si>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</si>
  <si>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</si>
  <si>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</si>
  <si>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</si>
  <si>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</si>
  <si>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</si>
  <si>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</si>
  <si>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</si>
  <si>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</si>
  <si>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</si>
  <si>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</si>
  <si>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</si>
  <si>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</si>
  <si>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</si>
  <si>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</si>
  <si>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</si>
  <si>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</si>
  <si>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</si>
  <si>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</si>
  <si>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</si>
  <si>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</si>
  <si>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</si>
  <si>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</si>
  <si>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</si>
  <si>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</si>
  <si>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</si>
  <si>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</si>
  <si>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</si>
  <si>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</si>
  <si>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</si>
  <si>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</si>
  <si>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</si>
  <si>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</si>
  <si>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</si>
  <si>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</si>
  <si>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</si>
  <si>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</si>
  <si>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</si>
  <si>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</si>
  <si>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</si>
  <si>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</si>
  <si>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</si>
  <si>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</si>
  <si>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</si>
  <si>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</si>
  <si>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</si>
  <si>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</si>
  <si>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</si>
  <si>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</si>
  <si>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</si>
  <si>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</si>
  <si>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</si>
  <si>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</si>
  <si>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</si>
  <si>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</si>
  <si>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</si>
  <si>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</si>
  <si>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</si>
  <si>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</si>
  <si>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</si>
  <si>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</si>
  <si>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</si>
  <si>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</si>
  <si>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</si>
  <si>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</si>
  <si>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</si>
  <si>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</si>
  <si>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</si>
  <si>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</si>
  <si>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</si>
  <si>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</si>
  <si>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</si>
  <si>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</si>
  <si>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</si>
  <si>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</si>
  <si>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</si>
  <si>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</si>
  <si>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</si>
  <si>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</si>
  <si>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</si>
  <si>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</si>
  <si>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</si>
  <si>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</si>
  <si>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</si>
  <si>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</si>
  <si>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</si>
  <si>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</si>
  <si>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</si>
  <si>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</si>
  <si>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</si>
  <si>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</si>
  <si>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</si>
  <si>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</si>
  <si>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</si>
  <si>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</si>
  <si>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</si>
  <si>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</si>
  <si>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</si>
  <si>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</si>
  <si>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</si>
  <si>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</si>
  <si>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</si>
  <si>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</si>
  <si>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</si>
  <si>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</si>
  <si>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</si>
  <si>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</si>
  <si>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</si>
  <si>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</si>
  <si>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</si>
  <si>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</si>
  <si>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</si>
  <si>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</si>
  <si>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</si>
  <si>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</si>
  <si>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</si>
  <si>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</si>
  <si>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</si>
  <si>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</si>
  <si>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</si>
  <si>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</si>
  <si>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</si>
  <si>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</si>
  <si>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</si>
  <si>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</si>
  <si>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</si>
  <si>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</si>
  <si>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</si>
  <si>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</si>
  <si>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</si>
  <si>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</si>
  <si>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</si>
  <si>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</si>
  <si>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</si>
  <si>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</si>
  <si>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</si>
  <si>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</si>
  <si>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</si>
  <si>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</si>
  <si>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</si>
  <si>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</si>
  <si>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</si>
  <si>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</si>
  <si>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</si>
  <si>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</si>
  <si>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</si>
  <si>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</si>
  <si>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</si>
  <si>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</si>
  <si>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</si>
  <si>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</si>
  <si>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</si>
  <si>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</si>
  <si>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</si>
  <si>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</si>
  <si>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</si>
  <si>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</si>
  <si>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</si>
  <si>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</si>
  <si>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</si>
  <si>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</si>
  <si>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</si>
  <si>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</si>
  <si>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</si>
  <si>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</si>
  <si>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</si>
  <si>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</si>
  <si>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</si>
  <si>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</si>
  <si>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</si>
  <si>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</si>
  <si>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</si>
  <si>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</si>
  <si>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</si>
  <si>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</si>
  <si>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</si>
  <si>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</si>
  <si>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</si>
  <si>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</si>
  <si>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</si>
  <si>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</si>
  <si>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</si>
  <si>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</si>
  <si>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</si>
  <si>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</si>
  <si>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</si>
  <si>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</si>
  <si>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</si>
  <si>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</si>
  <si>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</si>
  <si>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</si>
  <si>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</si>
  <si>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</si>
  <si>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</si>
  <si>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</si>
  <si>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</si>
  <si>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</si>
  <si>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</si>
  <si>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</si>
  <si>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</si>
  <si>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</si>
  <si>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</si>
  <si>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</si>
  <si>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</si>
  <si>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</si>
  <si>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</si>
  <si>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</si>
  <si>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</si>
  <si>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</si>
  <si>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</si>
  <si>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</si>
  <si>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</si>
  <si>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</si>
  <si>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</si>
  <si>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</si>
  <si>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</si>
  <si>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</si>
  <si>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</si>
  <si>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</si>
  <si>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</si>
  <si>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</si>
  <si>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</si>
  <si>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</si>
  <si>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</si>
  <si>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</si>
  <si>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</si>
  <si>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</si>
  <si>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</si>
  <si>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</si>
  <si>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</si>
  <si>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</si>
  <si>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</si>
  <si>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</si>
  <si>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</si>
  <si>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</si>
  <si>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</si>
  <si>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</si>
  <si>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</si>
  <si>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</si>
  <si>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</si>
  <si>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</si>
  <si>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</si>
  <si>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</si>
  <si>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</si>
  <si>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</si>
  <si>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</si>
  <si>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</si>
  <si>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</si>
  <si>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</si>
  <si>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</si>
  <si>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</si>
  <si>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</si>
  <si>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</si>
  <si>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</si>
  <si>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</si>
  <si>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</si>
  <si>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</si>
  <si>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</si>
  <si>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</si>
  <si>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</si>
  <si>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</si>
  <si>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</si>
  <si>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</si>
  <si>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</si>
  <si>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</si>
  <si>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</si>
  <si>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</si>
  <si>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</si>
  <si>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</si>
  <si>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</si>
  <si>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</si>
  <si>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</si>
  <si>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</si>
  <si>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</si>
  <si>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</si>
  <si>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</si>
  <si>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</si>
  <si>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</si>
  <si>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</si>
  <si>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</si>
  <si>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</si>
  <si>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</si>
  <si>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</si>
  <si>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</si>
  <si>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</si>
  <si>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</si>
  <si>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</si>
  <si>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</si>
  <si>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</si>
  <si>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</si>
  <si>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</si>
  <si>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</si>
  <si>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</si>
  <si>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</si>
  <si>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</si>
  <si>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</si>
  <si>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</si>
  <si>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</si>
  <si>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</si>
  <si>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</si>
  <si>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</si>
  <si>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</si>
  <si>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</si>
  <si>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</si>
  <si>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</si>
  <si>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</si>
  <si>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</si>
  <si>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</si>
  <si>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</si>
  <si>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</si>
  <si>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</si>
  <si>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</si>
  <si>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</si>
  <si>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</si>
  <si>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</si>
  <si>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</si>
  <si>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</si>
  <si>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</si>
  <si>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</si>
  <si>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</si>
  <si>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</si>
  <si>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</si>
  <si>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</si>
  <si>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</si>
  <si>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</si>
  <si>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</si>
  <si>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</si>
  <si>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</si>
  <si>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</si>
  <si>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</si>
  <si>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</si>
  <si>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</si>
  <si>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</si>
  <si>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</si>
  <si>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</si>
  <si>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</si>
  <si>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</si>
  <si>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</si>
  <si>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</si>
  <si>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</si>
  <si>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</si>
  <si>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</si>
  <si>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</si>
  <si>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</si>
  <si>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</si>
  <si>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</si>
  <si>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</si>
  <si>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</si>
  <si>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</si>
  <si>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</si>
  <si>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</si>
  <si>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</si>
  <si>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</si>
  <si>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</si>
  <si>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</si>
  <si>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</si>
  <si>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</si>
  <si>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</si>
  <si>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</si>
  <si>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</si>
  <si>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</si>
  <si>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</si>
  <si>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</si>
  <si>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</si>
  <si>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</si>
  <si>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</si>
  <si>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</si>
  <si>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</si>
  <si>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</si>
  <si>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</si>
  <si>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</si>
  <si>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</si>
  <si>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</si>
  <si>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</si>
  <si>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</si>
  <si>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</si>
  <si>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</si>
  <si>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</si>
  <si>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</si>
  <si>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</si>
  <si>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</si>
  <si>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</si>
  <si>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</si>
  <si>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</si>
  <si>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</si>
  <si>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</si>
  <si>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</si>
  <si>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</si>
  <si>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</si>
  <si>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</si>
  <si>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</si>
  <si>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</si>
  <si>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</si>
  <si>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</si>
  <si>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</si>
  <si>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</si>
  <si>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</si>
  <si>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</si>
  <si>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</si>
  <si>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</si>
  <si>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</si>
  <si>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</si>
  <si>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</si>
  <si>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</si>
  <si>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</si>
  <si>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</si>
  <si>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</si>
  <si>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</si>
  <si>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</si>
  <si>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</si>
  <si>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</si>
  <si>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</si>
  <si>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</si>
  <si>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</si>
  <si>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</si>
  <si>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</si>
  <si>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</si>
  <si>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</si>
  <si>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</si>
  <si>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</si>
  <si>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</si>
  <si>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</si>
  <si>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</si>
  <si>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</si>
  <si>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</si>
  <si>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</si>
  <si>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</si>
  <si>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</si>
  <si>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</si>
  <si>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</si>
  <si>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</si>
  <si>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</si>
  <si>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</si>
  <si>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</si>
  <si>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</si>
  <si>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</si>
  <si>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</si>
  <si>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</si>
  <si>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</si>
  <si>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</si>
  <si>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</si>
  <si>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</si>
  <si>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</si>
  <si>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</si>
  <si>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</si>
  <si>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</si>
  <si>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</si>
  <si>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</si>
  <si>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</si>
  <si>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</si>
  <si>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</si>
  <si>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</si>
  <si>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</si>
  <si>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</si>
  <si>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</si>
  <si>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</si>
  <si>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</si>
  <si>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</si>
  <si>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</si>
  <si>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</si>
  <si>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</si>
  <si>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</si>
  <si>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</si>
  <si>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</si>
  <si>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</si>
  <si>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</si>
  <si>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</si>
  <si>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</si>
  <si>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</si>
  <si>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</si>
  <si>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</si>
  <si>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</si>
  <si>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</si>
  <si>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</si>
  <si>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</si>
  <si>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</si>
  <si>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</si>
  <si>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</si>
  <si>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</si>
  <si>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</si>
  <si>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</si>
  <si>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</si>
  <si>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</si>
  <si>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</si>
  <si>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</si>
  <si>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</si>
  <si>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</si>
  <si>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</si>
  <si>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</si>
  <si>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</si>
  <si>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</si>
  <si>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</si>
  <si>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</si>
  <si>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</si>
  <si>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</si>
  <si>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</si>
  <si>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</si>
  <si>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</si>
  <si>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</si>
  <si>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</si>
  <si>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</si>
  <si>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</si>
  <si>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</si>
  <si>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</si>
  <si>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</si>
  <si>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</si>
  <si>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</si>
  <si>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</si>
  <si>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</si>
  <si>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</si>
  <si>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</si>
  <si>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</si>
  <si>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</si>
  <si>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</si>
  <si>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</si>
  <si>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</si>
  <si>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</si>
  <si>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</si>
  <si>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</si>
  <si>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</si>
  <si>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</si>
  <si>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</si>
  <si>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</si>
  <si>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</si>
  <si>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</si>
  <si>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</si>
  <si>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</si>
  <si>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</si>
  <si>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</si>
  <si>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</si>
  <si>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</si>
  <si>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</si>
  <si>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</si>
  <si>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</si>
  <si>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</si>
  <si>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</si>
  <si>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</si>
  <si>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</si>
  <si>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</si>
  <si>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</si>
  <si>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</si>
  <si>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</si>
  <si>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</si>
  <si>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</si>
  <si>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</si>
  <si>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</si>
  <si>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</si>
  <si>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</si>
  <si>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</si>
  <si>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</si>
  <si>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</si>
  <si>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</si>
  <si>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</si>
  <si>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</si>
  <si>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</si>
  <si>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</si>
  <si>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</si>
  <si>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</si>
  <si>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</si>
  <si>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</si>
  <si>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</si>
  <si>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</si>
  <si>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</si>
  <si>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</si>
  <si>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</si>
  <si>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</si>
  <si>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</si>
  <si>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</si>
  <si>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</si>
  <si>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</si>
  <si>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</si>
  <si>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</si>
  <si>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</si>
  <si>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</si>
  <si>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</si>
  <si>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</si>
  <si>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</si>
  <si>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</si>
  <si>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</si>
  <si>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</si>
  <si>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</si>
  <si>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</si>
  <si>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</si>
  <si>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</si>
  <si>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</si>
  <si>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</si>
  <si>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</si>
  <si>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</si>
  <si>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</si>
  <si>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</si>
  <si>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</si>
  <si>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</si>
  <si>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</si>
  <si>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</si>
  <si>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</si>
  <si>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</si>
  <si>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</si>
  <si>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</si>
  <si>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</si>
  <si>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</si>
  <si>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</si>
  <si>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</si>
  <si>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</si>
  <si>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</si>
  <si>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</si>
  <si>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</si>
  <si>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</si>
  <si>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</si>
  <si>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</si>
  <si>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</si>
  <si>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</si>
  <si>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</si>
  <si>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</si>
  <si>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</si>
  <si>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</si>
  <si>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</si>
  <si>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</si>
  <si>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</si>
  <si>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</si>
  <si>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</si>
  <si>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</si>
  <si>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</si>
  <si>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</si>
  <si>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</si>
  <si>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</si>
  <si>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</si>
  <si>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</si>
  <si>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</si>
  <si>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</si>
  <si>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</si>
  <si>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</si>
  <si>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</si>
  <si>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</si>
  <si>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</si>
  <si>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</si>
  <si>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</si>
  <si>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</si>
  <si>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</si>
  <si>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</si>
  <si>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</si>
  <si>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</si>
  <si>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</si>
  <si>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</si>
  <si>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</si>
  <si>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</si>
  <si>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</si>
  <si>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</si>
  <si>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</si>
  <si>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</si>
  <si>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</si>
  <si>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</si>
  <si>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</si>
  <si>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</si>
  <si>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</si>
  <si>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</si>
  <si>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</si>
  <si>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</si>
  <si>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</si>
  <si>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The [HTTP Cache-Control](https://httpwg.org/specs/rfc9111.html) response header stores a response associated with a request and reuses the stored response for subsequent requests. If a `Cache-Control` header is present in the Server response headers, the Clients **SHOULD NOT** search the same data within the time stated in the `Cache-Control` header.</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</si>
  <si>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</si>
  <si>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</si>
  <si>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</si>
  <si>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</si>
  <si>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</si>
  <si>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</si>
  <si>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</si>
  <si>
    <t>are permitted  to can or **MAY**</t>
  </si>
  <si>
    <t>**MUST** to **SHALL** FHIR-54218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</si>
</sst>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80">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23"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xf numFmtId="0" fontId="0" fillId="0" borderId="0" xfId="0" applyFill="1"/>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2" tableType="queryTable" totalsRowShown="0" headerRowDxfId="29">
  <autoFilter ref="A1:AD672"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l7.org/fhir/us/core/STU8/must-support.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2" t="s">
        <v>1168</v>
      </c>
      <c r="B4" s="45"/>
      <c r="C4" s="27"/>
    </row>
    <row r="5" spans="1:3" ht="258" customHeight="1" x14ac:dyDescent="0.2">
      <c r="A5" s="73"/>
      <c r="B5" s="46"/>
      <c r="C5" s="26"/>
    </row>
    <row r="6" spans="1:3" ht="164" x14ac:dyDescent="0.2">
      <c r="A6" s="21" t="s">
        <v>4</v>
      </c>
      <c r="B6" s="47"/>
      <c r="C6" s="48"/>
    </row>
    <row r="7" spans="1:3" ht="98" customHeight="1" x14ac:dyDescent="0.2">
      <c r="A7" s="74" t="s">
        <v>5</v>
      </c>
      <c r="B7" s="75"/>
      <c r="C7" s="44"/>
    </row>
    <row r="8" spans="1:3" ht="126" customHeight="1" x14ac:dyDescent="0.2">
      <c r="A8" s="74"/>
      <c r="B8" s="76"/>
      <c r="C8" s="44"/>
    </row>
    <row r="9" spans="1:3" ht="68" customHeight="1" x14ac:dyDescent="0.2">
      <c r="A9" s="72"/>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2"/>
  <sheetViews>
    <sheetView tabSelected="1" topLeftCell="D1" zoomScale="140" zoomScaleNormal="140" workbookViewId="0">
      <selection activeCell="L13" sqref="L12:L13"/>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1886</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34"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34"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51"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34"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68"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b">
        <v>0</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68"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b">
        <v>0</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85"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36"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85"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68"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34"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68"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68"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51"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51"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34"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34"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51"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68"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53"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34"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69</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34"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1204</v>
      </c>
      <c r="C32" t="str">
        <f>"CONF-"&amp;TEXT(us_core_reqs[[#This Row],[ID*]], "0000")</f>
        <v>CONF-0031</v>
      </c>
      <c r="D32" s="11" t="s">
        <v>821</v>
      </c>
      <c r="E32" t="str">
        <f>SUBSTITUTE(us_core_reqs[[#This Row],[URL*]], "https://hl7.org/fhir/us/core/STU8/","")</f>
        <v>general-requirements.html#modifier-elements</v>
      </c>
      <c r="F32" s="11" t="s">
        <v>70</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1205</v>
      </c>
      <c r="C33" t="str">
        <f>"CONF-"&amp;TEXT(us_core_reqs[[#This Row],[ID*]], "0000")</f>
        <v>CONF-0032</v>
      </c>
      <c r="D33" s="11" t="s">
        <v>821</v>
      </c>
      <c r="E33" t="str">
        <f>SUBSTITUTE(us_core_reqs[[#This Row],[URL*]], "https://hl7.org/fhir/us/core/STU8/","")</f>
        <v>general-requirements.html#modifier-elements</v>
      </c>
      <c r="F33" s="11" t="s">
        <v>71</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34"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51"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68"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34"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34" x14ac:dyDescent="0.2">
      <c r="A39" t="s">
        <v>1171</v>
      </c>
      <c r="B39" t="s">
        <v>1211</v>
      </c>
      <c r="C39" t="str">
        <f>"CONF-"&amp;TEXT(us_core_reqs[[#This Row],[ID*]], "0000")</f>
        <v>CONF-0038</v>
      </c>
      <c r="D39" s="11" t="s">
        <v>821</v>
      </c>
      <c r="E39" t="str">
        <f>SUBSTITUTE(us_core_reqs[[#This Row],[URL*]], "https://hl7.org/fhir/us/core/STU8/","")</f>
        <v>general-requirements.html#modifier-elements</v>
      </c>
      <c r="F39" s="11" t="s">
        <v>77</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34"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34"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51"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68"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85"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85"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119"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68"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85"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68"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68"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119"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34"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51"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68"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51"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68"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85"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119"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85"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51"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917</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68"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85"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119"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17"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36"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102"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19" x14ac:dyDescent="0.2">
      <c r="A79" t="s">
        <v>1171</v>
      </c>
      <c r="B79" t="s">
        <v>1251</v>
      </c>
      <c r="C79" t="str">
        <f>"CONF-"&amp;TEXT(us_core_reqs[[#This Row],[ID*]], "0000")</f>
        <v>CONF-0078</v>
      </c>
      <c r="D79" s="11" t="s">
        <v>612</v>
      </c>
      <c r="E79" t="str">
        <f>SUBSTITUTE(us_core_reqs[[#This Row],[URL*]], "https://hl7.org/fhir/us/core/STU8/","")</f>
        <v>must-support.html#must-support-elements</v>
      </c>
      <c r="F79" s="11" t="s">
        <v>110</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102"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19"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51"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51"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51"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51"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51"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68"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119"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119"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51"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130</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51"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131</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34"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34"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34"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68" x14ac:dyDescent="0.2">
      <c r="A97" t="s">
        <v>1171</v>
      </c>
      <c r="B97" t="s">
        <v>1269</v>
      </c>
      <c r="C97" t="str">
        <f>"CONF-"&amp;TEXT(us_core_reqs[[#This Row],[ID*]], "0000")</f>
        <v>CONF-0096</v>
      </c>
      <c r="D97" s="11" t="s">
        <v>616</v>
      </c>
      <c r="E97" t="str">
        <f>SUBSTITUTE(us_core_reqs[[#This Row],[URL*]], "https://hl7.org/fhir/us/core/STU8/","")</f>
        <v>must-support.html#must-support---complex-elements</v>
      </c>
      <c r="F97" s="11" t="s">
        <v>660</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51" x14ac:dyDescent="0.2">
      <c r="A98" t="s">
        <v>1171</v>
      </c>
      <c r="B98" t="s">
        <v>1270</v>
      </c>
      <c r="C98" t="str">
        <f>"CONF-"&amp;TEXT(us_core_reqs[[#This Row],[ID*]], "0000")</f>
        <v>CONF-0097</v>
      </c>
      <c r="D98" s="11" t="s">
        <v>616</v>
      </c>
      <c r="E98" t="str">
        <f>SUBSTITUTE(us_core_reqs[[#This Row],[URL*]], "https://hl7.org/fhir/us/core/STU8/","")</f>
        <v>must-support.html#must-support---complex-elements</v>
      </c>
      <c r="F98" s="11" t="s">
        <v>134</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135</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68"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136</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68"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137</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34"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34"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68"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51"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02"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02"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34"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34"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119"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119"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87"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87"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51"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68"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87" x14ac:dyDescent="0.2">
      <c r="A118" t="s">
        <v>1171</v>
      </c>
      <c r="B118" t="s">
        <v>1290</v>
      </c>
      <c r="C118" t="str">
        <f>"CONF-"&amp;TEXT(us_core_reqs[[#This Row],[ID*]], "0000")</f>
        <v>CONF-0117</v>
      </c>
      <c r="D118" s="11" t="s">
        <v>825</v>
      </c>
      <c r="E118" t="str">
        <f>SUBSTITUTE(us_core_reqs[[#This Row],[URL*]], "https://hl7.org/fhir/us/core/STU8/","")</f>
        <v>scopes.html#capability-sets</v>
      </c>
      <c r="F118" s="11" t="s">
        <v>982</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02"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152</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02"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155</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34"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921</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159</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68"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922</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85"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160</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51"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s">
        <v>1171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1299</v>
      </c>
      <c r="C127" t="str">
        <f>"CONF-"&amp;TEXT(us_core_reqs[[#This Row],[ID*]], "0000")</f>
        <v>CONF-0126</v>
      </c>
      <c r="D127" s="11" t="s">
        <v>622</v>
      </c>
      <c r="E127" t="str">
        <f>SUBSTITUTE(us_core_reqs[[#This Row],[URL*]], "https://hl7.org/fhir/us/core/STU8/","")</f>
        <v>scopes.html#smart-scopes</v>
      </c>
      <c r="F127" s="11" t="s">
        <v>163</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119" x14ac:dyDescent="0.2">
      <c r="A129" t="s">
        <v>1171</v>
      </c>
      <c r="B129" t="s">
        <v>1301</v>
      </c>
      <c r="C129" t="str">
        <f>"CONF-"&amp;TEXT(us_core_reqs[[#This Row],[ID*]], "0000")</f>
        <v>CONF-0128</v>
      </c>
      <c r="D129" s="11" t="s">
        <v>828</v>
      </c>
      <c r="E129" t="str">
        <f>SUBSTITUTE(us_core_reqs[[#This Row],[URL*]], "https://hl7.org/fhir/us/core/STU8/","")</f>
        <v>scopes.html#us-core-scopes</v>
      </c>
      <c r="F129" s="11" t="s">
        <v>984</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119" x14ac:dyDescent="0.2">
      <c r="A130" t="s">
        <v>1171</v>
      </c>
      <c r="B130" t="s">
        <v>1302</v>
      </c>
      <c r="C130" t="str">
        <f>"CONF-"&amp;TEXT(us_core_reqs[[#This Row],[ID*]], "0000")</f>
        <v>CONF-0129</v>
      </c>
      <c r="D130" s="11" t="s">
        <v>828</v>
      </c>
      <c r="E130" t="str">
        <f>SUBSTITUTE(us_core_reqs[[#This Row],[URL*]], "https://hl7.org/fhir/us/core/STU8/","")</f>
        <v>scopes.html#us-core-scopes</v>
      </c>
      <c r="F130" s="11" t="s">
        <v>985</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68" x14ac:dyDescent="0.2">
      <c r="A131" t="s">
        <v>1171</v>
      </c>
      <c r="B131" t="s">
        <v>1303</v>
      </c>
      <c r="C131" t="str">
        <f>"CONF-"&amp;TEXT(us_core_reqs[[#This Row],[ID*]], "0000")</f>
        <v>CONF-0130</v>
      </c>
      <c r="D131" s="11" t="s">
        <v>828</v>
      </c>
      <c r="E131" t="str">
        <f>SUBSTITUTE(us_core_reqs[[#This Row],[URL*]], "https://hl7.org/fhir/us/core/STU8/","")</f>
        <v>scopes.html#us-core-scopes</v>
      </c>
      <c r="F131" s="11" t="s">
        <v>924</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68" x14ac:dyDescent="0.2">
      <c r="A132" t="s">
        <v>1171</v>
      </c>
      <c r="B132" t="s">
        <v>1304</v>
      </c>
      <c r="C132" t="str">
        <f>"CONF-"&amp;TEXT(us_core_reqs[[#This Row],[ID*]], "0000")</f>
        <v>CONF-0131</v>
      </c>
      <c r="D132" s="11" t="s">
        <v>828</v>
      </c>
      <c r="E132" t="str">
        <f>SUBSTITUTE(us_core_reqs[[#This Row],[URL*]], "https://hl7.org/fhir/us/core/STU8/","")</f>
        <v>scopes.html#us-core-scopes</v>
      </c>
      <c r="F132" s="11" t="s">
        <v>925</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02"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02"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85"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85"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85"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85"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85"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85"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85"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85"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85"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85"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85"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85"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85"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85"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85"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85"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85"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85"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85"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85"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85"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85"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85"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85"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19"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19"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19"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19"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19"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19"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19"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19"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19"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85"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987</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85"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988</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119"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119"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991</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119"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992</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85"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993</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102"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994</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34"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197</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34"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199</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995</v>
      </c>
      <c r="G177" t="s">
        <v>1834</v>
      </c>
      <c r="H177" s="7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34"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201</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34"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203</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34"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205</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68"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210</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85"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996</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68"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68"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217</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51"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51"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221</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51" x14ac:dyDescent="0.2">
      <c r="A188" t="s">
        <v>1171</v>
      </c>
      <c r="B188" t="s">
        <v>1360</v>
      </c>
      <c r="C188" t="str">
        <f>"CONF-"&amp;TEXT(us_core_reqs[[#This Row],[ID*]], "0000")</f>
        <v>CONF-0187</v>
      </c>
      <c r="D188" s="11" t="s">
        <v>834</v>
      </c>
      <c r="E188" t="str">
        <f>SUBSTITUTE(us_core_reqs[[#This Row],[URL*]], "https://hl7.org/fhir/us/core/STU8/","")</f>
        <v>general-guidance.html#representing-deleted-information, general-guidance.html#representing-entered-in-error-information</v>
      </c>
      <c r="F188" s="11" t="s">
        <v>223</v>
      </c>
      <c r="G188" t="s">
        <v>1834</v>
      </c>
      <c r="H188" s="7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representing-entered-in-error-information</v>
      </c>
      <c r="T188" t="str">
        <f>SUBSTITUTE(SUBSTITUTE(PROPER(SUBSTITUTE(us_core_reqs[[#This Row],[Page]], "-", " "))&amp;": "&amp;PROPER(SUBSTITUTE(us_core_reqs[[#This Row],[Section]], "-", " ")),"Us ","US "), "Uscdi", "USCDI")</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1361</v>
      </c>
      <c r="C189" t="str">
        <f>"CONF-"&amp;TEXT(us_core_reqs[[#This Row],[ID*]], "0000")</f>
        <v>CONF-0188</v>
      </c>
      <c r="D189" s="11" t="s">
        <v>835</v>
      </c>
      <c r="E189" t="str">
        <f>SUBSTITUTE(us_core_reqs[[#This Row],[URL*]], "https://hl7.org/fhir/us/core/STU8/","")</f>
        <v>general-guidance.html#representing-deleted-information</v>
      </c>
      <c r="F189" s="11" t="s">
        <v>997</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representing-deleted-information</v>
      </c>
      <c r="T189" t="str">
        <f>SUBSTITUTE(SUBSTITUTE(PROPER(SUBSTITUTE(us_core_reqs[[#This Row],[Page]], "-", " "))&amp;": "&amp;PROPER(SUBSTITUTE(us_core_reqs[[#This Row],[Section]], "-", " ")),"Us ","US "), "Uscdi", "USCDI")</f>
        <v>General Guidance: Representing Deleted Information</v>
      </c>
      <c r="U189" t="s">
        <v>32</v>
      </c>
      <c r="V189" t="s">
        <v>30</v>
      </c>
      <c r="W189" t="s">
        <v>218</v>
      </c>
      <c r="X189" t="s">
        <v>1171</v>
      </c>
      <c r="Y189" t="s">
        <v>1171</v>
      </c>
      <c r="Z189" t="s">
        <v>1171</v>
      </c>
      <c r="AA189" t="s">
        <v>1171</v>
      </c>
      <c r="AB189" t="s">
        <v>1171</v>
      </c>
      <c r="AC189" t="s">
        <v>1171</v>
      </c>
      <c r="AD189" t="s">
        <v>1171</v>
      </c>
    </row>
    <row r="190" spans="1:30" ht="51" x14ac:dyDescent="0.2">
      <c r="A190" t="s">
        <v>1171</v>
      </c>
      <c r="B190" t="s">
        <v>1362</v>
      </c>
      <c r="C190" t="str">
        <f>"CONF-"&amp;TEXT(us_core_reqs[[#This Row],[ID*]], "0000")</f>
        <v>CONF-0189</v>
      </c>
      <c r="D190" s="11" t="s">
        <v>834</v>
      </c>
      <c r="E190" t="str">
        <f>SUBSTITUTE(us_core_reqs[[#This Row],[URL*]], "https://hl7.org/fhir/us/core/STU8/","")</f>
        <v>general-guidance.html#representing-deleted-information, general-guidance.html#representing-entered-in-error-information</v>
      </c>
      <c r="F190" s="11" t="s">
        <v>224</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representing-entered-in-error-information</v>
      </c>
      <c r="T190" t="str">
        <f>SUBSTITUTE(SUBSTITUTE(PROPER(SUBSTITUTE(us_core_reqs[[#This Row],[Page]], "-", " "))&amp;": "&amp;PROPER(SUBSTITUTE(us_core_reqs[[#This Row],[Section]], "-", " ")),"Us ","US "), "Uscdi", "USCDI")</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1363</v>
      </c>
      <c r="C191" t="str">
        <f>"CONF-"&amp;TEXT(us_core_reqs[[#This Row],[ID*]], "0000")</f>
        <v>CONF-0190</v>
      </c>
      <c r="D191" s="11" t="s">
        <v>836</v>
      </c>
      <c r="E191" t="str">
        <f>SUBSTITUTE(us_core_reqs[[#This Row],[URL*]], "https://hl7.org/fhir/us/core/STU8/","")</f>
        <v>general-guidance.html#representing-entered-in-error-information</v>
      </c>
      <c r="F191" s="11" t="s">
        <v>926</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representing-entered-in-error-information</v>
      </c>
      <c r="T191" t="str">
        <f>SUBSTITUTE(SUBSTITUTE(PROPER(SUBSTITUTE(us_core_reqs[[#This Row],[Page]], "-", " "))&amp;": "&amp;PROPER(SUBSTITUTE(us_core_reqs[[#This Row],[Section]], "-", " ")),"Us ","US "), "Uscdi", "USCDI")</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85" x14ac:dyDescent="0.2">
      <c r="A192" t="s">
        <v>1171</v>
      </c>
      <c r="B192" t="s">
        <v>1364</v>
      </c>
      <c r="C192" t="str">
        <f>"CONF-"&amp;TEXT(us_core_reqs[[#This Row],[ID*]], "0000")</f>
        <v>CONF-0191</v>
      </c>
      <c r="D192" s="11" t="s">
        <v>836</v>
      </c>
      <c r="E192" t="str">
        <f>SUBSTITUTE(us_core_reqs[[#This Row],[URL*]], "https://hl7.org/fhir/us/core/STU8/","")</f>
        <v>general-guidance.html#representing-entered-in-error-information</v>
      </c>
      <c r="F192" s="11" t="s">
        <v>998</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representing-entered-in-error-information</v>
      </c>
      <c r="T192" t="str">
        <f>SUBSTITUTE(SUBSTITUTE(PROPER(SUBSTITUTE(us_core_reqs[[#This Row],[Page]], "-", " "))&amp;": "&amp;PROPER(SUBSTITUTE(us_core_reqs[[#This Row],[Section]], "-", " ")),"Us ","US "), "Uscdi", "USCDI")</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85" x14ac:dyDescent="0.2">
      <c r="A193" t="s">
        <v>1171</v>
      </c>
      <c r="B193" t="s">
        <v>1365</v>
      </c>
      <c r="C193" t="str">
        <f>"CONF-"&amp;TEXT(us_core_reqs[[#This Row],[ID*]], "0000")</f>
        <v>CONF-0192</v>
      </c>
      <c r="D193" s="11" t="s">
        <v>836</v>
      </c>
      <c r="E193" t="str">
        <f>SUBSTITUTE(us_core_reqs[[#This Row],[URL*]], "https://hl7.org/fhir/us/core/STU8/","")</f>
        <v>general-guidance.html#representing-entered-in-error-information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representing-entered-in-error-information</v>
      </c>
      <c r="T193" t="str">
        <f>SUBSTITUTE(SUBSTITUTE(PROPER(SUBSTITUTE(us_core_reqs[[#This Row],[Page]], "-", " "))&amp;": "&amp;PROPER(SUBSTITUTE(us_core_reqs[[#This Row],[Section]], "-", " ")),"Us ","US "), "Uscdi", "USCDI")</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34" x14ac:dyDescent="0.2">
      <c r="A194" t="s">
        <v>1171</v>
      </c>
      <c r="B194" t="s">
        <v>1366</v>
      </c>
      <c r="C194" t="str">
        <f>"CONF-"&amp;TEXT(us_core_reqs[[#This Row],[ID*]], "0000")</f>
        <v>CONF-0193</v>
      </c>
      <c r="D194" s="11" t="s">
        <v>837</v>
      </c>
      <c r="E194" t="str">
        <f>SUBSTITUTE(us_core_reqs[[#This Row],[URL*]], "https://hl7.org/fhir/us/core/STU8/","")</f>
        <v>general-guidance.html#language-support</v>
      </c>
      <c r="F194" s="11" t="s">
        <v>230</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34" x14ac:dyDescent="0.2">
      <c r="A195" t="s">
        <v>1171</v>
      </c>
      <c r="B195" t="s">
        <v>1367</v>
      </c>
      <c r="C195" t="str">
        <f>"CONF-"&amp;TEXT(us_core_reqs[[#This Row],[ID*]], "0000")</f>
        <v>CONF-0194</v>
      </c>
      <c r="D195" s="11" t="s">
        <v>837</v>
      </c>
      <c r="E195" t="str">
        <f>SUBSTITUTE(us_core_reqs[[#This Row],[URL*]], "https://hl7.org/fhir/us/core/STU8/","")</f>
        <v>general-guidance.html#language-support</v>
      </c>
      <c r="F195" s="11" t="s">
        <v>927</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34" x14ac:dyDescent="0.2">
      <c r="A196" t="s">
        <v>1171</v>
      </c>
      <c r="B196" t="s">
        <v>1368</v>
      </c>
      <c r="C196" t="str">
        <f>"CONF-"&amp;TEXT(us_core_reqs[[#This Row],[ID*]], "0000")</f>
        <v>CONF-0195</v>
      </c>
      <c r="D196" s="11" t="s">
        <v>837</v>
      </c>
      <c r="E196" t="str">
        <f>SUBSTITUTE(us_core_reqs[[#This Row],[URL*]], "https://hl7.org/fhir/us/core/STU8/","")</f>
        <v>general-guidance.html#language-support</v>
      </c>
      <c r="F196" s="11" t="s">
        <v>1000</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85" x14ac:dyDescent="0.2">
      <c r="A197" t="s">
        <v>1171</v>
      </c>
      <c r="B197" t="s">
        <v>1369</v>
      </c>
      <c r="C197" t="str">
        <f>"CONF-"&amp;TEXT(us_core_reqs[[#This Row],[ID*]], "0000")</f>
        <v>CONF-0196</v>
      </c>
      <c r="D197" s="11" t="s">
        <v>837</v>
      </c>
      <c r="E197" t="str">
        <f>SUBSTITUTE(us_core_reqs[[#This Row],[URL*]], "https://hl7.org/fhir/us/core/STU8/","")</f>
        <v>general-guidance.html#language-support</v>
      </c>
      <c r="F197" s="11" t="s">
        <v>1001</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85" x14ac:dyDescent="0.2">
      <c r="A198" t="s">
        <v>1171</v>
      </c>
      <c r="B198" t="s">
        <v>1370</v>
      </c>
      <c r="C198" t="str">
        <f>"CONF-"&amp;TEXT(us_core_reqs[[#This Row],[ID*]], "0000")</f>
        <v>CONF-0197</v>
      </c>
      <c r="D198" s="11" t="s">
        <v>837</v>
      </c>
      <c r="E198" t="str">
        <f>SUBSTITUTE(us_core_reqs[[#This Row],[URL*]], "https://hl7.org/fhir/us/core/STU8/","")</f>
        <v>general-guidance.html#language-support</v>
      </c>
      <c r="F198" s="11" t="s">
        <v>928</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68" x14ac:dyDescent="0.2">
      <c r="A199" t="s">
        <v>1171</v>
      </c>
      <c r="B199" t="s">
        <v>1371</v>
      </c>
      <c r="C199" t="str">
        <f>"CONF-"&amp;TEXT(us_core_reqs[[#This Row],[ID*]], "0000")</f>
        <v>CONF-0198</v>
      </c>
      <c r="D199" s="11" t="s">
        <v>837</v>
      </c>
      <c r="E199" t="str">
        <f>SUBSTITUTE(us_core_reqs[[#This Row],[URL*]], "https://hl7.org/fhir/us/core/STU8/","")</f>
        <v>general-guidance.html#language-support</v>
      </c>
      <c r="F199" s="11" t="s">
        <v>1002</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85" x14ac:dyDescent="0.2">
      <c r="A200" t="s">
        <v>1171</v>
      </c>
      <c r="B200" t="s">
        <v>1372</v>
      </c>
      <c r="C200" t="str">
        <f>"CONF-"&amp;TEXT(us_core_reqs[[#This Row],[ID*]], "0000")</f>
        <v>CONF-0199</v>
      </c>
      <c r="D200" s="11" t="s">
        <v>837</v>
      </c>
      <c r="E200" t="str">
        <f>SUBSTITUTE(us_core_reqs[[#This Row],[URL*]], "https://hl7.org/fhir/us/core/STU8/","")</f>
        <v>general-guidance.html#language-support</v>
      </c>
      <c r="F200" s="11" t="s">
        <v>1003</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34"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233</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711</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34"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236</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34"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51"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239</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51"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241</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51"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242</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51"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243</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51"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245</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51"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247</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68"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248</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68"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250</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51"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251</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51"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253</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51"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254</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34"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34"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34"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85"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261</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34"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262</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34"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1880</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1881</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51"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1881</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17"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1880</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17"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1880</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34"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267</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34"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269</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34"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270</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17"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271</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1883</v>
      </c>
      <c r="G232" t="s">
        <v>29</v>
      </c>
      <c r="H232" t="s">
        <v>1882</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51"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1884</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51" x14ac:dyDescent="0.2">
      <c r="A234" t="s">
        <v>1171</v>
      </c>
      <c r="B234" t="s">
        <v>1406</v>
      </c>
      <c r="C234" t="str">
        <f>"CONF-"&amp;TEXT(us_core_reqs[[#This Row],[ID*]], "0000")</f>
        <v>CONF-0233</v>
      </c>
      <c r="D234" t="s">
        <v>1885</v>
      </c>
      <c r="E234" t="str">
        <f>SUBSTITUTE(us_core_reqs[[#This Row],[URL*]], "https://hl7.org/fhir/us/core/STU8/","")</f>
        <v>clinical-notes.html#using-expand</v>
      </c>
      <c r="F234" s="11" t="s">
        <v>1011</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customHeight="1" x14ac:dyDescent="0.2">
      <c r="A235" t="s">
        <v>1171</v>
      </c>
      <c r="B235" t="s">
        <v>1407</v>
      </c>
      <c r="C235" t="str">
        <f>"CONF-"&amp;TEXT(us_core_reqs[[#This Row],[ID*]], "0000")</f>
        <v>CONF-0234</v>
      </c>
      <c r="D235" t="s">
        <v>1885</v>
      </c>
      <c r="E235" t="str">
        <f>SUBSTITUTE(us_core_reqs[[#This Row],[URL*]], "https://hl7.org/fhir/us/core/STU8/","")</f>
        <v>clinical-notes.html#using-expand</v>
      </c>
      <c r="F235" s="11" t="s">
        <v>1012</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customHeight="1" x14ac:dyDescent="0.2">
      <c r="A236" t="s">
        <v>1171</v>
      </c>
      <c r="B236" t="s">
        <v>1408</v>
      </c>
      <c r="C236" t="str">
        <f>"CONF-"&amp;TEXT(us_core_reqs[[#This Row],[ID*]], "0000")</f>
        <v>CONF-0235</v>
      </c>
      <c r="D236" t="s">
        <v>1885</v>
      </c>
      <c r="E236" t="str">
        <f>SUBSTITUTE(us_core_reqs[[#This Row],[URL*]], "https://hl7.org/fhir/us/core/STU8/","")</f>
        <v>clinical-notes.html#using-expand</v>
      </c>
      <c r="F236" s="11" t="s">
        <v>1014</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customHeight="1" x14ac:dyDescent="0.2">
      <c r="A237" t="s">
        <v>1171</v>
      </c>
      <c r="B237" t="s">
        <v>1409</v>
      </c>
      <c r="C237" t="str">
        <f>"CONF-"&amp;TEXT(us_core_reqs[[#This Row],[ID*]], "0000")</f>
        <v>CONF-0236</v>
      </c>
      <c r="D237" t="s">
        <v>1885</v>
      </c>
      <c r="E237" t="str">
        <f>SUBSTITUTE(us_core_reqs[[#This Row],[URL*]], "https://hl7.org/fhir/us/core/STU8/","")</f>
        <v>clinical-notes.html#using-expand</v>
      </c>
      <c r="F237" s="11" t="s">
        <v>1016</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customHeight="1" x14ac:dyDescent="0.2">
      <c r="A238" t="s">
        <v>1171</v>
      </c>
      <c r="B238" t="s">
        <v>1410</v>
      </c>
      <c r="C238" t="str">
        <f>"CONF-"&amp;TEXT(us_core_reqs[[#This Row],[ID*]], "0000")</f>
        <v>CONF-0237</v>
      </c>
      <c r="D238" t="s">
        <v>1885</v>
      </c>
      <c r="E238" t="str">
        <f>SUBSTITUTE(us_core_reqs[[#This Row],[URL*]], "https://hl7.org/fhir/us/core/STU8/","")</f>
        <v>clinical-notes.html#using-expand</v>
      </c>
      <c r="F238" s="11" t="s">
        <v>1017</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02" x14ac:dyDescent="0.2">
      <c r="A239" t="s">
        <v>1171</v>
      </c>
      <c r="B239" t="s">
        <v>1411</v>
      </c>
      <c r="C239" t="str">
        <f>"CONF-"&amp;TEXT(us_core_reqs[[#This Row],[ID*]], "0000")</f>
        <v>CONF-0238</v>
      </c>
      <c r="D239" t="s">
        <v>1885</v>
      </c>
      <c r="E239" t="str">
        <f>SUBSTITUTE(us_core_reqs[[#This Row],[URL*]], "https://hl7.org/fhir/us/core/STU8/","")</f>
        <v>clinical-notes.html#using-expand</v>
      </c>
      <c r="F239" s="11" t="s">
        <v>1018</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02" x14ac:dyDescent="0.2">
      <c r="A240" t="s">
        <v>1171</v>
      </c>
      <c r="B240" t="s">
        <v>1412</v>
      </c>
      <c r="C240" t="str">
        <f>"CONF-"&amp;TEXT(us_core_reqs[[#This Row],[ID*]], "0000")</f>
        <v>CONF-0239</v>
      </c>
      <c r="D240" t="s">
        <v>1885</v>
      </c>
      <c r="E240" t="str">
        <f>SUBSTITUTE(us_core_reqs[[#This Row],[URL*]], "https://hl7.org/fhir/us/core/STU8/","")</f>
        <v>clinical-notes.html#using-expand</v>
      </c>
      <c r="F240" s="11" t="s">
        <v>1019</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53" x14ac:dyDescent="0.2">
      <c r="A241" t="s">
        <v>1171</v>
      </c>
      <c r="B241" t="s">
        <v>1413</v>
      </c>
      <c r="C241" t="str">
        <f>"CONF-"&amp;TEXT(us_core_reqs[[#This Row],[ID*]], "0000")</f>
        <v>CONF-0240</v>
      </c>
      <c r="D241" t="s">
        <v>1885</v>
      </c>
      <c r="E241" t="str">
        <f>SUBSTITUTE(us_core_reqs[[#This Row],[URL*]], "https://hl7.org/fhir/us/core/STU8/","")</f>
        <v>clinical-notes.html#using-expand</v>
      </c>
      <c r="F241" s="11" t="s">
        <v>1020</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customHeight="1" x14ac:dyDescent="0.2">
      <c r="A242" t="s">
        <v>1171</v>
      </c>
      <c r="B242" t="s">
        <v>1414</v>
      </c>
      <c r="C242" t="str">
        <f>"CONF-"&amp;TEXT(us_core_reqs[[#This Row],[ID*]], "0000")</f>
        <v>CONF-0241</v>
      </c>
      <c r="D242" t="s">
        <v>1885</v>
      </c>
      <c r="E242" t="str">
        <f>SUBSTITUTE(us_core_reqs[[#This Row],[URL*]], "https://hl7.org/fhir/us/core/STU8/","")</f>
        <v>clinical-notes.html#using-expand</v>
      </c>
      <c r="F242" s="11" t="s">
        <v>1021</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70"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70"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102"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H247" t="s">
        <v>1887</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119"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279</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85"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85"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1029</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51"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1030</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68"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H252" t="s">
        <v>1888</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70"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70"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70"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70"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70"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36"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H258" t="s">
        <v>1880</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53"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119"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70"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204"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70"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51"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1031</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51"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931</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51"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294</v>
      </c>
      <c r="G266" t="s">
        <v>64</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34"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29</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68"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847</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68"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299</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170"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1032</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36"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36"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36"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36"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29</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119"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29</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34"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102"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304</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85"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305</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68"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306</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102"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307</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68"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308</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87"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1035</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34"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35</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34"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35</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35</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51"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35</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51"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309</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51" x14ac:dyDescent="0.2">
      <c r="A289" t="s">
        <v>1171</v>
      </c>
      <c r="B289" t="s">
        <v>1461</v>
      </c>
      <c r="C289" t="str">
        <f>"CONF-"&amp;TEXT(us_core_reqs[[#This Row],[ID*]], "0000")</f>
        <v>CONF-0288</v>
      </c>
      <c r="D289" s="11" t="s">
        <v>853</v>
      </c>
      <c r="E289" t="str">
        <f>SUBSTITUTE(us_core_reqs[[#This Row],[URL*]], "https://hl7.org/fhir/us/core/STU8/","")</f>
        <v>changes-between-versions.html#expectation-that-fhir-dstu2-data-is-preserved-in-fhir-r4</v>
      </c>
      <c r="F289" s="11" t="s">
        <v>310</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expectation-that-fhir-dstu2-data-is-preserved-in-fhir-r4</v>
      </c>
      <c r="T289" t="str">
        <f>SUBSTITUTE(SUBSTITUTE(PROPER(SUBSTITUTE(us_core_reqs[[#This Row],[Page]], "-", " "))&amp;": "&amp;PROPER(SUBSTITUTE(us_core_reqs[[#This Row],[Section]], "-", " ")),"Us ","US "), "Uscdi", "USCDI")</f>
        <v>Changes Between Versions: Expectation That Fhir Dstu2 Data Is Preserved In Fhir R4</v>
      </c>
      <c r="U289" t="s">
        <v>32</v>
      </c>
      <c r="V289" t="s">
        <v>1171</v>
      </c>
      <c r="W289" t="s">
        <v>1171</v>
      </c>
      <c r="X289" t="s">
        <v>1171</v>
      </c>
      <c r="Y289" t="s">
        <v>1171</v>
      </c>
      <c r="Z289" t="s">
        <v>1171</v>
      </c>
      <c r="AA289" t="s">
        <v>1171</v>
      </c>
      <c r="AB289" t="s">
        <v>1171</v>
      </c>
      <c r="AC289" t="s">
        <v>1171</v>
      </c>
      <c r="AD289" t="s">
        <v>1171</v>
      </c>
    </row>
    <row r="290" spans="1:30" ht="51" x14ac:dyDescent="0.2">
      <c r="A290" t="s">
        <v>1171</v>
      </c>
      <c r="B290" t="s">
        <v>1462</v>
      </c>
      <c r="C290" t="str">
        <f>"CONF-"&amp;TEXT(us_core_reqs[[#This Row],[ID*]], "0000")</f>
        <v>CONF-0289</v>
      </c>
      <c r="D290" s="11" t="s">
        <v>854</v>
      </c>
      <c r="E290" t="str">
        <f>SUBSTITUTE(us_core_reqs[[#This Row],[URL*]], "https://hl7.org/fhir/us/core/STU8/","")</f>
        <v>changes-between-versions.html#expectation-that-fhir-dstu2-data-is-preserved-in-fhir-r5</v>
      </c>
      <c r="F290" s="11" t="s">
        <v>311</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expectation-that-fhir-dstu2-data-is-preserved-in-fhir-r5</v>
      </c>
      <c r="T290" t="str">
        <f>SUBSTITUTE(SUBSTITUTE(PROPER(SUBSTITUTE(us_core_reqs[[#This Row],[Page]], "-", " "))&amp;": "&amp;PROPER(SUBSTITUTE(us_core_reqs[[#This Row],[Section]], "-", " ")),"Us ","US "), "Uscdi", "USCDI")</f>
        <v>Changes Between Versions: Expectation That Fhir Dstu2 Data Is Preserved In Fhir R5</v>
      </c>
      <c r="U290" t="s">
        <v>32</v>
      </c>
      <c r="V290" t="s">
        <v>1171</v>
      </c>
      <c r="W290" t="s">
        <v>1171</v>
      </c>
      <c r="X290" t="s">
        <v>1171</v>
      </c>
      <c r="Y290" t="s">
        <v>1171</v>
      </c>
      <c r="Z290" t="s">
        <v>1171</v>
      </c>
      <c r="AA290" t="s">
        <v>1171</v>
      </c>
      <c r="AB290" t="s">
        <v>1171</v>
      </c>
      <c r="AC290" t="s">
        <v>1171</v>
      </c>
      <c r="AD290" t="s">
        <v>1171</v>
      </c>
    </row>
    <row r="291" spans="1:30" ht="85" x14ac:dyDescent="0.2">
      <c r="A291" t="s">
        <v>1171</v>
      </c>
      <c r="B291" t="s">
        <v>1463</v>
      </c>
      <c r="C291" t="str">
        <f>"CONF-"&amp;TEXT(us_core_reqs[[#This Row],[ID*]], "0000")</f>
        <v>CONF-0290</v>
      </c>
      <c r="D291" s="11" t="s">
        <v>855</v>
      </c>
      <c r="E291" t="str">
        <f>SUBSTITUTE(us_core_reqs[[#This Row],[URL*]], "https://hl7.org/fhir/us/core/STU8/","")</f>
        <v>changes-between-versions.html#expectation-that-fhir-dstu2-data-is-preserved-in-fhir-r7</v>
      </c>
      <c r="F291" s="11" t="s">
        <v>313</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expectation-that-fhir-dstu2-data-is-preserved-in-fhir-r7</v>
      </c>
      <c r="T291" t="str">
        <f>SUBSTITUTE(SUBSTITUTE(PROPER(SUBSTITUTE(us_core_reqs[[#This Row],[Page]], "-", " "))&amp;": "&amp;PROPER(SUBSTITUTE(us_core_reqs[[#This Row],[Section]], "-", " ")),"Us ","US "), "Uscdi", "USCDI")</f>
        <v>Changes Between Versions: Expectation That Fhir Dstu2 Data Is Preserved In Fhir R7</v>
      </c>
      <c r="U291" t="s">
        <v>35</v>
      </c>
      <c r="V291" t="s">
        <v>1171</v>
      </c>
      <c r="W291" t="s">
        <v>1171</v>
      </c>
      <c r="X291" t="s">
        <v>1171</v>
      </c>
      <c r="Y291" t="s">
        <v>1171</v>
      </c>
      <c r="Z291" t="s">
        <v>1171</v>
      </c>
      <c r="AA291" t="s">
        <v>1171</v>
      </c>
      <c r="AB291" t="s">
        <v>1171</v>
      </c>
      <c r="AC291" t="s">
        <v>1171</v>
      </c>
      <c r="AD291" t="s">
        <v>1171</v>
      </c>
    </row>
    <row r="292" spans="1:30" ht="85" x14ac:dyDescent="0.2">
      <c r="A292" t="s">
        <v>1171</v>
      </c>
      <c r="B292" t="s">
        <v>1464</v>
      </c>
      <c r="C292" t="str">
        <f>"CONF-"&amp;TEXT(us_core_reqs[[#This Row],[ID*]], "0000")</f>
        <v>CONF-0291</v>
      </c>
      <c r="D292" s="11" t="s">
        <v>856</v>
      </c>
      <c r="E292" t="str">
        <f>SUBSTITUTE(us_core_reqs[[#This Row],[URL*]], "https://hl7.org/fhir/us/core/STU8/","")</f>
        <v>changes-between-versions.html#expectation-that-fhir-dstu2-data-is-preserved-in-fhir-r8</v>
      </c>
      <c r="F292" s="11" t="s">
        <v>314</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expectation-that-fhir-dstu2-data-is-preserved-in-fhir-r8</v>
      </c>
      <c r="T292" t="str">
        <f>SUBSTITUTE(SUBSTITUTE(PROPER(SUBSTITUTE(us_core_reqs[[#This Row],[Page]], "-", " "))&amp;": "&amp;PROPER(SUBSTITUTE(us_core_reqs[[#This Row],[Section]], "-", " ")),"Us ","US "), "Uscdi", "USCDI")</f>
        <v>Changes Between Versions: Expectation That Fhir Dstu2 Data Is Preserved In Fhir R8</v>
      </c>
      <c r="U292" t="s">
        <v>32</v>
      </c>
      <c r="V292" t="s">
        <v>1171</v>
      </c>
      <c r="W292" t="s">
        <v>1171</v>
      </c>
      <c r="X292" t="s">
        <v>1171</v>
      </c>
      <c r="Y292" t="s">
        <v>1171</v>
      </c>
      <c r="Z292" t="s">
        <v>1171</v>
      </c>
      <c r="AA292" t="s">
        <v>1171</v>
      </c>
      <c r="AB292" t="s">
        <v>1171</v>
      </c>
      <c r="AC292" t="s">
        <v>1171</v>
      </c>
      <c r="AD292" t="s">
        <v>1171</v>
      </c>
    </row>
    <row r="293" spans="1:30" ht="51" x14ac:dyDescent="0.2">
      <c r="A293" t="s">
        <v>1171</v>
      </c>
      <c r="B293" t="s">
        <v>1465</v>
      </c>
      <c r="C293" t="str">
        <f>"CONF-"&amp;TEXT(us_core_reqs[[#This Row],[ID*]], "0000")</f>
        <v>CONF-0292</v>
      </c>
      <c r="D293" s="11" t="s">
        <v>854</v>
      </c>
      <c r="E293" t="str">
        <f>SUBSTITUTE(us_core_reqs[[#This Row],[URL*]], "https://hl7.org/fhir/us/core/STU8/","")</f>
        <v>changes-between-versions.html#expectation-that-fhir-dstu2-data-is-preserved-in-fhir-r5</v>
      </c>
      <c r="F293" s="11" t="s">
        <v>311</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expectation-that-fhir-dstu2-data-is-preserved-in-fhir-r5</v>
      </c>
      <c r="T293" t="str">
        <f>SUBSTITUTE(SUBSTITUTE(PROPER(SUBSTITUTE(us_core_reqs[[#This Row],[Page]], "-", " "))&amp;": "&amp;PROPER(SUBSTITUTE(us_core_reqs[[#This Row],[Section]], "-", " ")),"Us ","US "), "Uscdi", "USCDI")</f>
        <v>Changes Between Versions: Expectation That Fhir Dstu2 Data Is Preserved In Fhir R5</v>
      </c>
      <c r="U293" t="s">
        <v>32</v>
      </c>
      <c r="V293" t="s">
        <v>1171</v>
      </c>
      <c r="W293" t="s">
        <v>1171</v>
      </c>
      <c r="X293" t="s">
        <v>1171</v>
      </c>
      <c r="Y293" t="s">
        <v>1171</v>
      </c>
      <c r="Z293" t="s">
        <v>1171</v>
      </c>
      <c r="AA293" t="s">
        <v>1171</v>
      </c>
      <c r="AB293" t="s">
        <v>1171</v>
      </c>
      <c r="AC293" t="s">
        <v>1171</v>
      </c>
      <c r="AD293" t="s">
        <v>1171</v>
      </c>
    </row>
    <row r="294" spans="1:30" ht="85" x14ac:dyDescent="0.2">
      <c r="A294" t="s">
        <v>1171</v>
      </c>
      <c r="B294" t="s">
        <v>1466</v>
      </c>
      <c r="C294" t="str">
        <f>"CONF-"&amp;TEXT(us_core_reqs[[#This Row],[ID*]], "0000")</f>
        <v>CONF-0293</v>
      </c>
      <c r="D294" s="11" t="s">
        <v>855</v>
      </c>
      <c r="E294" t="str">
        <f>SUBSTITUTE(us_core_reqs[[#This Row],[URL*]], "https://hl7.org/fhir/us/core/STU8/","")</f>
        <v>changes-between-versions.html#expectation-that-fhir-dstu2-data-is-preserved-in-fhir-r7</v>
      </c>
      <c r="F294" s="11" t="s">
        <v>313</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expectation-that-fhir-dstu2-data-is-preserved-in-fhir-r7</v>
      </c>
      <c r="T294" t="str">
        <f>SUBSTITUTE(SUBSTITUTE(PROPER(SUBSTITUTE(us_core_reqs[[#This Row],[Page]], "-", " "))&amp;": "&amp;PROPER(SUBSTITUTE(us_core_reqs[[#This Row],[Section]], "-", " ")),"Us ","US "), "Uscdi", "USCDI")</f>
        <v>Changes Between Versions: Expectation That Fhir Dstu2 Data Is Preserved In Fhir R7</v>
      </c>
      <c r="U294" t="s">
        <v>35</v>
      </c>
      <c r="V294" t="s">
        <v>1171</v>
      </c>
      <c r="W294" t="s">
        <v>1171</v>
      </c>
      <c r="X294" t="s">
        <v>1171</v>
      </c>
      <c r="Y294" t="s">
        <v>1171</v>
      </c>
      <c r="Z294" t="s">
        <v>1171</v>
      </c>
      <c r="AA294" t="s">
        <v>1171</v>
      </c>
      <c r="AB294" t="s">
        <v>1171</v>
      </c>
      <c r="AC294" t="s">
        <v>1171</v>
      </c>
      <c r="AD294" t="s">
        <v>1171</v>
      </c>
    </row>
    <row r="295" spans="1:30" ht="85" x14ac:dyDescent="0.2">
      <c r="A295" t="s">
        <v>1171</v>
      </c>
      <c r="B295" t="s">
        <v>1467</v>
      </c>
      <c r="C295" t="str">
        <f>"CONF-"&amp;TEXT(us_core_reqs[[#This Row],[ID*]], "0000")</f>
        <v>CONF-0294</v>
      </c>
      <c r="D295" s="11" t="s">
        <v>856</v>
      </c>
      <c r="E295" t="str">
        <f>SUBSTITUTE(us_core_reqs[[#This Row],[URL*]], "https://hl7.org/fhir/us/core/STU8/","")</f>
        <v>changes-between-versions.html#expectation-that-fhir-dstu2-data-is-preserved-in-fhir-r8</v>
      </c>
      <c r="F295" s="11" t="s">
        <v>314</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expectation-that-fhir-dstu2-data-is-preserved-in-fhir-r8</v>
      </c>
      <c r="T295" t="str">
        <f>SUBSTITUTE(SUBSTITUTE(PROPER(SUBSTITUTE(us_core_reqs[[#This Row],[Page]], "-", " "))&amp;": "&amp;PROPER(SUBSTITUTE(us_core_reqs[[#This Row],[Section]], "-", " ")),"Us ","US "), "Uscdi", "USCDI")</f>
        <v>Changes Between Versions: Expectation That Fhir Dstu2 Data Is Preserved In Fhir R8</v>
      </c>
      <c r="U295" t="s">
        <v>32</v>
      </c>
      <c r="V295" t="s">
        <v>1171</v>
      </c>
      <c r="W295" t="s">
        <v>1171</v>
      </c>
      <c r="X295" t="s">
        <v>1171</v>
      </c>
      <c r="Y295" t="s">
        <v>1171</v>
      </c>
      <c r="Z295" t="s">
        <v>1171</v>
      </c>
      <c r="AA295" t="s">
        <v>1171</v>
      </c>
      <c r="AB295" t="s">
        <v>1171</v>
      </c>
      <c r="AC295" t="s">
        <v>1171</v>
      </c>
      <c r="AD295" t="s">
        <v>1171</v>
      </c>
    </row>
    <row r="296" spans="1:30" ht="51" x14ac:dyDescent="0.2">
      <c r="A296" t="s">
        <v>1171</v>
      </c>
      <c r="B296" t="s">
        <v>1468</v>
      </c>
      <c r="C296" t="str">
        <f>"CONF-"&amp;TEXT(us_core_reqs[[#This Row],[ID*]], "0000")</f>
        <v>CONF-0295</v>
      </c>
      <c r="D296" s="11" t="s">
        <v>857</v>
      </c>
      <c r="E296" t="str">
        <f>SUBSTITUTE(us_core_reqs[[#This Row],[URL*]], "https://hl7.org/fhir/us/core/STU8/","")</f>
        <v>changes-between-versions.html#expectation-that-fhir-dstu2-data-is-preserved-in-fhir-r9</v>
      </c>
      <c r="F296" s="11" t="s">
        <v>316</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expectation-that-fhir-dstu2-data-is-preserved-in-fhir-r9</v>
      </c>
      <c r="T296" t="str">
        <f>SUBSTITUTE(SUBSTITUTE(PROPER(SUBSTITUTE(us_core_reqs[[#This Row],[Page]], "-", " "))&amp;": "&amp;PROPER(SUBSTITUTE(us_core_reqs[[#This Row],[Section]], "-", " ")),"Us ","US "), "Uscdi", "USCDI")</f>
        <v>Changes Between Versions: Expectation That Fhir Dstu2 Data Is Preserved In Fhir R9</v>
      </c>
      <c r="U296" t="s">
        <v>32</v>
      </c>
      <c r="V296" t="s">
        <v>30</v>
      </c>
      <c r="W296" t="s">
        <v>1171</v>
      </c>
      <c r="X296" t="s">
        <v>1171</v>
      </c>
      <c r="Y296" t="s">
        <v>1171</v>
      </c>
      <c r="Z296" t="s">
        <v>1171</v>
      </c>
      <c r="AA296" t="s">
        <v>1171</v>
      </c>
      <c r="AB296" t="s">
        <v>1171</v>
      </c>
      <c r="AC296" t="s">
        <v>1171</v>
      </c>
      <c r="AD296" t="s">
        <v>1171</v>
      </c>
    </row>
    <row r="297" spans="1:30" ht="68" x14ac:dyDescent="0.2">
      <c r="A297" t="s">
        <v>1171</v>
      </c>
      <c r="B297" t="s">
        <v>1469</v>
      </c>
      <c r="C297" t="str">
        <f>"CONF-"&amp;TEXT(us_core_reqs[[#This Row],[ID*]], "0000")</f>
        <v>CONF-0296</v>
      </c>
      <c r="D297" s="11" t="s">
        <v>858</v>
      </c>
      <c r="E297" t="str">
        <f>SUBSTITUTE(us_core_reqs[[#This Row],[URL*]], "https://hl7.org/fhir/us/core/STU8/","")</f>
        <v>changes-between-versions.html#expectation-that-fhir-dstu2-data-is-preserved-in-fhir-r10</v>
      </c>
      <c r="F297" s="11" t="s">
        <v>318</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expectation-that-fhir-dstu2-data-is-preserved-in-fhir-r10</v>
      </c>
      <c r="T297" t="str">
        <f>SUBSTITUTE(SUBSTITUTE(PROPER(SUBSTITUTE(us_core_reqs[[#This Row],[Page]], "-", " "))&amp;": "&amp;PROPER(SUBSTITUTE(us_core_reqs[[#This Row],[Section]], "-", " ")),"Us ","US "), "Uscdi", "USCDI")</f>
        <v>Changes Between Versions: Expectation That Fhir Dstu2 Data Is Preserved In Fhir R10</v>
      </c>
      <c r="U297" t="s">
        <v>32</v>
      </c>
      <c r="V297" t="s">
        <v>30</v>
      </c>
      <c r="W297" t="s">
        <v>31</v>
      </c>
      <c r="X297" t="s">
        <v>1171</v>
      </c>
      <c r="Y297" t="s">
        <v>1171</v>
      </c>
      <c r="Z297" t="s">
        <v>1171</v>
      </c>
      <c r="AA297" t="s">
        <v>1171</v>
      </c>
      <c r="AB297" t="s">
        <v>1171</v>
      </c>
      <c r="AC297" t="s">
        <v>1171</v>
      </c>
      <c r="AD297" t="s">
        <v>1171</v>
      </c>
    </row>
    <row r="298" spans="1:30" ht="68" x14ac:dyDescent="0.2">
      <c r="A298" t="s">
        <v>1171</v>
      </c>
      <c r="B298" t="s">
        <v>1470</v>
      </c>
      <c r="C298" t="str">
        <f>"CONF-"&amp;TEXT(us_core_reqs[[#This Row],[ID*]], "0000")</f>
        <v>CONF-0297</v>
      </c>
      <c r="D298" s="11" t="s">
        <v>859</v>
      </c>
      <c r="E298" t="str">
        <f>SUBSTITUTE(us_core_reqs[[#This Row],[URL*]], "https://hl7.org/fhir/us/core/STU8/","")</f>
        <v>changes-between-versions.html#expectation-that-fhir-dstu2-data-is-preserved-in-fhir-r11</v>
      </c>
      <c r="F298" s="11" t="s">
        <v>319</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expectation-that-fhir-dstu2-data-is-preserved-in-fhir-r11</v>
      </c>
      <c r="T298" t="str">
        <f>SUBSTITUTE(SUBSTITUTE(PROPER(SUBSTITUTE(us_core_reqs[[#This Row],[Page]], "-", " "))&amp;": "&amp;PROPER(SUBSTITUTE(us_core_reqs[[#This Row],[Section]], "-", " ")),"Us ","US "), "Uscdi", "USCDI")</f>
        <v>Changes Between Versions: Expectation That Fhir Dstu2 Data Is Preserved In Fhir R11</v>
      </c>
      <c r="U298" t="s">
        <v>32</v>
      </c>
      <c r="V298" t="s">
        <v>30</v>
      </c>
      <c r="W298" t="s">
        <v>320</v>
      </c>
      <c r="X298" t="s">
        <v>1171</v>
      </c>
      <c r="Y298" t="s">
        <v>1171</v>
      </c>
      <c r="Z298" t="s">
        <v>1171</v>
      </c>
      <c r="AA298" t="s">
        <v>1171</v>
      </c>
      <c r="AB298" t="s">
        <v>1171</v>
      </c>
      <c r="AC298" t="s">
        <v>1171</v>
      </c>
      <c r="AD298" t="s">
        <v>1171</v>
      </c>
    </row>
    <row r="299" spans="1:30" ht="51" x14ac:dyDescent="0.2">
      <c r="A299" t="s">
        <v>1171</v>
      </c>
      <c r="B299" t="s">
        <v>1471</v>
      </c>
      <c r="C299" t="str">
        <f>"CONF-"&amp;TEXT(us_core_reqs[[#This Row],[ID*]], "0000")</f>
        <v>CONF-0298</v>
      </c>
      <c r="D299" s="11" t="s">
        <v>860</v>
      </c>
      <c r="E299" t="str">
        <f>SUBSTITUTE(us_core_reqs[[#This Row],[URL*]], "https://hl7.org/fhir/us/core/STU8/","")</f>
        <v>changes-between-versions.html#expectation-that-fhir-dstu2-data-is-preserved-in-fhir-r12</v>
      </c>
      <c r="F299" s="11" t="s">
        <v>321</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expectation-that-fhir-dstu2-data-is-preserved-in-fhir-r12</v>
      </c>
      <c r="T299" t="str">
        <f>SUBSTITUTE(SUBSTITUTE(PROPER(SUBSTITUTE(us_core_reqs[[#This Row],[Page]], "-", " "))&amp;": "&amp;PROPER(SUBSTITUTE(us_core_reqs[[#This Row],[Section]], "-", " ")),"Us ","US "), "Uscdi", "USCDI")</f>
        <v>Changes Between Versions: Expectation That Fhir Dstu2 Data Is Preserved In Fhir R12</v>
      </c>
      <c r="U299" t="s">
        <v>32</v>
      </c>
      <c r="V299" t="s">
        <v>1171</v>
      </c>
      <c r="W299" t="s">
        <v>106</v>
      </c>
      <c r="X299" t="s">
        <v>1171</v>
      </c>
      <c r="Y299" t="s">
        <v>1171</v>
      </c>
      <c r="Z299" t="s">
        <v>1171</v>
      </c>
      <c r="AA299" t="s">
        <v>1171</v>
      </c>
      <c r="AB299" t="s">
        <v>1171</v>
      </c>
      <c r="AC299" t="s">
        <v>1171</v>
      </c>
      <c r="AD299" t="s">
        <v>1171</v>
      </c>
    </row>
    <row r="300" spans="1:30" ht="51" x14ac:dyDescent="0.2">
      <c r="A300" t="s">
        <v>1171</v>
      </c>
      <c r="B300" t="s">
        <v>1472</v>
      </c>
      <c r="C300" t="str">
        <f>"CONF-"&amp;TEXT(us_core_reqs[[#This Row],[ID*]], "0000")</f>
        <v>CONF-0299</v>
      </c>
      <c r="D300" s="11" t="s">
        <v>861</v>
      </c>
      <c r="E300" t="str">
        <f>SUBSTITUTE(us_core_reqs[[#This Row],[URL*]], "https://hl7.org/fhir/us/core/STU8/","")</f>
        <v>changes-between-versions.html#expectation-that-fhir-dstu2-data-is-preserved-in-fhir-r13</v>
      </c>
      <c r="F300" s="11" t="s">
        <v>933</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expectation-that-fhir-dstu2-data-is-preserved-in-fhir-r13</v>
      </c>
      <c r="T300" t="str">
        <f>SUBSTITUTE(SUBSTITUTE(PROPER(SUBSTITUTE(us_core_reqs[[#This Row],[Page]], "-", " "))&amp;": "&amp;PROPER(SUBSTITUTE(us_core_reqs[[#This Row],[Section]], "-", " ")),"Us ","US "), "Uscdi", "USCDI")</f>
        <v>Changes Between Versions: Expectation That Fhir Dstu2 Data Is Preserved In Fhir R13</v>
      </c>
      <c r="U300" t="s">
        <v>32</v>
      </c>
      <c r="V300" t="s">
        <v>58</v>
      </c>
      <c r="W300" t="s">
        <v>106</v>
      </c>
      <c r="X300" t="s">
        <v>1171</v>
      </c>
      <c r="Y300" t="s">
        <v>1171</v>
      </c>
      <c r="Z300" t="s">
        <v>1171</v>
      </c>
      <c r="AA300" t="s">
        <v>1171</v>
      </c>
      <c r="AB300" t="s">
        <v>1171</v>
      </c>
      <c r="AC300" t="s">
        <v>1171</v>
      </c>
      <c r="AD300" t="s">
        <v>1171</v>
      </c>
    </row>
    <row r="301" spans="1:30" ht="34"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322</v>
      </c>
      <c r="G301" t="s">
        <v>29</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29</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51"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323</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51"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324</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51"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68"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51"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51"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102"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68"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335</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68"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337</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68"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338</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68"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1040</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340</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341</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342</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102"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1041</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85"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344</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85"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345</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68"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864</v>
      </c>
      <c r="G321" t="s">
        <v>32</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102"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347</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102"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349</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102"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751</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51"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351</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102"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1042</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102"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1043</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102"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934</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102"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935</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102"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936</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68"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866</v>
      </c>
      <c r="G331" t="s">
        <v>32</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51"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758</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51"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1088</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68"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1089</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68"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354</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51"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51"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68"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51"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51"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51"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363</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51"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364</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68"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365</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367</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51"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51"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369</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51"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370</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51"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371</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51"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372</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51"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373</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51"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374</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51"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375</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51"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376</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51"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377</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85"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378</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51"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380</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51"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1090</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51"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1091</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51"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51"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51"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51"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85"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384</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85"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68"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102"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85"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1047</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51"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939</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51"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940</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51"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389</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51"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390</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51"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391</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68"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392</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68"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1048</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941</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942</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51"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395</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68"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1049</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943</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944</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68"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398</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68"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400</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85"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401</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1092</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51"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1093</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51"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1050</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945</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946</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51"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68"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85"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770</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51"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51"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85"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408</v>
      </c>
      <c r="G396" t="s">
        <v>32</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85"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409</v>
      </c>
      <c r="G397" t="s">
        <v>32</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85"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85"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85"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85"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85"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1051</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85"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1052</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85"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947</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85"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948</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85"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1053</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85"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1054</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51"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417</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68"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1055</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51"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949</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51"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950</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102"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1056</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51"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951</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51"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952</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68"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1058</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51"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953</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85"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875</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51"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420</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51"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421</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136"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422</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136"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423</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68"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424</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51"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426</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51"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429</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85"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432</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70"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435</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53"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53"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439</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53"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441</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53"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51"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1086</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68"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1087</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51"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68"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51"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68"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68"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51"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452</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102"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1064</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51"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68"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880</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51"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459</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51"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460</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68"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1066</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51"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464</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85"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466</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119"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467</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51"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468</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85"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470</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85"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1067</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68"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51"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473</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119"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475</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476</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51"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477</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478</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85"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479</v>
      </c>
      <c r="G459" t="s">
        <v>32</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36"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36"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136"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891</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85"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892</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136"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893</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85"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894</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68"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787</v>
      </c>
      <c r="G466" t="s">
        <v>29</v>
      </c>
      <c r="I466" t="s">
        <v>30</v>
      </c>
      <c r="J466" t="s">
        <v>1171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485</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36"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486</v>
      </c>
      <c r="G470" t="s">
        <v>29</v>
      </c>
      <c r="I470" t="s">
        <v>30</v>
      </c>
      <c r="J470" t="s">
        <v>1171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19"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487</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70"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488</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490</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102"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896</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51"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51"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1069</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954</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494</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85"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495</v>
      </c>
      <c r="G479" t="s">
        <v>32</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497</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805</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68"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499</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68"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501</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85"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1070</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51"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955</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502</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51"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504</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102"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897</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505</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506</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507</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508</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509</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510</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511</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512</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513</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514</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515</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516</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517</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518</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519</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520</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521</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522</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523</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51"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524</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526</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528</v>
      </c>
      <c r="G511" t="s">
        <v>32</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51"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51"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85"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532</v>
      </c>
      <c r="G514" t="s">
        <v>32</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85"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51"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533</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68"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534</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68"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535</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85"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1072</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956</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68"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536</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68"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537</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102"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902</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1073</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957</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51"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744</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34"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541</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34"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542</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34"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543</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34"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544</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51"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750</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34"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545</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51"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546</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34"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547</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34"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548</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549</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34"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550</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34"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551</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34"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552</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34"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553</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554</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34"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1076</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34"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556</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34"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557</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34"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558</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34"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559</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51"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560</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51"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1078</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561</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561</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562</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562</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563</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563</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51"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564</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51"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564</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51"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565</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51"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565</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566</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566</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34"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567</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34"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567</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568</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568</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34"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569</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34"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569</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570</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570</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51"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1080</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51"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1081</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34"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571</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34"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571</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34"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572</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34"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572</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68"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904</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68"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904</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51"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573</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51"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573</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574</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574</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68"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68"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68"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51"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51"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51"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51"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102"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102"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s">
        <v>1171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102"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s">
        <v>1171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51"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s">
        <v>1171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68"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s">
        <v>1171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51"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51"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s">
        <v>1171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68"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68"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s">
        <v>1171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68"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s">
        <v>1171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51"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s">
        <v>1171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85" x14ac:dyDescent="0.2">
      <c r="A603" t="s">
        <v>1171</v>
      </c>
      <c r="B603" t="s">
        <v>1775</v>
      </c>
      <c r="C603" t="str">
        <f>"CONF-"&amp;TEXT(us_core_reqs[[#This Row],[ID*]], "0000")</f>
        <v>CONF-0815</v>
      </c>
      <c r="D603"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51"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102"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1879</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51" x14ac:dyDescent="0.2">
      <c r="A606" t="s">
        <v>1171</v>
      </c>
      <c r="B606" t="s">
        <v>1778</v>
      </c>
      <c r="C606" t="str">
        <f>"CONF-"&amp;TEXT(us_core_reqs[[#This Row],[ID*]], "0000")</f>
        <v>CONF-0818</v>
      </c>
      <c r="D606" s="11" t="s">
        <v>627</v>
      </c>
      <c r="E606" t="str">
        <f>SUBSTITUTE(us_core_reqs[[#This Row],[URL*]], "https://hl7.org/fhir/us/core/STU8/","")</f>
        <v>clinical-notes.html#clinical-notes</v>
      </c>
      <c r="F606" s="11" t="s">
        <v>715</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68" x14ac:dyDescent="0.2">
      <c r="A607" t="s">
        <v>1171</v>
      </c>
      <c r="B607" t="s">
        <v>1779</v>
      </c>
      <c r="C607" t="str">
        <f>"CONF-"&amp;TEXT(us_core_reqs[[#This Row],[ID*]], "0000")</f>
        <v>CONF-0819</v>
      </c>
      <c r="D607" s="11" t="s">
        <v>627</v>
      </c>
      <c r="E607" t="str">
        <f>SUBSTITUTE(us_core_reqs[[#This Row],[URL*]], "https://hl7.org/fhir/us/core/STU8/","")</f>
        <v>clinical-notes.html#clinical-notes</v>
      </c>
      <c r="F607" s="11" t="s">
        <v>716</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51"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51"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68"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68"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68"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743</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221"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747</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68"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221"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746</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68"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51"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51"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51"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s">
        <v>1171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s">
        <v>1171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51"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s">
        <v>1171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68"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85"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102"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85"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119"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102"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51"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777</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51"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85"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s">
        <v>1171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85"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s">
        <v>1171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51"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s">
        <v>1171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68"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785</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786</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36"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102"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102"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102"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53"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811</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89"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813</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53"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812</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89"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814</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53"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s">
        <v>1171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102"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s">
        <v>1171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70"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s">
        <v>1171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51"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51"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1130</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51"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102"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1133</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102"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1134</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68"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51"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51"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102" x14ac:dyDescent="0.2">
      <c r="A661" t="b">
        <v>1</v>
      </c>
      <c r="B661">
        <v>873</v>
      </c>
      <c r="C661" t="str">
        <f>"CONF-"&amp;TEXT(us_core_reqs[[#This Row],[ID*]], "0000")</f>
        <v>CONF-0873</v>
      </c>
      <c r="D66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51" x14ac:dyDescent="0.2">
      <c r="A662" t="b">
        <v>1</v>
      </c>
      <c r="B662">
        <v>874</v>
      </c>
      <c r="C662" t="str">
        <f>"CONF-"&amp;TEXT(us_core_reqs[[#This Row],[ID*]], "0000")</f>
        <v>CONF-0874</v>
      </c>
      <c r="D662"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51" x14ac:dyDescent="0.2">
      <c r="A663" t="b">
        <v>1</v>
      </c>
      <c r="B663">
        <v>875</v>
      </c>
      <c r="C663" t="str">
        <f>"CONF-"&amp;TEXT(us_core_reqs[[#This Row],[ID*]], "0000")</f>
        <v>CONF-0875</v>
      </c>
      <c r="D663"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68" x14ac:dyDescent="0.2">
      <c r="A664" t="b">
        <v>1</v>
      </c>
      <c r="B664">
        <v>876</v>
      </c>
      <c r="C664" t="str">
        <f>"CONF-"&amp;TEXT(us_core_reqs[[#This Row],[ID*]], "0000")</f>
        <v>CONF-0876</v>
      </c>
      <c r="D664"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51" x14ac:dyDescent="0.2">
      <c r="A665" t="b">
        <v>1</v>
      </c>
      <c r="B665">
        <v>877</v>
      </c>
      <c r="C665" t="str">
        <f>"CONF-"&amp;TEXT(us_core_reqs[[#This Row],[ID*]], "0000")</f>
        <v>CONF-0877</v>
      </c>
      <c r="D665"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51" x14ac:dyDescent="0.2">
      <c r="A666" t="b">
        <v>1</v>
      </c>
      <c r="B666">
        <v>878</v>
      </c>
      <c r="C666" t="str">
        <f>"CONF-"&amp;TEXT(us_core_reqs[[#This Row],[ID*]], "0000")</f>
        <v>CONF-0878</v>
      </c>
      <c r="D666" s="79"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68" x14ac:dyDescent="0.2">
      <c r="A667" t="b">
        <v>1</v>
      </c>
      <c r="B667">
        <v>879</v>
      </c>
      <c r="C667" t="str">
        <f>"CONF-"&amp;TEXT(us_core_reqs[[#This Row],[ID*]], "0000")</f>
        <v>CONF-0879</v>
      </c>
      <c r="D667"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68" x14ac:dyDescent="0.2">
      <c r="A668" t="b">
        <v>1</v>
      </c>
      <c r="B668">
        <v>880</v>
      </c>
      <c r="C668" t="str">
        <f>"CONF-"&amp;TEXT(us_core_reqs[[#This Row],[ID*]], "0000")</f>
        <v>CONF-0880</v>
      </c>
      <c r="D668"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x14ac:dyDescent="0.2">
      <c r="A669" t="b">
        <v>1</v>
      </c>
      <c r="B669">
        <v>881</v>
      </c>
      <c r="C669" t="str">
        <f>"CONF-"&amp;TEXT(us_core_reqs[[#This Row],[ID*]], "0000")</f>
        <v>CONF-0881</v>
      </c>
      <c r="D669"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x14ac:dyDescent="0.2">
      <c r="A670" t="b">
        <v>1</v>
      </c>
      <c r="B670">
        <v>882</v>
      </c>
      <c r="C670" t="str">
        <f>"CONF-"&amp;TEXT(us_core_reqs[[#This Row],[ID*]], "0000")</f>
        <v>CONF-0882</v>
      </c>
      <c r="D670" s="79"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68" x14ac:dyDescent="0.2">
      <c r="A671" t="b">
        <v>1</v>
      </c>
      <c r="B671">
        <v>883</v>
      </c>
      <c r="C671" t="str">
        <f>"CONF-"&amp;TEXT(us_core_reqs[[#This Row],[ID*]], "0000")</f>
        <v>CONF-0883</v>
      </c>
      <c r="D671"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51"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t="b">
        <v>1</v>
      </c>
      <c r="L672" t="b">
        <v>0</v>
      </c>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row>
  </sheetData>
  <phoneticPr fontId="19" type="noConversion"/>
  <hyperlinks>
    <hyperlink ref="D81" r:id="rId1" location="must-support-el+D647ements" xr:uid="{A14B4D5F-33FE-294C-9B9A-081DD89AA7C2}"/>
  </hyperlinks>
  <pageMargins left="0.7" right="0.7" top="0.75" bottom="0.75" header="0.3" footer="0.3"/>
  <pageSetup orientation="portrait" horizontalDpi="0" verticalDpi="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7" t="s">
        <v>578</v>
      </c>
      <c r="B1" s="78"/>
    </row>
    <row r="2" spans="1:2" ht="82.25" customHeight="1" x14ac:dyDescent="0.2">
      <c r="A2" s="78"/>
      <c r="B2" s="78"/>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2.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25D6BB-BE6A-3148-AA42-4BBE2D66A470}">
  <ds:schemaRefs>
    <ds:schemaRef ds:uri="http://schemas.microsoft.com/DataMashup"/>
  </ds:schemaRefs>
</ds:datastoreItem>
</file>

<file path=customXml/itemProps4.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2026-02-25T19:13:52Z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