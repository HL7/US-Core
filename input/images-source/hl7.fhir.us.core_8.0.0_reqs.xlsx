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6F689D54-FDF6-E641-A28F-E8920F384851}" xr6:coauthVersionLast="47" xr6:coauthVersionMax="47" xr10:uidLastSave="{00000000-0000-0000-0000-000000000000}"/>
  <bookViews>
    <workbookView xWindow="6124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us_core_reqs!$A$1:$AD$673</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0" i="11" l="1"/>
  <c r="S672" i="11"/>
  <c r="R672" i="11"/>
  <c r="E672" i="11"/>
  <c r="C672" i="11"/>
  <c r="S673" i="11"/>
  <c r="R673"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S241" i="11"/>
  <c r="R241" i="11"/>
  <c r="S240" i="11"/>
  <c r="R240" i="11"/>
  <c r="S239" i="11"/>
  <c r="R239" i="11"/>
  <c r="S238" i="11"/>
  <c r="R238" i="11"/>
  <c r="S237" i="11"/>
  <c r="R237" i="11"/>
  <c r="S236" i="11"/>
  <c r="R236" i="11"/>
  <c r="S235" i="11"/>
  <c r="R235" i="1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3" i="11"/>
  <c r="C673" i="11"/>
  <c r="C671" i="11"/>
  <c r="C670" i="11"/>
  <c r="P587" i="5"/>
  <c r="O587" i="5"/>
  <c r="N587" i="5" a="1"/>
  <c r="N587" i="5" s="1"/>
  <c r="M587" i="5" a="1"/>
  <c r="M587" i="5" s="1"/>
  <c r="P586" i="5"/>
  <c r="O586" i="5"/>
  <c r="N586" i="5" a="1"/>
  <c r="N586" i="5" s="1"/>
  <c r="M586" i="5" a="1"/>
  <c r="M586" i="5" s="1"/>
  <c r="T453" i="11" l="1"/>
  <c r="T461" i="11"/>
  <c r="T469" i="11"/>
  <c r="T477" i="11"/>
  <c r="T481" i="11"/>
  <c r="T485" i="11"/>
  <c r="T489" i="11"/>
  <c r="T493" i="11"/>
  <c r="T501" i="11"/>
  <c r="T5" i="11"/>
  <c r="T9" i="11"/>
  <c r="T13" i="11"/>
  <c r="T17" i="11"/>
  <c r="T21" i="11"/>
  <c r="T25" i="11"/>
  <c r="T29" i="11"/>
  <c r="T33" i="11"/>
  <c r="T37" i="11"/>
  <c r="T41" i="11"/>
  <c r="T45" i="11"/>
  <c r="T49" i="11"/>
  <c r="T53" i="11"/>
  <c r="T57" i="11"/>
  <c r="T61" i="11"/>
  <c r="T65" i="11"/>
  <c r="T69" i="11"/>
  <c r="T73" i="11"/>
  <c r="T77" i="11"/>
  <c r="T81" i="11"/>
  <c r="T85" i="11"/>
  <c r="T89" i="11"/>
  <c r="T93" i="11"/>
  <c r="T97" i="11"/>
  <c r="T101" i="11"/>
  <c r="T105" i="11"/>
  <c r="T109" i="11"/>
  <c r="T113" i="11"/>
  <c r="T117" i="11"/>
  <c r="T121" i="11"/>
  <c r="T125" i="11"/>
  <c r="T129" i="11"/>
  <c r="T133" i="11"/>
  <c r="T137" i="11"/>
  <c r="T141" i="11"/>
  <c r="T6" i="11"/>
  <c r="T10" i="11"/>
  <c r="T14" i="11"/>
  <c r="T18" i="11"/>
  <c r="T22" i="11"/>
  <c r="T26" i="11"/>
  <c r="T30" i="11"/>
  <c r="T34" i="11"/>
  <c r="T38" i="11"/>
  <c r="T42" i="11"/>
  <c r="T46" i="11"/>
  <c r="T50" i="11"/>
  <c r="T54" i="11"/>
  <c r="T58" i="11"/>
  <c r="T62" i="11"/>
  <c r="T66" i="11"/>
  <c r="T70" i="11"/>
  <c r="T74" i="11"/>
  <c r="T78" i="11"/>
  <c r="T82" i="11"/>
  <c r="T86" i="11"/>
  <c r="T90" i="11"/>
  <c r="T94" i="11"/>
  <c r="T98" i="11"/>
  <c r="T102" i="11"/>
  <c r="T3" i="11"/>
  <c r="T7" i="11"/>
  <c r="T11" i="11"/>
  <c r="T15" i="11"/>
  <c r="T19" i="11"/>
  <c r="T23" i="11"/>
  <c r="T27" i="11"/>
  <c r="T31" i="11"/>
  <c r="T35" i="11"/>
  <c r="T39" i="11"/>
  <c r="T43" i="11"/>
  <c r="T47" i="11"/>
  <c r="T51" i="11"/>
  <c r="T55" i="11"/>
  <c r="T59" i="11"/>
  <c r="T63" i="11"/>
  <c r="T67" i="11"/>
  <c r="T71" i="11"/>
  <c r="T75" i="11"/>
  <c r="T79" i="11"/>
  <c r="T83" i="11"/>
  <c r="T87" i="11"/>
  <c r="T91" i="11"/>
  <c r="T95" i="11"/>
  <c r="T99" i="11"/>
  <c r="T103" i="11"/>
  <c r="T107" i="11"/>
  <c r="T111" i="11"/>
  <c r="T115" i="11"/>
  <c r="T119" i="11"/>
  <c r="T123" i="11"/>
  <c r="T127" i="11"/>
  <c r="T131" i="11"/>
  <c r="T135" i="11"/>
  <c r="T139" i="11"/>
  <c r="T143" i="11"/>
  <c r="T147" i="11"/>
  <c r="T151" i="11"/>
  <c r="T155" i="11"/>
  <c r="T159" i="11"/>
  <c r="T163" i="11"/>
  <c r="T167" i="11"/>
  <c r="T171" i="11"/>
  <c r="T175" i="11"/>
  <c r="T179" i="11"/>
  <c r="T183" i="11"/>
  <c r="T187" i="11"/>
  <c r="T191" i="11"/>
  <c r="T195" i="11"/>
  <c r="T199" i="11"/>
  <c r="T203" i="11"/>
  <c r="T207" i="11"/>
  <c r="T211" i="11"/>
  <c r="T215" i="11"/>
  <c r="T219" i="11"/>
  <c r="T223" i="11"/>
  <c r="T227" i="11"/>
  <c r="T145" i="11"/>
  <c r="T149" i="11"/>
  <c r="T153" i="11"/>
  <c r="T157" i="11"/>
  <c r="T161" i="11"/>
  <c r="T165" i="11"/>
  <c r="T169" i="11"/>
  <c r="T173" i="11"/>
  <c r="T177" i="11"/>
  <c r="T181" i="11"/>
  <c r="T185" i="11"/>
  <c r="T189" i="11"/>
  <c r="T193" i="11"/>
  <c r="T197" i="11"/>
  <c r="T365" i="11"/>
  <c r="T373" i="11"/>
  <c r="T381" i="11"/>
  <c r="T389" i="11"/>
  <c r="T397" i="11"/>
  <c r="T405" i="11"/>
  <c r="T413" i="11"/>
  <c r="T417" i="11"/>
  <c r="T421" i="11"/>
  <c r="T425" i="11"/>
  <c r="T429" i="11"/>
  <c r="T437" i="11"/>
  <c r="T445" i="11"/>
  <c r="T106" i="11"/>
  <c r="T110" i="11"/>
  <c r="T114" i="11"/>
  <c r="T118" i="11"/>
  <c r="T122" i="11"/>
  <c r="T126" i="11"/>
  <c r="T130" i="11"/>
  <c r="T134" i="11"/>
  <c r="T138" i="11"/>
  <c r="T142" i="11"/>
  <c r="T146" i="11"/>
  <c r="T150" i="11"/>
  <c r="T154" i="11"/>
  <c r="T158" i="11"/>
  <c r="T162" i="11"/>
  <c r="T166" i="11"/>
  <c r="T170" i="11"/>
  <c r="T174" i="11"/>
  <c r="T178" i="11"/>
  <c r="T182" i="11"/>
  <c r="T186" i="11"/>
  <c r="T190" i="11"/>
  <c r="T194" i="11"/>
  <c r="T198" i="11"/>
  <c r="T202" i="11"/>
  <c r="T206" i="11"/>
  <c r="T210" i="11"/>
  <c r="T214" i="11"/>
  <c r="T218" i="11"/>
  <c r="T222" i="11"/>
  <c r="T226" i="11"/>
  <c r="T658" i="11"/>
  <c r="T662" i="11"/>
  <c r="T666" i="11"/>
  <c r="T670" i="11"/>
  <c r="T231" i="11"/>
  <c r="T235" i="11"/>
  <c r="T239" i="11"/>
  <c r="T243" i="11"/>
  <c r="T247" i="11"/>
  <c r="T251" i="11"/>
  <c r="T255" i="11"/>
  <c r="T259" i="11"/>
  <c r="T263" i="11"/>
  <c r="T267" i="11"/>
  <c r="T271" i="11"/>
  <c r="T275" i="11"/>
  <c r="T279" i="11"/>
  <c r="T283" i="11"/>
  <c r="T287" i="11"/>
  <c r="T291" i="11"/>
  <c r="T295" i="11"/>
  <c r="T303" i="11"/>
  <c r="T307" i="11"/>
  <c r="T311" i="11"/>
  <c r="T315" i="11"/>
  <c r="T319" i="11"/>
  <c r="T323" i="11"/>
  <c r="T327" i="11"/>
  <c r="T331" i="11"/>
  <c r="T335" i="11"/>
  <c r="T339" i="11"/>
  <c r="T343" i="11"/>
  <c r="T347" i="11"/>
  <c r="T351" i="11"/>
  <c r="T355" i="11"/>
  <c r="T359" i="11"/>
  <c r="T363" i="11"/>
  <c r="T367" i="11"/>
  <c r="T371" i="11"/>
  <c r="T375" i="11"/>
  <c r="T379" i="11"/>
  <c r="T383" i="11"/>
  <c r="T387" i="11"/>
  <c r="T391" i="11"/>
  <c r="T395" i="11"/>
  <c r="T399" i="11"/>
  <c r="T403" i="11"/>
  <c r="T407" i="11"/>
  <c r="T411" i="11"/>
  <c r="T415" i="11"/>
  <c r="T419" i="11"/>
  <c r="T423" i="11"/>
  <c r="T427" i="11"/>
  <c r="T431" i="11"/>
  <c r="T435" i="11"/>
  <c r="T439" i="11"/>
  <c r="T443" i="11"/>
  <c r="T447" i="11"/>
  <c r="T451" i="11"/>
  <c r="T455" i="11"/>
  <c r="T459" i="11"/>
  <c r="T463" i="11"/>
  <c r="T467" i="11"/>
  <c r="T471" i="11"/>
  <c r="T475" i="11"/>
  <c r="T479" i="11"/>
  <c r="T483" i="11"/>
  <c r="T487" i="11"/>
  <c r="T491" i="11"/>
  <c r="T495" i="11"/>
  <c r="T499" i="11"/>
  <c r="T503" i="11"/>
  <c r="T507" i="11"/>
  <c r="T511" i="11"/>
  <c r="T515" i="11"/>
  <c r="T519" i="11"/>
  <c r="T523" i="11"/>
  <c r="T527" i="11"/>
  <c r="T531" i="11"/>
  <c r="T535" i="11"/>
  <c r="T539" i="11"/>
  <c r="T543" i="11"/>
  <c r="T547" i="11"/>
  <c r="T551" i="11"/>
  <c r="T555" i="11"/>
  <c r="T559" i="11"/>
  <c r="T563" i="11"/>
  <c r="T567" i="11"/>
  <c r="T571" i="11"/>
  <c r="T230" i="11"/>
  <c r="T234" i="11"/>
  <c r="T246" i="11"/>
  <c r="T250" i="11"/>
  <c r="T254" i="11"/>
  <c r="T258" i="11"/>
  <c r="T262" i="11"/>
  <c r="T266" i="11"/>
  <c r="T270" i="11"/>
  <c r="T274" i="11"/>
  <c r="T278" i="11"/>
  <c r="T282" i="11"/>
  <c r="T286" i="11"/>
  <c r="T294" i="11"/>
  <c r="T302" i="11"/>
  <c r="T306" i="11"/>
  <c r="T310" i="11"/>
  <c r="T314" i="11"/>
  <c r="T318" i="11"/>
  <c r="T4" i="11"/>
  <c r="T8" i="11"/>
  <c r="T12" i="11"/>
  <c r="T16" i="11"/>
  <c r="T20" i="11"/>
  <c r="T24" i="11"/>
  <c r="T28" i="11"/>
  <c r="T32" i="11"/>
  <c r="T36" i="11"/>
  <c r="T40" i="11"/>
  <c r="T44" i="11"/>
  <c r="T48" i="11"/>
  <c r="T52" i="11"/>
  <c r="T56" i="11"/>
  <c r="T60" i="11"/>
  <c r="T64" i="11"/>
  <c r="T68" i="11"/>
  <c r="T72" i="11"/>
  <c r="T76" i="11"/>
  <c r="T80" i="11"/>
  <c r="T84" i="11"/>
  <c r="T88" i="11"/>
  <c r="T92" i="11"/>
  <c r="T96" i="11"/>
  <c r="T100" i="11"/>
  <c r="T104" i="11"/>
  <c r="T108" i="11"/>
  <c r="T112" i="11"/>
  <c r="T116" i="11"/>
  <c r="T120" i="11"/>
  <c r="T124" i="11"/>
  <c r="T128" i="11"/>
  <c r="T132" i="11"/>
  <c r="T136" i="11"/>
  <c r="T140" i="11"/>
  <c r="T144" i="11"/>
  <c r="T148" i="11"/>
  <c r="T152" i="11"/>
  <c r="T156" i="11"/>
  <c r="T160" i="11"/>
  <c r="T164" i="11"/>
  <c r="T168" i="11"/>
  <c r="T172" i="11"/>
  <c r="T176" i="11"/>
  <c r="T180" i="11"/>
  <c r="T184" i="11"/>
  <c r="T188" i="11"/>
  <c r="T192" i="11"/>
  <c r="T196" i="11"/>
  <c r="T200" i="11"/>
  <c r="T204" i="11"/>
  <c r="T208" i="11"/>
  <c r="T212" i="11"/>
  <c r="T216" i="11"/>
  <c r="T220" i="11"/>
  <c r="T224" i="11"/>
  <c r="T228" i="11"/>
  <c r="T232" i="11"/>
  <c r="T236" i="11"/>
  <c r="T240" i="11"/>
  <c r="T244" i="11"/>
  <c r="T248" i="11"/>
  <c r="T252" i="11"/>
  <c r="T256" i="11"/>
  <c r="T260" i="11"/>
  <c r="T264" i="11"/>
  <c r="T268" i="11"/>
  <c r="T272" i="11"/>
  <c r="T276" i="11"/>
  <c r="T280" i="11"/>
  <c r="T284" i="11"/>
  <c r="T201" i="11"/>
  <c r="T205" i="11"/>
  <c r="T209" i="11"/>
  <c r="T213" i="11"/>
  <c r="T217" i="11"/>
  <c r="T221" i="11"/>
  <c r="T225" i="11"/>
  <c r="T229" i="11"/>
  <c r="T233" i="11"/>
  <c r="T241" i="11"/>
  <c r="T245" i="11"/>
  <c r="T253" i="11"/>
  <c r="T261" i="11"/>
  <c r="T269" i="11"/>
  <c r="T285" i="11"/>
  <c r="T289" i="11"/>
  <c r="T293" i="11"/>
  <c r="T297" i="11"/>
  <c r="T301" i="11"/>
  <c r="T309" i="11"/>
  <c r="T317" i="11"/>
  <c r="T325" i="11"/>
  <c r="T333" i="11"/>
  <c r="T341" i="11"/>
  <c r="T349" i="11"/>
  <c r="T353" i="11"/>
  <c r="T357" i="11"/>
  <c r="T361" i="11"/>
  <c r="T509" i="11"/>
  <c r="T517" i="11"/>
  <c r="T525" i="11"/>
  <c r="T533" i="11"/>
  <c r="T541" i="11"/>
  <c r="T545" i="11"/>
  <c r="T549" i="11"/>
  <c r="T553" i="11"/>
  <c r="T557" i="11"/>
  <c r="T565" i="11"/>
  <c r="T573" i="11"/>
  <c r="T581" i="11"/>
  <c r="T589" i="11"/>
  <c r="T597" i="11"/>
  <c r="T605" i="11"/>
  <c r="T609" i="11"/>
  <c r="T613" i="11"/>
  <c r="T617" i="11"/>
  <c r="T621" i="11"/>
  <c r="T629" i="11"/>
  <c r="T637" i="11"/>
  <c r="T645" i="11"/>
  <c r="T653" i="11"/>
  <c r="T661" i="11"/>
  <c r="T669" i="11"/>
  <c r="T322" i="11"/>
  <c r="T326" i="11"/>
  <c r="T330" i="11"/>
  <c r="T334" i="11"/>
  <c r="T338" i="11"/>
  <c r="T342" i="11"/>
  <c r="T346" i="11"/>
  <c r="T350" i="11"/>
  <c r="T354" i="11"/>
  <c r="T358" i="11"/>
  <c r="T362" i="11"/>
  <c r="T366" i="11"/>
  <c r="T370" i="11"/>
  <c r="T374" i="11"/>
  <c r="T378" i="11"/>
  <c r="T382" i="11"/>
  <c r="T386" i="11"/>
  <c r="T390" i="11"/>
  <c r="T394" i="11"/>
  <c r="T398" i="11"/>
  <c r="T402" i="11"/>
  <c r="T406" i="11"/>
  <c r="T410" i="11"/>
  <c r="T414" i="11"/>
  <c r="T418" i="11"/>
  <c r="T422" i="11"/>
  <c r="T426" i="11"/>
  <c r="T430" i="11"/>
  <c r="T434" i="11"/>
  <c r="T438" i="11"/>
  <c r="T442" i="11"/>
  <c r="T446" i="11"/>
  <c r="T450" i="11"/>
  <c r="T454" i="11"/>
  <c r="T458" i="11"/>
  <c r="T462" i="11"/>
  <c r="T466" i="11"/>
  <c r="T470" i="11"/>
  <c r="T474" i="11"/>
  <c r="T478" i="11"/>
  <c r="T482" i="11"/>
  <c r="T486" i="11"/>
  <c r="T490" i="11"/>
  <c r="T494" i="11"/>
  <c r="T498" i="11"/>
  <c r="T502" i="11"/>
  <c r="T506" i="11"/>
  <c r="T510" i="11"/>
  <c r="T514" i="11"/>
  <c r="T518" i="11"/>
  <c r="T522" i="11"/>
  <c r="T526" i="11"/>
  <c r="T530" i="11"/>
  <c r="T534" i="11"/>
  <c r="T538" i="11"/>
  <c r="T542" i="11"/>
  <c r="T546" i="11"/>
  <c r="T550" i="11"/>
  <c r="T554" i="11"/>
  <c r="T558" i="11"/>
  <c r="T562" i="11"/>
  <c r="T566" i="11"/>
  <c r="T570" i="11"/>
  <c r="T574" i="11"/>
  <c r="T578" i="11"/>
  <c r="T582" i="11"/>
  <c r="T586" i="11"/>
  <c r="T590" i="11"/>
  <c r="T594" i="11"/>
  <c r="T598" i="11"/>
  <c r="T602" i="11"/>
  <c r="T606" i="11"/>
  <c r="T610" i="11"/>
  <c r="T614" i="11"/>
  <c r="T618" i="11"/>
  <c r="T622" i="11"/>
  <c r="T626" i="11"/>
  <c r="T630" i="11"/>
  <c r="T634" i="11"/>
  <c r="T638" i="11"/>
  <c r="T642" i="11"/>
  <c r="T646" i="11"/>
  <c r="T650" i="11"/>
  <c r="T654" i="11"/>
  <c r="T672" i="11"/>
  <c r="T288" i="11"/>
  <c r="T292" i="11"/>
  <c r="T296" i="11"/>
  <c r="T304" i="11"/>
  <c r="T308" i="11"/>
  <c r="T312" i="11"/>
  <c r="T316" i="11"/>
  <c r="T320" i="11"/>
  <c r="T324" i="11"/>
  <c r="T328" i="11"/>
  <c r="T332" i="11"/>
  <c r="T336" i="11"/>
  <c r="T277" i="11"/>
  <c r="T237" i="11"/>
  <c r="T249" i="11"/>
  <c r="T257" i="11"/>
  <c r="T265" i="11"/>
  <c r="T273" i="11"/>
  <c r="T281" i="11"/>
  <c r="T305" i="11"/>
  <c r="T313" i="11"/>
  <c r="T321" i="11"/>
  <c r="T329" i="11"/>
  <c r="T337" i="11"/>
  <c r="T345" i="11"/>
  <c r="T369" i="11"/>
  <c r="T377" i="11"/>
  <c r="T385" i="11"/>
  <c r="T393" i="11"/>
  <c r="T401" i="11"/>
  <c r="T409" i="11"/>
  <c r="T433" i="11"/>
  <c r="T441" i="11"/>
  <c r="T449" i="11"/>
  <c r="T457" i="11"/>
  <c r="T465" i="11"/>
  <c r="T473" i="11"/>
  <c r="T497" i="11"/>
  <c r="T505" i="11"/>
  <c r="T513" i="11"/>
  <c r="T521" i="11"/>
  <c r="T529" i="11"/>
  <c r="T537" i="11"/>
  <c r="T561" i="11"/>
  <c r="T569" i="11"/>
  <c r="T577" i="11"/>
  <c r="T585" i="11"/>
  <c r="T593" i="11"/>
  <c r="T601" i="11"/>
  <c r="T625" i="11"/>
  <c r="T633" i="11"/>
  <c r="T641" i="11"/>
  <c r="T649" i="11"/>
  <c r="T657" i="11"/>
  <c r="T665" i="11"/>
  <c r="T575" i="11"/>
  <c r="T579" i="11"/>
  <c r="T583" i="11"/>
  <c r="T587" i="11"/>
  <c r="T591" i="11"/>
  <c r="T595" i="11"/>
  <c r="T599" i="11"/>
  <c r="T603" i="11"/>
  <c r="T607" i="11"/>
  <c r="T611" i="11"/>
  <c r="T615" i="11"/>
  <c r="T619" i="11"/>
  <c r="T623" i="11"/>
  <c r="T627" i="11"/>
  <c r="T631" i="11"/>
  <c r="T635" i="11"/>
  <c r="T639" i="11"/>
  <c r="T643" i="11"/>
  <c r="T647" i="11"/>
  <c r="T651" i="11"/>
  <c r="T655" i="11"/>
  <c r="T659" i="11"/>
  <c r="T663" i="11"/>
  <c r="T667" i="11"/>
  <c r="T671" i="11"/>
  <c r="T340" i="11"/>
  <c r="T344" i="11"/>
  <c r="T348" i="11"/>
  <c r="T352" i="11"/>
  <c r="T356" i="11"/>
  <c r="T360" i="11"/>
  <c r="T364" i="11"/>
  <c r="T368" i="11"/>
  <c r="T372" i="11"/>
  <c r="T376" i="11"/>
  <c r="T380" i="11"/>
  <c r="T384" i="11"/>
  <c r="T388" i="11"/>
  <c r="T392" i="11"/>
  <c r="T396" i="11"/>
  <c r="T400" i="11"/>
  <c r="T404" i="11"/>
  <c r="T408" i="11"/>
  <c r="T412" i="11"/>
  <c r="T416" i="11"/>
  <c r="T420" i="11"/>
  <c r="T424" i="11"/>
  <c r="T428" i="11"/>
  <c r="T432" i="11"/>
  <c r="T436" i="11"/>
  <c r="T440" i="11"/>
  <c r="T444" i="11"/>
  <c r="T448" i="11"/>
  <c r="T452" i="11"/>
  <c r="T456" i="11"/>
  <c r="T460" i="11"/>
  <c r="T464" i="11"/>
  <c r="T468" i="11"/>
  <c r="T472" i="11"/>
  <c r="T476" i="11"/>
  <c r="T480" i="11"/>
  <c r="T484" i="11"/>
  <c r="T488" i="11"/>
  <c r="T492" i="11"/>
  <c r="T496" i="11"/>
  <c r="T500" i="11"/>
  <c r="T504" i="11"/>
  <c r="T508" i="11"/>
  <c r="T512" i="11"/>
  <c r="T516" i="11"/>
  <c r="T520" i="11"/>
  <c r="T524" i="11"/>
  <c r="T528" i="11"/>
  <c r="T532" i="11"/>
  <c r="T536" i="11"/>
  <c r="T540" i="11"/>
  <c r="T544" i="11"/>
  <c r="T548" i="11"/>
  <c r="T552" i="11"/>
  <c r="T556" i="11"/>
  <c r="T560" i="11"/>
  <c r="T564" i="11"/>
  <c r="T568" i="11"/>
  <c r="T572" i="11"/>
  <c r="T576" i="11"/>
  <c r="T580" i="11"/>
  <c r="T584" i="11"/>
  <c r="T588" i="11"/>
  <c r="T592" i="11"/>
  <c r="T596" i="11"/>
  <c r="T600" i="11"/>
  <c r="T604" i="11"/>
  <c r="T608" i="11"/>
  <c r="T612" i="11"/>
  <c r="T616" i="11"/>
  <c r="T620" i="11"/>
  <c r="T624" i="11"/>
  <c r="T628" i="11"/>
  <c r="T632" i="11"/>
  <c r="T636" i="11"/>
  <c r="T640" i="11"/>
  <c r="T644" i="11"/>
  <c r="T648" i="11"/>
  <c r="T652" i="11"/>
  <c r="T656" i="11"/>
  <c r="T660" i="11"/>
  <c r="T664" i="11"/>
  <c r="T668" i="11"/>
  <c r="T673" i="11"/>
  <c r="T298" i="11"/>
  <c r="T299" i="11"/>
  <c r="T290" i="11"/>
  <c r="T300" i="11"/>
  <c r="T2" i="11"/>
  <c r="T238" i="11"/>
  <c r="T242" i="11"/>
  <c r="P58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<sst xmlns="http://schemas.openxmlformats.org/spreadsheetml/2006/main" count="19699" uniqueCount="1900">
  <si>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</si>
  <si>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</si>
  <si>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</si>
  <si>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</si>
  <si>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</si>
  <si>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</si>
  <si>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</si>
  <si>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</si>
  <si>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</si>
  <si>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</si>
  <si>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</si>
  <si>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</si>
  <si>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</si>
  <si>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</si>
  <si>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</si>
  <si>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</si>
  <si>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</si>
  <si>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</si>
  <si>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</si>
  <si>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</si>
  <si>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</si>
  <si>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</si>
  <si>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</si>
  <si>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</si>
  <si>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</si>
  <si>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</si>
  <si>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</si>
  <si>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</si>
  <si>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</si>
  <si>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</si>
  <si>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</si>
  <si>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</si>
  <si>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</si>
  <si>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</si>
  <si>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</si>
  <si>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</si>
  <si>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</si>
  <si>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</si>
  <si>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</si>
  <si>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</si>
  <si>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</si>
  <si>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</si>
  <si>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</si>
  <si>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</si>
  <si>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</si>
  <si>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</si>
  <si>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</si>
  <si>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</si>
  <si>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</si>
  <si>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</si>
  <si>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</si>
  <si>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</si>
  <si>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</si>
  <si>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</si>
  <si>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</si>
  <si>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</si>
  <si>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</si>
  <si>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</si>
  <si>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</si>
  <si>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</si>
  <si>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</si>
  <si>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</si>
  <si>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</si>
  <si>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</si>
  <si>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</si>
  <si>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</si>
  <si>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</si>
  <si>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</si>
  <si>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</si>
  <si>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</si>
  <si>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</si>
  <si>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</si>
  <si>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</si>
  <si>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</si>
  <si>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</si>
  <si>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</si>
  <si>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</si>
  <si>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</si>
  <si>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</si>
  <si>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</si>
  <si>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</si>
  <si>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</si>
  <si>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</si>
  <si>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</si>
  <si>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</si>
  <si>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</si>
  <si>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</si>
  <si>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</si>
  <si>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</si>
  <si>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</si>
  <si>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</si>
  <si>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</si>
  <si>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</si>
  <si>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</si>
  <si>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</si>
  <si>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</si>
  <si>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</si>
  <si>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</si>
  <si>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</si>
  <si>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</si>
  <si>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</si>
  <si>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</si>
  <si>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</si>
  <si>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</si>
  <si>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</si>
  <si>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</si>
  <si>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</si>
  <si>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</si>
  <si>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</si>
  <si>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</si>
  <si>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</si>
  <si>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</si>
  <si>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</si>
  <si>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</si>
  <si>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</si>
  <si>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</si>
  <si>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</si>
  <si>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</si>
  <si>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</si>
  <si>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</si>
  <si>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</si>
  <si>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</si>
  <si>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</si>
  <si>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</si>
  <si>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</si>
  <si>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</si>
  <si>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</si>
  <si>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</si>
  <si>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</si>
  <si>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</si>
  <si>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</si>
  <si>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</si>
  <si>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</si>
  <si>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</si>
  <si>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</si>
  <si>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</si>
  <si>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</si>
  <si>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</si>
  <si>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</si>
  <si>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</si>
  <si>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</si>
  <si>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</si>
  <si>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</si>
  <si>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</si>
  <si>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</si>
  <si>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</si>
  <si>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</si>
  <si>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</si>
  <si>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</si>
  <si>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</si>
  <si>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</si>
  <si>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</si>
  <si>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</si>
  <si>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</si>
  <si>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</si>
  <si>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</si>
  <si>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</si>
  <si>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</si>
  <si>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</si>
  <si>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</si>
  <si>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</si>
  <si>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</si>
  <si>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</si>
  <si>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</si>
  <si>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</si>
  <si>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</si>
  <si>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</si>
  <si>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</si>
  <si>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</si>
  <si>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</si>
  <si>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</si>
  <si>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</si>
  <si>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</si>
  <si>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</si>
  <si>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</si>
  <si>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</si>
  <si>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</si>
  <si>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</si>
  <si>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</si>
  <si>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</si>
  <si>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</si>
  <si>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</si>
  <si>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</si>
  <si>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</si>
  <si>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</si>
  <si>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</si>
  <si>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</si>
  <si>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</si>
  <si>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</si>
  <si>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</si>
  <si>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</si>
  <si>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</si>
  <si>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</si>
  <si>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</si>
  <si>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</si>
  <si>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</si>
  <si>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</si>
  <si>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</si>
  <si>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</si>
  <si>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</si>
  <si>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</si>
  <si>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</si>
  <si>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</si>
  <si>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</si>
  <si>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</si>
  <si>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</si>
  <si>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</si>
  <si>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</si>
  <si>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</si>
  <si>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</si>
  <si>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</si>
  <si>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</si>
  <si>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</si>
  <si>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</si>
  <si>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</si>
  <si>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</si>
  <si>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</si>
  <si>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</si>
  <si>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</si>
  <si>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</si>
  <si>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</si>
  <si>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</si>
  <si>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</si>
  <si>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</si>
  <si>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</si>
  <si>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</si>
  <si>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</si>
  <si>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</si>
  <si>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</si>
  <si>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</si>
  <si>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</si>
  <si>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</si>
  <si>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</si>
  <si>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</si>
  <si>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</si>
  <si>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</si>
  <si>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</si>
  <si>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</si>
  <si>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</si>
  <si>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</si>
  <si>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</si>
  <si>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</si>
  <si>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</si>
  <si>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</si>
  <si>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</si>
  <si>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</si>
  <si>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</si>
  <si>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</si>
  <si>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</si>
  <si>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</si>
  <si>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</si>
  <si>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</si>
  <si>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</si>
  <si>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</si>
  <si>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</si>
  <si>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</si>
  <si>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</si>
  <si>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</si>
  <si>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</si>
  <si>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</si>
  <si>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</si>
  <si>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</si>
  <si>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</si>
  <si>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</si>
  <si>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</si>
  <si>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</si>
  <si>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</si>
  <si>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</si>
  <si>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</si>
  <si>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</si>
  <si>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</si>
  <si>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</si>
  <si>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</si>
  <si>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</si>
  <si>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</si>
  <si>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</si>
  <si>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</si>
  <si>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</si>
  <si>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</si>
  <si>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</si>
  <si>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</si>
  <si>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</si>
  <si>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</si>
  <si>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</si>
  <si>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</si>
  <si>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</si>
  <si>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</si>
  <si>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</si>
  <si>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</si>
  <si>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</si>
  <si>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</si>
  <si>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</si>
  <si>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</si>
  <si>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</si>
  <si>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</si>
  <si>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</si>
  <si>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</si>
  <si>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</si>
  <si>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</si>
  <si>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</si>
  <si>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</si>
  <si>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</si>
  <si>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</si>
  <si>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</si>
  <si>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</si>
  <si>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</si>
  <si>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</si>
  <si>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</si>
  <si>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</si>
  <si>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</si>
  <si>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</si>
  <si>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</si>
  <si>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</si>
  <si>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</si>
  <si>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</si>
  <si>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</si>
  <si>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</si>
  <si>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</si>
  <si>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</si>
  <si>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</si>
  <si>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</si>
  <si>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</si>
  <si>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</si>
  <si>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</si>
  <si>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</si>
  <si>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</si>
  <si>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</si>
  <si>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</si>
  <si>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</si>
  <si>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</si>
  <si>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</si>
  <si>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</si>
  <si>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</si>
  <si>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</si>
  <si>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</si>
  <si>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</si>
  <si>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</si>
  <si>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</si>
  <si>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</si>
  <si>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</si>
  <si>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</si>
  <si>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</si>
  <si>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</si>
  <si>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</si>
  <si>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</si>
  <si>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</si>
  <si>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</si>
  <si>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</si>
  <si>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</si>
  <si>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</si>
  <si>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</si>
  <si>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</si>
  <si>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</si>
  <si>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</si>
  <si>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</si>
  <si>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</si>
  <si>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</si>
  <si>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</si>
  <si>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</si>
  <si>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</si>
  <si>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</si>
  <si>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</si>
  <si>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</si>
  <si>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</si>
  <si>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</si>
  <si>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</si>
  <si>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</si>
  <si>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</si>
  <si>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</si>
  <si>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</si>
  <si>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</si>
  <si>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</si>
  <si>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</si>
  <si>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</si>
  <si>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</si>
  <si>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</si>
  <si>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</si>
  <si>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</si>
  <si>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</si>
  <si>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</si>
  <si>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</si>
  <si>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</si>
  <si>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</si>
  <si>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</si>
  <si>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</si>
  <si>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</si>
  <si>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</si>
  <si>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</si>
  <si>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</si>
  <si>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</si>
  <si>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</si>
  <si>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</si>
  <si>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</si>
  <si>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</si>
  <si>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</si>
  <si>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</si>
  <si>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</si>
  <si>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</si>
  <si>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</si>
  <si>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</si>
  <si>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</si>
  <si>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</si>
  <si>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</si>
  <si>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</si>
  <si>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</si>
  <si>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</si>
  <si>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</si>
  <si>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</si>
  <si>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</si>
  <si>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</si>
  <si>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</si>
  <si>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</si>
  <si>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</si>
  <si>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</si>
  <si>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</si>
  <si>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</si>
  <si>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</si>
  <si>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</si>
  <si>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</si>
  <si>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</si>
  <si>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</si>
  <si>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</si>
  <si>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</si>
  <si>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</si>
  <si>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</si>
  <si>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</si>
  <si>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</si>
  <si>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</si>
  <si>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</si>
  <si>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</si>
  <si>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</si>
  <si>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</si>
  <si>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</si>
  <si>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</si>
  <si>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</si>
  <si>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</si>
  <si>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</si>
  <si>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</si>
  <si>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</si>
  <si>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</si>
  <si>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</si>
  <si>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</si>
  <si>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</si>
  <si>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</si>
  <si>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</si>
  <si>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</si>
  <si>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</si>
  <si>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</si>
  <si>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</si>
  <si>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</si>
  <si>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</si>
  <si>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</si>
  <si>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</si>
  <si>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</si>
  <si>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</si>
  <si>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</si>
  <si>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</si>
  <si>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</si>
  <si>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</si>
  <si>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</si>
  <si>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</si>
  <si>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</si>
  <si>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</si>
  <si>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</si>
  <si>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</si>
  <si>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</si>
  <si>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</si>
  <si>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</si>
  <si>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</si>
  <si>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</si>
  <si>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</si>
  <si>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</si>
  <si>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</si>
  <si>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</si>
  <si>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</si>
  <si>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</si>
  <si>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</si>
  <si>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</si>
  <si>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</si>
  <si>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</si>
  <si>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</si>
  <si>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</si>
  <si>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</si>
  <si>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</si>
  <si>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</si>
  <si>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</si>
  <si>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</si>
  <si>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</si>
  <si>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</si>
  <si>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</si>
  <si>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</si>
  <si>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</si>
  <si>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</si>
  <si>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</si>
  <si>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</si>
  <si>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</si>
  <si>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</si>
  <si>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</si>
  <si>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</si>
  <si>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</si>
  <si>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</si>
  <si>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</si>
  <si>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</si>
  <si>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</si>
  <si>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</si>
  <si>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</si>
  <si>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</si>
  <si>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</si>
  <si>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</si>
  <si>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</si>
  <si>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</si>
  <si>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</si>
  <si>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</si>
  <si>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</si>
  <si>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</si>
  <si>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</si>
  <si>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</si>
  <si>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</si>
  <si>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</si>
  <si>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</si>
  <si>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</si>
  <si>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</si>
  <si>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</si>
  <si>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</si>
  <si>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</si>
  <si>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</si>
  <si>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</si>
  <si>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</si>
  <si>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</si>
  <si>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</si>
  <si>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</si>
  <si>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</si>
  <si>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</si>
  <si>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</si>
  <si>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</si>
  <si>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</si>
  <si>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</si>
  <si>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</si>
  <si>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</si>
  <si>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</si>
  <si>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</si>
  <si>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</si>
  <si>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</si>
  <si>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</si>
  <si>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</si>
  <si>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</si>
  <si>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</si>
  <si>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</si>
  <si>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</si>
  <si>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</si>
  <si>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</si>
  <si>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</si>
  <si>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</si>
  <si>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</si>
  <si>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</si>
  <si>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</si>
  <si>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</si>
  <si>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</si>
  <si>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</si>
  <si>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</si>
  <si>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</si>
  <si>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</si>
  <si>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</si>
  <si>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</si>
  <si>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</si>
  <si>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</si>
  <si>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</si>
  <si>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</si>
  <si>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</si>
  <si>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</si>
  <si>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</si>
  <si>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</si>
  <si>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</si>
  <si>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</si>
  <si>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</si>
  <si>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</si>
  <si>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</si>
  <si>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</si>
  <si>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</si>
  <si>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</si>
  <si>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</si>
  <si>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</si>
  <si>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</si>
  <si>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</si>
  <si>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</si>
  <si>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</si>
  <si>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</si>
  <si>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</si>
  <si>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</si>
  <si>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</si>
  <si>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</si>
  <si>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</si>
  <si>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</si>
  <si>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</si>
  <si>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</si>
  <si>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</si>
  <si>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</si>
  <si>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</si>
  <si>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</si>
  <si>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</si>
  <si>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</si>
  <si>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</si>
  <si>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</si>
  <si>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</si>
  <si>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</si>
  <si>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</si>
  <si>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</si>
  <si>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</si>
  <si>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</si>
  <si>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</si>
  <si>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</si>
  <si>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</si>
  <si>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</si>
  <si>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</si>
  <si>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</si>
  <si>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</si>
  <si>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</si>
  <si>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</si>
  <si>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</si>
  <si>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</si>
  <si>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</si>
  <si>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</si>
  <si>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</si>
  <si>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</si>
  <si>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</si>
  <si>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</si>
  <si>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</si>
  <si>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</si>
  <si>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</si>
  <si>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</si>
  <si>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</si>
  <si>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</si>
  <si>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</si>
  <si>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</si>
  <si>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</si>
  <si>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</si>
  <si>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</si>
  <si>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</si>
  <si>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</si>
  <si>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</si>
  <si>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</si>
  <si>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</si>
  <si>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</si>
  <si>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</si>
  <si>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</si>
  <si>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</si>
  <si>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</si>
  <si>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</si>
  <si>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</si>
  <si>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</si>
  <si>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</si>
  <si>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</si>
  <si>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</si>
  <si>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</si>
  <si>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</si>
  <si>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</si>
  <si>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</si>
  <si>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</si>
  <si>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</si>
  <si>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</si>
  <si>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</si>
  <si>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</si>
  <si>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</si>
  <si>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</si>
  <si>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</si>
  <si>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</si>
  <si>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</si>
  <si>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</si>
  <si>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</si>
  <si>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</si>
  <si>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</si>
  <si>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</si>
  <si>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</si>
  <si>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</si>
  <si>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</si>
  <si>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</si>
  <si>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</si>
  <si>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</si>
  <si>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</si>
  <si>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</si>
  <si>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</si>
  <si>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</si>
  <si>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</si>
  <si>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</si>
  <si>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</si>
  <si>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</si>
  <si>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</si>
  <si>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</si>
  <si>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</si>
  <si>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</si>
  <si>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</si>
  <si>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</si>
  <si>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</si>
  <si>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</si>
  <si>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</si>
  <si>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</si>
  <si>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</si>
  <si>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</si>
  <si>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</si>
  <si>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</si>
  <si>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</si>
  <si>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</si>
  <si>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</si>
  <si>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</si>
  <si>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</si>
  <si>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</si>
  <si>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</si>
  <si>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</si>
  <si>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</si>
  <si>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</si>
  <si>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</si>
  <si>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</si>
  <si>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</si>
  <si>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</si>
  <si>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</si>
  <si>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</si>
  <si>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</si>
  <si>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</si>
  <si>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</si>
  <si>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</si>
  <si>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</si>
  <si>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</si>
  <si>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</si>
  <si>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</si>
  <si>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</si>
  <si>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</si>
  <si>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</si>
  <si>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</si>
  <si>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</si>
  <si>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</si>
  <si>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</si>
  <si>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</si>
  <si>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</si>
  <si>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</si>
  <si>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</si>
  <si>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</si>
  <si>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</si>
  <si>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</si>
  <si>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</si>
  <si>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</si>
  <si>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</si>
  <si>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</si>
  <si>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</si>
  <si>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</si>
  <si>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</si>
  <si>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</si>
  <si>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</si>
  <si>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</si>
  <si>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</si>
  <si>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</si>
  <si>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</si>
  <si>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</si>
  <si>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</si>
  <si>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</si>
  <si>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</si>
  <si>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</si>
  <si>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</si>
  <si>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</si>
  <si>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</si>
  <si>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</si>
  <si>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</si>
  <si>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</si>
  <si>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</si>
  <si>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</si>
  <si>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</si>
  <si>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</si>
  <si>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</si>
  <si>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</si>
  <si>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</si>
  <si>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</si>
  <si>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</si>
  <si>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</si>
  <si>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</si>
  <si>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</si>
  <si>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</si>
  <si>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</si>
  <si>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</si>
  <si>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</si>
  <si>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</si>
  <si>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</si>
  <si>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</si>
  <si>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</si>
  <si>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</si>
  <si>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</si>
  <si>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</si>
  <si>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</si>
  <si>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</si>
  <si>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</si>
  <si>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</si>
  <si>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</si>
  <si>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</si>
  <si>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</si>
  <si>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</si>
  <si>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</si>
  <si>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</si>
  <si>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</si>
  <si>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</si>
  <si>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</si>
  <si>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</si>
  <si>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</si>
  <si>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</si>
  <si>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</si>
  <si>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</si>
  <si>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</si>
  <si>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</si>
  <si>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</si>
  <si>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</si>
  <si>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</si>
  <si>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</si>
  <si>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</si>
  <si>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</si>
  <si>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</si>
  <si>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</si>
  <si>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</si>
  <si>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</si>
  <si>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</si>
  <si>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</si>
  <si>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</si>
  <si>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</si>
  <si>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</si>
  <si>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</si>
  <si>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</si>
  <si>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</si>
  <si>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</si>
  <si>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</si>
  <si>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</si>
  <si>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</si>
  <si>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</si>
  <si>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</si>
  <si>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</si>
  <si>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</si>
  <si>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</si>
  <si>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</si>
  <si>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</si>
  <si>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</si>
  <si>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</si>
  <si>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</si>
  <si>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</si>
  <si>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</si>
  <si>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</si>
  <si>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</si>
  <si>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</si>
  <si>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</si>
  <si>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</si>
  <si>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</si>
  <si>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</si>
  <si>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</si>
  <si>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</si>
  <si>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</si>
  <si>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</si>
  <si>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</si>
  <si>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</si>
  <si>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</si>
  <si>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</si>
  <si>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</si>
  <si>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</si>
  <si>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</si>
  <si>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</si>
  <si>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</si>
  <si>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</si>
  <si>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</si>
  <si>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</si>
  <si>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</si>
  <si>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</si>
  <si>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</si>
  <si>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</si>
  <si>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</si>
  <si>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</si>
  <si>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</si>
  <si>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</si>
  <si>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</si>
  <si>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</si>
  <si>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</si>
  <si>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</si>
  <si>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</si>
  <si>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</si>
  <si>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</si>
  <si>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</si>
  <si>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</si>
  <si>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</si>
  <si>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</si>
  <si>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</si>
  <si>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</si>
  <si>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</si>
  <si>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</si>
  <si>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</si>
  <si>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</si>
  <si>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</si>
  <si>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</si>
  <si>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</si>
  <si>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</si>
  <si>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</si>
  <si>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</si>
  <si>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</si>
  <si>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</si>
  <si>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</si>
  <si>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</si>
  <si>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</si>
  <si>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</si>
  <si>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</si>
  <si>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</si>
  <si>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</si>
  <si>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</si>
  <si>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</si>
  <si>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</si>
  <si>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</si>
  <si>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</si>
  <si>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</si>
  <si>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</si>
  <si>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</si>
  <si>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</si>
  <si>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</si>
  <si>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</si>
  <si>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</si>
  <si>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</si>
  <si>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</si>
  <si>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</si>
  <si>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</si>
  <si>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</si>
  <si>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</si>
  <si>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</si>
  <si>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</si>
  <si>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</si>
  <si>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</si>
  <si>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</si>
  <si>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</si>
  <si>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</si>
  <si>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</si>
  <si>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</si>
  <si>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</si>
  <si>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</si>
  <si>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</si>
  <si>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</si>
  <si>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</si>
  <si>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</si>
  <si>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</si>
  <si>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</si>
  <si>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</si>
  <si>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</si>
  <si>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</si>
  <si>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</si>
  <si>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</si>
  <si>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</si>
  <si>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</si>
  <si>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</si>
  <si>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</si>
  <si>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</si>
  <si>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</si>
  <si>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</si>
  <si>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</si>
  <si>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</si>
  <si>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</si>
  <si>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</si>
  <si>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</si>
  <si>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</si>
  <si>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</si>
  <si>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</si>
  <si>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</si>
  <si>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</si>
  <si>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</si>
  <si>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</si>
  <si>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</si>
  <si>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</si>
  <si>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</si>
  <si>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</si>
  <si>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</si>
  <si>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</si>
  <si>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</si>
  <si>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</si>
  <si>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</si>
  <si>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</si>
  <si>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</si>
  <si>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</si>
  <si>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</si>
  <si>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</si>
  <si>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</si>
  <si>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</si>
  <si>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</si>
  <si>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</si>
  <si>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</si>
  <si>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</si>
  <si>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</si>
  <si>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</si>
  <si>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</si>
  <si>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</si>
  <si>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</si>
  <si>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</si>
  <si>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</si>
  <si>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</si>
  <si>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</si>
  <si>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</si>
  <si>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</si>
  <si>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</si>
  <si>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</si>
  <si>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</si>
  <si>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</si>
  <si>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</si>
  <si>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</si>
  <si>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</si>
  <si>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</si>
  <si>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</si>
  <si>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</si>
  <si>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</si>
  <si>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</si>
  <si>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</si>
  <si>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</si>
  <si>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</si>
  <si>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</si>
  <si>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</si>
  <si>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</si>
  <si>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</si>
  <si>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</si>
  <si>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</si>
  <si>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</si>
  <si>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</si>
  <si>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</si>
  <si>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</si>
  <si>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</si>
  <si>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</si>
  <si>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</si>
  <si>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</si>
  <si>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</si>
  <si>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</si>
  <si>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</si>
  <si>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</si>
  <si>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</si>
  <si>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</si>
  <si>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</si>
  <si>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</si>
  <si>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</si>
  <si>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</si>
  <si>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</si>
  <si>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</si>
  <si>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</si>
  <si>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</si>
  <si>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</si>
  <si>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</si>
  <si>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</si>
  <si>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</si>
  <si>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</si>
  <si>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</si>
  <si>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</si>
  <si>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</si>
  <si>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</si>
  <si>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</si>
  <si>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</si>
  <si>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</si>
  <si>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</si>
  <si>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</si>
  <si>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</si>
  <si>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</si>
  <si>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</si>
  <si>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</si>
  <si>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</si>
  <si>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</si>
  <si>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</si>
  <si>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</si>
  <si>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</si>
  <si>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</si>
  <si>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</si>
  <si>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</si>
  <si>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</si>
  <si>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</si>
  <si>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</si>
  <si>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</si>
  <si>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</si>
  <si>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</si>
  <si>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</si>
  <si>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</si>
  <si>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</si>
  <si>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</si>
  <si>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</si>
  <si>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</si>
  <si>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</si>
  <si>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</si>
  <si>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</si>
  <si>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</si>
  <si>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</si>
  <si>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</si>
  <si>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</si>
  <si>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</si>
  <si>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</si>
  <si>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</si>
  <si>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</si>
  <si>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</si>
  <si>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</si>
  <si>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</si>
  <si>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</si>
  <si>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</si>
  <si>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</si>
  <si>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</si>
  <si>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</si>
  <si>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</si>
  <si>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</si>
  <si>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</si>
  <si>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</si>
  <si>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</si>
  <si>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</si>
  <si>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</si>
  <si>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</si>
  <si>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</si>
  <si>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</si>
  <si>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</si>
  <si>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</si>
  <si>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</si>
  <si>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</si>
  <si>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</si>
  <si>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</si>
  <si>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</si>
  <si>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</si>
  <si>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</si>
  <si>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</si>
  <si>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</si>
  <si>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</si>
  <si>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</si>
  <si>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</si>
  <si>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</si>
  <si>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</si>
  <si>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</si>
  <si>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</si>
  <si>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</si>
  <si>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</si>
  <si>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</si>
  <si>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</si>
  <si>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</si>
  <si>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</si>
  <si>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</si>
  <si>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</si>
  <si>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</si>
  <si>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</si>
  <si>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</si>
  <si>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</si>
  <si>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</si>
  <si>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</si>
  <si>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</si>
  <si>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</si>
  <si>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</si>
  <si>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</si>
  <si>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</si>
  <si>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</si>
  <si>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</si>
  <si>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</si>
  <si>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</si>
  <si>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</si>
  <si>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</si>
  <si>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</si>
  <si>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</si>
  <si>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</si>
  <si>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</si>
  <si>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</si>
  <si>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</si>
  <si>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</si>
  <si>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</si>
  <si>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</si>
  <si>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</si>
  <si>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</si>
  <si>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</si>
  <si>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</si>
  <si>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</si>
  <si>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</si>
  <si>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</si>
  <si>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</si>
  <si>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</si>
  <si>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</si>
  <si>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</si>
  <si>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</si>
  <si>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</si>
  <si>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</si>
  <si>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</si>
  <si>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</si>
  <si>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</si>
  <si>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</si>
  <si>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</si>
  <si>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</si>
  <si>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</si>
  <si>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</si>
  <si>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</si>
  <si>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</si>
  <si>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</si>
  <si>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</si>
  <si>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</si>
  <si>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</si>
  <si>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</si>
  <si>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</si>
  <si>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</si>
  <si>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</si>
  <si>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</si>
  <si>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</si>
  <si>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</si>
  <si>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</si>
  <si>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</si>
  <si>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</si>
  <si>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</si>
  <si>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</si>
  <si>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</si>
  <si>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</si>
  <si>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</si>
  <si>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</si>
  <si>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</si>
  <si>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</si>
  <si>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</si>
  <si>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</si>
  <si>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</si>
  <si>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</si>
  <si>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</si>
  <si>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</si>
  <si>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</si>
  <si>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</si>
  <si>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</si>
  <si>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</si>
  <si>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</si>
  <si>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</si>
  <si>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</si>
  <si>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</si>
  <si>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</si>
  <si>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</si>
  <si>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</si>
  <si>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</si>
  <si>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</si>
  <si>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</si>
  <si>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</si>
  <si>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</si>
  <si>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</si>
  <si>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</si>
  <si>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</si>
  <si>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</si>
  <si>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</si>
  <si>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</si>
  <si>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</si>
  <si>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</si>
  <si>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</si>
  <si>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</si>
  <si>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</si>
  <si>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</si>
  <si>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</si>
  <si>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</si>
  <si>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</si>
  <si>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</si>
  <si>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</si>
  <si>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</si>
  <si>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</si>
  <si>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</si>
  <si>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</si>
  <si>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</si>
  <si>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</si>
  <si>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</si>
  <si>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</si>
  <si>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</si>
  <si>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</si>
  <si>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</si>
  <si>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</si>
  <si>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</si>
  <si>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</si>
  <si>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</si>
  <si>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</si>
  <si>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</si>
  <si>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</si>
  <si>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</si>
  <si>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</si>
  <si>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</si>
  <si>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</si>
  <si>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</si>
  <si>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</si>
  <si>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</si>
  <si>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</si>
  <si>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</si>
  <si>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</si>
  <si>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</si>
  <si>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</si>
  <si>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</si>
  <si>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</si>
  <si>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</si>
  <si>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</si>
  <si>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</si>
  <si>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</si>
  <si>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</si>
  <si>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</si>
  <si>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</si>
  <si>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</si>
  <si>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</si>
  <si>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</si>
  <si>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</si>
  <si>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</si>
  <si>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</si>
  <si>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</si>
  <si>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</si>
  <si>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</si>
  <si>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</si>
  <si>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</si>
  <si>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</si>
  <si>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</si>
  <si>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</si>
  <si>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</si>
  <si>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</si>
  <si>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</si>
  <si>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</si>
  <si>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</si>
  <si>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</si>
  <si>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</si>
  <si>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</si>
  <si>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</si>
  <si>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</si>
  <si>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</si>
  <si>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</si>
  <si>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</si>
  <si>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</si>
  <si>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</si>
  <si>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</si>
  <si>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</si>
  <si>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</si>
  <si>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</si>
  <si>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</si>
  <si>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</si>
  <si>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</si>
  <si>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</si>
  <si>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</si>
  <si>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</si>
  <si>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</si>
  <si>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</si>
  <si>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</si>
  <si>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</si>
  <si>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</si>
  <si>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</si>
  <si>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</si>
  <si>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</si>
  <si>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</si>
  <si>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</si>
  <si>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</si>
  <si>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</si>
  <si>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</si>
  <si>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</si>
  <si>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</si>
  <si>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</si>
  <si>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</si>
  <si>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</si>
  <si>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</si>
  <si>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</si>
  <si>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</si>
  <si>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</si>
  <si>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</si>
  <si>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</si>
  <si>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</si>
  <si>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</si>
  <si>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</si>
  <si>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</si>
  <si>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</si>
  <si>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</si>
  <si>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</si>
  <si>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</si>
  <si>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</si>
  <si>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</si>
  <si>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</si>
  <si>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</si>
  <si>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</si>
  <si>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</si>
  <si>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</si>
  <si>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</si>
  <si>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</si>
  <si>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</si>
  <si>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</si>
  <si>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</si>
  <si>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</si>
  <si>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</si>
  <si>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</si>
  <si>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</si>
  <si>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</si>
  <si>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</si>
  <si>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</si>
  <si>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</si>
  <si>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</si>
  <si>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</si>
  <si>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</si>
  <si>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</si>
  <si>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</si>
  <si>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</si>
  <si>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</si>
  <si>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</si>
  <si>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</si>
  <si>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</si>
  <si>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</si>
  <si>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</si>
  <si>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</si>
  <si>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</si>
  <si>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</si>
  <si>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</si>
  <si>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</si>
  <si>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</si>
  <si>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</si>
  <si>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</si>
  <si>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</si>
  <si>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</si>
  <si>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</si>
  <si>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</si>
  <si>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</si>
  <si>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</si>
  <si>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</si>
  <si>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</si>
  <si>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</si>
  <si>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</si>
  <si>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</si>
  <si>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</si>
  <si>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</si>
  <si>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</si>
  <si>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</si>
  <si>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</si>
  <si>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</si>
  <si>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</si>
  <si>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</si>
  <si>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</si>
  <si>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</si>
  <si>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</si>
  <si>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</si>
  <si>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</si>
  <si>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</si>
  <si>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</si>
  <si>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</si>
  <si>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</si>
  <si>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</si>
  <si>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</si>
  <si>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</si>
  <si>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</si>
  <si>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</si>
  <si>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</si>
  <si>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</si>
  <si>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</si>
  <si>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</si>
  <si>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</si>
  <si>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</si>
  <si>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</si>
  <si>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</si>
  <si>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</si>
  <si>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</si>
  <si>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</si>
  <si>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</si>
  <si>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</si>
  <si>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</si>
  <si>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</si>
  <si>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</si>
  <si>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</si>
  <si>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</si>
  <si>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</si>
  <si>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</si>
  <si>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</si>
  <si>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</si>
  <si>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</si>
  <si>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</si>
  <si>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</si>
  <si>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</si>
  <si>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</si>
  <si>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</si>
  <si>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</si>
  <si>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</si>
  <si>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</si>
  <si>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</si>
  <si>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</si>
  <si>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</si>
  <si>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</si>
  <si>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</si>
  <si>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</si>
  <si>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</si>
  <si>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</si>
  <si>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</si>
  <si>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</si>
  <si>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</si>
  <si>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</si>
  <si>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</si>
  <si>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</si>
  <si>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</si>
  <si>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</si>
  <si>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</si>
  <si>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</si>
  <si>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</si>
  <si>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</si>
  <si>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</si>
  <si>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</si>
  <si>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</si>
  <si>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</si>
  <si>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</si>
  <si>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</si>
  <si>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</si>
  <si>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</si>
  <si>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</si>
  <si>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</si>
  <si>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</si>
  <si>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</si>
  <si>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</si>
  <si>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</si>
  <si>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</si>
  <si>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</si>
  <si>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</si>
  <si>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</si>
  <si>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</si>
  <si>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</si>
  <si>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</si>
  <si>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</si>
  <si>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</si>
  <si>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</si>
  <si>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</si>
  <si>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</si>
  <si>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</si>
  <si>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</si>
  <si>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</si>
  <si>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</si>
  <si>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</si>
  <si>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</si>
  <si>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</si>
  <si>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</si>
  <si>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</si>
  <si>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</si>
  <si>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</si>
  <si>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</si>
  <si>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</si>
  <si>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</si>
  <si>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</si>
  <si>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</si>
  <si>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</si>
  <si>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</si>
  <si>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</si>
  <si>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</si>
  <si>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</si>
  <si>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</si>
  <si>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</si>
  <si>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</si>
  <si>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</si>
  <si>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</si>
  <si>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</si>
  <si>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</si>
  <si>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</si>
  <si>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</si>
  <si>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</si>
  <si>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</si>
  <si>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</si>
  <si>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</si>
  <si>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</si>
  <si>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</si>
  <si>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</si>
  <si>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</si>
  <si>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</si>
  <si>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</si>
  <si>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</si>
  <si>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</si>
  <si>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</si>
  <si>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</si>
  <si>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</si>
  <si>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</si>
  <si>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</si>
  <si>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</si>
  <si>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</si>
  <si>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</si>
  <si>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</si>
  <si>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</si>
  <si>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</si>
  <si>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</si>
  <si>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</si>
  <si>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</si>
  <si>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</si>
  <si>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</si>
  <si>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</si>
  <si>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</si>
  <si>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</si>
  <si>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</si>
  <si>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</si>
  <si>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</si>
  <si>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</si>
  <si>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</si>
  <si>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</si>
  <si>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</si>
  <si>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</si>
  <si>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</si>
  <si>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</si>
  <si>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</si>
  <si>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</si>
  <si>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</si>
  <si>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</si>
  <si>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</si>
  <si>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</si>
  <si>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</si>
  <si>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</si>
  <si>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</si>
  <si>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</si>
  <si>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</si>
  <si>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</si>
  <si>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</si>
  <si>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</si>
  <si>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</si>
  <si>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</si>
  <si>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</si>
  <si>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</si>
  <si>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</si>
  <si>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</si>
  <si>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</si>
  <si>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</si>
  <si>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</si>
  <si>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</si>
  <si>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</si>
  <si>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</si>
  <si>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</si>
  <si>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</si>
  <si>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</si>
  <si>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</si>
  <si>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</si>
  <si>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</si>
  <si>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</si>
  <si>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</si>
  <si>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</si>
  <si>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</si>
  <si>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</si>
  <si>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</si>
  <si>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</si>
  <si>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</si>
  <si>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</si>
  <si>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</si>
  <si>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</si>
  <si>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</si>
  <si>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</si>
  <si>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</si>
  <si>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</si>
  <si>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</si>
  <si>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</si>
  <si>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</si>
  <si>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</si>
  <si>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</si>
  <si>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</si>
  <si>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</si>
  <si>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</si>
  <si>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</si>
  <si>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</si>
  <si>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</si>
  <si>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</si>
  <si>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</si>
  <si>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</si>
  <si>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</si>
  <si>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</si>
  <si>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</si>
  <si>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</si>
  <si>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</si>
  <si>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</si>
  <si>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</si>
  <si>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</si>
  <si>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</si>
  <si>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</si>
  <si>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</si>
  <si>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</si>
  <si>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</si>
  <si>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</si>
  <si>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</si>
  <si>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</si>
  <si>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</si>
  <si>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</si>
  <si>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</si>
  <si>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</si>
  <si>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</si>
  <si>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</si>
  <si>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</si>
  <si>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</si>
  <si>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</si>
  <si>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</si>
  <si>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</si>
  <si>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</si>
  <si>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</si>
  <si>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</si>
  <si>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</si>
  <si>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</si>
  <si>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</si>
  <si>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</si>
  <si>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</si>
  <si>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</si>
  <si>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</si>
  <si>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</si>
  <si>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</si>
  <si>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</si>
  <si>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</si>
  <si>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</si>
  <si>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</si>
  <si>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</si>
  <si>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</si>
  <si>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</si>
  <si>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</si>
  <si>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</si>
  <si>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</si>
  <si>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</si>
  <si>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</si>
  <si>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</si>
  <si>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</si>
  <si>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</si>
  <si>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</si>
  <si>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</si>
  <si>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</si>
  <si>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</si>
  <si>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</si>
  <si>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</si>
  <si>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</si>
  <si>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</si>
  <si>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</si>
  <si>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</si>
  <si>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</si>
  <si>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</si>
  <si>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</si>
  <si>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</si>
  <si>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</si>
  <si>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</si>
  <si>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</si>
  <si>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</si>
  <si>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</si>
  <si>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</si>
  <si>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</si>
  <si>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</si>
  <si>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</si>
  <si>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</si>
  <si>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</si>
  <si>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</si>
  <si>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</si>
  <si>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</si>
  <si>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</si>
  <si>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</si>
  <si>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</si>
  <si>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</si>
  <si>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</si>
  <si>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</si>
  <si>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</si>
  <si>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</si>
  <si>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</si>
  <si>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</si>
  <si>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</si>
  <si>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</si>
  <si>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</si>
  <si>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</si>
  <si>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</si>
  <si>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</si>
  <si>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</si>
  <si>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</si>
  <si>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</si>
  <si>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</si>
  <si>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</si>
  <si>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</si>
  <si>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</si>
  <si>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</si>
  <si>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</si>
  <si>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</si>
  <si>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</si>
  <si>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</si>
  <si>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</si>
  <si>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</si>
  <si>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</si>
  <si>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</si>
  <si>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</si>
  <si>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</si>
  <si>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</si>
  <si>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</si>
  <si>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</si>
  <si>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</si>
  <si>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</si>
  <si>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</si>
  <si>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</si>
  <si>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</si>
  <si>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</si>
  <si>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</si>
  <si>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</si>
  <si>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</si>
  <si>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</si>
  <si>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</si>
  <si>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</si>
  <si>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</si>
  <si>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</si>
  <si>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</si>
  <si>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</si>
  <si>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</si>
  <si>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</si>
  <si>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</si>
  <si>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</si>
  <si>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</si>
  <si>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</si>
  <si>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</si>
  <si>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</si>
  <si>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</si>
  <si>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</si>
  <si>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</si>
  <si>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</si>
  <si>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</si>
  <si>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</si>
  <si>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</si>
  <si>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</si>
  <si>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</si>
  <si>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</si>
  <si>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</si>
  <si>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</si>
  <si>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</si>
  <si>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</si>
  <si>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</si>
  <si>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</si>
  <si>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</si>
  <si>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</si>
  <si>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</si>
  <si>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</si>
  <si>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</si>
  <si>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</si>
  <si>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</si>
  <si>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</si>
  <si>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</si>
  <si>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</si>
  <si>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</si>
  <si>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</si>
  <si>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</si>
  <si>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</si>
  <si>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</si>
  <si>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</si>
  <si>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</si>
  <si>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</si>
  <si>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</si>
  <si>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</si>
  <si>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</si>
  <si>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</si>
  <si>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</si>
  <si>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</si>
  <si>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</si>
  <si>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</si>
  <si>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</si>
  <si>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</si>
  <si>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</si>
  <si>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</si>
  <si>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</si>
  <si>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</si>
  <si>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</si>
  <si>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</si>
  <si>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</si>
  <si>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</si>
  <si>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</si>
  <si>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</si>
  <si>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</si>
  <si>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</si>
  <si>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</si>
  <si>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</si>
  <si>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</si>
  <si>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</si>
  <si>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</si>
  <si>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</si>
  <si>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</si>
  <si>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</si>
  <si>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</si>
  <si>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</si>
  <si>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</si>
  <si>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</si>
  <si>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</si>
  <si>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</si>
  <si>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</si>
  <si>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</si>
  <si>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</si>
  <si>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</si>
  <si>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</si>
  <si>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</si>
  <si>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</si>
  <si>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</si>
  <si>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</si>
  <si>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</si>
  <si>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</si>
  <si>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</si>
  <si>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</si>
  <si>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</si>
  <si>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</si>
  <si>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</si>
  <si>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</si>
  <si>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</si>
  <si>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</si>
  <si>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</si>
  <si>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</si>
  <si>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</si>
  <si>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</si>
  <si>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</si>
  <si>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</si>
  <si>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</si>
  <si>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</si>
  <si>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</si>
  <si>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</si>
  <si>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</si>
  <si>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</si>
  <si>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</si>
  <si>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</si>
  <si>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</si>
  <si>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</si>
  <si>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The [HTTP Cache-Control](https://httpwg.org/specs/rfc9111.html) response header stores a response associated with a request and reuses the stored response for subsequent requests. If a `Cache-Control` header is present in the Server response headers, the Clients **SHOULD NOT** search the same data within the time stated in the `Cache-Control` header.</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</si>
  <si>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</si>
  <si>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</si>
  <si>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</si>
  <si>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</si>
  <si>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</si>
  <si>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</si>
  <si>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</si>
  <si>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</si>
  <si>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</si>
  <si>
    <t>An agent.type=”assembler”, agent.type=”transmitter”, or other agents from [Provenance Agent Type](https://hl7.org/fhir/us/core/STU8/ValueSet-us-core-provenance-participant-type.html) value set **MAY** also be included.</t>
  </si>
  <si>
    <t>https://hl7.org/fhir/us/core/STU8/basic-provenance.html#individual-level-provenance</t>
  </si>
  <si>
    <t>The author is communicated by the elements and the author's role by the referenced target resource (for example, Patient, Practitioner/PractitionerRole, RelatedPerson, Device). Details about the author's role are contained in the target resource's contents. Many of these elements are labeled Must Support or Additional USCDI Requirements. However,[even if they are not   labeled Must Support or Additional USCDI Requirements] all of these elements and target resources **SHOULD** be supported in the profiles if the system captures the data.</t>
  </si>
  <si>
    <t>implementers [of US Core's framework of Screening and Assessments] **SHOULD** consider more constrained, domain-specific profiles derived from the US Core Profiles to meet the needs of their respective use cases.</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</si>
  <si>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</si>
  <si>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must to **SHOULD**</t>
  </si>
  <si>
    <t>SHALL to DEPRECATED</t>
  </si>
  <si>
    <t>SHALL To DEPRECATED</t>
  </si>
  <si>
    <t>"A Server may support Version DSTU2 and Argonaut Data Query or FHIR R4 and US Core ver 3.1.1+ or both.  A Server may make explicit ...". To  "In practice, a server may support Argonaut Data Query in FHIR DSTU2, and one or more versions of US Core in FHIR R4. Sometimes, the Server explicitly names the version of Argo/US Core on its FHIR endpoint (e.g., a "DSTU2" or "R4" path component, or separate files based on version)."</t>
  </si>
  <si>
    <t>https://hl7.org/fhir/us/core/STU8/changes-between-versions.html#expectation-that-data-is-preserved-between-versions</t>
  </si>
  <si>
    <t>To allow Clients to use a single authorization token when accessing resources from multiple version-specific endpoints, Servers **SHOULD** use the same base authorization endpoint across versions.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</si>
</sst>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80">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xf numFmtId="0" fontId="0" fillId="0" borderId="0" xfId="0" applyFill="1" applyAlignment="1">
      <alignment wrapText="1"/>
    </xf>
  </cellXfs>
  <cellStyles count="2">
    <cellStyle name="Hyperlink" xfId="1" builtinId="8"/>
    <cellStyle name="Normal" xfId="0" builtinId="0"/>
  </cellStyles>
  <dxfs count="30">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3" tableType="queryTable" totalsRowShown="0" headerRowDxfId="29">
  <autoFilter ref="A1:AD673" xr:uid="{B145EE09-1AF1-4648-AE16-A2A2636B4264}">
    <filterColumn colId="4">
      <filters>
        <filter val="changes-between-versions.html#authorization-across-versions"/>
        <filter val="changes-between-versions.html#endpoint-discoverability"/>
        <filter val="changes-between-versions.html#expectation-that-data-is-preserved-between-versions"/>
        <filter val="changes-between-versions.html#no-guarantee-that-resource-ids-are-preserved"/>
      </filters>
    </filterColumn>
  </autoFilter>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
    <tableColumn id="4" xr3:uid="{F5C3F5D0-4C85-6E48-920D-ECB2526A75C8}" uniqueName="4" name="URL*" queryTableFieldId="4" dataDxfId="0"/>
    <tableColumn id="5" xr3:uid="{08F8506A-94D6-9841-9713-940E0BFD18BA}" uniqueName="5" name="rel_url" queryTableFieldId="5" dataDxfId="1"/>
    <tableColumn id="6" xr3:uid="{ED838C0D-535F-C543-AD08-F333164840ED}" uniqueName="6" name="requirement" queryTableFieldId="6" dataDxfId="26"/>
    <tableColumn id="7" xr3:uid="{0942E9AE-8454-D448-8A59-A6B486FDA1D0}" uniqueName="7" name="conformance" queryTableFieldId="7" dataDxfId="25"/>
    <tableColumn id="30" xr3:uid="{55FD57B9-F666-214A-B891-1852BF179615}" uniqueName="30" name="update_verb" queryTableFieldId="30"/>
    <tableColumn id="8" xr3:uid="{6697FDF9-5E19-AD4C-A948-802729440474}" uniqueName="8" name="actor" queryTableFieldId="8" dataDxfId="24"/>
    <tableColumn id="9" xr3:uid="{782348A4-FDA6-284B-8DE6-E6FBA18A279D}" uniqueName="9" name="certifiers_only" queryTableFieldId="9" dataDxfId="23"/>
    <tableColumn id="10" xr3:uid="{2C5219CA-5A8D-514E-B36E-F791F1E052DB}" uniqueName="10" name="Sub-Requirement(s)" queryTableFieldId="10" dataDxfId="22"/>
    <tableColumn id="11" xr3:uid="{FAACD511-9115-4D4A-87A1-072AFEE7D81A}" uniqueName="11" name="conditionality" queryTableFieldId="11" dataDxfId="21"/>
    <tableColumn id="12" xr3:uid="{C57A131A-51B9-0642-98E5-9323B739BD46}" uniqueName="12" name="Conditionality Details" queryTableFieldId="12" dataDxfId="20"/>
    <tableColumn id="13" xr3:uid="{3C97A665-FEAD-CA43-AC5A-C0C213AF7773}" uniqueName="13" name="Verifiable?" queryTableFieldId="13" dataDxfId="19"/>
    <tableColumn id="14" xr3:uid="{F4F97DEE-1ACC-FA40-8C09-12C6C11BA291}" uniqueName="14" name="Verifiability Details" queryTableFieldId="14" dataDxfId="18"/>
    <tableColumn id="15" xr3:uid="{6739A1CE-249D-8D4E-AE55-B9D5A84811D5}" uniqueName="15" name="Planning To Test?" queryTableFieldId="15" dataDxfId="17"/>
    <tableColumn id="16" xr3:uid="{5EE7894B-04C1-FE4F-837C-CC3B57B34E98}" uniqueName="16" name="Planning To Test Details" queryTableFieldId="16" dataDxfId="16"/>
    <tableColumn id="17" xr3:uid="{BCD7B051-DF0E-CC47-9F46-42CA9606A686}" uniqueName="17" name="Page" queryTableFieldId="17" dataDxfId="15"/>
    <tableColumn id="18" xr3:uid="{F8606DE9-F560-D349-A6EF-C1D9FA7E0773}" uniqueName="18" name="Section" queryTableFieldId="18" dataDxfId="14"/>
    <tableColumn id="29" xr3:uid="{CA451E1C-AED2-F240-96BF-52328849C39E}" uniqueName="29" name="context" queryTableFieldId="29" dataDxfId="13">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12"/>
    <tableColumn id="20" xr3:uid="{705FF31A-651F-A04B-8F4B-2FA1EDA340D7}" uniqueName="20" name="Actor Guess" queryTableFieldId="20" dataDxfId="11"/>
    <tableColumn id="21" xr3:uid="{8F696C66-0F22-2A4A-B997-CCD294023F31}" uniqueName="21" name="Section #" queryTableFieldId="21" dataDxfId="10"/>
    <tableColumn id="22" xr3:uid="{69E095DD-0AE6-CA4E-9D02-05B2104AA5D9}" uniqueName="22" name="Grouping" queryTableFieldId="22" dataDxfId="9"/>
    <tableColumn id="23" xr3:uid="{656C549B-CB81-BA46-810B-5CB6A12C6C72}" uniqueName="23" name="Priority" queryTableFieldId="23" dataDxfId="8"/>
    <tableColumn id="24" xr3:uid="{939374BB-5AD2-4B4B-BEC4-6DFB96DF97CA}" uniqueName="24" name="Test Plan" queryTableFieldId="24" dataDxfId="7"/>
    <tableColumn id="25" xr3:uid="{7011B904-5C24-7A4C-9AB6-8D624594FCC5}" uniqueName="25" name="Questions" queryTableFieldId="25" dataDxfId="6"/>
    <tableColumn id="26" xr3:uid="{3BC520EE-3BB8-5F4F-8D89-ADB95D73A1B7}" uniqueName="26" name="Notes" queryTableFieldId="26" dataDxfId="5"/>
    <tableColumn id="27" xr3:uid="{8BEBA5E6-295D-5542-AA29-0396F4041321}" uniqueName="27" name="In Test" queryTableFieldId="27" dataDxfId="4"/>
    <tableColumn id="28" xr3:uid="{B6B29530-05E2-894D-B88E-6357142EE042}" uniqueName="28" name="Column1" queryTableFieldId="2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3"/>
  <sheetViews>
    <sheetView tabSelected="1" topLeftCell="A294" zoomScale="140" zoomScaleNormal="140" workbookViewId="0">
      <selection activeCell="F302" sqref="F302"/>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1886</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hidden="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hidden="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hidden="1"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hidden="1"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hidden="1"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hidden="1"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51" hidden="1"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51" hidden="1"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68" hidden="1"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51" hidden="1"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85" hidden="1"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102" hidden="1"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hidden="1"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hidden="1"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hidden="1"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hidden="1"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hidden="1"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68" hidden="1"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hidden="1"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hidden="1"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68" hidden="1"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68" hidden="1"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68" hidden="1"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68" hidden="1"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68" hidden="1"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hidden="1"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hidden="1"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51" hidden="1"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69</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51" hidden="1"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hidden="1"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hidden="1" x14ac:dyDescent="0.2">
      <c r="A32" t="s">
        <v>1171</v>
      </c>
      <c r="B32" t="s">
        <v>1204</v>
      </c>
      <c r="C32" t="str">
        <f>"CONF-"&amp;TEXT(us_core_reqs[[#This Row],[ID*]], "0000")</f>
        <v>CONF-0031</v>
      </c>
      <c r="D32" s="11" t="s">
        <v>821</v>
      </c>
      <c r="E32" t="str">
        <f>SUBSTITUTE(us_core_reqs[[#This Row],[URL*]], "https://hl7.org/fhir/us/core/STU8/","")</f>
        <v>general-requirements.html#modifier-elements</v>
      </c>
      <c r="F32" s="11" t="s">
        <v>70</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hidden="1" x14ac:dyDescent="0.2">
      <c r="A33" t="s">
        <v>1171</v>
      </c>
      <c r="B33" t="s">
        <v>1205</v>
      </c>
      <c r="C33" t="str">
        <f>"CONF-"&amp;TEXT(us_core_reqs[[#This Row],[ID*]], "0000")</f>
        <v>CONF-0032</v>
      </c>
      <c r="D33" s="11" t="s">
        <v>821</v>
      </c>
      <c r="E33" t="str">
        <f>SUBSTITUTE(us_core_reqs[[#This Row],[URL*]], "https://hl7.org/fhir/us/core/STU8/","")</f>
        <v>general-requirements.html#modifier-elements</v>
      </c>
      <c r="F33" s="11" t="s">
        <v>71</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hidden="1"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51" hidden="1"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hidden="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hidden="1"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51" hidden="1"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hidden="1" x14ac:dyDescent="0.2">
      <c r="A39" t="s">
        <v>1171</v>
      </c>
      <c r="B39" t="s">
        <v>1211</v>
      </c>
      <c r="C39" t="str">
        <f>"CONF-"&amp;TEXT(us_core_reqs[[#This Row],[ID*]], "0000")</f>
        <v>CONF-0038</v>
      </c>
      <c r="D39" s="11" t="s">
        <v>821</v>
      </c>
      <c r="E39" t="str">
        <f>SUBSTITUTE(us_core_reqs[[#This Row],[URL*]], "https://hl7.org/fhir/us/core/STU8/","")</f>
        <v>general-requirements.html#modifier-elements</v>
      </c>
      <c r="F39" s="11" t="s">
        <v>77</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51" hidden="1"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51" hidden="1"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85" hidden="1"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hidden="1"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hidden="1"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hidden="1"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hidden="1"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hidden="1"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hidden="1"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102" hidden="1"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85" hidden="1"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hidden="1"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68" hidden="1"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hidden="1"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hidden="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hidden="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hidden="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hidden="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hidden="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hidden="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68" hidden="1"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hidden="1"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68" hidden="1"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hidden="1"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hidden="1"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hidden="1"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hidden="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hidden="1"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hidden="1"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hidden="1"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51" hidden="1"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917</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hidden="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hidden="1"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hidden="1"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hidden="1"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34" hidden="1"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hidden="1"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hidden="1"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hidden="1"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hidden="1" x14ac:dyDescent="0.2">
      <c r="A79" t="s">
        <v>1171</v>
      </c>
      <c r="B79" t="s">
        <v>1251</v>
      </c>
      <c r="C79" t="str">
        <f>"CONF-"&amp;TEXT(us_core_reqs[[#This Row],[ID*]], "0000")</f>
        <v>CONF-0078</v>
      </c>
      <c r="D79" s="11" t="s">
        <v>612</v>
      </c>
      <c r="E79" t="str">
        <f>SUBSTITUTE(us_core_reqs[[#This Row],[URL*]], "https://hl7.org/fhir/us/core/STU8/","")</f>
        <v>must-support.html#must-support-elements</v>
      </c>
      <c r="F79" s="11" t="s">
        <v>110</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hidden="1"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hidden="1"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85" hidden="1"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hidden="1"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68" hidden="1"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68" hidden="1"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hidden="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hidden="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102" hidden="1"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hidden="1"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hidden="1"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hidden="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hidden="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130</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hidden="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131</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51" hidden="1"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51" hidden="1"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51" hidden="1"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hidden="1" x14ac:dyDescent="0.2">
      <c r="A97" t="s">
        <v>1171</v>
      </c>
      <c r="B97" t="s">
        <v>1269</v>
      </c>
      <c r="C97" t="str">
        <f>"CONF-"&amp;TEXT(us_core_reqs[[#This Row],[ID*]], "0000")</f>
        <v>CONF-0096</v>
      </c>
      <c r="D97" s="11" t="s">
        <v>616</v>
      </c>
      <c r="E97" t="str">
        <f>SUBSTITUTE(us_core_reqs[[#This Row],[URL*]], "https://hl7.org/fhir/us/core/STU8/","")</f>
        <v>must-support.html#must-support---complex-elements</v>
      </c>
      <c r="F97" s="11" t="s">
        <v>660</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hidden="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134</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hidden="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135</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hidden="1"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136</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hidden="1"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137</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51" hidden="1"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51" hidden="1"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hidden="1"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68" hidden="1"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19" hidden="1"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19" hidden="1"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51" hidden="1"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51" hidden="1"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hidden="1"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hidden="1"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hidden="1"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hidden="1"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hidden="1"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hidden="1"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68" hidden="1"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hidden="1"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hidden="1" x14ac:dyDescent="0.2">
      <c r="A118" t="s">
        <v>1171</v>
      </c>
      <c r="B118" t="s">
        <v>1290</v>
      </c>
      <c r="C118" t="str">
        <f>"CONF-"&amp;TEXT(us_core_reqs[[#This Row],[ID*]], "0000")</f>
        <v>CONF-0117</v>
      </c>
      <c r="D118" s="11" t="s">
        <v>825</v>
      </c>
      <c r="E118" t="str">
        <f>SUBSTITUTE(us_core_reqs[[#This Row],[URL*]], "https://hl7.org/fhir/us/core/STU8/","")</f>
        <v>scopes.html#capability-sets</v>
      </c>
      <c r="F118" s="11" t="s">
        <v>982</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36" hidden="1"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152</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19" hidden="1"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155</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51" hidden="1"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921</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hidden="1"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159</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hidden="1"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922</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hidden="1"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160</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hidden="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s">
        <v>1171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hidden="1"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hidden="1" x14ac:dyDescent="0.2">
      <c r="A127" t="s">
        <v>1171</v>
      </c>
      <c r="B127" t="s">
        <v>1299</v>
      </c>
      <c r="C127" t="str">
        <f>"CONF-"&amp;TEXT(us_core_reqs[[#This Row],[ID*]], "0000")</f>
        <v>CONF-0126</v>
      </c>
      <c r="D127" s="11" t="s">
        <v>622</v>
      </c>
      <c r="E127" t="str">
        <f>SUBSTITUTE(us_core_reqs[[#This Row],[URL*]], "https://hl7.org/fhir/us/core/STU8/","")</f>
        <v>scopes.html#smart-scopes</v>
      </c>
      <c r="F127" s="11" t="s">
        <v>163</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hidden="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hidden="1" x14ac:dyDescent="0.2">
      <c r="A129" t="s">
        <v>1171</v>
      </c>
      <c r="B129" t="s">
        <v>1301</v>
      </c>
      <c r="C129" t="str">
        <f>"CONF-"&amp;TEXT(us_core_reqs[[#This Row],[ID*]], "0000")</f>
        <v>CONF-0128</v>
      </c>
      <c r="D129" s="11" t="s">
        <v>828</v>
      </c>
      <c r="E129" t="str">
        <f>SUBSTITUTE(us_core_reqs[[#This Row],[URL*]], "https://hl7.org/fhir/us/core/STU8/","")</f>
        <v>scopes.html#us-core-scopes</v>
      </c>
      <c r="F129" s="11" t="s">
        <v>984</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hidden="1" x14ac:dyDescent="0.2">
      <c r="A130" t="s">
        <v>1171</v>
      </c>
      <c r="B130" t="s">
        <v>1302</v>
      </c>
      <c r="C130" t="str">
        <f>"CONF-"&amp;TEXT(us_core_reqs[[#This Row],[ID*]], "0000")</f>
        <v>CONF-0129</v>
      </c>
      <c r="D130" s="11" t="s">
        <v>828</v>
      </c>
      <c r="E130" t="str">
        <f>SUBSTITUTE(us_core_reqs[[#This Row],[URL*]], "https://hl7.org/fhir/us/core/STU8/","")</f>
        <v>scopes.html#us-core-scopes</v>
      </c>
      <c r="F130" s="11" t="s">
        <v>985</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hidden="1" x14ac:dyDescent="0.2">
      <c r="A131" t="s">
        <v>1171</v>
      </c>
      <c r="B131" t="s">
        <v>1303</v>
      </c>
      <c r="C131" t="str">
        <f>"CONF-"&amp;TEXT(us_core_reqs[[#This Row],[ID*]], "0000")</f>
        <v>CONF-0130</v>
      </c>
      <c r="D131" s="11" t="s">
        <v>828</v>
      </c>
      <c r="E131" t="str">
        <f>SUBSTITUTE(us_core_reqs[[#This Row],[URL*]], "https://hl7.org/fhir/us/core/STU8/","")</f>
        <v>scopes.html#us-core-scopes</v>
      </c>
      <c r="F131" s="11" t="s">
        <v>924</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hidden="1" x14ac:dyDescent="0.2">
      <c r="A132" t="s">
        <v>1171</v>
      </c>
      <c r="B132" t="s">
        <v>1304</v>
      </c>
      <c r="C132" t="str">
        <f>"CONF-"&amp;TEXT(us_core_reqs[[#This Row],[ID*]], "0000")</f>
        <v>CONF-0131</v>
      </c>
      <c r="D132" s="11" t="s">
        <v>828</v>
      </c>
      <c r="E132" t="str">
        <f>SUBSTITUTE(us_core_reqs[[#This Row],[URL*]], "https://hl7.org/fhir/us/core/STU8/","")</f>
        <v>scopes.html#us-core-scopes</v>
      </c>
      <c r="F132" s="11" t="s">
        <v>925</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53" hidden="1"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36" hidden="1"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119" hidden="1"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119" hidden="1"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119" hidden="1"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119" hidden="1"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136" hidden="1"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136" hidden="1"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119" hidden="1"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119" hidden="1"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119" hidden="1"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136" hidden="1"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136" hidden="1"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119" hidden="1"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119" hidden="1"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119" hidden="1"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119" hidden="1"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136" hidden="1"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119" hidden="1"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119" hidden="1"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136" hidden="1"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119" hidden="1"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119" hidden="1"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119" hidden="1"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119" hidden="1"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119" hidden="1"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36" hidden="1"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36" hidden="1"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36" hidden="1"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36" hidden="1"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36" hidden="1"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36" hidden="1"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36" hidden="1"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36" hidden="1"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53" hidden="1"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hidden="1"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987</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119" hidden="1"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988</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hidden="1"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hidden="1"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991</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hidden="1"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992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119" hidden="1"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993</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hidden="1"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994</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51" hidden="1"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197</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51" hidden="1"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199</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hidden="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995</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51" hidden="1"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201</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51" hidden="1"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203</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51" hidden="1"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205</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hidden="1"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hidden="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210</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102" hidden="1"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996</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85" hidden="1"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85" hidden="1"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217</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68" hidden="1"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68" hidden="1"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221</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68" hidden="1" x14ac:dyDescent="0.2">
      <c r="A188" t="s">
        <v>1171</v>
      </c>
      <c r="B188" t="s">
        <v>1360</v>
      </c>
      <c r="C188" t="str">
        <f>"CONF-"&amp;TEXT(us_core_reqs[[#This Row],[ID*]], "0000")</f>
        <v>CONF-0187</v>
      </c>
      <c r="D188" s="11" t="s">
        <v>834</v>
      </c>
      <c r="E188" t="str">
        <f>SUBSTITUTE(us_core_reqs[[#This Row],[URL*]], "https://hl7.org/fhir/us/core/STU8/","")</f>
        <v>general-guidance.html#representing-deleted-information, general-guidance.html#representing-entered-in-error-information</v>
      </c>
      <c r="F188" s="11" t="s">
        <v>223</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representing-entered-in-error-information</v>
      </c>
      <c r="T188" t="str">
        <f>SUBSTITUTE(SUBSTITUTE(PROPER(SUBSTITUTE(us_core_reqs[[#This Row],[Page]], "-", " "))&amp;": "&amp;PROPER(SUBSTITUTE(us_core_reqs[[#This Row],[Section]], "-", " ")),"Us ","US "), "Uscdi", "USCDI")</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hidden="1" x14ac:dyDescent="0.2">
      <c r="A189" t="s">
        <v>1171</v>
      </c>
      <c r="B189" t="s">
        <v>1361</v>
      </c>
      <c r="C189" t="str">
        <f>"CONF-"&amp;TEXT(us_core_reqs[[#This Row],[ID*]], "0000")</f>
        <v>CONF-0188</v>
      </c>
      <c r="D189" s="11" t="s">
        <v>835</v>
      </c>
      <c r="E189" t="str">
        <f>SUBSTITUTE(us_core_reqs[[#This Row],[URL*]], "https://hl7.org/fhir/us/core/STU8/","")</f>
        <v>general-guidance.html#representing-deleted-information</v>
      </c>
      <c r="F189" s="11" t="s">
        <v>997</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representing-deleted-information</v>
      </c>
      <c r="T189" t="str">
        <f>SUBSTITUTE(SUBSTITUTE(PROPER(SUBSTITUTE(us_core_reqs[[#This Row],[Page]], "-", " "))&amp;": "&amp;PROPER(SUBSTITUTE(us_core_reqs[[#This Row],[Section]], "-", " ")),"Us ","US "), "Uscdi", "USCDI")</f>
        <v>General Guidance: Representing Deleted Information</v>
      </c>
      <c r="U189" t="s">
        <v>32</v>
      </c>
      <c r="V189" t="s">
        <v>30</v>
      </c>
      <c r="W189" t="s">
        <v>218</v>
      </c>
      <c r="X189" t="s">
        <v>1171</v>
      </c>
      <c r="Y189" t="s">
        <v>1171</v>
      </c>
      <c r="Z189" t="s">
        <v>1171</v>
      </c>
      <c r="AA189" t="s">
        <v>1171</v>
      </c>
      <c r="AB189" t="s">
        <v>1171</v>
      </c>
      <c r="AC189" t="s">
        <v>1171</v>
      </c>
      <c r="AD189" t="s">
        <v>1171</v>
      </c>
    </row>
    <row r="190" spans="1:30" ht="68" hidden="1" x14ac:dyDescent="0.2">
      <c r="A190" t="s">
        <v>1171</v>
      </c>
      <c r="B190" t="s">
        <v>1362</v>
      </c>
      <c r="C190" t="str">
        <f>"CONF-"&amp;TEXT(us_core_reqs[[#This Row],[ID*]], "0000")</f>
        <v>CONF-0189</v>
      </c>
      <c r="D190" s="11" t="s">
        <v>834</v>
      </c>
      <c r="E190" t="str">
        <f>SUBSTITUTE(us_core_reqs[[#This Row],[URL*]], "https://hl7.org/fhir/us/core/STU8/","")</f>
        <v>general-guidance.html#representing-deleted-information, general-guidance.html#representing-entered-in-error-information</v>
      </c>
      <c r="F190" s="11" t="s">
        <v>224</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representing-entered-in-error-information</v>
      </c>
      <c r="T190" t="str">
        <f>SUBSTITUTE(SUBSTITUTE(PROPER(SUBSTITUTE(us_core_reqs[[#This Row],[Page]], "-", " "))&amp;": "&amp;PROPER(SUBSTITUTE(us_core_reqs[[#This Row],[Section]], "-", " ")),"Us ","US "), "Uscdi", "USCDI")</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hidden="1" x14ac:dyDescent="0.2">
      <c r="A191" t="s">
        <v>1171</v>
      </c>
      <c r="B191" t="s">
        <v>1363</v>
      </c>
      <c r="C191" t="str">
        <f>"CONF-"&amp;TEXT(us_core_reqs[[#This Row],[ID*]], "0000")</f>
        <v>CONF-0190</v>
      </c>
      <c r="D191" s="11" t="s">
        <v>836</v>
      </c>
      <c r="E191" t="str">
        <f>SUBSTITUTE(us_core_reqs[[#This Row],[URL*]], "https://hl7.org/fhir/us/core/STU8/","")</f>
        <v>general-guidance.html#representing-entered-in-error-information</v>
      </c>
      <c r="F191" s="11" t="s">
        <v>926</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representing-entered-in-error-information</v>
      </c>
      <c r="T191" t="str">
        <f>SUBSTITUTE(SUBSTITUTE(PROPER(SUBSTITUTE(us_core_reqs[[#This Row],[Page]], "-", " "))&amp;": "&amp;PROPER(SUBSTITUTE(us_core_reqs[[#This Row],[Section]], "-", " ")),"Us ","US "), "Uscdi", "USCDI")</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85" hidden="1" x14ac:dyDescent="0.2">
      <c r="A192" t="s">
        <v>1171</v>
      </c>
      <c r="B192" t="s">
        <v>1364</v>
      </c>
      <c r="C192" t="str">
        <f>"CONF-"&amp;TEXT(us_core_reqs[[#This Row],[ID*]], "0000")</f>
        <v>CONF-0191</v>
      </c>
      <c r="D192" s="11" t="s">
        <v>836</v>
      </c>
      <c r="E192" t="str">
        <f>SUBSTITUTE(us_core_reqs[[#This Row],[URL*]], "https://hl7.org/fhir/us/core/STU8/","")</f>
        <v>general-guidance.html#representing-entered-in-error-information</v>
      </c>
      <c r="F192" s="11" t="s">
        <v>998</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representing-entered-in-error-information</v>
      </c>
      <c r="T192" t="str">
        <f>SUBSTITUTE(SUBSTITUTE(PROPER(SUBSTITUTE(us_core_reqs[[#This Row],[Page]], "-", " "))&amp;": "&amp;PROPER(SUBSTITUTE(us_core_reqs[[#This Row],[Section]], "-", " ")),"Us ","US "), "Uscdi", "USCDI")</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119" hidden="1" x14ac:dyDescent="0.2">
      <c r="A193" t="s">
        <v>1171</v>
      </c>
      <c r="B193" t="s">
        <v>1365</v>
      </c>
      <c r="C193" t="str">
        <f>"CONF-"&amp;TEXT(us_core_reqs[[#This Row],[ID*]], "0000")</f>
        <v>CONF-0192</v>
      </c>
      <c r="D193" s="11" t="s">
        <v>836</v>
      </c>
      <c r="E193" t="str">
        <f>SUBSTITUTE(us_core_reqs[[#This Row],[URL*]], "https://hl7.org/fhir/us/core/STU8/","")</f>
        <v>general-guidance.html#representing-entered-in-error-information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representing-entered-in-error-information</v>
      </c>
      <c r="T193" t="str">
        <f>SUBSTITUTE(SUBSTITUTE(PROPER(SUBSTITUTE(us_core_reqs[[#This Row],[Page]], "-", " "))&amp;": "&amp;PROPER(SUBSTITUTE(us_core_reqs[[#This Row],[Section]], "-", " ")),"Us ","US "), "Uscdi", "USCDI")</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51" hidden="1" x14ac:dyDescent="0.2">
      <c r="A194" t="s">
        <v>1171</v>
      </c>
      <c r="B194" t="s">
        <v>1366</v>
      </c>
      <c r="C194" t="str">
        <f>"CONF-"&amp;TEXT(us_core_reqs[[#This Row],[ID*]], "0000")</f>
        <v>CONF-0193</v>
      </c>
      <c r="D194" s="11" t="s">
        <v>837</v>
      </c>
      <c r="E194" t="str">
        <f>SUBSTITUTE(us_core_reqs[[#This Row],[URL*]], "https://hl7.org/fhir/us/core/STU8/","")</f>
        <v>general-guidance.html#language-support</v>
      </c>
      <c r="F194" s="11" t="s">
        <v>230</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51" hidden="1" x14ac:dyDescent="0.2">
      <c r="A195" t="s">
        <v>1171</v>
      </c>
      <c r="B195" t="s">
        <v>1367</v>
      </c>
      <c r="C195" t="str">
        <f>"CONF-"&amp;TEXT(us_core_reqs[[#This Row],[ID*]], "0000")</f>
        <v>CONF-0194</v>
      </c>
      <c r="D195" s="11" t="s">
        <v>837</v>
      </c>
      <c r="E195" t="str">
        <f>SUBSTITUTE(us_core_reqs[[#This Row],[URL*]], "https://hl7.org/fhir/us/core/STU8/","")</f>
        <v>general-guidance.html#language-support</v>
      </c>
      <c r="F195" s="11" t="s">
        <v>927</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51" hidden="1" x14ac:dyDescent="0.2">
      <c r="A196" t="s">
        <v>1171</v>
      </c>
      <c r="B196" t="s">
        <v>1368</v>
      </c>
      <c r="C196" t="str">
        <f>"CONF-"&amp;TEXT(us_core_reqs[[#This Row],[ID*]], "0000")</f>
        <v>CONF-0195</v>
      </c>
      <c r="D196" s="11" t="s">
        <v>837</v>
      </c>
      <c r="E196" t="str">
        <f>SUBSTITUTE(us_core_reqs[[#This Row],[URL*]], "https://hl7.org/fhir/us/core/STU8/","")</f>
        <v>general-guidance.html#language-support</v>
      </c>
      <c r="F196" s="11" t="s">
        <v>1000</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hidden="1" x14ac:dyDescent="0.2">
      <c r="A197" t="s">
        <v>1171</v>
      </c>
      <c r="B197" t="s">
        <v>1369</v>
      </c>
      <c r="C197" t="str">
        <f>"CONF-"&amp;TEXT(us_core_reqs[[#This Row],[ID*]], "0000")</f>
        <v>CONF-0196</v>
      </c>
      <c r="D197" s="11" t="s">
        <v>837</v>
      </c>
      <c r="E197" t="str">
        <f>SUBSTITUTE(us_core_reqs[[#This Row],[URL*]], "https://hl7.org/fhir/us/core/STU8/","")</f>
        <v>general-guidance.html#language-support</v>
      </c>
      <c r="F197" s="11" t="s">
        <v>1001</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hidden="1" x14ac:dyDescent="0.2">
      <c r="A198" t="s">
        <v>1171</v>
      </c>
      <c r="B198" t="s">
        <v>1370</v>
      </c>
      <c r="C198" t="str">
        <f>"CONF-"&amp;TEXT(us_core_reqs[[#This Row],[ID*]], "0000")</f>
        <v>CONF-0197</v>
      </c>
      <c r="D198" s="11" t="s">
        <v>837</v>
      </c>
      <c r="E198" t="str">
        <f>SUBSTITUTE(us_core_reqs[[#This Row],[URL*]], "https://hl7.org/fhir/us/core/STU8/","")</f>
        <v>general-guidance.html#language-support</v>
      </c>
      <c r="F198" s="11" t="s">
        <v>928</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85" hidden="1" x14ac:dyDescent="0.2">
      <c r="A199" t="s">
        <v>1171</v>
      </c>
      <c r="B199" t="s">
        <v>1371</v>
      </c>
      <c r="C199" t="str">
        <f>"CONF-"&amp;TEXT(us_core_reqs[[#This Row],[ID*]], "0000")</f>
        <v>CONF-0198</v>
      </c>
      <c r="D199" s="11" t="s">
        <v>837</v>
      </c>
      <c r="E199" t="str">
        <f>SUBSTITUTE(us_core_reqs[[#This Row],[URL*]], "https://hl7.org/fhir/us/core/STU8/","")</f>
        <v>general-guidance.html#language-support</v>
      </c>
      <c r="F199" s="11" t="s">
        <v>1002</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119" hidden="1" x14ac:dyDescent="0.2">
      <c r="A200" t="s">
        <v>1171</v>
      </c>
      <c r="B200" t="s">
        <v>1372</v>
      </c>
      <c r="C200" t="str">
        <f>"CONF-"&amp;TEXT(us_core_reqs[[#This Row],[ID*]], "0000")</f>
        <v>CONF-0199</v>
      </c>
      <c r="D200" s="11" t="s">
        <v>837</v>
      </c>
      <c r="E200" t="str">
        <f>SUBSTITUTE(us_core_reqs[[#This Row],[URL*]], "https://hl7.org/fhir/us/core/STU8/","")</f>
        <v>general-guidance.html#language-support</v>
      </c>
      <c r="F200" s="11" t="s">
        <v>1003</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51" hidden="1"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233</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hidden="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711</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68" hidden="1"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236</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68" hidden="1"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hidden="1"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hidden="1"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hidden="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239</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hidden="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241</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hidden="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242</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hidden="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243</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hidden="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245</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hidden="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247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hidden="1"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248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hidden="1"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250</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hidden="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251</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hidden="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253</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hidden="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254</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51" hidden="1"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51" hidden="1"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51" hidden="1"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102" hidden="1"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261</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51" hidden="1"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262</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51" hidden="1"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1880</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hidden="1"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1881</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68" hidden="1"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1881</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34" hidden="1"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1880</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34" hidden="1"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1880</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51" hidden="1"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267</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51" hidden="1"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269</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51" hidden="1"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270</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34" hidden="1"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271</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hidden="1"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1883</v>
      </c>
      <c r="G232" t="s">
        <v>29</v>
      </c>
      <c r="H232" t="s">
        <v>1882</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68" hidden="1"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1884</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68" hidden="1" x14ac:dyDescent="0.2">
      <c r="A234" t="s">
        <v>1171</v>
      </c>
      <c r="B234" t="s">
        <v>1406</v>
      </c>
      <c r="C234" t="str">
        <f>"CONF-"&amp;TEXT(us_core_reqs[[#This Row],[ID*]], "0000")</f>
        <v>CONF-0233</v>
      </c>
      <c r="D234" s="11" t="s">
        <v>1885</v>
      </c>
      <c r="E234" t="str">
        <f>SUBSTITUTE(us_core_reqs[[#This Row],[URL*]], "https://hl7.org/fhir/us/core/STU8/","")</f>
        <v>clinical-notes.html#using-expand</v>
      </c>
      <c r="F234" s="11" t="s">
        <v>1011</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hidden="1" customHeight="1" x14ac:dyDescent="0.2">
      <c r="A235" t="s">
        <v>1171</v>
      </c>
      <c r="B235" t="s">
        <v>1407</v>
      </c>
      <c r="C235" t="str">
        <f>"CONF-"&amp;TEXT(us_core_reqs[[#This Row],[ID*]], "0000")</f>
        <v>CONF-0234</v>
      </c>
      <c r="D235" s="11" t="s">
        <v>1885</v>
      </c>
      <c r="E235" t="str">
        <f>SUBSTITUTE(us_core_reqs[[#This Row],[URL*]], "https://hl7.org/fhir/us/core/STU8/","")</f>
        <v>clinical-notes.html#using-expand</v>
      </c>
      <c r="F235" s="11" t="s">
        <v>1012</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hidden="1" customHeight="1" x14ac:dyDescent="0.2">
      <c r="A236" t="s">
        <v>1171</v>
      </c>
      <c r="B236" t="s">
        <v>1408</v>
      </c>
      <c r="C236" t="str">
        <f>"CONF-"&amp;TEXT(us_core_reqs[[#This Row],[ID*]], "0000")</f>
        <v>CONF-0235</v>
      </c>
      <c r="D236" s="11" t="s">
        <v>1885</v>
      </c>
      <c r="E236" t="str">
        <f>SUBSTITUTE(us_core_reqs[[#This Row],[URL*]], "https://hl7.org/fhir/us/core/STU8/","")</f>
        <v>clinical-notes.html#using-expand</v>
      </c>
      <c r="F236" s="11" t="s">
        <v>1014</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hidden="1" customHeight="1" x14ac:dyDescent="0.2">
      <c r="A237" t="s">
        <v>1171</v>
      </c>
      <c r="B237" t="s">
        <v>1409</v>
      </c>
      <c r="C237" t="str">
        <f>"CONF-"&amp;TEXT(us_core_reqs[[#This Row],[ID*]], "0000")</f>
        <v>CONF-0236</v>
      </c>
      <c r="D237" s="11" t="s">
        <v>1885</v>
      </c>
      <c r="E237" t="str">
        <f>SUBSTITUTE(us_core_reqs[[#This Row],[URL*]], "https://hl7.org/fhir/us/core/STU8/","")</f>
        <v>clinical-notes.html#using-expand</v>
      </c>
      <c r="F237" s="11" t="s">
        <v>1016</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hidden="1" customHeight="1" x14ac:dyDescent="0.2">
      <c r="A238" t="s">
        <v>1171</v>
      </c>
      <c r="B238" t="s">
        <v>1410</v>
      </c>
      <c r="C238" t="str">
        <f>"CONF-"&amp;TEXT(us_core_reqs[[#This Row],[ID*]], "0000")</f>
        <v>CONF-0237</v>
      </c>
      <c r="D238" s="11" t="s">
        <v>1885</v>
      </c>
      <c r="E238" t="str">
        <f>SUBSTITUTE(us_core_reqs[[#This Row],[URL*]], "https://hl7.org/fhir/us/core/STU8/","")</f>
        <v>clinical-notes.html#using-expand</v>
      </c>
      <c r="F238" s="11" t="s">
        <v>1017</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53" hidden="1" x14ac:dyDescent="0.2">
      <c r="A239" t="s">
        <v>1171</v>
      </c>
      <c r="B239" t="s">
        <v>1411</v>
      </c>
      <c r="C239" t="str">
        <f>"CONF-"&amp;TEXT(us_core_reqs[[#This Row],[ID*]], "0000")</f>
        <v>CONF-0238</v>
      </c>
      <c r="D239" s="11" t="s">
        <v>1885</v>
      </c>
      <c r="E239" t="str">
        <f>SUBSTITUTE(us_core_reqs[[#This Row],[URL*]], "https://hl7.org/fhir/us/core/STU8/","")</f>
        <v>clinical-notes.html#using-expand</v>
      </c>
      <c r="F239" s="11" t="s">
        <v>1018</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53" hidden="1" x14ac:dyDescent="0.2">
      <c r="A240" t="s">
        <v>1171</v>
      </c>
      <c r="B240" t="s">
        <v>1412</v>
      </c>
      <c r="C240" t="str">
        <f>"CONF-"&amp;TEXT(us_core_reqs[[#This Row],[ID*]], "0000")</f>
        <v>CONF-0239</v>
      </c>
      <c r="D240" s="11" t="s">
        <v>1885</v>
      </c>
      <c r="E240" t="str">
        <f>SUBSTITUTE(us_core_reqs[[#This Row],[URL*]], "https://hl7.org/fhir/us/core/STU8/","")</f>
        <v>clinical-notes.html#using-expand</v>
      </c>
      <c r="F240" s="11" t="s">
        <v>1019</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53" hidden="1" x14ac:dyDescent="0.2">
      <c r="A241" t="s">
        <v>1171</v>
      </c>
      <c r="B241" t="s">
        <v>1413</v>
      </c>
      <c r="C241" t="str">
        <f>"CONF-"&amp;TEXT(us_core_reqs[[#This Row],[ID*]], "0000")</f>
        <v>CONF-0240</v>
      </c>
      <c r="D241" s="11" t="s">
        <v>1885</v>
      </c>
      <c r="E241" t="str">
        <f>SUBSTITUTE(us_core_reqs[[#This Row],[URL*]], "https://hl7.org/fhir/us/core/STU8/","")</f>
        <v>clinical-notes.html#using-expand</v>
      </c>
      <c r="F241" s="11" t="s">
        <v>1020</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hidden="1" customHeight="1" x14ac:dyDescent="0.2">
      <c r="A242" t="s">
        <v>1171</v>
      </c>
      <c r="B242" t="s">
        <v>1414</v>
      </c>
      <c r="C242" t="str">
        <f>"CONF-"&amp;TEXT(us_core_reqs[[#This Row],[ID*]], "0000")</f>
        <v>CONF-0241</v>
      </c>
      <c r="D242" s="11" t="s">
        <v>1885</v>
      </c>
      <c r="E242" t="str">
        <f>SUBSTITUTE(us_core_reqs[[#This Row],[URL*]], "https://hl7.org/fhir/us/core/STU8/","")</f>
        <v>clinical-notes.html#using-expand</v>
      </c>
      <c r="F242" s="11" t="s">
        <v>1021</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hidden="1"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hidden="1"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hidden="1"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hidden="1"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hidden="1"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1887</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hidden="1"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279</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hidden="1"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hidden="1"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1029</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hidden="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1030</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hidden="1"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1888</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hidden="1"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hidden="1"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hidden="1"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hidden="1"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hidden="1"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hidden="1"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1880</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hidden="1"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hidden="1"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hidden="1"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hidden="1"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hidden="1"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hidden="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1031</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hidden="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931</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hidden="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294</v>
      </c>
      <c r="G266" t="s">
        <v>64</v>
      </c>
      <c r="H266" t="s">
        <v>1869</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hidden="1"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64</v>
      </c>
      <c r="H267" t="s">
        <v>1896</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85" hidden="1"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1889</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hidden="1"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1892</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259" hidden="1" customHeight="1"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1893</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hidden="1"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hidden="1"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96" hidden="1" customHeight="1"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H273" t="s">
        <v>1894</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hidden="1"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64</v>
      </c>
      <c r="H274" t="s">
        <v>1895</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80" hidden="1" customHeight="1"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64</v>
      </c>
      <c r="H275" t="s">
        <v>1895</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hidden="1"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H276" t="s">
        <v>1884</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hidden="1"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304</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hidden="1"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305</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hidden="1"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306</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hidden="1"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307</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hidden="1"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308</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hidden="1"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1035</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64</v>
      </c>
      <c r="H283" t="s">
        <v>1897</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64</v>
      </c>
      <c r="H284" t="s">
        <v>1897</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64</v>
      </c>
      <c r="H285" t="s">
        <v>1897</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64</v>
      </c>
      <c r="H286" t="s">
        <v>1897</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309</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79" t="s">
        <v>1898</v>
      </c>
      <c r="E289" t="str">
        <f>SUBSTITUTE(us_core_reqs[[#This Row],[URL*]], "https://hl7.org/fhir/us/core/STU8/","")</f>
        <v>changes-between-versions.html#expectation-that-data-is-preserved-between-versions</v>
      </c>
      <c r="F289" s="11" t="s">
        <v>310</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expectation-that-data-is-preserved-between-versions</v>
      </c>
      <c r="T289" t="str">
        <f>SUBSTITUTE(SUBSTITUTE(PROPER(SUBSTITUTE(us_core_reqs[[#This Row],[Page]], "-", " "))&amp;": "&amp;PROPER(SUBSTITUTE(us_core_reqs[[#This Row],[Section]], "-", " ")),"Us ","US "), "Uscdi", "USCDI")</f>
        <v>Changes Between Versions: Expectation That Data Is Preserved Between Versions</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79" t="s">
        <v>1898</v>
      </c>
      <c r="E290" t="str">
        <f>SUBSTITUTE(us_core_reqs[[#This Row],[URL*]], "https://hl7.org/fhir/us/core/STU8/","")</f>
        <v>changes-between-versions.html#expectation-that-data-is-preserved-between-versions</v>
      </c>
      <c r="F290" s="11" t="s">
        <v>311</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expectation-that-data-is-preserved-between-versions</v>
      </c>
      <c r="T290" t="str">
        <f>SUBSTITUTE(SUBSTITUTE(PROPER(SUBSTITUTE(us_core_reqs[[#This Row],[Page]], "-", " "))&amp;": "&amp;PROPER(SUBSTITUTE(us_core_reqs[[#This Row],[Section]], "-", " ")),"Us ","US "), "Uscdi", "USCDI")</f>
        <v>Changes Between Versions: Expectation That Data Is Preserved Between Versions</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79" t="s">
        <v>1898</v>
      </c>
      <c r="E291" t="str">
        <f>SUBSTITUTE(us_core_reqs[[#This Row],[URL*]], "https://hl7.org/fhir/us/core/STU8/","")</f>
        <v>changes-between-versions.html#expectation-that-data-is-preserved-between-versions</v>
      </c>
      <c r="F291" s="11" t="s">
        <v>313</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expectation-that-data-is-preserved-between-versions</v>
      </c>
      <c r="T291" t="str">
        <f>SUBSTITUTE(SUBSTITUTE(PROPER(SUBSTITUTE(us_core_reqs[[#This Row],[Page]], "-", " "))&amp;": "&amp;PROPER(SUBSTITUTE(us_core_reqs[[#This Row],[Section]], "-", " ")),"Us ","US "), "Uscdi", "USCDI")</f>
        <v>Changes Between Versions: Expectation That Data Is Preserved Between Versions</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79" t="s">
        <v>1898</v>
      </c>
      <c r="E292" t="str">
        <f>SUBSTITUTE(us_core_reqs[[#This Row],[URL*]], "https://hl7.org/fhir/us/core/STU8/","")</f>
        <v>changes-between-versions.html#expectation-that-data-is-preserved-between-versions</v>
      </c>
      <c r="F292" s="11" t="s">
        <v>314</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expectation-that-data-is-preserved-between-versions</v>
      </c>
      <c r="T292" t="str">
        <f>SUBSTITUTE(SUBSTITUTE(PROPER(SUBSTITUTE(us_core_reqs[[#This Row],[Page]], "-", " "))&amp;": "&amp;PROPER(SUBSTITUTE(us_core_reqs[[#This Row],[Section]], "-", " ")),"Us ","US "), "Uscdi", "USCDI")</f>
        <v>Changes Between Versions: Expectation That Data Is Preserved Between Versions</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1898</v>
      </c>
      <c r="E293" t="str">
        <f>SUBSTITUTE(us_core_reqs[[#This Row],[URL*]], "https://hl7.org/fhir/us/core/STU8/","")</f>
        <v>changes-between-versions.html#expectation-that-data-is-preserved-between-versions</v>
      </c>
      <c r="F293" s="11" t="s">
        <v>311</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expectation-that-data-is-preserved-between-versions</v>
      </c>
      <c r="T293" t="str">
        <f>SUBSTITUTE(SUBSTITUTE(PROPER(SUBSTITUTE(us_core_reqs[[#This Row],[Page]], "-", " "))&amp;": "&amp;PROPER(SUBSTITUTE(us_core_reqs[[#This Row],[Section]], "-", " ")),"Us ","US "), "Uscdi", "USCDI")</f>
        <v>Changes Between Versions: Expectation That Data Is Preserved Between Versions</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1898</v>
      </c>
      <c r="E294" t="str">
        <f>SUBSTITUTE(us_core_reqs[[#This Row],[URL*]], "https://hl7.org/fhir/us/core/STU8/","")</f>
        <v>changes-between-versions.html#expectation-that-data-is-preserved-between-versions</v>
      </c>
      <c r="F294" s="11" t="s">
        <v>313</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expectation-that-data-is-preserved-between-versions</v>
      </c>
      <c r="T294" t="str">
        <f>SUBSTITUTE(SUBSTITUTE(PROPER(SUBSTITUTE(us_core_reqs[[#This Row],[Page]], "-", " "))&amp;": "&amp;PROPER(SUBSTITUTE(us_core_reqs[[#This Row],[Section]], "-", " ")),"Us ","US "), "Uscdi", "USCDI")</f>
        <v>Changes Between Versions: Expectation That Data Is Preserved Between Versions</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1898</v>
      </c>
      <c r="E295" t="str">
        <f>SUBSTITUTE(us_core_reqs[[#This Row],[URL*]], "https://hl7.org/fhir/us/core/STU8/","")</f>
        <v>changes-between-versions.html#expectation-that-data-is-preserved-between-versions</v>
      </c>
      <c r="F295" s="11" t="s">
        <v>314</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expectation-that-data-is-preserved-between-versions</v>
      </c>
      <c r="T295" t="str">
        <f>SUBSTITUTE(SUBSTITUTE(PROPER(SUBSTITUTE(us_core_reqs[[#This Row],[Page]], "-", " "))&amp;": "&amp;PROPER(SUBSTITUTE(us_core_reqs[[#This Row],[Section]], "-", " ")),"Us ","US "), "Uscdi", "USCDI")</f>
        <v>Changes Between Versions: Expectation That Data Is Preserved Between Versions</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1898</v>
      </c>
      <c r="E296" t="str">
        <f>SUBSTITUTE(us_core_reqs[[#This Row],[URL*]], "https://hl7.org/fhir/us/core/STU8/","")</f>
        <v>changes-between-versions.html#expectation-that-data-is-preserved-between-versions</v>
      </c>
      <c r="F296" s="11" t="s">
        <v>316</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expectation-that-data-is-preserved-between-versions</v>
      </c>
      <c r="T296" t="str">
        <f>SUBSTITUTE(SUBSTITUTE(PROPER(SUBSTITUTE(us_core_reqs[[#This Row],[Page]], "-", " "))&amp;": "&amp;PROPER(SUBSTITUTE(us_core_reqs[[#This Row],[Section]], "-", " ")),"Us ","US "), "Uscdi", "USCDI")</f>
        <v>Changes Between Versions: Expectation That Data Is Preserved Between Versions</v>
      </c>
      <c r="U296" t="s">
        <v>32</v>
      </c>
      <c r="V296" t="s">
        <v>30</v>
      </c>
      <c r="W296" t="s">
        <v>1171</v>
      </c>
      <c r="X296" t="s">
        <v>1171</v>
      </c>
      <c r="Y296" t="s">
        <v>1171</v>
      </c>
      <c r="Z296" t="s">
        <v>1171</v>
      </c>
      <c r="AA296" t="s">
        <v>1171</v>
      </c>
      <c r="AB296" t="s">
        <v>1171</v>
      </c>
      <c r="AC296" t="s">
        <v>1171</v>
      </c>
      <c r="AD296" t="s">
        <v>1171</v>
      </c>
    </row>
    <row r="297" spans="1:30" ht="68" x14ac:dyDescent="0.2">
      <c r="A297" t="s">
        <v>1171</v>
      </c>
      <c r="B297" t="s">
        <v>1469</v>
      </c>
      <c r="C297" t="str">
        <f>"CONF-"&amp;TEXT(us_core_reqs[[#This Row],[ID*]], "0000")</f>
        <v>CONF-0296</v>
      </c>
      <c r="D297" s="11" t="s">
        <v>1898</v>
      </c>
      <c r="E297" t="str">
        <f>SUBSTITUTE(us_core_reqs[[#This Row],[URL*]], "https://hl7.org/fhir/us/core/STU8/","")</f>
        <v>changes-between-versions.html#expectation-that-data-is-preserved-between-versions</v>
      </c>
      <c r="F297" s="11" t="s">
        <v>318</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expectation-that-data-is-preserved-between-versions</v>
      </c>
      <c r="T297" t="str">
        <f>SUBSTITUTE(SUBSTITUTE(PROPER(SUBSTITUTE(us_core_reqs[[#This Row],[Page]], "-", " "))&amp;": "&amp;PROPER(SUBSTITUTE(us_core_reqs[[#This Row],[Section]], "-", " ")),"Us ","US "), "Uscdi", "USCDI")</f>
        <v>Changes Between Versions: Expectation That Data Is Preserved Between Versions</v>
      </c>
      <c r="U297" t="s">
        <v>32</v>
      </c>
      <c r="V297" t="s">
        <v>30</v>
      </c>
      <c r="W297" t="s">
        <v>31</v>
      </c>
      <c r="X297" t="s">
        <v>1171</v>
      </c>
      <c r="Y297" t="s">
        <v>1171</v>
      </c>
      <c r="Z297" t="s">
        <v>1171</v>
      </c>
      <c r="AA297" t="s">
        <v>1171</v>
      </c>
      <c r="AB297" t="s">
        <v>1171</v>
      </c>
      <c r="AC297" t="s">
        <v>1171</v>
      </c>
      <c r="AD297" t="s">
        <v>1171</v>
      </c>
    </row>
    <row r="298" spans="1:30" ht="68" x14ac:dyDescent="0.2">
      <c r="A298" t="s">
        <v>1171</v>
      </c>
      <c r="B298" t="s">
        <v>1470</v>
      </c>
      <c r="C298" t="str">
        <f>"CONF-"&amp;TEXT(us_core_reqs[[#This Row],[ID*]], "0000")</f>
        <v>CONF-0297</v>
      </c>
      <c r="D298" s="11" t="s">
        <v>1898</v>
      </c>
      <c r="E298" t="str">
        <f>SUBSTITUTE(us_core_reqs[[#This Row],[URL*]], "https://hl7.org/fhir/us/core/STU8/","")</f>
        <v>changes-between-versions.html#expectation-that-data-is-preserved-between-versions</v>
      </c>
      <c r="F298" s="11" t="s">
        <v>319</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expectation-that-data-is-preserved-between-versions</v>
      </c>
      <c r="T298" t="str">
        <f>SUBSTITUTE(SUBSTITUTE(PROPER(SUBSTITUTE(us_core_reqs[[#This Row],[Page]], "-", " "))&amp;": "&amp;PROPER(SUBSTITUTE(us_core_reqs[[#This Row],[Section]], "-", " ")),"Us ","US "), "Uscdi", "USCDI")</f>
        <v>Changes Between Versions: Expectation That Data Is Preserved Between Versions</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1898</v>
      </c>
      <c r="E299" t="str">
        <f>SUBSTITUTE(us_core_reqs[[#This Row],[URL*]], "https://hl7.org/fhir/us/core/STU8/","")</f>
        <v>changes-between-versions.html#expectation-that-data-is-preserved-between-versions</v>
      </c>
      <c r="F299" s="11" t="s">
        <v>321</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expectation-that-data-is-preserved-between-versions</v>
      </c>
      <c r="T299" t="str">
        <f>SUBSTITUTE(SUBSTITUTE(PROPER(SUBSTITUTE(us_core_reqs[[#This Row],[Page]], "-", " "))&amp;": "&amp;PROPER(SUBSTITUTE(us_core_reqs[[#This Row],[Section]], "-", " ")),"Us ","US "), "Uscdi", "USCDI")</f>
        <v>Changes Between Versions: Expectation That Data Is Preserved Between Versions</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1898</v>
      </c>
      <c r="E300" t="str">
        <f>SUBSTITUTE(us_core_reqs[[#This Row],[URL*]], "https://hl7.org/fhir/us/core/STU8/","")</f>
        <v>changes-between-versions.html#expectation-that-data-is-preserved-between-versions</v>
      </c>
      <c r="F300" s="11" t="s">
        <v>933</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expectation-that-data-is-preserved-between-versions</v>
      </c>
      <c r="T300" t="str">
        <f>SUBSTITUTE(SUBSTITUTE(PROPER(SUBSTITUTE(us_core_reqs[[#This Row],[Page]], "-", " "))&amp;": "&amp;PROPER(SUBSTITUTE(us_core_reqs[[#This Row],[Section]], "-", " ")),"Us ","US "), "Uscdi", "USCDI")</f>
        <v>Changes Between Versions: Expectation That Data Is Preserved Between Versions</v>
      </c>
      <c r="U300" t="s">
        <v>32</v>
      </c>
      <c r="V300" t="s">
        <v>58</v>
      </c>
      <c r="W300" t="s">
        <v>106</v>
      </c>
      <c r="X300" t="s">
        <v>1171</v>
      </c>
      <c r="Y300" t="s">
        <v>1171</v>
      </c>
      <c r="Z300" t="s">
        <v>1171</v>
      </c>
      <c r="AA300" t="s">
        <v>1171</v>
      </c>
      <c r="AB300" t="s">
        <v>1171</v>
      </c>
      <c r="AC300" t="s">
        <v>1171</v>
      </c>
      <c r="AD300" t="s">
        <v>1171</v>
      </c>
    </row>
    <row r="301" spans="1:30" ht="68"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1899</v>
      </c>
      <c r="G301" t="s">
        <v>32</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64</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hidden="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323</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hidden="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324</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hidden="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hidden="1"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hidden="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hidden="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hidden="1"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hidden="1"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hidden="1"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335</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hidden="1"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337</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hidden="1"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338</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hidden="1"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1040</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hidden="1"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340</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hidden="1"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341</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hidden="1"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342</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hidden="1"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1041</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hidden="1"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344</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hidden="1"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345</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hidden="1"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864</v>
      </c>
      <c r="G321" t="s">
        <v>32</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hidden="1"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347</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hidden="1"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349</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hidden="1"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751</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hidden="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351</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hidden="1"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1042</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hidden="1"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1043</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hidden="1"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934</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hidden="1"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935</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hidden="1"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936</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hidden="1"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866</v>
      </c>
      <c r="G331" t="s">
        <v>32</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hidden="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758</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hidden="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1088</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68" hidden="1"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1089</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hidden="1"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354</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hidden="1"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hidden="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hidden="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hidden="1"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hidden="1"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hidden="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hidden="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hidden="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363</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hidden="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364</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hidden="1"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365</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hidden="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367</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hidden="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hidden="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369</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hidden="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370</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hidden="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371</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hidden="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372</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hidden="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373</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hidden="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374</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hidden="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375</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hidden="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376</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hidden="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377</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hidden="1"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378</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hidden="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380</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hidden="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1090</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hidden="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1091</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hidden="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hidden="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hidden="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hidden="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hidden="1"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384</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hidden="1"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hidden="1"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hidden="1"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hidden="1"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1047</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hidden="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939</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hidden="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940</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hidden="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389</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hidden="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390</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hidden="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391</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68" hidden="1"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392</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hidden="1"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1048</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hidden="1"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941</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hidden="1"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942</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hidden="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395</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hidden="1"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1049</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hidden="1"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943</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hidden="1"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944</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hidden="1"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398</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hidden="1"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400</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hidden="1"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401</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hidden="1"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1092</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hidden="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1093</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hidden="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1050</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hidden="1"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945</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hidden="1"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946</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hidden="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hidden="1"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85" hidden="1"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770</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hidden="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hidden="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85" hidden="1"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408</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85" hidden="1"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409</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hidden="1"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hidden="1"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hidden="1"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hidden="1"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hidden="1"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1051</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hidden="1"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1052</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hidden="1"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947</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hidden="1"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948</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hidden="1"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1053</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hidden="1"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1054</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hidden="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417</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hidden="1"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1055</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hidden="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949</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hidden="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950</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hidden="1"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1056</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hidden="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951</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hidden="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952</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hidden="1"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1058</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hidden="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953</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hidden="1"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875</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hidden="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420</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hidden="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421</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hidden="1"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422</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hidden="1"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423</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hidden="1"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424</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hidden="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426</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hidden="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429</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hidden="1"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432</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hidden="1"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435</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hidden="1"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hidden="1"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439</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hidden="1"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441</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hidden="1"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hidden="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1086</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hidden="1"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1087</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hidden="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hidden="1"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hidden="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hidden="1"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hidden="1"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hidden="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452</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hidden="1"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hidden="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1064</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hidden="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hidden="1"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880</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hidden="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459</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hidden="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460</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hidden="1"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1066</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hidden="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hidden="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464</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hidden="1"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466</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hidden="1"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467</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hidden="1"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468</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hidden="1"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470</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hidden="1"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1067</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hidden="1"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hidden="1"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473</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hidden="1"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475</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hidden="1"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476</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hidden="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477</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hidden="1"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478</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85" hidden="1"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479</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hidden="1"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hidden="1"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hidden="1"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891</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hidden="1"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892</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hidden="1"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893</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hidden="1"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894</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hidden="1"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787</v>
      </c>
      <c r="G466" t="s">
        <v>29</v>
      </c>
      <c r="I466" t="s">
        <v>30</v>
      </c>
      <c r="J466" t="s">
        <v>1171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hidden="1"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hidden="1"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hidden="1"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485</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hidden="1"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486</v>
      </c>
      <c r="G470" t="s">
        <v>29</v>
      </c>
      <c r="I470" t="s">
        <v>30</v>
      </c>
      <c r="J470" t="s">
        <v>1171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hidden="1"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487</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hidden="1"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488</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hidden="1"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490</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hidden="1"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896</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hidden="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hidden="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1069</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hidden="1"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954</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hidden="1"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494</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85" hidden="1"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495</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hidden="1"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hidden="1"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497</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hidden="1"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805</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hidden="1"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499</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hidden="1"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501</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hidden="1"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1070</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hidden="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955</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hidden="1"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502</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hidden="1"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504</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hidden="1"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897</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hidden="1"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505</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hidden="1"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506</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hidden="1"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507</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hidden="1"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508</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hidden="1"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509</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hidden="1"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510</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hidden="1"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511</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hidden="1"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512</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hidden="1"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513</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hidden="1"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514</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hidden="1"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515</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hidden="1"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516</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hidden="1"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517</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hidden="1"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518</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hidden="1"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519</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hidden="1"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520</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hidden="1"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521</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hidden="1"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522</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hidden="1"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523</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hidden="1"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524</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hidden="1"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526</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hidden="1"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528</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hidden="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hidden="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85" hidden="1"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532</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hidden="1"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hidden="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533</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hidden="1"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534</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hidden="1"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535</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hidden="1"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1072</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hidden="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956</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hidden="1"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536</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hidden="1"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537</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hidden="1"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902</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hidden="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hidden="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1073</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hidden="1"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957</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hidden="1"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hidden="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744</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hidden="1"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541</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hidden="1"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542</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hidden="1"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543</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hidden="1"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544</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hidden="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750</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hidden="1"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545</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hidden="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546</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hidden="1"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547</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hidden="1"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548</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hidden="1"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549</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hidden="1"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550</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hidden="1"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551</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hidden="1"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552</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hidden="1"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553</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hidden="1"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554</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hidden="1"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1076</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hidden="1"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556</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hidden="1"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557</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hidden="1"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558</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hidden="1"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559</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hidden="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560</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hidden="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1078</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hidden="1"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561</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hidden="1"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561</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hidden="1"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562</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hidden="1"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562</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hidden="1"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563</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hidden="1"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563</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hidden="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564</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hidden="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564</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hidden="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565</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hidden="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565</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hidden="1"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566</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hidden="1"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566</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hidden="1"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567</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hidden="1"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567</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hidden="1"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568</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hidden="1"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568</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hidden="1"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569</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hidden="1"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569</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hidden="1"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570</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hidden="1"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570</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hidden="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1080</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hidden="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1081</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hidden="1"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571</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hidden="1"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571</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hidden="1"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572</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hidden="1"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572</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hidden="1"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904</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hidden="1"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904</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hidden="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573</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hidden="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573</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hidden="1"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574</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hidden="1"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574</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hidden="1"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hidden="1"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hidden="1"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hidden="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hidden="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hidden="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hidden="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hidden="1"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hidden="1"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s">
        <v>1171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hidden="1"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s">
        <v>1171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hidden="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s">
        <v>1171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hidden="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hidden="1"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s">
        <v>1171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hidden="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hidden="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s">
        <v>1171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hidden="1"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hidden="1"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s">
        <v>1171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hidden="1"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s">
        <v>1171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hidden="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hidden="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s">
        <v>1171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hidden="1" x14ac:dyDescent="0.2">
      <c r="A603" t="s">
        <v>1171</v>
      </c>
      <c r="B603" t="s">
        <v>1775</v>
      </c>
      <c r="C603" t="str">
        <f>"CONF-"&amp;TEXT(us_core_reqs[[#This Row],[ID*]], "0000")</f>
        <v>CONF-0815</v>
      </c>
      <c r="D603" s="11"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hidden="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102" hidden="1"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1879</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hidden="1" x14ac:dyDescent="0.2">
      <c r="A606" t="s">
        <v>1171</v>
      </c>
      <c r="B606" t="s">
        <v>1778</v>
      </c>
      <c r="C606" t="str">
        <f>"CONF-"&amp;TEXT(us_core_reqs[[#This Row],[ID*]], "0000")</f>
        <v>CONF-0818</v>
      </c>
      <c r="D606" s="11" t="s">
        <v>627</v>
      </c>
      <c r="E606" t="str">
        <f>SUBSTITUTE(us_core_reqs[[#This Row],[URL*]], "https://hl7.org/fhir/us/core/STU8/","")</f>
        <v>clinical-notes.html#clinical-notes</v>
      </c>
      <c r="F606" s="11" t="s">
        <v>715</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hidden="1" x14ac:dyDescent="0.2">
      <c r="A607" t="s">
        <v>1171</v>
      </c>
      <c r="B607" t="s">
        <v>1779</v>
      </c>
      <c r="C607" t="str">
        <f>"CONF-"&amp;TEXT(us_core_reqs[[#This Row],[ID*]], "0000")</f>
        <v>CONF-0819</v>
      </c>
      <c r="D607" s="11" t="s">
        <v>627</v>
      </c>
      <c r="E607" t="str">
        <f>SUBSTITUTE(us_core_reqs[[#This Row],[URL*]], "https://hl7.org/fhir/us/core/STU8/","")</f>
        <v>clinical-notes.html#clinical-notes</v>
      </c>
      <c r="F607" s="11" t="s">
        <v>716</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hidden="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hidden="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hidden="1"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hidden="1"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hidden="1"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hidden="1"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hidden="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743</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221" hidden="1"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747</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hidden="1"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221" hidden="1"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746</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hidden="1"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hidden="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hidden="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hidden="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s">
        <v>1171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hidden="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s">
        <v>1171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hidden="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s">
        <v>1171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hidden="1"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hidden="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hidden="1"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hidden="1"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hidden="1"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hidden="1"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hidden="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hidden="1"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hidden="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777</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hidden="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hidden="1"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s">
        <v>1171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hidden="1"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s">
        <v>1171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hidden="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s">
        <v>1171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hidden="1"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785</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hidden="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786</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hidden="1"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hidden="1"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hidden="1"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hidden="1"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hidden="1"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hidden="1"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hidden="1"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811</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hidden="1"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813</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hidden="1"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812</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hidden="1"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814</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hidden="1"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s">
        <v>1171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hidden="1"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s">
        <v>1171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hidden="1"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s">
        <v>1171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hidden="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hidden="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hidden="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1130</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hidden="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hidden="1"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1133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hidden="1"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1134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hidden="1"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hidden="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hidden="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hidden="1" x14ac:dyDescent="0.2">
      <c r="A661" t="b">
        <v>1</v>
      </c>
      <c r="B661">
        <v>873</v>
      </c>
      <c r="C661" t="str">
        <f>"CONF-"&amp;TEXT(us_core_reqs[[#This Row],[ID*]], "0000")</f>
        <v>CONF-0873</v>
      </c>
      <c r="D661" s="1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hidden="1" x14ac:dyDescent="0.2">
      <c r="A662" t="b">
        <v>1</v>
      </c>
      <c r="B662">
        <v>874</v>
      </c>
      <c r="C662" t="str">
        <f>"CONF-"&amp;TEXT(us_core_reqs[[#This Row],[ID*]], "0000")</f>
        <v>CONF-0874</v>
      </c>
      <c r="D662" s="11"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hidden="1" x14ac:dyDescent="0.2">
      <c r="A663" t="b">
        <v>1</v>
      </c>
      <c r="B663">
        <v>875</v>
      </c>
      <c r="C663" t="str">
        <f>"CONF-"&amp;TEXT(us_core_reqs[[#This Row],[ID*]], "0000")</f>
        <v>CONF-0875</v>
      </c>
      <c r="D663" s="11"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hidden="1" x14ac:dyDescent="0.2">
      <c r="A664" t="b">
        <v>1</v>
      </c>
      <c r="B664">
        <v>876</v>
      </c>
      <c r="C664" t="str">
        <f>"CONF-"&amp;TEXT(us_core_reqs[[#This Row],[ID*]], "0000")</f>
        <v>CONF-0876</v>
      </c>
      <c r="D664" s="11"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hidden="1" x14ac:dyDescent="0.2">
      <c r="A665" t="b">
        <v>1</v>
      </c>
      <c r="B665">
        <v>877</v>
      </c>
      <c r="C665" t="str">
        <f>"CONF-"&amp;TEXT(us_core_reqs[[#This Row],[ID*]], "0000")</f>
        <v>CONF-0877</v>
      </c>
      <c r="D665" s="11"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hidden="1" x14ac:dyDescent="0.2">
      <c r="A666" t="b">
        <v>1</v>
      </c>
      <c r="B666">
        <v>878</v>
      </c>
      <c r="C666" t="str">
        <f>"CONF-"&amp;TEXT(us_core_reqs[[#This Row],[ID*]], "0000")</f>
        <v>CONF-0878</v>
      </c>
      <c r="D666" s="11"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hidden="1" x14ac:dyDescent="0.2">
      <c r="A667" t="b">
        <v>1</v>
      </c>
      <c r="B667">
        <v>879</v>
      </c>
      <c r="C667" t="str">
        <f>"CONF-"&amp;TEXT(us_core_reqs[[#This Row],[ID*]], "0000")</f>
        <v>CONF-0879</v>
      </c>
      <c r="D667" s="11"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hidden="1" x14ac:dyDescent="0.2">
      <c r="A668" t="b">
        <v>1</v>
      </c>
      <c r="B668">
        <v>880</v>
      </c>
      <c r="C668" t="str">
        <f>"CONF-"&amp;TEXT(us_core_reqs[[#This Row],[ID*]], "0000")</f>
        <v>CONF-0880</v>
      </c>
      <c r="D668" s="11"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hidden="1" x14ac:dyDescent="0.2">
      <c r="A669" t="b">
        <v>1</v>
      </c>
      <c r="B669">
        <v>881</v>
      </c>
      <c r="C669" t="str">
        <f>"CONF-"&amp;TEXT(us_core_reqs[[#This Row],[ID*]], "0000")</f>
        <v>CONF-0881</v>
      </c>
      <c r="D669" s="11"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hidden="1" x14ac:dyDescent="0.2">
      <c r="A670" t="b">
        <v>1</v>
      </c>
      <c r="B670">
        <v>882</v>
      </c>
      <c r="C670" t="str">
        <f>"CONF-"&amp;TEXT(us_core_reqs[[#This Row],[ID*]], "0000")</f>
        <v>CONF-0882</v>
      </c>
      <c r="D670" s="11"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hidden="1" x14ac:dyDescent="0.2">
      <c r="A671" t="b">
        <v>1</v>
      </c>
      <c r="B671">
        <v>883</v>
      </c>
      <c r="C671" t="str">
        <f>"CONF-"&amp;TEXT(us_core_reqs[[#This Row],[ID*]], "0000")</f>
        <v>CONF-0883</v>
      </c>
      <c r="D671" s="1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hidden="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row r="673" spans="1:20" ht="153" hidden="1" x14ac:dyDescent="0.2">
      <c r="A673" t="b">
        <v>1</v>
      </c>
      <c r="B673">
        <v>885</v>
      </c>
      <c r="C673" t="str">
        <f>"CONF-"&amp;TEXT(us_core_reqs[[#This Row],[ID*]], "0000")</f>
        <v>CONF-0885</v>
      </c>
      <c r="D673" s="11" t="s">
        <v>1890</v>
      </c>
      <c r="E673" t="str">
        <f>SUBSTITUTE(us_core_reqs[[#This Row],[URL*]], "https://hl7.org/fhir/us/core/STU8/","")</f>
        <v>basic-provenance.html#individual-level-provenance</v>
      </c>
      <c r="F673" s="11" t="s">
        <v>1891</v>
      </c>
      <c r="G673" t="s">
        <v>32</v>
      </c>
      <c r="I673" t="s">
        <v>30</v>
      </c>
      <c r="L673" t="b">
        <v>0</v>
      </c>
      <c r="R673" t="str">
        <f>_xlfn.TEXTBEFORE(_xlfn.TEXTAFTER(us_core_reqs[[#This Row],[URL*]],"/",-1),".")</f>
        <v>basic-provenance</v>
      </c>
      <c r="S673" t="str">
        <f>_xlfn.TEXTAFTER(us_core_reqs[[#This Row],[URL*]],"#",-1)</f>
        <v>individual-level-provenance</v>
      </c>
      <c r="T673" t="str">
        <f>SUBSTITUTE(SUBSTITUTE(PROPER(SUBSTITUTE(us_core_reqs[[#This Row],[Page]], "-", " "))&amp;": "&amp;PROPER(SUBSTITUTE(us_core_reqs[[#This Row],[Section]], "-", " ")),"Us ","US "), "Uscdi", "USCDI")</f>
        <v>Basic Provenance: Individual Level Provenance</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Props1.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2.xml><?xml version="1.0" encoding="utf-8"?>
<ds:datastoreItem xmlns:ds="http://schemas.openxmlformats.org/officeDocument/2006/customXml" ds:itemID="{9225D6BB-BE6A-3148-AA42-4BBE2D66A470}">
  <ds:schemaRefs>
    <ds:schemaRef ds:uri="http://schemas.microsoft.com/DataMashup"/>
  </ds:schemaRefs>
</ds:datastoreItem>
</file>

<file path=customXml/itemProps3.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2026-03-03T01:06:24Z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